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Miandoli8\Documents\College\MQP\Sample_Data\"/>
    </mc:Choice>
  </mc:AlternateContent>
  <xr:revisionPtr revIDLastSave="0" documentId="13_ncr:1_{011338D2-28FF-45CD-A141-2D1D64A86026}" xr6:coauthVersionLast="45" xr6:coauthVersionMax="45" xr10:uidLastSave="{00000000-0000-0000-0000-000000000000}"/>
  <bookViews>
    <workbookView xWindow="-96" yWindow="-96" windowWidth="23232" windowHeight="12552" tabRatio="500" activeTab="2" xr2:uid="{00000000-000D-0000-FFFF-FFFF00000000}"/>
  </bookViews>
  <sheets>
    <sheet name="Help" sheetId="7" r:id="rId1"/>
    <sheet name="Analysis" sheetId="2" r:id="rId2"/>
    <sheet name="Data" sheetId="1" r:id="rId3"/>
    <sheet name="Traffic Type Info" sheetId="4" r:id="rId4"/>
    <sheet name="IP List Master" sheetId="6" r:id="rId5"/>
  </sheets>
  <functionGroups builtInGroupCount="19"/>
  <definedNames>
    <definedName name="_xlnm.Print_Titles" localSheetId="4">'IP List Master'!$1:$3</definedName>
  </definedNames>
  <calcPr calcId="191028" concurrentCalc="0"/>
  <pivotCaches>
    <pivotCache cacheId="0" r:id="rId6"/>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W4" i="1" l="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G242" i="6"/>
  <c r="G239" i="6"/>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6" i="6"/>
  <c r="G17" i="6"/>
  <c r="G54" i="6"/>
  <c r="G27" i="6"/>
  <c r="G28" i="6"/>
  <c r="G4" i="6"/>
  <c r="G143" i="6"/>
  <c r="G144" i="6"/>
  <c r="G145" i="6"/>
  <c r="G146" i="6"/>
  <c r="G55" i="6"/>
  <c r="G147" i="6"/>
  <c r="G148" i="6"/>
  <c r="G149" i="6"/>
  <c r="G150" i="6"/>
  <c r="G151" i="6"/>
  <c r="G152" i="6"/>
  <c r="G153" i="6"/>
  <c r="G154" i="6"/>
  <c r="G18" i="6"/>
  <c r="G52" i="6"/>
  <c r="G155" i="6"/>
  <c r="G156" i="6"/>
  <c r="G157" i="6"/>
  <c r="G158" i="6"/>
  <c r="G159" i="6"/>
  <c r="G160" i="6"/>
  <c r="G161" i="6"/>
  <c r="G162" i="6"/>
  <c r="G163" i="6"/>
  <c r="G164" i="6"/>
  <c r="G165" i="6"/>
  <c r="G166" i="6"/>
  <c r="G167" i="6"/>
  <c r="G168" i="6"/>
  <c r="G169" i="6"/>
  <c r="G170" i="6"/>
  <c r="G171" i="6"/>
  <c r="G172" i="6"/>
  <c r="G173" i="6"/>
  <c r="G174" i="6"/>
  <c r="G175" i="6"/>
  <c r="G176" i="6"/>
  <c r="G9" i="6"/>
  <c r="G177" i="6"/>
  <c r="G178" i="6"/>
  <c r="G179" i="6"/>
  <c r="G180" i="6"/>
  <c r="G181" i="6"/>
  <c r="G182" i="6"/>
  <c r="G183" i="6"/>
  <c r="G10" i="6"/>
  <c r="G11" i="6"/>
  <c r="G184" i="6"/>
  <c r="G185" i="6"/>
  <c r="G41" i="6"/>
  <c r="G34" i="6"/>
  <c r="G186" i="6"/>
  <c r="G187" i="6"/>
  <c r="G188" i="6"/>
  <c r="G189" i="6"/>
  <c r="G190" i="6"/>
  <c r="G192" i="6"/>
  <c r="G193" i="6"/>
  <c r="G194" i="6"/>
  <c r="G195" i="6"/>
  <c r="G196" i="6"/>
  <c r="G197" i="6"/>
  <c r="G198" i="6"/>
  <c r="G199" i="6"/>
  <c r="G200" i="6"/>
  <c r="G201" i="6"/>
  <c r="G202" i="6"/>
  <c r="G203" i="6"/>
  <c r="G204" i="6"/>
  <c r="G205" i="6"/>
  <c r="G206" i="6"/>
  <c r="G207" i="6"/>
  <c r="G208" i="6"/>
  <c r="G209" i="6"/>
  <c r="G26" i="6"/>
  <c r="G210" i="6"/>
  <c r="G211" i="6"/>
  <c r="G212" i="6"/>
  <c r="G213" i="6"/>
  <c r="G214" i="6"/>
  <c r="G215" i="6"/>
  <c r="G216" i="6"/>
  <c r="G217" i="6"/>
  <c r="G218" i="6"/>
  <c r="G219" i="6"/>
  <c r="G220" i="6"/>
  <c r="G221" i="6"/>
  <c r="G222" i="6"/>
  <c r="G223" i="6"/>
  <c r="G224" i="6"/>
  <c r="G225" i="6"/>
  <c r="G226" i="6"/>
  <c r="G227" i="6"/>
  <c r="G228" i="6"/>
  <c r="G229" i="6"/>
  <c r="G230" i="6"/>
  <c r="G231" i="6"/>
  <c r="G232" i="6"/>
  <c r="G233" i="6"/>
  <c r="G48" i="6"/>
  <c r="G234" i="6"/>
  <c r="G191" i="6"/>
  <c r="G235" i="6"/>
  <c r="G236" i="6"/>
  <c r="G12" i="6"/>
  <c r="G237" i="6"/>
  <c r="G44" i="6"/>
  <c r="G238" i="6"/>
  <c r="G241" i="6"/>
  <c r="G244" i="6"/>
  <c r="G245" i="6"/>
  <c r="G246" i="6"/>
  <c r="G247" i="6"/>
  <c r="G248" i="6"/>
  <c r="G249" i="6"/>
  <c r="G250" i="6"/>
  <c r="G251" i="6"/>
  <c r="G252" i="6"/>
  <c r="G253" i="6"/>
  <c r="G254" i="6"/>
  <c r="G255" i="6"/>
  <c r="G256" i="6"/>
  <c r="G257" i="6"/>
  <c r="G258" i="6"/>
  <c r="G259" i="6"/>
  <c r="G260" i="6"/>
  <c r="G261" i="6"/>
  <c r="G262" i="6"/>
  <c r="G263" i="6"/>
  <c r="G264" i="6"/>
  <c r="G265" i="6"/>
  <c r="G266" i="6"/>
  <c r="G20" i="6"/>
  <c r="G19" i="6"/>
  <c r="G267" i="6"/>
  <c r="G268" i="6"/>
  <c r="G269" i="6"/>
  <c r="G270" i="6"/>
  <c r="G271" i="6"/>
  <c r="G272" i="6"/>
  <c r="G273" i="6"/>
  <c r="G274" i="6"/>
  <c r="G275" i="6"/>
  <c r="G276" i="6"/>
  <c r="G277" i="6"/>
  <c r="G278" i="6"/>
  <c r="G279" i="6"/>
  <c r="G280" i="6"/>
  <c r="G281" i="6"/>
  <c r="G282" i="6"/>
  <c r="G283" i="6"/>
  <c r="G284" i="6"/>
  <c r="G285" i="6"/>
  <c r="G286" i="6"/>
  <c r="G15" i="6"/>
  <c r="G14" i="6"/>
  <c r="G32" i="6"/>
  <c r="G33" i="6"/>
  <c r="G35" i="6"/>
  <c r="G36" i="6"/>
  <c r="G42" i="6"/>
  <c r="G39" i="6"/>
  <c r="G25" i="6"/>
  <c r="G8" i="6"/>
  <c r="G58" i="6"/>
  <c r="G59" i="6"/>
  <c r="G60" i="6"/>
  <c r="G61" i="6"/>
  <c r="G62" i="6"/>
  <c r="G240" i="6"/>
  <c r="G287" i="6"/>
  <c r="G288" i="6"/>
  <c r="G289" i="6"/>
  <c r="G290" i="6"/>
  <c r="G291" i="6"/>
  <c r="G292" i="6"/>
  <c r="G293" i="6"/>
  <c r="G294" i="6"/>
  <c r="G295" i="6"/>
  <c r="G296" i="6"/>
  <c r="G46" i="6"/>
  <c r="G47" i="6"/>
  <c r="G297" i="6"/>
  <c r="G298" i="6"/>
  <c r="G243" i="6"/>
  <c r="G299" i="6"/>
  <c r="G518" i="6"/>
  <c r="G519" i="6"/>
  <c r="G520" i="6"/>
  <c r="G521" i="6"/>
  <c r="G522" i="6"/>
  <c r="G523" i="6"/>
  <c r="G524" i="6"/>
  <c r="G525" i="6"/>
  <c r="G526" i="6"/>
  <c r="G527" i="6"/>
  <c r="G528" i="6"/>
  <c r="G529" i="6"/>
  <c r="G530" i="6"/>
  <c r="G531" i="6"/>
  <c r="G532" i="6"/>
  <c r="G533" i="6"/>
  <c r="G534" i="6"/>
  <c r="G535" i="6"/>
  <c r="G536" i="6"/>
  <c r="G537" i="6"/>
  <c r="G802" i="6"/>
  <c r="G803" i="6"/>
  <c r="G804" i="6"/>
  <c r="G805" i="6"/>
  <c r="G806" i="6"/>
  <c r="G807" i="6"/>
  <c r="G808" i="6"/>
  <c r="G809" i="6"/>
  <c r="G810" i="6"/>
  <c r="G811" i="6"/>
  <c r="G812" i="6"/>
  <c r="G828" i="6"/>
  <c r="G829" i="6"/>
  <c r="G830" i="6"/>
  <c r="G831" i="6"/>
  <c r="G832" i="6"/>
  <c r="G833" i="6"/>
  <c r="G813" i="6"/>
  <c r="G814" i="6"/>
  <c r="G815" i="6"/>
  <c r="G816" i="6"/>
  <c r="G5" i="6"/>
  <c r="G7" i="6"/>
  <c r="G43" i="6"/>
  <c r="G834" i="6"/>
  <c r="G45" i="6"/>
  <c r="G817" i="6"/>
  <c r="G818" i="6"/>
  <c r="G819" i="6"/>
  <c r="G820" i="6"/>
  <c r="G821" i="6"/>
  <c r="G822" i="6"/>
  <c r="G823"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57" i="6"/>
  <c r="G340" i="6"/>
  <c r="G341" i="6"/>
  <c r="G342" i="6"/>
  <c r="G343" i="6"/>
  <c r="G344" i="6"/>
  <c r="G345" i="6"/>
  <c r="G346" i="6"/>
  <c r="G347" i="6"/>
  <c r="G348" i="6"/>
  <c r="G349" i="6"/>
  <c r="G350" i="6"/>
  <c r="G351" i="6"/>
  <c r="G352" i="6"/>
  <c r="G353" i="6"/>
  <c r="G354" i="6"/>
  <c r="G355" i="6"/>
  <c r="G356" i="6"/>
  <c r="G357" i="6"/>
  <c r="G358" i="6"/>
  <c r="G359" i="6"/>
  <c r="G21" i="6"/>
  <c r="G22" i="6"/>
  <c r="G50" i="6"/>
  <c r="G360" i="6"/>
  <c r="G361" i="6"/>
  <c r="G362" i="6"/>
  <c r="G363" i="6"/>
  <c r="G29" i="6"/>
  <c r="G30" i="6"/>
  <c r="G31" i="6"/>
  <c r="G364" i="6"/>
  <c r="G365" i="6"/>
  <c r="G366" i="6"/>
  <c r="G367" i="6"/>
  <c r="G368" i="6"/>
  <c r="G369" i="6"/>
  <c r="G370" i="6"/>
  <c r="G40" i="6"/>
  <c r="G56" i="6"/>
  <c r="G13" i="6"/>
  <c r="G51" i="6"/>
  <c r="G371" i="6"/>
  <c r="G372" i="6"/>
  <c r="G373" i="6"/>
  <c r="G374" i="6"/>
  <c r="G375" i="6"/>
  <c r="G376" i="6"/>
  <c r="G377" i="6"/>
  <c r="G378" i="6"/>
  <c r="G379" i="6"/>
  <c r="G380" i="6"/>
  <c r="G381" i="6"/>
  <c r="G382" i="6"/>
  <c r="G383" i="6"/>
  <c r="G384" i="6"/>
  <c r="G385" i="6"/>
  <c r="G386" i="6"/>
  <c r="G38" i="6"/>
  <c r="G37" i="6"/>
  <c r="G53" i="6"/>
  <c r="G387" i="6"/>
  <c r="G388" i="6"/>
  <c r="G389" i="6"/>
  <c r="G390" i="6"/>
  <c r="G391" i="6"/>
  <c r="G392" i="6"/>
  <c r="G393" i="6"/>
  <c r="G394" i="6"/>
  <c r="G395" i="6"/>
  <c r="G396" i="6"/>
  <c r="G397" i="6"/>
  <c r="G398" i="6"/>
  <c r="G399" i="6"/>
  <c r="G400" i="6"/>
  <c r="G401" i="6"/>
  <c r="G402" i="6"/>
  <c r="G403" i="6"/>
  <c r="G404" i="6"/>
  <c r="G405" i="6"/>
  <c r="G23"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9" i="6"/>
  <c r="G446" i="6"/>
  <c r="G447" i="6"/>
  <c r="G448" i="6"/>
  <c r="G449" i="6"/>
  <c r="G450" i="6"/>
  <c r="G451" i="6"/>
  <c r="G452" i="6"/>
  <c r="G453" i="6"/>
  <c r="G454" i="6"/>
  <c r="G455" i="6"/>
  <c r="G456" i="6"/>
  <c r="G457" i="6"/>
  <c r="G458" i="6"/>
  <c r="G459" i="6"/>
  <c r="G460" i="6"/>
  <c r="G461" i="6"/>
  <c r="G462" i="6"/>
  <c r="G463" i="6"/>
  <c r="G6" i="6"/>
  <c r="G464" i="6"/>
  <c r="G465" i="6"/>
  <c r="G466" i="6"/>
  <c r="G467" i="6"/>
  <c r="G468" i="6"/>
  <c r="G469" i="6"/>
  <c r="G470" i="6"/>
  <c r="G471" i="6"/>
  <c r="G472" i="6"/>
  <c r="G473" i="6"/>
  <c r="G474" i="6"/>
  <c r="G475" i="6"/>
  <c r="G476" i="6"/>
  <c r="G477" i="6"/>
  <c r="G478" i="6"/>
  <c r="G479" i="6"/>
  <c r="G480" i="6"/>
  <c r="G481" i="6"/>
  <c r="G482" i="6"/>
  <c r="G24"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24" i="6"/>
  <c r="G825" i="6"/>
  <c r="G826" i="6"/>
  <c r="G827" i="6"/>
  <c r="E794" i="6"/>
  <c r="E793" i="6"/>
  <c r="E792" i="6"/>
  <c r="E791" i="6"/>
  <c r="E790" i="6"/>
  <c r="E789" i="6"/>
  <c r="E788" i="6"/>
  <c r="E787" i="6"/>
  <c r="E786" i="6"/>
  <c r="E785" i="6"/>
  <c r="E784" i="6"/>
  <c r="E783" i="6"/>
  <c r="E782" i="6"/>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Klemm, Geoffrey</author>
    <author>Smart, Adrian</author>
    <author>Vito Porta</author>
    <author>J</author>
    <author>Paul Marshall</author>
  </authors>
  <commentList>
    <comment ref="D4" authorId="0" shapeId="0" xr:uid="{00000000-0006-0000-0400-000001000000}">
      <text>
        <r>
          <rPr>
            <b/>
            <sz val="9"/>
            <color indexed="81"/>
            <rFont val="Tahoma"/>
            <family val="2"/>
          </rPr>
          <t>Klemm, Geoffrey:</t>
        </r>
        <r>
          <rPr>
            <sz val="9"/>
            <color indexed="81"/>
            <rFont val="Tahoma"/>
            <family val="2"/>
          </rPr>
          <t xml:space="preserve">
Ghosted 13.06.2012</t>
        </r>
      </text>
    </comment>
    <comment ref="D9" authorId="0" shapeId="0" xr:uid="{00000000-0006-0000-0400-000002000000}">
      <text>
        <r>
          <rPr>
            <b/>
            <sz val="9"/>
            <color indexed="81"/>
            <rFont val="Tahoma"/>
            <family val="2"/>
          </rPr>
          <t>Klemm, Geoffrey:</t>
        </r>
        <r>
          <rPr>
            <sz val="9"/>
            <color indexed="81"/>
            <rFont val="Tahoma"/>
            <family val="2"/>
          </rPr>
          <t xml:space="preserve">
Ghosted 24.12.2010</t>
        </r>
      </text>
    </comment>
    <comment ref="D10" authorId="0" shapeId="0" xr:uid="{00000000-0006-0000-0400-000003000000}">
      <text>
        <r>
          <rPr>
            <b/>
            <sz val="9"/>
            <color indexed="81"/>
            <rFont val="Tahoma"/>
            <family val="2"/>
          </rPr>
          <t>Klemm, Geoffrey:</t>
        </r>
        <r>
          <rPr>
            <sz val="9"/>
            <color indexed="81"/>
            <rFont val="Tahoma"/>
            <family val="2"/>
          </rPr>
          <t xml:space="preserve">
Ghosted 16.03.2013</t>
        </r>
      </text>
    </comment>
    <comment ref="D11" authorId="0" shapeId="0" xr:uid="{00000000-0006-0000-0400-000004000000}">
      <text>
        <r>
          <rPr>
            <b/>
            <sz val="9"/>
            <color indexed="81"/>
            <rFont val="Tahoma"/>
            <family val="2"/>
          </rPr>
          <t>Klemm, Geoffrey:</t>
        </r>
        <r>
          <rPr>
            <sz val="9"/>
            <color indexed="81"/>
            <rFont val="Tahoma"/>
            <family val="2"/>
          </rPr>
          <t xml:space="preserve">
Ghosted 16.03.2013</t>
        </r>
      </text>
    </comment>
    <comment ref="D17" authorId="0" shapeId="0" xr:uid="{00000000-0006-0000-0400-000005000000}">
      <text>
        <r>
          <rPr>
            <b/>
            <sz val="9"/>
            <color indexed="81"/>
            <rFont val="Tahoma"/>
            <family val="2"/>
          </rPr>
          <t>Klemm, Geoffrey:</t>
        </r>
        <r>
          <rPr>
            <sz val="9"/>
            <color indexed="81"/>
            <rFont val="Tahoma"/>
            <family val="2"/>
          </rPr>
          <t xml:space="preserve">
Ghosted 08.09.2013</t>
        </r>
      </text>
    </comment>
    <comment ref="D28" authorId="0" shapeId="0" xr:uid="{00000000-0006-0000-0400-000006000000}">
      <text>
        <r>
          <rPr>
            <b/>
            <sz val="9"/>
            <color indexed="81"/>
            <rFont val="Tahoma"/>
            <family val="2"/>
          </rPr>
          <t>Klemm, Geoffrey:</t>
        </r>
        <r>
          <rPr>
            <sz val="9"/>
            <color indexed="81"/>
            <rFont val="Tahoma"/>
            <family val="2"/>
          </rPr>
          <t xml:space="preserve">
Ghosted 14.08.13</t>
        </r>
      </text>
    </comment>
    <comment ref="D54" authorId="0" shapeId="0" xr:uid="{00000000-0006-0000-0400-000007000000}">
      <text>
        <r>
          <rPr>
            <b/>
            <sz val="9"/>
            <color indexed="81"/>
            <rFont val="Tahoma"/>
            <family val="2"/>
          </rPr>
          <t>Klemm, Geoffrey:</t>
        </r>
        <r>
          <rPr>
            <sz val="9"/>
            <color indexed="81"/>
            <rFont val="Tahoma"/>
            <family val="2"/>
          </rPr>
          <t xml:space="preserve">
Ghosted 04.10.2012</t>
        </r>
      </text>
    </comment>
    <comment ref="D65" authorId="0" shapeId="0" xr:uid="{00000000-0006-0000-0400-000008000000}">
      <text>
        <r>
          <rPr>
            <b/>
            <sz val="9"/>
            <color indexed="81"/>
            <rFont val="Tahoma"/>
            <family val="2"/>
          </rPr>
          <t>Klemm, Geoffrey:</t>
        </r>
        <r>
          <rPr>
            <sz val="9"/>
            <color indexed="81"/>
            <rFont val="Tahoma"/>
            <family val="2"/>
          </rPr>
          <t xml:space="preserve">
Ghosted 27.07.2012
</t>
        </r>
      </text>
    </comment>
    <comment ref="D68" authorId="0" shapeId="0" xr:uid="{00000000-0006-0000-0400-000009000000}">
      <text>
        <r>
          <rPr>
            <b/>
            <sz val="9"/>
            <color indexed="81"/>
            <rFont val="Tahoma"/>
            <family val="2"/>
          </rPr>
          <t>Klemm, Geoffrey:</t>
        </r>
        <r>
          <rPr>
            <sz val="9"/>
            <color indexed="81"/>
            <rFont val="Tahoma"/>
            <family val="2"/>
          </rPr>
          <t xml:space="preserve">
Ghosted 15.12.2008</t>
        </r>
      </text>
    </comment>
    <comment ref="D70" authorId="0" shapeId="0" xr:uid="{00000000-0006-0000-0400-00000A000000}">
      <text>
        <r>
          <rPr>
            <b/>
            <sz val="9"/>
            <color indexed="81"/>
            <rFont val="Tahoma"/>
            <family val="2"/>
          </rPr>
          <t>Klemm, Geoffrey:</t>
        </r>
        <r>
          <rPr>
            <sz val="9"/>
            <color indexed="81"/>
            <rFont val="Tahoma"/>
            <family val="2"/>
          </rPr>
          <t xml:space="preserve">
Ghosted 04.08.2010</t>
        </r>
      </text>
    </comment>
    <comment ref="D71" authorId="0" shapeId="0" xr:uid="{00000000-0006-0000-0400-00000B000000}">
      <text>
        <r>
          <rPr>
            <b/>
            <sz val="9"/>
            <color indexed="81"/>
            <rFont val="Tahoma"/>
            <family val="2"/>
          </rPr>
          <t>Klemm, Geoffrey:</t>
        </r>
        <r>
          <rPr>
            <sz val="9"/>
            <color indexed="81"/>
            <rFont val="Tahoma"/>
            <family val="2"/>
          </rPr>
          <t xml:space="preserve">
Ghosted 06.04.2012</t>
        </r>
      </text>
    </comment>
    <comment ref="D83" authorId="0" shapeId="0" xr:uid="{00000000-0006-0000-0400-00000C000000}">
      <text>
        <r>
          <rPr>
            <b/>
            <sz val="9"/>
            <color indexed="81"/>
            <rFont val="Tahoma"/>
            <family val="2"/>
          </rPr>
          <t>Klemm, Geoffrey:</t>
        </r>
        <r>
          <rPr>
            <sz val="9"/>
            <color indexed="81"/>
            <rFont val="Tahoma"/>
            <family val="2"/>
          </rPr>
          <t xml:space="preserve">
Ghosted 28.06.2011</t>
        </r>
      </text>
    </comment>
    <comment ref="D85" authorId="0" shapeId="0" xr:uid="{00000000-0006-0000-0400-00000D000000}">
      <text>
        <r>
          <rPr>
            <b/>
            <sz val="9"/>
            <color indexed="81"/>
            <rFont val="Tahoma"/>
            <family val="2"/>
          </rPr>
          <t>Klemm, Geoffrey:</t>
        </r>
        <r>
          <rPr>
            <sz val="9"/>
            <color indexed="81"/>
            <rFont val="Tahoma"/>
            <family val="2"/>
          </rPr>
          <t xml:space="preserve">
Ghosted 13.03.2013</t>
        </r>
      </text>
    </comment>
    <comment ref="D87" authorId="0" shapeId="0" xr:uid="{00000000-0006-0000-0400-00000E000000}">
      <text>
        <r>
          <rPr>
            <b/>
            <sz val="9"/>
            <color indexed="81"/>
            <rFont val="Tahoma"/>
            <family val="2"/>
          </rPr>
          <t>Klemm, Geoffrey:</t>
        </r>
        <r>
          <rPr>
            <sz val="9"/>
            <color indexed="81"/>
            <rFont val="Tahoma"/>
            <family val="2"/>
          </rPr>
          <t xml:space="preserve">
Ghosted05.01.2008</t>
        </r>
      </text>
    </comment>
    <comment ref="D88" authorId="0" shapeId="0" xr:uid="{00000000-0006-0000-0400-00000F000000}">
      <text>
        <r>
          <rPr>
            <b/>
            <sz val="9"/>
            <color indexed="81"/>
            <rFont val="Tahoma"/>
            <family val="2"/>
          </rPr>
          <t>Klemm, Geoffrey:</t>
        </r>
        <r>
          <rPr>
            <sz val="9"/>
            <color indexed="81"/>
            <rFont val="Tahoma"/>
            <family val="2"/>
          </rPr>
          <t xml:space="preserve">
Ghosted 20.07.2009</t>
        </r>
      </text>
    </comment>
    <comment ref="D90" authorId="0" shapeId="0" xr:uid="{00000000-0006-0000-0400-000010000000}">
      <text>
        <r>
          <rPr>
            <b/>
            <sz val="9"/>
            <color indexed="81"/>
            <rFont val="Tahoma"/>
            <family val="2"/>
          </rPr>
          <t>Klemm, Geoffrey:</t>
        </r>
        <r>
          <rPr>
            <sz val="9"/>
            <color indexed="81"/>
            <rFont val="Tahoma"/>
            <family val="2"/>
          </rPr>
          <t xml:space="preserve">
Ghosted 30.07.2009</t>
        </r>
      </text>
    </comment>
    <comment ref="D91" authorId="0" shapeId="0" xr:uid="{00000000-0006-0000-0400-000011000000}">
      <text/>
    </comment>
    <comment ref="D92" authorId="0" shapeId="0" xr:uid="{00000000-0006-0000-0400-000012000000}">
      <text>
        <r>
          <rPr>
            <b/>
            <sz val="9"/>
            <color indexed="81"/>
            <rFont val="Tahoma"/>
            <family val="2"/>
          </rPr>
          <t>Klemm, Geoffrey:</t>
        </r>
        <r>
          <rPr>
            <sz val="9"/>
            <color indexed="81"/>
            <rFont val="Tahoma"/>
            <family val="2"/>
          </rPr>
          <t xml:space="preserve">
Ghosted 09.07.2008</t>
        </r>
      </text>
    </comment>
    <comment ref="E96" authorId="1" shapeId="0" xr:uid="{00000000-0006-0000-0400-000013000000}">
      <text>
        <r>
          <rPr>
            <b/>
            <sz val="9"/>
            <color indexed="81"/>
            <rFont val="Tahoma"/>
            <family val="2"/>
          </rPr>
          <t>Smart, Adrian:</t>
        </r>
        <r>
          <rPr>
            <sz val="9"/>
            <color indexed="81"/>
            <rFont val="Tahoma"/>
            <family val="2"/>
          </rPr>
          <t xml:space="preserve">
Use winsock (TCP/IP)
Port 4000 for serial port 1
Port 4001 for serial port 2
4002 for 3
and 4003 for 3
</t>
        </r>
      </text>
    </comment>
    <comment ref="D103" authorId="0" shapeId="0" xr:uid="{00000000-0006-0000-0400-000014000000}">
      <text>
        <r>
          <rPr>
            <b/>
            <sz val="9"/>
            <color indexed="81"/>
            <rFont val="Tahoma"/>
            <family val="2"/>
          </rPr>
          <t>Klemm, Geoffrey:</t>
        </r>
        <r>
          <rPr>
            <sz val="9"/>
            <color indexed="81"/>
            <rFont val="Tahoma"/>
            <family val="2"/>
          </rPr>
          <t xml:space="preserve">
Ghosted 01.02.2008</t>
        </r>
      </text>
    </comment>
    <comment ref="D104" authorId="0" shapeId="0" xr:uid="{00000000-0006-0000-0400-000015000000}">
      <text>
        <r>
          <rPr>
            <b/>
            <sz val="9"/>
            <color indexed="81"/>
            <rFont val="Tahoma"/>
            <family val="2"/>
          </rPr>
          <t>Klemm, Geoffrey:</t>
        </r>
        <r>
          <rPr>
            <sz val="9"/>
            <color indexed="81"/>
            <rFont val="Tahoma"/>
            <family val="2"/>
          </rPr>
          <t xml:space="preserve">
Ghosted 13.03.2009</t>
        </r>
      </text>
    </comment>
    <comment ref="D105" authorId="0" shapeId="0" xr:uid="{00000000-0006-0000-0400-000016000000}">
      <text>
        <r>
          <rPr>
            <b/>
            <sz val="9"/>
            <color indexed="81"/>
            <rFont val="Tahoma"/>
            <family val="2"/>
          </rPr>
          <t>Klemm, Geoffrey:</t>
        </r>
        <r>
          <rPr>
            <sz val="9"/>
            <color indexed="81"/>
            <rFont val="Tahoma"/>
            <family val="2"/>
          </rPr>
          <t xml:space="preserve">
Ghosted 31.07.2009</t>
        </r>
      </text>
    </comment>
    <comment ref="D125" authorId="0" shapeId="0" xr:uid="{00000000-0006-0000-0400-000017000000}">
      <text>
        <r>
          <rPr>
            <b/>
            <sz val="9"/>
            <color indexed="81"/>
            <rFont val="Tahoma"/>
            <family val="2"/>
          </rPr>
          <t>Klemm, Geoffrey:</t>
        </r>
        <r>
          <rPr>
            <sz val="9"/>
            <color indexed="81"/>
            <rFont val="Tahoma"/>
            <family val="2"/>
          </rPr>
          <t xml:space="preserve">
Ghosted 09.05.2016
</t>
        </r>
      </text>
    </comment>
    <comment ref="D126" authorId="0" shapeId="0" xr:uid="{00000000-0006-0000-0400-000018000000}">
      <text>
        <r>
          <rPr>
            <b/>
            <sz val="9"/>
            <color indexed="81"/>
            <rFont val="Tahoma"/>
            <family val="2"/>
          </rPr>
          <t>Klemm, Geoffrey:</t>
        </r>
        <r>
          <rPr>
            <sz val="9"/>
            <color indexed="81"/>
            <rFont val="Tahoma"/>
            <family val="2"/>
          </rPr>
          <t xml:space="preserve">
Ghosted 23.05.2011</t>
        </r>
      </text>
    </comment>
    <comment ref="D127" authorId="0" shapeId="0" xr:uid="{00000000-0006-0000-0400-000019000000}">
      <text>
        <r>
          <rPr>
            <b/>
            <sz val="9"/>
            <color indexed="81"/>
            <rFont val="Tahoma"/>
            <family val="2"/>
          </rPr>
          <t>Klemm, Geoffrey:</t>
        </r>
        <r>
          <rPr>
            <sz val="9"/>
            <color indexed="81"/>
            <rFont val="Tahoma"/>
            <family val="2"/>
          </rPr>
          <t xml:space="preserve">
Ghosted 9.05.2016
</t>
        </r>
      </text>
    </comment>
    <comment ref="D128" authorId="0" shapeId="0" xr:uid="{00000000-0006-0000-0400-00001A000000}">
      <text>
        <r>
          <rPr>
            <b/>
            <sz val="9"/>
            <color indexed="81"/>
            <rFont val="Tahoma"/>
            <family val="2"/>
          </rPr>
          <t>Klemm, Geoffrey:</t>
        </r>
        <r>
          <rPr>
            <sz val="9"/>
            <color indexed="81"/>
            <rFont val="Tahoma"/>
            <family val="2"/>
          </rPr>
          <t xml:space="preserve">
Ghosted 14.08.2012</t>
        </r>
      </text>
    </comment>
    <comment ref="D141" authorId="2" shapeId="0" xr:uid="{00000000-0006-0000-0400-00001B000000}">
      <text>
        <r>
          <rPr>
            <b/>
            <sz val="8"/>
            <color indexed="81"/>
            <rFont val="Tahoma"/>
          </rPr>
          <t>Vito Porta:</t>
        </r>
        <r>
          <rPr>
            <sz val="8"/>
            <color indexed="81"/>
            <rFont val="Tahoma"/>
          </rPr>
          <t xml:space="preserve">
Admin                                                zpps.
</t>
        </r>
      </text>
    </comment>
    <comment ref="D174" authorId="0" shapeId="0" xr:uid="{00000000-0006-0000-0400-00001C000000}">
      <text>
        <r>
          <rPr>
            <b/>
            <sz val="9"/>
            <color indexed="81"/>
            <rFont val="Tahoma"/>
            <family val="2"/>
          </rPr>
          <t>Klemm, Geoffrey:</t>
        </r>
        <r>
          <rPr>
            <sz val="9"/>
            <color indexed="81"/>
            <rFont val="Tahoma"/>
            <family val="2"/>
          </rPr>
          <t xml:space="preserve">
Ghosted11.08.2009
</t>
        </r>
      </text>
    </comment>
    <comment ref="D175" authorId="0" shapeId="0" xr:uid="{00000000-0006-0000-0400-00001D000000}">
      <text>
        <r>
          <rPr>
            <b/>
            <sz val="9"/>
            <color indexed="81"/>
            <rFont val="Tahoma"/>
            <family val="2"/>
          </rPr>
          <t>Klemm, Geoffrey:</t>
        </r>
        <r>
          <rPr>
            <sz val="9"/>
            <color indexed="81"/>
            <rFont val="Tahoma"/>
            <family val="2"/>
          </rPr>
          <t xml:space="preserve">
ghosted 14.11.2011
</t>
        </r>
      </text>
    </comment>
    <comment ref="D176" authorId="0" shapeId="0" xr:uid="{00000000-0006-0000-0400-00001E000000}">
      <text>
        <r>
          <rPr>
            <b/>
            <sz val="9"/>
            <color indexed="81"/>
            <rFont val="Tahoma"/>
            <family val="2"/>
          </rPr>
          <t>Klemm, Geoffrey:</t>
        </r>
        <r>
          <rPr>
            <sz val="9"/>
            <color indexed="81"/>
            <rFont val="Tahoma"/>
            <family val="2"/>
          </rPr>
          <t xml:space="preserve">
Ghosted 21.09.2012</t>
        </r>
      </text>
    </comment>
    <comment ref="D177" authorId="0" shapeId="0" xr:uid="{00000000-0006-0000-0400-00001F000000}">
      <text>
        <r>
          <rPr>
            <b/>
            <sz val="9"/>
            <color indexed="81"/>
            <rFont val="Tahoma"/>
            <family val="2"/>
          </rPr>
          <t>Klemm, Geoffrey:</t>
        </r>
        <r>
          <rPr>
            <sz val="9"/>
            <color indexed="81"/>
            <rFont val="Tahoma"/>
            <family val="2"/>
          </rPr>
          <t xml:space="preserve">
Ghosted23.12.2011</t>
        </r>
      </text>
    </comment>
    <comment ref="D178" authorId="0" shapeId="0" xr:uid="{00000000-0006-0000-0400-000020000000}">
      <text>
        <r>
          <rPr>
            <b/>
            <sz val="9"/>
            <color indexed="81"/>
            <rFont val="Tahoma"/>
            <family val="2"/>
          </rPr>
          <t>Klemm, Geoffrey:</t>
        </r>
        <r>
          <rPr>
            <sz val="9"/>
            <color indexed="81"/>
            <rFont val="Tahoma"/>
            <family val="2"/>
          </rPr>
          <t xml:space="preserve">
Ghosted 20.04.2012</t>
        </r>
      </text>
    </comment>
    <comment ref="D182" authorId="0" shapeId="0" xr:uid="{00000000-0006-0000-0400-000021000000}">
      <text>
        <r>
          <rPr>
            <b/>
            <sz val="9"/>
            <color indexed="81"/>
            <rFont val="Tahoma"/>
            <family val="2"/>
          </rPr>
          <t>Klemm, Geoffrey:</t>
        </r>
        <r>
          <rPr>
            <sz val="9"/>
            <color indexed="81"/>
            <rFont val="Tahoma"/>
            <family val="2"/>
          </rPr>
          <t xml:space="preserve">
Ghosted 03.11.2009</t>
        </r>
      </text>
    </comment>
    <comment ref="D183" authorId="0" shapeId="0" xr:uid="{00000000-0006-0000-0400-000022000000}">
      <text>
        <r>
          <rPr>
            <b/>
            <sz val="9"/>
            <color indexed="81"/>
            <rFont val="Tahoma"/>
            <family val="2"/>
          </rPr>
          <t>Klemm, Geoffrey:</t>
        </r>
        <r>
          <rPr>
            <sz val="9"/>
            <color indexed="81"/>
            <rFont val="Tahoma"/>
            <family val="2"/>
          </rPr>
          <t xml:space="preserve">
ghossted 19.04.2012</t>
        </r>
      </text>
    </comment>
    <comment ref="D190" authorId="0" shapeId="0" xr:uid="{00000000-0006-0000-0400-000023000000}">
      <text>
        <r>
          <rPr>
            <b/>
            <sz val="9"/>
            <color indexed="81"/>
            <rFont val="Tahoma"/>
            <family val="2"/>
          </rPr>
          <t>Klemm, Geoffrey:</t>
        </r>
        <r>
          <rPr>
            <sz val="9"/>
            <color indexed="81"/>
            <rFont val="Tahoma"/>
            <family val="2"/>
          </rPr>
          <t xml:space="preserve">
Ghosted09.04.2013</t>
        </r>
      </text>
    </comment>
    <comment ref="D191" authorId="0" shapeId="0" xr:uid="{00000000-0006-0000-0400-000024000000}">
      <text>
        <r>
          <rPr>
            <b/>
            <sz val="9"/>
            <color indexed="81"/>
            <rFont val="Tahoma"/>
            <family val="2"/>
          </rPr>
          <t>Klemm, Geoffrey:</t>
        </r>
        <r>
          <rPr>
            <sz val="9"/>
            <color indexed="81"/>
            <rFont val="Tahoma"/>
            <family val="2"/>
          </rPr>
          <t xml:space="preserve">
Ghosted 03.01.2012
</t>
        </r>
      </text>
    </comment>
    <comment ref="D192" authorId="0" shapeId="0" xr:uid="{00000000-0006-0000-0400-000025000000}">
      <text>
        <r>
          <rPr>
            <b/>
            <sz val="9"/>
            <color indexed="81"/>
            <rFont val="Tahoma"/>
            <family val="2"/>
          </rPr>
          <t>Klemm, Geoffrey:</t>
        </r>
        <r>
          <rPr>
            <sz val="9"/>
            <color indexed="81"/>
            <rFont val="Tahoma"/>
            <family val="2"/>
          </rPr>
          <t xml:space="preserve">
Ghosted09.04.2013</t>
        </r>
      </text>
    </comment>
    <comment ref="D193" authorId="0" shapeId="0" xr:uid="{00000000-0006-0000-0400-000026000000}">
      <text>
        <r>
          <rPr>
            <b/>
            <sz val="9"/>
            <color indexed="81"/>
            <rFont val="Tahoma"/>
            <family val="2"/>
          </rPr>
          <t>Klemm, Geoffrey:</t>
        </r>
        <r>
          <rPr>
            <sz val="9"/>
            <color indexed="81"/>
            <rFont val="Tahoma"/>
            <family val="2"/>
          </rPr>
          <t xml:space="preserve">
Ghosted10.08.2011</t>
        </r>
      </text>
    </comment>
    <comment ref="D194" authorId="0" shapeId="0" xr:uid="{00000000-0006-0000-0400-000027000000}">
      <text>
        <r>
          <rPr>
            <b/>
            <sz val="9"/>
            <color indexed="81"/>
            <rFont val="Tahoma"/>
            <family val="2"/>
          </rPr>
          <t>Klemm, Geoffrey:</t>
        </r>
        <r>
          <rPr>
            <sz val="9"/>
            <color indexed="81"/>
            <rFont val="Tahoma"/>
            <family val="2"/>
          </rPr>
          <t xml:space="preserve">
Ghosted 22.12.2012</t>
        </r>
      </text>
    </comment>
    <comment ref="D210" authorId="0" shapeId="0" xr:uid="{00000000-0006-0000-0400-000028000000}">
      <text>
        <r>
          <rPr>
            <b/>
            <sz val="9"/>
            <color indexed="81"/>
            <rFont val="Tahoma"/>
            <family val="2"/>
          </rPr>
          <t>Klemm, Geoffrey:</t>
        </r>
        <r>
          <rPr>
            <sz val="9"/>
            <color indexed="81"/>
            <rFont val="Tahoma"/>
            <family val="2"/>
          </rPr>
          <t xml:space="preserve">
Ghosted 04.04.2012</t>
        </r>
      </text>
    </comment>
    <comment ref="D211" authorId="0" shapeId="0" xr:uid="{00000000-0006-0000-0400-000029000000}">
      <text>
        <r>
          <rPr>
            <b/>
            <sz val="9"/>
            <color indexed="81"/>
            <rFont val="Tahoma"/>
            <family val="2"/>
          </rPr>
          <t>Klemm, Geoffrey:</t>
        </r>
        <r>
          <rPr>
            <sz val="9"/>
            <color indexed="81"/>
            <rFont val="Tahoma"/>
            <family val="2"/>
          </rPr>
          <t xml:space="preserve">
Ghosted 10.08.2011
</t>
        </r>
      </text>
    </comment>
    <comment ref="D212" authorId="0" shapeId="0" xr:uid="{00000000-0006-0000-0400-00002A000000}">
      <text>
        <r>
          <rPr>
            <b/>
            <sz val="9"/>
            <color indexed="81"/>
            <rFont val="Tahoma"/>
            <family val="2"/>
          </rPr>
          <t>Klemm, Geoffrey:</t>
        </r>
        <r>
          <rPr>
            <sz val="9"/>
            <color indexed="81"/>
            <rFont val="Tahoma"/>
            <family val="2"/>
          </rPr>
          <t xml:space="preserve">
Ghosted 11.10.2012
</t>
        </r>
      </text>
    </comment>
    <comment ref="D213" authorId="0" shapeId="0" xr:uid="{00000000-0006-0000-0400-00002B000000}">
      <text>
        <r>
          <rPr>
            <b/>
            <sz val="9"/>
            <color indexed="81"/>
            <rFont val="Tahoma"/>
            <family val="2"/>
          </rPr>
          <t>Klemm, Geoffrey:</t>
        </r>
        <r>
          <rPr>
            <sz val="9"/>
            <color indexed="81"/>
            <rFont val="Tahoma"/>
            <family val="2"/>
          </rPr>
          <t xml:space="preserve">
Ghosted 15.03.2012
</t>
        </r>
      </text>
    </comment>
    <comment ref="E228" authorId="3" shapeId="0" xr:uid="{00000000-0006-0000-0400-00002C000000}">
      <text>
        <r>
          <rPr>
            <b/>
            <sz val="8"/>
            <color indexed="81"/>
            <rFont val="Tahoma"/>
          </rPr>
          <t>Note: This was DPCS Network Router (to 172.0.0.0 Networks)</t>
        </r>
        <r>
          <rPr>
            <sz val="8"/>
            <color indexed="81"/>
            <rFont val="Tahoma"/>
          </rPr>
          <t xml:space="preserve">
</t>
        </r>
      </text>
    </comment>
    <comment ref="D230" authorId="0" shapeId="0" xr:uid="{00000000-0006-0000-0400-00002D000000}">
      <text>
        <r>
          <rPr>
            <b/>
            <sz val="9"/>
            <color indexed="81"/>
            <rFont val="Tahoma"/>
            <family val="2"/>
          </rPr>
          <t>Klemm, Geoffrey:</t>
        </r>
        <r>
          <rPr>
            <sz val="9"/>
            <color indexed="81"/>
            <rFont val="Tahoma"/>
            <family val="2"/>
          </rPr>
          <t xml:space="preserve">
Ghosted 04.04.2012
</t>
        </r>
      </text>
    </comment>
    <comment ref="D231" authorId="0" shapeId="0" xr:uid="{00000000-0006-0000-0400-00002E000000}">
      <text>
        <r>
          <rPr>
            <b/>
            <sz val="9"/>
            <color indexed="81"/>
            <rFont val="Tahoma"/>
            <family val="2"/>
          </rPr>
          <t>Klemm, Geoffrey:</t>
        </r>
        <r>
          <rPr>
            <sz val="9"/>
            <color indexed="81"/>
            <rFont val="Tahoma"/>
            <family val="2"/>
          </rPr>
          <t xml:space="preserve">
Ghosted 08.04.2009</t>
        </r>
      </text>
    </comment>
    <comment ref="D233" authorId="0" shapeId="0" xr:uid="{00000000-0006-0000-0400-00002F000000}">
      <text>
        <r>
          <rPr>
            <b/>
            <sz val="9"/>
            <color indexed="81"/>
            <rFont val="Tahoma"/>
            <family val="2"/>
          </rPr>
          <t>Klemm, Geoffrey:</t>
        </r>
        <r>
          <rPr>
            <sz val="9"/>
            <color indexed="81"/>
            <rFont val="Tahoma"/>
            <family val="2"/>
          </rPr>
          <t xml:space="preserve">
Ghosted 30.12.2011
</t>
        </r>
      </text>
    </comment>
    <comment ref="D234" authorId="0" shapeId="0" xr:uid="{00000000-0006-0000-0400-000030000000}">
      <text>
        <r>
          <rPr>
            <b/>
            <sz val="9"/>
            <color indexed="81"/>
            <rFont val="Tahoma"/>
            <family val="2"/>
          </rPr>
          <t>Klemm, Geoffrey:</t>
        </r>
        <r>
          <rPr>
            <sz val="9"/>
            <color indexed="81"/>
            <rFont val="Tahoma"/>
            <family val="2"/>
          </rPr>
          <t xml:space="preserve">
Ghosted 25.02.2014
Changed to iFix
</t>
        </r>
      </text>
    </comment>
    <comment ref="D238" authorId="0" shapeId="0" xr:uid="{00000000-0006-0000-0400-000031000000}">
      <text>
        <r>
          <rPr>
            <b/>
            <sz val="9"/>
            <color indexed="81"/>
            <rFont val="Tahoma"/>
            <family val="2"/>
          </rPr>
          <t>Klemm, Geoffrey:</t>
        </r>
        <r>
          <rPr>
            <sz val="9"/>
            <color indexed="81"/>
            <rFont val="Tahoma"/>
            <family val="2"/>
          </rPr>
          <t xml:space="preserve">
Ghosted 02.04.2013</t>
        </r>
      </text>
    </comment>
    <comment ref="D249" authorId="0" shapeId="0" xr:uid="{00000000-0006-0000-0400-000032000000}">
      <text>
        <r>
          <rPr>
            <b/>
            <sz val="9"/>
            <color indexed="81"/>
            <rFont val="Tahoma"/>
            <family val="2"/>
          </rPr>
          <t>Klemm, Geoffrey:</t>
        </r>
        <r>
          <rPr>
            <sz val="9"/>
            <color indexed="81"/>
            <rFont val="Tahoma"/>
            <family val="2"/>
          </rPr>
          <t xml:space="preserve">
Ghosted 10.06.2011
</t>
        </r>
      </text>
    </comment>
    <comment ref="D250" authorId="0" shapeId="0" xr:uid="{00000000-0006-0000-0400-000033000000}">
      <text>
        <r>
          <rPr>
            <b/>
            <sz val="9"/>
            <color indexed="81"/>
            <rFont val="Tahoma"/>
            <family val="2"/>
          </rPr>
          <t>Klemm, Geoffrey:</t>
        </r>
        <r>
          <rPr>
            <sz val="9"/>
            <color indexed="81"/>
            <rFont val="Tahoma"/>
            <family val="2"/>
          </rPr>
          <t xml:space="preserve">
Ghosted 19.04.2012</t>
        </r>
      </text>
    </comment>
    <comment ref="A407" authorId="1" shapeId="0" xr:uid="{00000000-0006-0000-0400-000034000000}">
      <text>
        <r>
          <rPr>
            <b/>
            <sz val="9"/>
            <color indexed="81"/>
            <rFont val="Tahoma"/>
            <family val="2"/>
          </rPr>
          <t>Smart, Adrian:</t>
        </r>
        <r>
          <rPr>
            <sz val="9"/>
            <color indexed="81"/>
            <rFont val="Tahoma"/>
            <family val="2"/>
          </rPr>
          <t xml:space="preserve">
Reserved for ladder PLC
</t>
        </r>
      </text>
    </comment>
    <comment ref="E620" authorId="4" shapeId="0" xr:uid="{00000000-0006-0000-0400-000035000000}">
      <text>
        <r>
          <rPr>
            <b/>
            <sz val="9"/>
            <color indexed="81"/>
            <rFont val="Tahoma"/>
            <family val="2"/>
          </rPr>
          <t>Paul Marshall:</t>
        </r>
        <r>
          <rPr>
            <sz val="9"/>
            <color indexed="81"/>
            <rFont val="Tahoma"/>
            <family val="2"/>
          </rPr>
          <t xml:space="preserve">
No Ethernet</t>
        </r>
      </text>
    </comment>
  </commentList>
</comments>
</file>

<file path=xl/sharedStrings.xml><?xml version="1.0" encoding="utf-8"?>
<sst xmlns="http://schemas.openxmlformats.org/spreadsheetml/2006/main" count="7765" uniqueCount="1644">
  <si>
    <t>Network Analysis Workbook</t>
  </si>
  <si>
    <t>Introduction:</t>
  </si>
  <si>
    <t>This workbook contains a set of tools and functions to assist with the analysis of network traffic. It is designed to be used with data extracted from a network packet capture by e.g. Wireshark. Wireshark contains an option to export "conversation statistics" as a CSV which can easily be used here.</t>
  </si>
  <si>
    <t>Instructions:</t>
  </si>
  <si>
    <t>The data from Wireshark should be exported by copying the CSV formatted data from the "conversation statistics" view into the "data" worksheet.</t>
  </si>
  <si>
    <t>Information about the IT assets related to the IP addresses should be maintained in the "IP List Master" document.</t>
  </si>
  <si>
    <t>The data can be analysed in multiple ways using the Pivot Table in the Analysis worksheet.</t>
  </si>
  <si>
    <t>A VBA function is also contained in the workbook, in order to convert IP addresses into a fixed-length format for easy sorting.</t>
  </si>
  <si>
    <t>Analysis Worksheet</t>
  </si>
  <si>
    <t>Use the filtering and structuring options of the pivot table to identify traffic by source, destination IP or port, or using additional information gathered from the IP List master, e.g. site and network type info.</t>
  </si>
  <si>
    <t>Conversation stats from Wireshark refer to points "A" and "B", i.e. the originator and the target of the initial connection.</t>
  </si>
  <si>
    <t>Bytes</t>
  </si>
  <si>
    <t>(All)</t>
  </si>
  <si>
    <t>Traffic Type</t>
  </si>
  <si>
    <t>#N/A</t>
  </si>
  <si>
    <t>Sum of Bytes</t>
  </si>
  <si>
    <t>Column Labels</t>
  </si>
  <si>
    <t>Row Labels</t>
  </si>
  <si>
    <t>iFIX Nodes &amp; Ethernet Switches</t>
  </si>
  <si>
    <t>PLCs &amp; Control Equipment</t>
  </si>
  <si>
    <t>Grand Total</t>
  </si>
  <si>
    <t>010.020.097.012</t>
  </si>
  <si>
    <t>010.020.097.017</t>
  </si>
  <si>
    <t>010.021.097.011</t>
  </si>
  <si>
    <t>010.011.003.007</t>
  </si>
  <si>
    <t>Data Table</t>
  </si>
  <si>
    <t>The blue columns are extracted from the CSV data. The yellow columns contain data derived from lookup functions in this workbook.</t>
  </si>
  <si>
    <t>Address A</t>
  </si>
  <si>
    <t>Port A</t>
  </si>
  <si>
    <t>Address B</t>
  </si>
  <si>
    <t>Port B</t>
  </si>
  <si>
    <t>Packets</t>
  </si>
  <si>
    <t>Packets A → B</t>
  </si>
  <si>
    <t>Bytes A → B</t>
  </si>
  <si>
    <t>Packets B → A</t>
  </si>
  <si>
    <t>Bytes B → A</t>
  </si>
  <si>
    <t>Rel Start</t>
  </si>
  <si>
    <t>Duration</t>
  </si>
  <si>
    <t>Bits/s A → B</t>
  </si>
  <si>
    <t>Bits/s B → A</t>
  </si>
  <si>
    <t>FullAddress A</t>
  </si>
  <si>
    <t>FullAddress B</t>
  </si>
  <si>
    <t>Asset Name A</t>
  </si>
  <si>
    <t>Asset Name B</t>
  </si>
  <si>
    <t>Site A</t>
  </si>
  <si>
    <t>Site B</t>
  </si>
  <si>
    <t>Network Type A</t>
  </si>
  <si>
    <t>Network Type B</t>
  </si>
  <si>
    <t>10.1.1.12</t>
  </si>
  <si>
    <t>10.12.0.190</t>
  </si>
  <si>
    <t>10.1.2.5</t>
  </si>
  <si>
    <t>10.12.0.252</t>
  </si>
  <si>
    <t>10.1.2.99</t>
  </si>
  <si>
    <t>10.12.0.1</t>
  </si>
  <si>
    <t>10.12.0.63</t>
  </si>
  <si>
    <t>10.12.0.64</t>
  </si>
  <si>
    <t>10.10.10.17</t>
  </si>
  <si>
    <t>10.10.10.18</t>
  </si>
  <si>
    <t>10.11.1.12</t>
  </si>
  <si>
    <t>10.11.1.14</t>
  </si>
  <si>
    <t>10.11.1.31</t>
  </si>
  <si>
    <t>10.12.0.74</t>
  </si>
  <si>
    <t>10.12.0.72</t>
  </si>
  <si>
    <t>10.12.0.73</t>
  </si>
  <si>
    <t>10.11.1.79</t>
  </si>
  <si>
    <t>10.12.1.24</t>
  </si>
  <si>
    <t>10.11.1.80</t>
  </si>
  <si>
    <t>10.11.1.159</t>
  </si>
  <si>
    <t>10.11.1.190</t>
  </si>
  <si>
    <t>10.12.0.41</t>
  </si>
  <si>
    <t>10.11.2.31</t>
  </si>
  <si>
    <t>10.12.17.19</t>
  </si>
  <si>
    <t>10.12.17.20</t>
  </si>
  <si>
    <t>10.12.1.157</t>
  </si>
  <si>
    <t>10.12.1.80</t>
  </si>
  <si>
    <t>10.12.1.240</t>
  </si>
  <si>
    <t>10.12.1.33</t>
  </si>
  <si>
    <t>10.11.3.7</t>
  </si>
  <si>
    <t>10.12.0.241</t>
  </si>
  <si>
    <t>10.11.9.8</t>
  </si>
  <si>
    <t>10.11.9.36</t>
  </si>
  <si>
    <t>10.11.9.37</t>
  </si>
  <si>
    <t>10.11.9.178</t>
  </si>
  <si>
    <t>10.12.1.102</t>
  </si>
  <si>
    <t>10.12.1.241</t>
  </si>
  <si>
    <t>10.12.1.242</t>
  </si>
  <si>
    <t>10.11.9.194</t>
  </si>
  <si>
    <t>10.11.9.28</t>
  </si>
  <si>
    <t>95.101.113.27</t>
  </si>
  <si>
    <t>95.101.113.32</t>
  </si>
  <si>
    <t>95.101.113.42</t>
  </si>
  <si>
    <t>95.101.113.24</t>
  </si>
  <si>
    <t>95.101.113.41</t>
  </si>
  <si>
    <t>95.101.113.34</t>
  </si>
  <si>
    <t>95.101.113.33</t>
  </si>
  <si>
    <t>95.101.113.26</t>
  </si>
  <si>
    <t>95.101.113.40</t>
  </si>
  <si>
    <t>10.12.0.2</t>
  </si>
  <si>
    <t>10.12.0.7</t>
  </si>
  <si>
    <t>10.238.200.37</t>
  </si>
  <si>
    <t>10.12.0.22</t>
  </si>
  <si>
    <t>23.0.40.234</t>
  </si>
  <si>
    <t>10.12.0.42</t>
  </si>
  <si>
    <t>10.11.9.208</t>
  </si>
  <si>
    <t>10.12.0.62</t>
  </si>
  <si>
    <t>143.166.135.105</t>
  </si>
  <si>
    <t>172.217.22.68</t>
  </si>
  <si>
    <t>143.166.147.101</t>
  </si>
  <si>
    <t>10.12.0.65</t>
  </si>
  <si>
    <t>95.101.113.48</t>
  </si>
  <si>
    <t>95.101.113.49</t>
  </si>
  <si>
    <t>95.101.113.8</t>
  </si>
  <si>
    <t>95.101.113.10</t>
  </si>
  <si>
    <t>95.101.113.9</t>
  </si>
  <si>
    <t>95.101.113.43</t>
  </si>
  <si>
    <t>10.12.0.71</t>
  </si>
  <si>
    <t>40.77.226.249</t>
  </si>
  <si>
    <t>40.77.226.250</t>
  </si>
  <si>
    <t>10.12.0.122</t>
  </si>
  <si>
    <t>191.238.240.12</t>
  </si>
  <si>
    <t>10.12.0.141</t>
  </si>
  <si>
    <t>10.11.1.149</t>
  </si>
  <si>
    <t>10.12.0.162</t>
  </si>
  <si>
    <t>23.32.124.29</t>
  </si>
  <si>
    <t>10.12.0.163</t>
  </si>
  <si>
    <t>10.238.101.79</t>
  </si>
  <si>
    <t>10.12.0.184</t>
  </si>
  <si>
    <t>10.114.1.100</t>
  </si>
  <si>
    <t>10.134.1.11</t>
  </si>
  <si>
    <t>10.112.1.11</t>
  </si>
  <si>
    <t>10.120.1.1</t>
  </si>
  <si>
    <t>10.115.1.6</t>
  </si>
  <si>
    <t>10.82.1.30</t>
  </si>
  <si>
    <t>10.80.1.65</t>
  </si>
  <si>
    <t>10.121.1.5</t>
  </si>
  <si>
    <t>10.86.1.12</t>
  </si>
  <si>
    <t>10.119.1.3</t>
  </si>
  <si>
    <t>10.130.1.3</t>
  </si>
  <si>
    <t>10.136.1.1</t>
  </si>
  <si>
    <t>10.95.1.18</t>
  </si>
  <si>
    <t>10.116.1.1</t>
  </si>
  <si>
    <t>10.113.10.1</t>
  </si>
  <si>
    <t>10.33.10.8</t>
  </si>
  <si>
    <t>10.95.32.32</t>
  </si>
  <si>
    <t>10.12.0.201</t>
  </si>
  <si>
    <t>10.12.0.202</t>
  </si>
  <si>
    <t>10.12.128.164</t>
  </si>
  <si>
    <t>10.12.0.251</t>
  </si>
  <si>
    <t>10.12.0.18</t>
  </si>
  <si>
    <t>10.12.0.178</t>
  </si>
  <si>
    <t>10.12.0.240</t>
  </si>
  <si>
    <t>10.12.0.40</t>
  </si>
  <si>
    <t>10.12.0.36</t>
  </si>
  <si>
    <t>10.12.0.38</t>
  </si>
  <si>
    <t>10.12.0.39</t>
  </si>
  <si>
    <t>10.12.0.59</t>
  </si>
  <si>
    <t>10.12.0.60</t>
  </si>
  <si>
    <t>10.12.0.254</t>
  </si>
  <si>
    <t>10.12.0.139</t>
  </si>
  <si>
    <t>10.12.0.80</t>
  </si>
  <si>
    <t>10.12.0.79</t>
  </si>
  <si>
    <t>10.12.0.135</t>
  </si>
  <si>
    <t>10.12.0.17</t>
  </si>
  <si>
    <t>10.12.0.177</t>
  </si>
  <si>
    <t>10.12.0.200</t>
  </si>
  <si>
    <t>10.12.1.125</t>
  </si>
  <si>
    <t>10.12.0.199</t>
  </si>
  <si>
    <t>10.12.0.180</t>
  </si>
  <si>
    <t>10.12.0.134</t>
  </si>
  <si>
    <t>10.12.0.253</t>
  </si>
  <si>
    <t>92.123.194.164</t>
  </si>
  <si>
    <t>23.37.43.27</t>
  </si>
  <si>
    <t>92.123.194.116</t>
  </si>
  <si>
    <t>23.37.37.163</t>
  </si>
  <si>
    <t>10.12.1.124</t>
  </si>
  <si>
    <t>10.1.1.2</t>
  </si>
  <si>
    <t>10.1.1.3</t>
  </si>
  <si>
    <t>10.12.129.252</t>
  </si>
  <si>
    <t>10.12.128.180</t>
  </si>
  <si>
    <t>10.12.128.179</t>
  </si>
  <si>
    <t>10.12.128.40</t>
  </si>
  <si>
    <t>10.12.128.60</t>
  </si>
  <si>
    <t>10.15.35.107</t>
  </si>
  <si>
    <t>10.15.97.41</t>
  </si>
  <si>
    <t>10.15.98.41</t>
  </si>
  <si>
    <t>10.20.97.12</t>
  </si>
  <si>
    <t>10.12.0.223</t>
  </si>
  <si>
    <t>10.12.0.145</t>
  </si>
  <si>
    <t>10.12.0.143</t>
  </si>
  <si>
    <t>10.12.0.144</t>
  </si>
  <si>
    <t>10.12.0.121</t>
  </si>
  <si>
    <t>10.20.97.17</t>
  </si>
  <si>
    <t>10.12.0.61</t>
  </si>
  <si>
    <t>10.20.97.87</t>
  </si>
  <si>
    <t>10.21.97.11</t>
  </si>
  <si>
    <t>10.21.97.35</t>
  </si>
  <si>
    <t>10.12.1.194</t>
  </si>
  <si>
    <t>10.33.10.6</t>
  </si>
  <si>
    <t>10.33.10.7</t>
  </si>
  <si>
    <t>10.80.2.57</t>
  </si>
  <si>
    <t>10.82.1.38</t>
  </si>
  <si>
    <t>10.12.0.186</t>
  </si>
  <si>
    <t>10.95.1.135</t>
  </si>
  <si>
    <t>10.95.32.103</t>
  </si>
  <si>
    <t>10.95.79.40</t>
  </si>
  <si>
    <t>10.112.1.76</t>
  </si>
  <si>
    <t>10.113.10.13</t>
  </si>
  <si>
    <t>10.114.1.101</t>
  </si>
  <si>
    <t>10.114.1.107</t>
  </si>
  <si>
    <t>10.115.1.3</t>
  </si>
  <si>
    <t>10.115.1.17</t>
  </si>
  <si>
    <t>10.116.1.3</t>
  </si>
  <si>
    <t>10.116.1.41</t>
  </si>
  <si>
    <t>10.119.1.2</t>
  </si>
  <si>
    <t>10.120.1.5</t>
  </si>
  <si>
    <t>10.121.1.14</t>
  </si>
  <si>
    <t>10.121.1.16</t>
  </si>
  <si>
    <t>10.125.20.12</t>
  </si>
  <si>
    <t>10.130.21.133</t>
  </si>
  <si>
    <t>10.134.1.7</t>
  </si>
  <si>
    <t>10.134.1.10</t>
  </si>
  <si>
    <t>10.136.1.3</t>
  </si>
  <si>
    <t>10.136.1.9</t>
  </si>
  <si>
    <t>10.136.1.11</t>
  </si>
  <si>
    <t>192.168.100.2</t>
  </si>
  <si>
    <t>111.221.77.162</t>
  </si>
  <si>
    <t>157.56.52.20</t>
  </si>
  <si>
    <t>157.55.235.176</t>
  </si>
  <si>
    <t>157.55.56.156</t>
  </si>
  <si>
    <t>157.56.52.13</t>
  </si>
  <si>
    <t>157.55.130.169</t>
  </si>
  <si>
    <t>111.221.77.145</t>
  </si>
  <si>
    <t>103.43.75.140</t>
  </si>
  <si>
    <t>91.190.218.52</t>
  </si>
  <si>
    <t>157.55.56.161</t>
  </si>
  <si>
    <t>157.55.235.153</t>
  </si>
  <si>
    <t>157.55.56.146</t>
  </si>
  <si>
    <t>157.56.52.48</t>
  </si>
  <si>
    <t>65.55.223.34</t>
  </si>
  <si>
    <t>157.55.56.159</t>
  </si>
  <si>
    <t>157.55.56.141</t>
  </si>
  <si>
    <t>78.46.49.23</t>
  </si>
  <si>
    <t>157.56.52.17</t>
  </si>
  <si>
    <t>157.56.52.22</t>
  </si>
  <si>
    <t>64.4.23.153</t>
  </si>
  <si>
    <t>85.25.103.30</t>
  </si>
  <si>
    <t>157.55.130.168</t>
  </si>
  <si>
    <t>65.55.223.39</t>
  </si>
  <si>
    <t>157.56.52.19</t>
  </si>
  <si>
    <t>157.56.52.23</t>
  </si>
  <si>
    <t>64.4.23.156</t>
  </si>
  <si>
    <t>157.56.52.26</t>
  </si>
  <si>
    <t>64.4.23.160</t>
  </si>
  <si>
    <t>157.55.130.149</t>
  </si>
  <si>
    <t>91.190.218.57</t>
  </si>
  <si>
    <t>111.221.77.171</t>
  </si>
  <si>
    <t>157.55.56.174</t>
  </si>
  <si>
    <t>111.221.77.140</t>
  </si>
  <si>
    <t>157.55.235.162</t>
  </si>
  <si>
    <t>65.55.223.18</t>
  </si>
  <si>
    <t>157.56.52.44</t>
  </si>
  <si>
    <t>64.4.23.149</t>
  </si>
  <si>
    <t>64.4.23.169</t>
  </si>
  <si>
    <t>157.55.56.162</t>
  </si>
  <si>
    <t>157.55.235.173</t>
  </si>
  <si>
    <t>157.55.235.167</t>
  </si>
  <si>
    <t>157.55.56.145</t>
  </si>
  <si>
    <t>64.4.23.140</t>
  </si>
  <si>
    <t>157.55.235.165</t>
  </si>
  <si>
    <t>64.4.23.146</t>
  </si>
  <si>
    <t>91.190.218.64</t>
  </si>
  <si>
    <t>64.4.23.161</t>
  </si>
  <si>
    <t>111.221.77.148</t>
  </si>
  <si>
    <t>111.221.77.156</t>
  </si>
  <si>
    <t>157.55.130.151</t>
  </si>
  <si>
    <t>157.55.235.142</t>
  </si>
  <si>
    <t>157.56.52.46</t>
  </si>
  <si>
    <t>64.4.23.141</t>
  </si>
  <si>
    <t>157.55.56.147</t>
  </si>
  <si>
    <t>157.55.130.143</t>
  </si>
  <si>
    <t>157.56.52.18</t>
  </si>
  <si>
    <t>157.55.56.167</t>
  </si>
  <si>
    <t>65.55.223.25</t>
  </si>
  <si>
    <t>157.56.52.43</t>
  </si>
  <si>
    <t>65.55.223.24</t>
  </si>
  <si>
    <t>157.56.52.40</t>
  </si>
  <si>
    <t>157.55.235.152</t>
  </si>
  <si>
    <t>91.190.218.58</t>
  </si>
  <si>
    <t>157.55.235.158</t>
  </si>
  <si>
    <t>157.55.235.146</t>
  </si>
  <si>
    <t>65.55.223.35</t>
  </si>
  <si>
    <t>157.55.56.153</t>
  </si>
  <si>
    <t>65.55.223.32</t>
  </si>
  <si>
    <t>65.55.223.46</t>
  </si>
  <si>
    <t>157.55.130.176</t>
  </si>
  <si>
    <t>65.55.223.28</t>
  </si>
  <si>
    <t>65.55.223.12</t>
  </si>
  <si>
    <t>157.55.56.169</t>
  </si>
  <si>
    <t>157.55.235.141</t>
  </si>
  <si>
    <t>157.55.235.140</t>
  </si>
  <si>
    <t>111.221.77.165</t>
  </si>
  <si>
    <t>91.190.218.51</t>
  </si>
  <si>
    <t>111.221.77.153</t>
  </si>
  <si>
    <t>157.56.52.14</t>
  </si>
  <si>
    <t>111.221.77.150</t>
  </si>
  <si>
    <t>91.190.218.59</t>
  </si>
  <si>
    <t>111.221.77.146</t>
  </si>
  <si>
    <t>157.55.130.174</t>
  </si>
  <si>
    <t>157.55.56.176</t>
  </si>
  <si>
    <t>91.190.219.44</t>
  </si>
  <si>
    <t>157.56.52.21</t>
  </si>
  <si>
    <t>64.4.23.170</t>
  </si>
  <si>
    <t>157.56.52.37</t>
  </si>
  <si>
    <t>65.55.223.31</t>
  </si>
  <si>
    <t>157.56.52.34</t>
  </si>
  <si>
    <t>157.56.52.25</t>
  </si>
  <si>
    <t>91.190.218.66</t>
  </si>
  <si>
    <t>111.221.77.176</t>
  </si>
  <si>
    <t>65.55.223.14</t>
  </si>
  <si>
    <t>157.55.56.154</t>
  </si>
  <si>
    <t>157.55.235.170</t>
  </si>
  <si>
    <t>111.221.77.159</t>
  </si>
  <si>
    <t>157.55.235.160</t>
  </si>
  <si>
    <t>65.55.223.44</t>
  </si>
  <si>
    <t>111.221.77.151</t>
  </si>
  <si>
    <t>64.4.23.151</t>
  </si>
  <si>
    <t>157.55.130.170</t>
  </si>
  <si>
    <t>157.55.235.151</t>
  </si>
  <si>
    <t>157.55.235.164</t>
  </si>
  <si>
    <t>157.55.235.168</t>
  </si>
  <si>
    <t>157.55.130.172</t>
  </si>
  <si>
    <t>157.55.56.149</t>
  </si>
  <si>
    <t>65.55.223.21</t>
  </si>
  <si>
    <t>157.55.56.170</t>
  </si>
  <si>
    <t>65.55.223.19</t>
  </si>
  <si>
    <t>157.55.56.148</t>
  </si>
  <si>
    <t>111.221.77.152</t>
  </si>
  <si>
    <t>111.221.77.141</t>
  </si>
  <si>
    <t>157.55.235.147</t>
  </si>
  <si>
    <t>157.55.130.162</t>
  </si>
  <si>
    <t>64.4.23.168</t>
  </si>
  <si>
    <t>157.55.130.140</t>
  </si>
  <si>
    <t>64.4.23.163</t>
  </si>
  <si>
    <t>157.55.235.149</t>
  </si>
  <si>
    <t>157.55.130.173</t>
  </si>
  <si>
    <t>157.55.130.152</t>
  </si>
  <si>
    <t>157.55.56.151</t>
  </si>
  <si>
    <t>157.55.130.171</t>
  </si>
  <si>
    <t>157.55.130.144</t>
  </si>
  <si>
    <t>157.55.56.164</t>
  </si>
  <si>
    <t>157.55.130.148</t>
  </si>
  <si>
    <t>157.55.56.152</t>
  </si>
  <si>
    <t>157.56.52.39</t>
  </si>
  <si>
    <t>65.55.223.22</t>
  </si>
  <si>
    <t>65.55.223.42</t>
  </si>
  <si>
    <t>111.221.77.164</t>
  </si>
  <si>
    <t>111.221.77.155</t>
  </si>
  <si>
    <t>157.55.130.156</t>
  </si>
  <si>
    <t>157.55.130.158</t>
  </si>
  <si>
    <t>65.55.223.13</t>
  </si>
  <si>
    <t>64.4.23.174</t>
  </si>
  <si>
    <t>157.55.56.173</t>
  </si>
  <si>
    <t>157.56.52.35</t>
  </si>
  <si>
    <t>111.221.77.170</t>
  </si>
  <si>
    <t>65.55.223.17</t>
  </si>
  <si>
    <t>157.56.52.41</t>
  </si>
  <si>
    <t>157.55.130.155</t>
  </si>
  <si>
    <t>157.55.130.146</t>
  </si>
  <si>
    <t>Traffic Type Table</t>
  </si>
  <si>
    <t>This table allows the naming of known traffic types. If a particular port is generally used for a certain traffic type, then it can be entered here, so that the name appears in the relevant places in the analysis sheet.</t>
  </si>
  <si>
    <t>Port</t>
  </si>
  <si>
    <t>Protocol Name</t>
  </si>
  <si>
    <t>Notes</t>
  </si>
  <si>
    <t>HTTP</t>
  </si>
  <si>
    <t>TCP Netbios</t>
  </si>
  <si>
    <t>LDAP</t>
  </si>
  <si>
    <t>HTTP/S</t>
  </si>
  <si>
    <t>SMB</t>
  </si>
  <si>
    <t>Modbus</t>
  </si>
  <si>
    <t>SQL-Server</t>
  </si>
  <si>
    <t>RDP</t>
  </si>
  <si>
    <t>LAN IP Address</t>
  </si>
  <si>
    <t>Plant Area</t>
  </si>
  <si>
    <t>Network Type</t>
  </si>
  <si>
    <t>Device</t>
  </si>
  <si>
    <t>Comment</t>
  </si>
  <si>
    <t>Fix license</t>
  </si>
  <si>
    <t>Full IP</t>
  </si>
  <si>
    <t>10.11.9.2</t>
  </si>
  <si>
    <t>Zinc Plant</t>
  </si>
  <si>
    <t>PPPCZP6</t>
  </si>
  <si>
    <t>Zinc Market Scales SCADA/View Node</t>
  </si>
  <si>
    <t>10.11.9.14</t>
  </si>
  <si>
    <t>Refinery</t>
  </si>
  <si>
    <t>PPPCRF4</t>
  </si>
  <si>
    <t>Softener Retreat View Node</t>
  </si>
  <si>
    <t>10.11.9.15</t>
  </si>
  <si>
    <t>RFMBPE1</t>
  </si>
  <si>
    <t>MB+/Ethernet Bridge</t>
  </si>
  <si>
    <t>10.11.9.16</t>
  </si>
  <si>
    <t>PPPCRF6</t>
  </si>
  <si>
    <t>KBA Retreat View Node</t>
  </si>
  <si>
    <t>Miscellaneous</t>
  </si>
  <si>
    <t>EGX100</t>
  </si>
  <si>
    <t>MB+/Ethernet Bridge Sepams(Workshop sub)</t>
  </si>
  <si>
    <t>10.11.9.35</t>
  </si>
  <si>
    <t>Slag Fumer</t>
  </si>
  <si>
    <t>PPPCSF4</t>
  </si>
  <si>
    <t>Operator Workstation - Top Control Room</t>
  </si>
  <si>
    <t>PPPCSF12</t>
  </si>
  <si>
    <t>Operator Workstation - Shift Team Leader</t>
  </si>
  <si>
    <t>PPPCSF13</t>
  </si>
  <si>
    <t>Operator Workstation - Day Team Leader</t>
  </si>
  <si>
    <t>10.11.9.41</t>
  </si>
  <si>
    <t>PP_KBA3</t>
  </si>
  <si>
    <t>10.11.9.43</t>
  </si>
  <si>
    <t>ZPMBPE1</t>
  </si>
  <si>
    <t>10.11.9.45</t>
  </si>
  <si>
    <t>SMS Ethernet/Modbus Bridge</t>
  </si>
  <si>
    <t>10.11.9.47</t>
  </si>
  <si>
    <t>PP_SMS</t>
  </si>
  <si>
    <t>SMS (Site Metering System) SCADA Node</t>
  </si>
  <si>
    <t>10.11.9.53</t>
  </si>
  <si>
    <t>PPPCZP1</t>
  </si>
  <si>
    <t>Primary SCADA / Operator Workstation (Purification Humpy)</t>
  </si>
  <si>
    <t>10.11.9.54</t>
  </si>
  <si>
    <t>PPPCZP2</t>
  </si>
  <si>
    <t>Secondary SCADA / Operator Workstation
 (Cell Floor Humpy)</t>
  </si>
  <si>
    <t>10.11.9.57</t>
  </si>
  <si>
    <t>ZPSW1</t>
  </si>
  <si>
    <t>ZP Auto Batch Hirschmann Ethernet Switch
(pw windmill)</t>
  </si>
  <si>
    <t>10.11.9.59</t>
  </si>
  <si>
    <t>Kilns/KDR</t>
  </si>
  <si>
    <t>KDRSW1</t>
  </si>
  <si>
    <t>Kilns Hirschmann Ethernet Switch
(pw windmill)</t>
  </si>
  <si>
    <t>10.11.9.61</t>
  </si>
  <si>
    <t>Slag Fumer Process PLC Room Hirschmann Ethernet Switch (pw windmill)</t>
  </si>
  <si>
    <t>10.11.9.63</t>
  </si>
  <si>
    <t>ZPPLC1</t>
  </si>
  <si>
    <t>Zinc Plant Auto Batch PLC
(admin/windmill)</t>
  </si>
  <si>
    <t>10.11.9.64</t>
  </si>
  <si>
    <t>Zinc Plant Cell Floor ABB PLC #1 Rectifier</t>
  </si>
  <si>
    <t>10.11.9.65</t>
  </si>
  <si>
    <t>SFMBPE1</t>
  </si>
  <si>
    <t>10.11.9.67</t>
  </si>
  <si>
    <t>KDR Waste Water Ethernet/Modbus Bridge</t>
  </si>
  <si>
    <t>10.11.9.69</t>
  </si>
  <si>
    <t>Engineering Test PLC</t>
  </si>
  <si>
    <t>10.11.9.81</t>
  </si>
  <si>
    <t>Copper Plant</t>
  </si>
  <si>
    <t>Copper Plant Hirschmann Ethernet Switch
(pw windmill)</t>
  </si>
  <si>
    <t>10.11.9.84</t>
  </si>
  <si>
    <t>PPPCZP4</t>
  </si>
  <si>
    <t>10.11.9.85</t>
  </si>
  <si>
    <t>PPPCZP5</t>
  </si>
  <si>
    <t>10.11.9.88</t>
  </si>
  <si>
    <t>pi</t>
  </si>
  <si>
    <t>10.11.9.89</t>
  </si>
  <si>
    <t>10.11.9.90</t>
  </si>
  <si>
    <t>10.11.9.93</t>
  </si>
  <si>
    <t>PP_FIX1</t>
  </si>
  <si>
    <t>1st Spare Fix Machine</t>
  </si>
  <si>
    <t>10.11.9.95</t>
  </si>
  <si>
    <t>PP_FIX2</t>
  </si>
  <si>
    <t>2nd Spare Fix Machine</t>
  </si>
  <si>
    <t>10.11.9.101</t>
  </si>
  <si>
    <t>Slag Fumer FWG Hirschmann Ethernet Switch
(pw windmill)</t>
  </si>
  <si>
    <t>Engineering Testing - Hirschmann Ethernet Switch</t>
  </si>
  <si>
    <t>10.11.9.103</t>
  </si>
  <si>
    <t>Engineering Testing - Ethernet/MB+ Bridge</t>
  </si>
  <si>
    <t>10.11.9.105</t>
  </si>
  <si>
    <t>Power Plant</t>
  </si>
  <si>
    <t>Power Plant Diesel Ethernet/Modbus Bridge</t>
  </si>
  <si>
    <t>10.11.9.106</t>
  </si>
  <si>
    <t>PPEGX1</t>
  </si>
  <si>
    <t>Power Plant EGX gateway for RTU unit</t>
  </si>
  <si>
    <t>10.11.9.107</t>
  </si>
  <si>
    <t>Engineering Testing  Ethernet/Modbus Bridge</t>
  </si>
  <si>
    <t>10.11.9.108</t>
  </si>
  <si>
    <t>MSM Modbus/Ethernet Bridge</t>
  </si>
  <si>
    <t>10.11.9.109</t>
  </si>
  <si>
    <t>Process PLC Room  Hirschmann Ethernet Switch (ex PETS) (pw windmill)</t>
  </si>
  <si>
    <t>10.11.9.111</t>
  </si>
  <si>
    <t>PPSPCSLM3</t>
  </si>
  <si>
    <t>SLMM3 SCADA/View Node user               :administrator pass :deskpro</t>
  </si>
  <si>
    <t>10.11.9.113</t>
  </si>
  <si>
    <t>PP_SLMM3B</t>
  </si>
  <si>
    <t>SLMM3 SCADA/View Node Spare 
(not on network)</t>
  </si>
  <si>
    <t>10.11.9.115</t>
  </si>
  <si>
    <t>B_MOULD</t>
  </si>
  <si>
    <t>Butt Wheel SCADA/View Node</t>
  </si>
  <si>
    <t>10.11.9.127</t>
  </si>
  <si>
    <t>Other ProcN Devices</t>
  </si>
  <si>
    <t>PPPCEM</t>
  </si>
  <si>
    <t>Energy Management Server</t>
  </si>
  <si>
    <t>10.11.9.128</t>
  </si>
  <si>
    <t>PPPCEM1</t>
  </si>
  <si>
    <t>New Energy Management Server</t>
  </si>
  <si>
    <t>10.11.9.132</t>
  </si>
  <si>
    <t>PP_KBA5</t>
  </si>
  <si>
    <t>SLMM1 Switch Room Mtce PC</t>
  </si>
  <si>
    <t>10.11.9.133</t>
  </si>
  <si>
    <t>SLMM1 PLC</t>
  </si>
  <si>
    <t>10.11.9.136</t>
  </si>
  <si>
    <t>Zinc Plant Cell Floor PLC (rectifier current control)</t>
  </si>
  <si>
    <t>10.11.9.176</t>
  </si>
  <si>
    <t>SWPLC</t>
  </si>
  <si>
    <t>Salt Water Pumps PLC</t>
  </si>
  <si>
    <t>PPPCPP1</t>
  </si>
  <si>
    <t>Primary SCADA / Operator Workstation</t>
  </si>
  <si>
    <t>10.11.9.180</t>
  </si>
  <si>
    <t>SWMBE1</t>
  </si>
  <si>
    <t>Modbus/Ethernet Bridge #1 (Power Meters &amp; VFI)</t>
  </si>
  <si>
    <t>10.11.9.205</t>
  </si>
  <si>
    <t>PPPCZP3</t>
  </si>
  <si>
    <t>10.11.9.206</t>
  </si>
  <si>
    <t>S1ENG</t>
  </si>
  <si>
    <t>Mtce PC for #1 Rectifier (ABB)</t>
  </si>
  <si>
    <t>10.11.9.207</t>
  </si>
  <si>
    <t>Modbus/Ethernet Bridge #1 (Sepams)</t>
  </si>
  <si>
    <t>Acid Plant</t>
  </si>
  <si>
    <t>Modbus/Ethernet Bridge Sepams (Acid sub)</t>
  </si>
  <si>
    <t>10.11.9.209</t>
  </si>
  <si>
    <t>MB+/Ethernet Bridge Sepams(Refinery sub)</t>
  </si>
  <si>
    <t>10.11.9.210</t>
  </si>
  <si>
    <t>MB+/Ethernet Bridge Sepams(Spare )</t>
  </si>
  <si>
    <t>10.11.9.211</t>
  </si>
  <si>
    <t>10.11.9.212</t>
  </si>
  <si>
    <t>10.11.9.213</t>
  </si>
  <si>
    <t>Fume Control</t>
  </si>
  <si>
    <t>PPPCFC1</t>
  </si>
  <si>
    <t>Primary SCADA</t>
  </si>
  <si>
    <t>PPPCFC2</t>
  </si>
  <si>
    <t>Secondary SCADA</t>
  </si>
  <si>
    <t>10.12.0.3</t>
  </si>
  <si>
    <t>PPPCFC3</t>
  </si>
  <si>
    <t>Maintenance Workstation</t>
  </si>
  <si>
    <t>10.12.0.4</t>
  </si>
  <si>
    <t>PPPCFC4</t>
  </si>
  <si>
    <t>Operator Workstation SP</t>
  </si>
  <si>
    <t>10.12.0.5</t>
  </si>
  <si>
    <t>PPPCFC5</t>
  </si>
  <si>
    <t>10.12.0.6</t>
  </si>
  <si>
    <t>PPPCFC6</t>
  </si>
  <si>
    <t>Operator Workstation FC</t>
  </si>
  <si>
    <t>PPPCFC7</t>
  </si>
  <si>
    <t>10.12.0.8</t>
  </si>
  <si>
    <t>PPPCFC8</t>
  </si>
  <si>
    <t>10.12.0.9</t>
  </si>
  <si>
    <t>PPPCFC9</t>
  </si>
  <si>
    <t>Spare iFIX</t>
  </si>
  <si>
    <t>10.12.0.10</t>
  </si>
  <si>
    <t>10.12.0.11</t>
  </si>
  <si>
    <t>10.12.0.12</t>
  </si>
  <si>
    <t>10.12.0.13</t>
  </si>
  <si>
    <t>10.12.0.14</t>
  </si>
  <si>
    <t>10.12.0.15</t>
  </si>
  <si>
    <t>10.12.0.16</t>
  </si>
  <si>
    <t>F3 Fans Spare Switch (in E&amp;I office)</t>
  </si>
  <si>
    <t>FCSW4</t>
  </si>
  <si>
    <t>F3 Fans Ethernet Switch</t>
  </si>
  <si>
    <t>FCSW3</t>
  </si>
  <si>
    <t>Ethernet Switch</t>
  </si>
  <si>
    <t>10.12.0.19</t>
  </si>
  <si>
    <t>FCSW2</t>
  </si>
  <si>
    <t>Ethernet Swtich</t>
  </si>
  <si>
    <t>10.12.0.20</t>
  </si>
  <si>
    <t>FCSW1</t>
  </si>
  <si>
    <t>10.12.0.21</t>
  </si>
  <si>
    <t>Blast Furnace</t>
  </si>
  <si>
    <t>PPPCBF1</t>
  </si>
  <si>
    <t>PPPCBF2</t>
  </si>
  <si>
    <t>10.12.0.23</t>
  </si>
  <si>
    <t>PPPCBF3</t>
  </si>
  <si>
    <t>10.12.0.24</t>
  </si>
  <si>
    <t>PPPCBF4</t>
  </si>
  <si>
    <t>Operator Workstation #1</t>
  </si>
  <si>
    <t>10.12.0.25</t>
  </si>
  <si>
    <t>PPPCBF5</t>
  </si>
  <si>
    <t>Operator Workstation #2</t>
  </si>
  <si>
    <t>10.12.0.26</t>
  </si>
  <si>
    <t>PPPCBF6</t>
  </si>
  <si>
    <t>10.12.0.27</t>
  </si>
  <si>
    <t>PPPCSRF1</t>
  </si>
  <si>
    <t>Operator Workstation</t>
  </si>
  <si>
    <t>10.12.0.28</t>
  </si>
  <si>
    <t>10.12.0.29</t>
  </si>
  <si>
    <t>PPPCBF9</t>
  </si>
  <si>
    <t>CDF Operator Workstation</t>
  </si>
  <si>
    <t>10.12.0.30</t>
  </si>
  <si>
    <t>10.12.0.31</t>
  </si>
  <si>
    <t>BF Mtce laptop</t>
  </si>
  <si>
    <t>10.12.0.32</t>
  </si>
  <si>
    <t>PPPCCOKE</t>
  </si>
  <si>
    <t>BF Coke PC</t>
  </si>
  <si>
    <t>10.12.0.33</t>
  </si>
  <si>
    <t>PPPCBF8</t>
  </si>
  <si>
    <t>Top Floor Operator Workstation</t>
  </si>
  <si>
    <t>10.12.0.34</t>
  </si>
  <si>
    <t>BFTS1</t>
  </si>
  <si>
    <t>RS232 Terminal Server (Coke Scales)</t>
  </si>
  <si>
    <t>10.12.0.35</t>
  </si>
  <si>
    <t>PPPCBF15</t>
  </si>
  <si>
    <t>BFSW3</t>
  </si>
  <si>
    <t>Blast Furnace Top Floor Switch</t>
  </si>
  <si>
    <t>10.12.0.37</t>
  </si>
  <si>
    <t>BFSW2</t>
  </si>
  <si>
    <t>Coke Scales / Meccano Set Switch</t>
  </si>
  <si>
    <t>DFSW1</t>
  </si>
  <si>
    <t>Dross Floor Ethernet Switch</t>
  </si>
  <si>
    <t>SRFSW1</t>
  </si>
  <si>
    <t>SRF Ethernet Switch</t>
  </si>
  <si>
    <t>BFSW1A/B</t>
  </si>
  <si>
    <t>Blast Furnace Ethernet Switch</t>
  </si>
  <si>
    <t>PPPCAP1</t>
  </si>
  <si>
    <t>PPPCAP2</t>
  </si>
  <si>
    <t>10.12.0.43</t>
  </si>
  <si>
    <t>PPPCAP3</t>
  </si>
  <si>
    <t>10.12.0.44</t>
  </si>
  <si>
    <t>PPPCAP4</t>
  </si>
  <si>
    <t>ProWORX Maintenance Workstation</t>
  </si>
  <si>
    <t>10.12.0.45</t>
  </si>
  <si>
    <t>10.12.0.46</t>
  </si>
  <si>
    <t>10.12.0.47</t>
  </si>
  <si>
    <t>10.12.0.48</t>
  </si>
  <si>
    <t>10.12.0.49</t>
  </si>
  <si>
    <t>10.12.0.50</t>
  </si>
  <si>
    <t>10.12.0.51</t>
  </si>
  <si>
    <t>10.12.0.52</t>
  </si>
  <si>
    <t>10.12.0.53</t>
  </si>
  <si>
    <t>10.12.0.54</t>
  </si>
  <si>
    <t>10.12.0.55</t>
  </si>
  <si>
    <t>10.12.0.56</t>
  </si>
  <si>
    <t>10.12.0.57</t>
  </si>
  <si>
    <t>10.12.0.58</t>
  </si>
  <si>
    <t>APSW2</t>
  </si>
  <si>
    <t>Primary Acid Ethernet Switch</t>
  </si>
  <si>
    <t>APSW1</t>
  </si>
  <si>
    <t>Acid Plant Ethernet Switch</t>
  </si>
  <si>
    <t>PETs Plant</t>
  </si>
  <si>
    <t>PPPCPET1</t>
  </si>
  <si>
    <t>PPPCPET2</t>
  </si>
  <si>
    <t>PPPCPET3</t>
  </si>
  <si>
    <t>PPPCPET4</t>
  </si>
  <si>
    <t>PPPCPET5</t>
  </si>
  <si>
    <t>10.12.0.66</t>
  </si>
  <si>
    <t>PPPCPET6</t>
  </si>
  <si>
    <t>Operator Workstation #3</t>
  </si>
  <si>
    <t>10.12.0.67</t>
  </si>
  <si>
    <t>PPPCPET7</t>
  </si>
  <si>
    <t>Operator Workstation #1(New)</t>
  </si>
  <si>
    <t>10.12.0.68</t>
  </si>
  <si>
    <t>10.12.0.69</t>
  </si>
  <si>
    <t>10.12.0.70</t>
  </si>
  <si>
    <t>PPPCSTP1</t>
  </si>
  <si>
    <t>STP SCADA</t>
  </si>
  <si>
    <t>PETS Water Analyser</t>
  </si>
  <si>
    <t>Sedimentation Basin Mouth Water Analyser</t>
  </si>
  <si>
    <t>Wooden Culvert South Water Analyser</t>
  </si>
  <si>
    <t>10.12.0.75</t>
  </si>
  <si>
    <t>PPPCPET15</t>
  </si>
  <si>
    <t>10.12.0.76</t>
  </si>
  <si>
    <t>10.12.0.77</t>
  </si>
  <si>
    <t>10.12.0.78</t>
  </si>
  <si>
    <t>STPSW1</t>
  </si>
  <si>
    <t>STP Switch</t>
  </si>
  <si>
    <t>PETSW1</t>
  </si>
  <si>
    <t>10.12.0.87</t>
  </si>
  <si>
    <t>10.12.0.88</t>
  </si>
  <si>
    <t>10.12.0.89</t>
  </si>
  <si>
    <t>10.12.0.90</t>
  </si>
  <si>
    <t>10.12.0.92</t>
  </si>
  <si>
    <t>Zinc WTP AAC PLC</t>
  </si>
  <si>
    <t>10.12.0.93</t>
  </si>
  <si>
    <t>Zinc WTP bAC PLC</t>
  </si>
  <si>
    <t>10.12.0.94</t>
  </si>
  <si>
    <t>Zinc WTP HMI Magellis Touch</t>
  </si>
  <si>
    <t>10.12.0.95</t>
  </si>
  <si>
    <t>10.12.0.96</t>
  </si>
  <si>
    <t>10.12.0.97</t>
  </si>
  <si>
    <t>10.12.0.98</t>
  </si>
  <si>
    <t>10.12.0.99</t>
  </si>
  <si>
    <t>10.12.0.102</t>
  </si>
  <si>
    <t>10.12.0.103</t>
  </si>
  <si>
    <t>10.12.0.104</t>
  </si>
  <si>
    <t>10.12.0.105</t>
  </si>
  <si>
    <t>10.12.0.106</t>
  </si>
  <si>
    <t>10.12.0.107</t>
  </si>
  <si>
    <t>10.12.0.108</t>
  </si>
  <si>
    <t>10.12.0.109</t>
  </si>
  <si>
    <t>10.12.0.110</t>
  </si>
  <si>
    <t>10.12.0.111</t>
  </si>
  <si>
    <t>10.12.0.112</t>
  </si>
  <si>
    <t>10.12.0.113</t>
  </si>
  <si>
    <t>10.12.0.114</t>
  </si>
  <si>
    <t>10.12.0.115</t>
  </si>
  <si>
    <t>10.12.0.116</t>
  </si>
  <si>
    <t>10.12.0.117</t>
  </si>
  <si>
    <t>10.12.0.118</t>
  </si>
  <si>
    <t>10.12.0.119</t>
  </si>
  <si>
    <t>10.12.0.120</t>
  </si>
  <si>
    <t>PPSW1</t>
  </si>
  <si>
    <t>PPPCSF1</t>
  </si>
  <si>
    <t>Primary SCADA/View - Top Control Room</t>
  </si>
  <si>
    <t>PPPCSF2</t>
  </si>
  <si>
    <t>Secondary SCADA/View - Tapping Floor Humpy</t>
  </si>
  <si>
    <t>10.12.0.123</t>
  </si>
  <si>
    <t>PPPCSF3</t>
  </si>
  <si>
    <t>Maintenance Workstation - FWG Switchroom</t>
  </si>
  <si>
    <t>10.12.0.125</t>
  </si>
  <si>
    <t>PPPCSF5</t>
  </si>
  <si>
    <t>10.12.0.126</t>
  </si>
  <si>
    <t>PPPCSF6</t>
  </si>
  <si>
    <t>10.12.0.127</t>
  </si>
  <si>
    <t>POPPCSF7</t>
  </si>
  <si>
    <t>10.12.0.128</t>
  </si>
  <si>
    <t>Spare</t>
  </si>
  <si>
    <t>10.12.0.129</t>
  </si>
  <si>
    <t>PPPCSF9</t>
  </si>
  <si>
    <t>Operator Workstation - Tapping Floor Humpy</t>
  </si>
  <si>
    <t>10.12.0.130</t>
  </si>
  <si>
    <t>PPPCSF10</t>
  </si>
  <si>
    <t>10.12.0.131</t>
  </si>
  <si>
    <t>PPPCSF11</t>
  </si>
  <si>
    <t>Control Room Alarms PC</t>
  </si>
  <si>
    <t>SFSW5</t>
  </si>
  <si>
    <t>FWG SCADA Rack Ethernet Switch</t>
  </si>
  <si>
    <t>SFSW4</t>
  </si>
  <si>
    <t>Stack Fan EER Ethernet Swtich</t>
  </si>
  <si>
    <t>10.12.0.137</t>
  </si>
  <si>
    <t>Ethernet Switch (Process PLC switchroom) - Link to Power Plant</t>
  </si>
  <si>
    <t>10.12.0.138</t>
  </si>
  <si>
    <t>SFSW3</t>
  </si>
  <si>
    <t>Ethernet Switch (Demag Blower RIO room)</t>
  </si>
  <si>
    <t>SFSW2</t>
  </si>
  <si>
    <t>Ethernet Switch (Common PLC switchroom)</t>
  </si>
  <si>
    <t>10.12.0.140</t>
  </si>
  <si>
    <t>SFSW1</t>
  </si>
  <si>
    <t>PPPCCP1</t>
  </si>
  <si>
    <t xml:space="preserve">Primary SCADA </t>
  </si>
  <si>
    <t>PPPCRF8</t>
  </si>
  <si>
    <t>Batch Ctrl room iFix</t>
  </si>
  <si>
    <t>10.12.0.142</t>
  </si>
  <si>
    <t>PPPCCP2</t>
  </si>
  <si>
    <t xml:space="preserve">Secondary SCADA </t>
  </si>
  <si>
    <t>PPPCCP3</t>
  </si>
  <si>
    <t>PPPCCP4</t>
  </si>
  <si>
    <t>PPPCCP5</t>
  </si>
  <si>
    <t>10.12.0.146</t>
  </si>
  <si>
    <t>PPPCCP6</t>
  </si>
  <si>
    <t>Operator Workstation Lab</t>
  </si>
  <si>
    <t>10.12.0.147</t>
  </si>
  <si>
    <t>10.12.0.148</t>
  </si>
  <si>
    <t>10.12.0.149</t>
  </si>
  <si>
    <t>10.12.0.150</t>
  </si>
  <si>
    <t>10.12.0.151</t>
  </si>
  <si>
    <t>10.12.0.152</t>
  </si>
  <si>
    <t>10.12.0.153</t>
  </si>
  <si>
    <t>10.12.0.154</t>
  </si>
  <si>
    <t>10.12.0.155</t>
  </si>
  <si>
    <t>10.12.0.156</t>
  </si>
  <si>
    <t>10.12.0.157</t>
  </si>
  <si>
    <t>Engineering cisco Ethernet Process Switch</t>
  </si>
  <si>
    <t>10.12.0.158</t>
  </si>
  <si>
    <t>10.12.0.159</t>
  </si>
  <si>
    <t>CPSW1</t>
  </si>
  <si>
    <t>Copper Plant Cisco Ethernet Process Switch</t>
  </si>
  <si>
    <t>10.12.0.161</t>
  </si>
  <si>
    <t>Sinter Plant</t>
  </si>
  <si>
    <t>PPPCSP1</t>
  </si>
  <si>
    <t>Primary SCADA (Process Control LAN)</t>
  </si>
  <si>
    <t>PPPCSP2</t>
  </si>
  <si>
    <t>Secondary SCADA (Process Control LAN)</t>
  </si>
  <si>
    <t>PPPCSP3</t>
  </si>
  <si>
    <t>10.12.0.164</t>
  </si>
  <si>
    <t>PPPCSP4</t>
  </si>
  <si>
    <t>Operator Station - Proportioning Plant</t>
  </si>
  <si>
    <t>10.12.0.165</t>
  </si>
  <si>
    <t>SPFPHMI</t>
  </si>
  <si>
    <t>Filter Press Touch Screen HMI</t>
  </si>
  <si>
    <t>10.12.0.166</t>
  </si>
  <si>
    <t>PPPCCD1</t>
  </si>
  <si>
    <t>Operator Station - Cadmium Plant</t>
  </si>
  <si>
    <t>10.12.0.167</t>
  </si>
  <si>
    <t>10.12.0.168</t>
  </si>
  <si>
    <t>10.12.0.169</t>
  </si>
  <si>
    <t>10.12.0.170</t>
  </si>
  <si>
    <t>S1 Laptop (Toshiba)</t>
  </si>
  <si>
    <t>10.12.0.171</t>
  </si>
  <si>
    <t>10.12.0.172</t>
  </si>
  <si>
    <t>10.12.0.173</t>
  </si>
  <si>
    <t>10.12.0.174</t>
  </si>
  <si>
    <t>10.12.0.175</t>
  </si>
  <si>
    <t>10.12.0.176</t>
  </si>
  <si>
    <t>SPFPSW</t>
  </si>
  <si>
    <t>Diemme Filter Ethernet Switch</t>
  </si>
  <si>
    <t>CSBSW1A/B</t>
  </si>
  <si>
    <t>CSB Ethernet Switch</t>
  </si>
  <si>
    <t>10.12.0.179</t>
  </si>
  <si>
    <t>PRPSW</t>
  </si>
  <si>
    <t>Proportioning Plant Ethernet Switch</t>
  </si>
  <si>
    <t>SPSW1A/B</t>
  </si>
  <si>
    <t>Sinter South Ethernet Switch</t>
  </si>
  <si>
    <t>10.12.0.181</t>
  </si>
  <si>
    <t>PPPCRF1</t>
  </si>
  <si>
    <t>Primary SCADA (PMR Switchroom)</t>
  </si>
  <si>
    <t>10.12.0.182</t>
  </si>
  <si>
    <t>PPPCRF2</t>
  </si>
  <si>
    <t>Secondary SCADA (KBA Switchroom)</t>
  </si>
  <si>
    <t>10.12.0.183</t>
  </si>
  <si>
    <t>PPPCRF3</t>
  </si>
  <si>
    <t>PMR Maintenance PC</t>
  </si>
  <si>
    <t>10.12.0.189</t>
  </si>
  <si>
    <t>PPPCRF10</t>
  </si>
  <si>
    <t>Alloys Mtce PC</t>
  </si>
  <si>
    <t>10.12.0.192</t>
  </si>
  <si>
    <t>10.12.0.194</t>
  </si>
  <si>
    <t>Butt Wheel SCADA/View Node
user:BUTT WHEEL pass:deskpro</t>
  </si>
  <si>
    <t>PPPCHIST</t>
  </si>
  <si>
    <t>Process Control Historian</t>
  </si>
  <si>
    <t>10.12.0.195</t>
  </si>
  <si>
    <t>PPPCRT1</t>
  </si>
  <si>
    <t>Process Control To Business Network Router</t>
  </si>
  <si>
    <t>10.11.9.195</t>
  </si>
  <si>
    <t>10.12.0.196</t>
  </si>
  <si>
    <t>10.12.0.197</t>
  </si>
  <si>
    <t>10.12.0.198</t>
  </si>
  <si>
    <t>PMRSW1</t>
  </si>
  <si>
    <t>PMR EER Ethernet Switch</t>
  </si>
  <si>
    <t>RFSW1</t>
  </si>
  <si>
    <t>KBA Ethernet Switch - future</t>
  </si>
  <si>
    <t>PPPCKDR1</t>
  </si>
  <si>
    <t xml:space="preserve">Primary SCADA/Operator Workstation (Kilns)
</t>
  </si>
  <si>
    <t>PPPCKDR2</t>
  </si>
  <si>
    <t>WWT Operator Workstation</t>
  </si>
  <si>
    <t>10.12.0.203</t>
  </si>
  <si>
    <t>10.12.0.204</t>
  </si>
  <si>
    <t>10.12.0.205</t>
  </si>
  <si>
    <t>10.12.0.206</t>
  </si>
  <si>
    <t>10.12.0.207</t>
  </si>
  <si>
    <t>10.12.0.208</t>
  </si>
  <si>
    <t>10.12.0.209</t>
  </si>
  <si>
    <t>10.12.0.210</t>
  </si>
  <si>
    <t>10.12.0.211</t>
  </si>
  <si>
    <t>10.12.0.212</t>
  </si>
  <si>
    <t>10.12.0.213</t>
  </si>
  <si>
    <t>10.12.0.214</t>
  </si>
  <si>
    <t>10.12.0.215</t>
  </si>
  <si>
    <t>10.12.0.216</t>
  </si>
  <si>
    <t>10.12.0.217</t>
  </si>
  <si>
    <t>10.12.0.218</t>
  </si>
  <si>
    <t>10.12.0.221</t>
  </si>
  <si>
    <t>EAF Dust Washing</t>
  </si>
  <si>
    <t>10.12.0.222</t>
  </si>
  <si>
    <t>PPPCEAF3</t>
  </si>
  <si>
    <t>EAF iFix Maintenance Node</t>
  </si>
  <si>
    <t>10.12.0.224</t>
  </si>
  <si>
    <t>PPPCEAF4</t>
  </si>
  <si>
    <t>EAF Operator Stations (Ex ZP4 machine)</t>
  </si>
  <si>
    <t>10.12.0.225</t>
  </si>
  <si>
    <t>10.12.0.226</t>
  </si>
  <si>
    <t>EAFHMI</t>
  </si>
  <si>
    <t>Magellis Touch Screen</t>
  </si>
  <si>
    <t>10.12.0.227</t>
  </si>
  <si>
    <t>10.12.0.228</t>
  </si>
  <si>
    <t>10.12.0.229</t>
  </si>
  <si>
    <t>10.12.0.230</t>
  </si>
  <si>
    <t>10.12.0.231</t>
  </si>
  <si>
    <t>10.12.0.232</t>
  </si>
  <si>
    <t>10.12.0.233</t>
  </si>
  <si>
    <t>10.12.0.234</t>
  </si>
  <si>
    <t>10.12.0.235</t>
  </si>
  <si>
    <t>10.12.0.236</t>
  </si>
  <si>
    <t>10.12.0.237</t>
  </si>
  <si>
    <t>10.12.0.238</t>
  </si>
  <si>
    <t>10.12.0.239</t>
  </si>
  <si>
    <t>EAFSW1</t>
  </si>
  <si>
    <t>10.12.0.242</t>
  </si>
  <si>
    <t>PPPCLTSH</t>
  </si>
  <si>
    <t>Shift electrician laptop</t>
  </si>
  <si>
    <t>10.12.0.243</t>
  </si>
  <si>
    <t>PPPCLTRF</t>
  </si>
  <si>
    <t>Refinery laptop</t>
  </si>
  <si>
    <t>10.12.0.244</t>
  </si>
  <si>
    <t>PPPCLTBF</t>
  </si>
  <si>
    <t>Blast Furnace laptop</t>
  </si>
  <si>
    <t>10.12.0.245</t>
  </si>
  <si>
    <t>PPPCLTZP</t>
  </si>
  <si>
    <t>Zinc Plant laptop</t>
  </si>
  <si>
    <t>10.12.0.246</t>
  </si>
  <si>
    <t>PPPCLTSP</t>
  </si>
  <si>
    <t>Sinter Plant laptop</t>
  </si>
  <si>
    <t>10.12.0.247</t>
  </si>
  <si>
    <t>PPPCLTAP</t>
  </si>
  <si>
    <t>Acid Plant laptop</t>
  </si>
  <si>
    <t>10.12.0.248</t>
  </si>
  <si>
    <t>PPPCLTSF</t>
  </si>
  <si>
    <t>Slag Fuming laptop</t>
  </si>
  <si>
    <t>10.12.0.249</t>
  </si>
  <si>
    <t>PPPCLTEN1</t>
  </si>
  <si>
    <t>Engineering laptop 1</t>
  </si>
  <si>
    <t>10.12.0.250</t>
  </si>
  <si>
    <t>PPPCLTEN2</t>
  </si>
  <si>
    <t>Engineering laptop 2</t>
  </si>
  <si>
    <t>Klemmy's Fix32 machine</t>
  </si>
  <si>
    <t>PP_FIX3</t>
  </si>
  <si>
    <t>Adrian's Fix 32 machine</t>
  </si>
  <si>
    <t>ENG</t>
  </si>
  <si>
    <t>Engineering iIFix version 5.5</t>
  </si>
  <si>
    <t>10.12.0.255</t>
  </si>
  <si>
    <t>10.12.1.21</t>
  </si>
  <si>
    <t>BFPLC1</t>
  </si>
  <si>
    <t>Blast Furnace Process PLC (Primary Rack)</t>
  </si>
  <si>
    <t>10.12.1.22</t>
  </si>
  <si>
    <t>BFPLC2</t>
  </si>
  <si>
    <t>Blast Furnace Process PLC (Secondary Rack)</t>
  </si>
  <si>
    <t>10.12.1.23</t>
  </si>
  <si>
    <t>SRFPLC</t>
  </si>
  <si>
    <t>SRF Quantum PLC</t>
  </si>
  <si>
    <t>BFNCPLC</t>
  </si>
  <si>
    <t>Blast Furnace North Cranes PLC</t>
  </si>
  <si>
    <t>10.12.1.25</t>
  </si>
  <si>
    <t>BFTPLC</t>
  </si>
  <si>
    <t>Blast Furnace Top Floor PLC</t>
  </si>
  <si>
    <t>10.12.1.26</t>
  </si>
  <si>
    <t>BFSCPLC</t>
  </si>
  <si>
    <t>Blast Furnace South Cranes PLC</t>
  </si>
  <si>
    <t>10.12.1.27</t>
  </si>
  <si>
    <t>10.12.1.28</t>
  </si>
  <si>
    <t>10.12.1.29</t>
  </si>
  <si>
    <t>10.12.1.30</t>
  </si>
  <si>
    <t>10.12.1.31</t>
  </si>
  <si>
    <t>10.12.1.32</t>
  </si>
  <si>
    <t>Modbus/Ethernet Bridge Sepams (BF sub)</t>
  </si>
  <si>
    <t>10.12.1.34</t>
  </si>
  <si>
    <t>BFSthCraneElpro</t>
  </si>
  <si>
    <t>10.12.1.35</t>
  </si>
  <si>
    <t>BFBridgeCrane</t>
  </si>
  <si>
    <t>10.12.1.36</t>
  </si>
  <si>
    <t>BFBridgeSwitch</t>
  </si>
  <si>
    <t>10.12.1.37</t>
  </si>
  <si>
    <t>BFMBE4</t>
  </si>
  <si>
    <t>Modbus/Ethernet Bridge #1 (Meccano Set PLC)</t>
  </si>
  <si>
    <t>10.12.1.38</t>
  </si>
  <si>
    <t>BFMBE3</t>
  </si>
  <si>
    <t>Modbus/Ethernet Bridge #1 (Coke Scales PLC)</t>
  </si>
  <si>
    <t>10.12.1.39</t>
  </si>
  <si>
    <t>BFMBE2</t>
  </si>
  <si>
    <t>Modbus/Ethernet Bridge #2 (Power Meters &amp; VFI)</t>
  </si>
  <si>
    <t>10.12.1.40</t>
  </si>
  <si>
    <t>BFMBE1</t>
  </si>
  <si>
    <t>Modbus/Ethernet Bridge #1 (ModMux)</t>
  </si>
  <si>
    <t>10.12.1.41</t>
  </si>
  <si>
    <t>APPLC1</t>
  </si>
  <si>
    <t>Acid Plant Process PLC (Primary Rack)</t>
  </si>
  <si>
    <t>10.12.1.42</t>
  </si>
  <si>
    <t>APPLC2</t>
  </si>
  <si>
    <t>Secondary Acid PLC (Secondary Rack)</t>
  </si>
  <si>
    <t>10.12.1.43</t>
  </si>
  <si>
    <t>SAPLC</t>
  </si>
  <si>
    <t>Secondary Acid PLC</t>
  </si>
  <si>
    <t>10.12.1.44</t>
  </si>
  <si>
    <t>10.12.1.45</t>
  </si>
  <si>
    <t>10.12.1.46</t>
  </si>
  <si>
    <t>10.12.1.47</t>
  </si>
  <si>
    <t>10.12.1.48</t>
  </si>
  <si>
    <t>10.12.1.49</t>
  </si>
  <si>
    <t>10.12.1.50</t>
  </si>
  <si>
    <t>10.12.1.51</t>
  </si>
  <si>
    <t>10.12.1.52</t>
  </si>
  <si>
    <t>10.12.1.53</t>
  </si>
  <si>
    <t>10.12.1.54</t>
  </si>
  <si>
    <t>10.12.1.55</t>
  </si>
  <si>
    <t>10.12.1.56</t>
  </si>
  <si>
    <t>10.12.1.57</t>
  </si>
  <si>
    <t>10.12.1.58</t>
  </si>
  <si>
    <t>10.12.1.59</t>
  </si>
  <si>
    <t>10.12.1.60</t>
  </si>
  <si>
    <t>PAMBPE1</t>
  </si>
  <si>
    <t xml:space="preserve"> MB+/Ethernet Bridge</t>
  </si>
  <si>
    <t>10.12.1.61</t>
  </si>
  <si>
    <t>PET</t>
  </si>
  <si>
    <t>PETs PLC</t>
  </si>
  <si>
    <t>10.12.1.62</t>
  </si>
  <si>
    <t>10.12.1.63</t>
  </si>
  <si>
    <t>10.12.1.64</t>
  </si>
  <si>
    <t>10.12.1.65</t>
  </si>
  <si>
    <t>10.12.1.66</t>
  </si>
  <si>
    <t>10.12.1.67</t>
  </si>
  <si>
    <t>10.12.1.68</t>
  </si>
  <si>
    <t>10.12.1.69</t>
  </si>
  <si>
    <t>10.12.1.70</t>
  </si>
  <si>
    <t>10.12.1.71</t>
  </si>
  <si>
    <t>STP</t>
  </si>
  <si>
    <t>STP PLC</t>
  </si>
  <si>
    <t>10.12.1.72</t>
  </si>
  <si>
    <t>PETS Elpro 945U-E</t>
  </si>
  <si>
    <t>10.12.1.73</t>
  </si>
  <si>
    <t>Sedimentation Basin Mouth Elpro 945U-E</t>
  </si>
  <si>
    <t>10.12.1.74</t>
  </si>
  <si>
    <t>Wooden Culvert South Elpro 945U-E</t>
  </si>
  <si>
    <t>10.12.1.75</t>
  </si>
  <si>
    <t>Pit Sump 1 Elpro 945U-E</t>
  </si>
  <si>
    <t>10.12.1.76</t>
  </si>
  <si>
    <t>Pit Sump 2 Elpro 945U-E</t>
  </si>
  <si>
    <t>10.12.1.77</t>
  </si>
  <si>
    <t>10.12.1.78</t>
  </si>
  <si>
    <t>10.12.1.79</t>
  </si>
  <si>
    <t>Modbus/Ethernet Bridge RO PLC</t>
  </si>
  <si>
    <t>Modbus/Ethernet Bridge RO power meter</t>
  </si>
  <si>
    <t>10.12.1.84</t>
  </si>
  <si>
    <t>10.12.1.85</t>
  </si>
  <si>
    <t>10.12.1.86</t>
  </si>
  <si>
    <t>10.12.1.87</t>
  </si>
  <si>
    <t>ASiPLC</t>
  </si>
  <si>
    <t>Test ASi PLC</t>
  </si>
  <si>
    <t>10.12.1.91</t>
  </si>
  <si>
    <t>10.12.1.92</t>
  </si>
  <si>
    <t>10.12.1.93</t>
  </si>
  <si>
    <t>10.12.1.94</t>
  </si>
  <si>
    <t>10.12.1.95</t>
  </si>
  <si>
    <t>10.12.1.96</t>
  </si>
  <si>
    <t>10.12.1.97</t>
  </si>
  <si>
    <t>PPPLC</t>
  </si>
  <si>
    <t>Power Plant Blowers PLC</t>
  </si>
  <si>
    <t>10.12.1.103</t>
  </si>
  <si>
    <t>10.12.1.104</t>
  </si>
  <si>
    <t>10.12.1.105</t>
  </si>
  <si>
    <t>10.12.1.106</t>
  </si>
  <si>
    <t>10.12.1.107</t>
  </si>
  <si>
    <t>10.12.1.108</t>
  </si>
  <si>
    <t>10.12.1.109</t>
  </si>
  <si>
    <t>10.12.1.110</t>
  </si>
  <si>
    <t>10.12.1.111</t>
  </si>
  <si>
    <t>10.12.1.112</t>
  </si>
  <si>
    <t>10.12.1.113</t>
  </si>
  <si>
    <t>10.12.1.114</t>
  </si>
  <si>
    <t>10.12.1.115</t>
  </si>
  <si>
    <t>10.12.1.116</t>
  </si>
  <si>
    <t>10.12.1.117</t>
  </si>
  <si>
    <t>Power Plant Switch 1</t>
  </si>
  <si>
    <t>10.12.1.121</t>
  </si>
  <si>
    <t>SFPLC</t>
  </si>
  <si>
    <t>Slag Fumer Process PLC</t>
  </si>
  <si>
    <t>10.12.1.122</t>
  </si>
  <si>
    <t>SFPLC2</t>
  </si>
  <si>
    <t>Slag Fumer Process PLC (Redundant PLC)</t>
  </si>
  <si>
    <t>10.12.1.123</t>
  </si>
  <si>
    <t>SFFWGPLC</t>
  </si>
  <si>
    <t>Slag Fumer Fresh Water Granulation PLC</t>
  </si>
  <si>
    <t>KBPPLC</t>
  </si>
  <si>
    <t>Kiln Bagging Plant PLC M340</t>
  </si>
  <si>
    <t>KBPSW1</t>
  </si>
  <si>
    <t>Ethernet Cisco Switch(KBPEER)</t>
  </si>
  <si>
    <t>10.12.1.126</t>
  </si>
  <si>
    <t>CCPLC</t>
  </si>
  <si>
    <t>Charge Crane PLC M340</t>
  </si>
  <si>
    <t>10.12.1.127</t>
  </si>
  <si>
    <t>10.12.1.128</t>
  </si>
  <si>
    <t>10.12.1.129</t>
  </si>
  <si>
    <t>10.12.1.130</t>
  </si>
  <si>
    <t>SFFWGUPS</t>
  </si>
  <si>
    <t>FWG SCADA Rack UPS</t>
  </si>
  <si>
    <t>10.12.1.131</t>
  </si>
  <si>
    <t>10.12.1.132</t>
  </si>
  <si>
    <t>10.12.1.133</t>
  </si>
  <si>
    <t>10.12.1.134</t>
  </si>
  <si>
    <t>PPPCSF14</t>
  </si>
  <si>
    <t>Operator Workstation - Top Control Room (iFix)</t>
  </si>
  <si>
    <t>10.12.1.135</t>
  </si>
  <si>
    <t>PPPCSF15</t>
  </si>
  <si>
    <t>Operator Workstation - Tapping Floor Humpy (iFix)</t>
  </si>
  <si>
    <t>10.12.1.136</t>
  </si>
  <si>
    <t>Charge Crane Access Point Elpro Radio (Common PLC Room)</t>
  </si>
  <si>
    <t>10.12.1.137</t>
  </si>
  <si>
    <t>Charge Crane Elpro Radio (on Crane)</t>
  </si>
  <si>
    <t>10.12.1.138</t>
  </si>
  <si>
    <t>SFMBPE3</t>
  </si>
  <si>
    <t>3.3Rm MB+/Ethernet Gateway (SF2s MBEII)</t>
  </si>
  <si>
    <t>10.12.1.139</t>
  </si>
  <si>
    <t>SFMBPE2</t>
  </si>
  <si>
    <t>FWG MB+/Ethernet Gateway (SF1s MBEII)</t>
  </si>
  <si>
    <t>10.12.1.141</t>
  </si>
  <si>
    <t>CPPPLC</t>
  </si>
  <si>
    <t>Copper Process PLC</t>
  </si>
  <si>
    <t>10.12.1.142</t>
  </si>
  <si>
    <t>COPPERPLC</t>
  </si>
  <si>
    <t>Copper Ladder PLC</t>
  </si>
  <si>
    <t>10.12.1.143</t>
  </si>
  <si>
    <t>10.12.1.144</t>
  </si>
  <si>
    <t>10.12.1.145</t>
  </si>
  <si>
    <t>10.12.1.146</t>
  </si>
  <si>
    <t>10.12.1.147</t>
  </si>
  <si>
    <t>10.12.1.148</t>
  </si>
  <si>
    <t>10.12.1.149</t>
  </si>
  <si>
    <t>10.12.1.150</t>
  </si>
  <si>
    <t>10.12.1.151</t>
  </si>
  <si>
    <t>10.12.1.152</t>
  </si>
  <si>
    <t>10.12.1.153</t>
  </si>
  <si>
    <t>10.12.1.154</t>
  </si>
  <si>
    <t>10.12.1.155</t>
  </si>
  <si>
    <t>10.12.1.156</t>
  </si>
  <si>
    <t>Elpro 945UE</t>
  </si>
  <si>
    <t>Council RO tank Wireless RS485</t>
  </si>
  <si>
    <t xml:space="preserve">ETSA Monitoring Wireless RS485 </t>
  </si>
  <si>
    <t>10.12.1.158</t>
  </si>
  <si>
    <t xml:space="preserve">ETSA Monitoring Wireless Gateway </t>
  </si>
  <si>
    <t>10.12.1.159</t>
  </si>
  <si>
    <t>Modbus/Ethernet Bridge Sepams</t>
  </si>
  <si>
    <t>10.12.1.160</t>
  </si>
  <si>
    <t>10.12.1.161</t>
  </si>
  <si>
    <t>SPPLC1</t>
  </si>
  <si>
    <t>Sinter Process PLC (Primary Rack)</t>
  </si>
  <si>
    <t>10.12.1.162</t>
  </si>
  <si>
    <t>SPPLC2</t>
  </si>
  <si>
    <t>Sinter Process PLC (Secondary Rack)</t>
  </si>
  <si>
    <t>10.12.1.163</t>
  </si>
  <si>
    <t>CBSPPLC</t>
  </si>
  <si>
    <t>CSB Process PLC</t>
  </si>
  <si>
    <t>10.12.1.164</t>
  </si>
  <si>
    <t>CDPLC</t>
  </si>
  <si>
    <t>Cadmium Plant PLC</t>
  </si>
  <si>
    <t>10.12.1.165</t>
  </si>
  <si>
    <t>SPFPPLC</t>
  </si>
  <si>
    <t>Diemme Filter Press PLC</t>
  </si>
  <si>
    <t>10.12.1.166</t>
  </si>
  <si>
    <t>SPSTPLC</t>
  </si>
  <si>
    <t>Baghouse Slurry Transfer PLC</t>
  </si>
  <si>
    <t>10.12.1.167</t>
  </si>
  <si>
    <t>10.12.1.168</t>
  </si>
  <si>
    <t>10.12.1.169</t>
  </si>
  <si>
    <t>10.12.1.170</t>
  </si>
  <si>
    <t>SPMBE1</t>
  </si>
  <si>
    <t>Modbus/Ethernet Bridge (Sinter South P1154)</t>
  </si>
  <si>
    <t>10.12.1.171</t>
  </si>
  <si>
    <t>10.12.1.172</t>
  </si>
  <si>
    <t>10.12.1.173</t>
  </si>
  <si>
    <t>10.12.1.174</t>
  </si>
  <si>
    <t>10.12.1.175</t>
  </si>
  <si>
    <t>10.12.1.176</t>
  </si>
  <si>
    <t>10.12.1.177</t>
  </si>
  <si>
    <t>10.12.1.178</t>
  </si>
  <si>
    <t>10.12.1.179</t>
  </si>
  <si>
    <t>10.12.1.180</t>
  </si>
  <si>
    <t>SPMBPE1</t>
  </si>
  <si>
    <t>10.12.1.182</t>
  </si>
  <si>
    <t>PMRPLC</t>
  </si>
  <si>
    <t>PMR PLC</t>
  </si>
  <si>
    <t>10.12.1.183</t>
  </si>
  <si>
    <t>BATCHPLC</t>
  </si>
  <si>
    <t>Batch PLC</t>
  </si>
  <si>
    <t>10.12.1.184</t>
  </si>
  <si>
    <t>10.12.1.185</t>
  </si>
  <si>
    <t>10.12.1.186</t>
  </si>
  <si>
    <t>10.12.1.187</t>
  </si>
  <si>
    <t>10.12.1.188</t>
  </si>
  <si>
    <t>#1 VIR PLC</t>
  </si>
  <si>
    <t>10.12.1.189</t>
  </si>
  <si>
    <t>#2 VIR PLC</t>
  </si>
  <si>
    <t>10.12.1.190</t>
  </si>
  <si>
    <t>10.12.1.191</t>
  </si>
  <si>
    <t>10.12.1.192</t>
  </si>
  <si>
    <t>Ship Unloader RS232 Terminal Server</t>
  </si>
  <si>
    <t>10.12.1.193</t>
  </si>
  <si>
    <t>Elpro Test</t>
  </si>
  <si>
    <t>PPPCSHIP</t>
  </si>
  <si>
    <t>Ship Unloader PC</t>
  </si>
  <si>
    <t>10.12.1.195</t>
  </si>
  <si>
    <t>Ship Unloader Wireless Bridge (Unloader)</t>
  </si>
  <si>
    <t>10.12.1.196</t>
  </si>
  <si>
    <t>Ship Unloader Wireless Bridge (PMR)</t>
  </si>
  <si>
    <t>10.12.1.197</t>
  </si>
  <si>
    <t>RFMBPE3</t>
  </si>
  <si>
    <t>PRM MB+/Ethernet Gateway (RF2s MBEII)</t>
  </si>
  <si>
    <t>10.12.1.198</t>
  </si>
  <si>
    <t>RFMBPE2</t>
  </si>
  <si>
    <t>PMR MB+/Ethernet Gateway (RF1s MBEII)</t>
  </si>
  <si>
    <t>10.12.1.199</t>
  </si>
  <si>
    <t>PMREGX1</t>
  </si>
  <si>
    <t>PMR EGX Gateway</t>
  </si>
  <si>
    <t>10.12.1.201</t>
  </si>
  <si>
    <t>10.12.1.202</t>
  </si>
  <si>
    <t>10.12.1.203</t>
  </si>
  <si>
    <t>10.12.1.204</t>
  </si>
  <si>
    <t>10.12.1.205</t>
  </si>
  <si>
    <t>10.12.1.206</t>
  </si>
  <si>
    <t>10.12.1.207</t>
  </si>
  <si>
    <t>10.12.1.208</t>
  </si>
  <si>
    <t>10.12.1.209</t>
  </si>
  <si>
    <t>10.12.1.210</t>
  </si>
  <si>
    <t>10.12.1.211</t>
  </si>
  <si>
    <t>10.12.1.212</t>
  </si>
  <si>
    <t>10.12.1.213</t>
  </si>
  <si>
    <t>10.12.1.214</t>
  </si>
  <si>
    <t>10.12.1.215</t>
  </si>
  <si>
    <t>10.12.1.216</t>
  </si>
  <si>
    <t>10.12.1.217</t>
  </si>
  <si>
    <t>10.12.1.218</t>
  </si>
  <si>
    <t>10.12.1.219</t>
  </si>
  <si>
    <t>KDRMBPE1</t>
  </si>
  <si>
    <t>KDRWW MB+/Ethernet Gateway (KILNs MBEI)</t>
  </si>
  <si>
    <t>10.12.1.221</t>
  </si>
  <si>
    <t>EAFPLC</t>
  </si>
  <si>
    <t>EAF Process PLC</t>
  </si>
  <si>
    <t>10.12.1.222</t>
  </si>
  <si>
    <t>10.12.1.223</t>
  </si>
  <si>
    <t>10.12.1.224</t>
  </si>
  <si>
    <t>10.12.1.225</t>
  </si>
  <si>
    <t>10.12.1.226</t>
  </si>
  <si>
    <t>10.12.1.227</t>
  </si>
  <si>
    <t>10.12.1.228</t>
  </si>
  <si>
    <t>10.12.1.229</t>
  </si>
  <si>
    <t>10.12.1.230</t>
  </si>
  <si>
    <t>10.12.1.231</t>
  </si>
  <si>
    <t>10.12.1.232</t>
  </si>
  <si>
    <t>10.12.1.233</t>
  </si>
  <si>
    <t>10.12.1.234</t>
  </si>
  <si>
    <t>10.12.1.235</t>
  </si>
  <si>
    <t>10.12.1.236</t>
  </si>
  <si>
    <t>10.12.1.237</t>
  </si>
  <si>
    <t>10.12.1.238</t>
  </si>
  <si>
    <t>10.12.1.239</t>
  </si>
  <si>
    <t>EAF Modbus/Ethernet Bridge (EGX100)</t>
  </si>
  <si>
    <t>PPPCHIST1</t>
  </si>
  <si>
    <t>PPPCHIST2</t>
  </si>
  <si>
    <t>10.12.1.243</t>
  </si>
  <si>
    <t>PPPCWEB</t>
  </si>
  <si>
    <t>10.12.1.244</t>
  </si>
  <si>
    <t>Ethernet Cisco Switch (Spare in E&amp;I)</t>
  </si>
  <si>
    <t>10.12.1.245</t>
  </si>
  <si>
    <t>10.12.1.246</t>
  </si>
  <si>
    <t>10.12.1.247</t>
  </si>
  <si>
    <t>10.12.1.248</t>
  </si>
  <si>
    <t>10.12.1.249</t>
  </si>
  <si>
    <t>10.12.1.250</t>
  </si>
  <si>
    <t>10.12.1.251</t>
  </si>
  <si>
    <t>10.12.1.252</t>
  </si>
  <si>
    <t>10.12.1.253</t>
  </si>
  <si>
    <t>10.12.1.254</t>
  </si>
  <si>
    <t>10.12.1.255</t>
  </si>
  <si>
    <t>10.12.2.1</t>
  </si>
  <si>
    <t>Spare Plant Area</t>
  </si>
  <si>
    <t>PPPCIFIX1</t>
  </si>
  <si>
    <t>New windows7 Spare PC</t>
  </si>
  <si>
    <t>10.12.2.2</t>
  </si>
  <si>
    <t>PPPCIFIX2</t>
  </si>
  <si>
    <t>10.12.2.3</t>
  </si>
  <si>
    <t>PPPCIFIX3</t>
  </si>
  <si>
    <t>10.12.2.4</t>
  </si>
  <si>
    <t>WAN Testing</t>
  </si>
  <si>
    <t>Given to Jhonny Guzman for WAN testing</t>
  </si>
  <si>
    <t>10.12.2.5</t>
  </si>
  <si>
    <t>10.12.2.6</t>
  </si>
  <si>
    <t>10.12.2.7</t>
  </si>
  <si>
    <t>10.12.2.8</t>
  </si>
  <si>
    <t>10.12.2.9</t>
  </si>
  <si>
    <t>10.12.2.10</t>
  </si>
  <si>
    <t>10.12.2.11</t>
  </si>
  <si>
    <t>10.12.2.12</t>
  </si>
  <si>
    <t>10.12.2.13</t>
  </si>
  <si>
    <t>10.12.2.14</t>
  </si>
  <si>
    <t>10.12.2.15</t>
  </si>
  <si>
    <t>10.12.2.16</t>
  </si>
  <si>
    <t>10.12.2.17</t>
  </si>
  <si>
    <t>10.12.2.18</t>
  </si>
  <si>
    <t>10.12.2.19</t>
  </si>
  <si>
    <t>10.12.2.20</t>
  </si>
  <si>
    <t>10.12.3.1</t>
  </si>
  <si>
    <t>10.12.3.2</t>
  </si>
  <si>
    <t>10.12.3.3</t>
  </si>
  <si>
    <t>10.12.3.4</t>
  </si>
  <si>
    <t>10.12.3.5</t>
  </si>
  <si>
    <t>10.12.3.6</t>
  </si>
  <si>
    <t>10.12.3.7</t>
  </si>
  <si>
    <t>10.12.3.8</t>
  </si>
  <si>
    <t>10.12.3.9</t>
  </si>
  <si>
    <t>10.12.3.10</t>
  </si>
  <si>
    <t>10.12.3.11</t>
  </si>
  <si>
    <t>10.12.3.12</t>
  </si>
  <si>
    <t>10.12.3.13</t>
  </si>
  <si>
    <t>10.12.3.14</t>
  </si>
  <si>
    <t>10.12.3.15</t>
  </si>
  <si>
    <t>10.12.3.16</t>
  </si>
  <si>
    <t>10.12.3.17</t>
  </si>
  <si>
    <t>10.12.3.18</t>
  </si>
  <si>
    <t>10.12.3.19</t>
  </si>
  <si>
    <t>10.12.3.20</t>
  </si>
  <si>
    <t>10.12.11.1</t>
  </si>
  <si>
    <t>Motor Control Equipment</t>
  </si>
  <si>
    <t>FC-F3A</t>
  </si>
  <si>
    <t>F3A VSD</t>
  </si>
  <si>
    <t>10.12.11.2</t>
  </si>
  <si>
    <t>FC-F3B</t>
  </si>
  <si>
    <t>F3B VSD</t>
  </si>
  <si>
    <t>10.12.11.3</t>
  </si>
  <si>
    <t>10.12.11.4</t>
  </si>
  <si>
    <t>10.12.11.5</t>
  </si>
  <si>
    <t>10.12.11.6</t>
  </si>
  <si>
    <t>10.12.11.7</t>
  </si>
  <si>
    <t>10.12.11.8</t>
  </si>
  <si>
    <t>10.12.11.9</t>
  </si>
  <si>
    <t>10.12.11.10</t>
  </si>
  <si>
    <t>10.12.11.11</t>
  </si>
  <si>
    <t>10.12.11.12</t>
  </si>
  <si>
    <t>10.12.11.13</t>
  </si>
  <si>
    <t>10.12.11.14</t>
  </si>
  <si>
    <t>10.12.11.15</t>
  </si>
  <si>
    <t>10.12.11.16</t>
  </si>
  <si>
    <t>10.12.11.17</t>
  </si>
  <si>
    <t>F3B EGX100 gateway (Power Meter)</t>
  </si>
  <si>
    <t>10.12.11.18</t>
  </si>
  <si>
    <t>F3B Sepam</t>
  </si>
  <si>
    <t>10.12.11.19</t>
  </si>
  <si>
    <t>F3A EGX100 gateway (Power Meter)</t>
  </si>
  <si>
    <t>10.12.11.20</t>
  </si>
  <si>
    <t>F3A Sepam</t>
  </si>
  <si>
    <t>10.12.12.1</t>
  </si>
  <si>
    <t>10.12.12.2</t>
  </si>
  <si>
    <t>10.12.12.3</t>
  </si>
  <si>
    <t>10.12.12.4</t>
  </si>
  <si>
    <t>10.12.12.5</t>
  </si>
  <si>
    <t>10.12.12.6</t>
  </si>
  <si>
    <t>10.12.12.7</t>
  </si>
  <si>
    <t>10.12.12.8</t>
  </si>
  <si>
    <t>10.12.12.9</t>
  </si>
  <si>
    <t>10.12.12.10</t>
  </si>
  <si>
    <t>10.12.12.11</t>
  </si>
  <si>
    <t>10.12.12.12</t>
  </si>
  <si>
    <t>10.12.12.13</t>
  </si>
  <si>
    <t>10.12.12.14</t>
  </si>
  <si>
    <t>10.12.12.15</t>
  </si>
  <si>
    <t>10.12.12.16</t>
  </si>
  <si>
    <t>10.12.12.17</t>
  </si>
  <si>
    <t>10.12.12.18</t>
  </si>
  <si>
    <t>10.12.12.19</t>
  </si>
  <si>
    <t>10.12.12.20</t>
  </si>
  <si>
    <t>10.12.13.1</t>
  </si>
  <si>
    <t>AP-M003</t>
  </si>
  <si>
    <t>Altivar71 VSD - Sea Water Pump A</t>
  </si>
  <si>
    <t>10.12.13.2</t>
  </si>
  <si>
    <t>AP-M004</t>
  </si>
  <si>
    <t>Altivar71 VSD - Sea Water Pump B</t>
  </si>
  <si>
    <t>10.12.13.3</t>
  </si>
  <si>
    <t>10.12.13.4</t>
  </si>
  <si>
    <t>10.12.13.5</t>
  </si>
  <si>
    <t>10.12.13.6</t>
  </si>
  <si>
    <t>10.12.13.7</t>
  </si>
  <si>
    <t>10.12.13.8</t>
  </si>
  <si>
    <t>10.12.13.9</t>
  </si>
  <si>
    <t>10.12.13.10</t>
  </si>
  <si>
    <t>10.12.13.11</t>
  </si>
  <si>
    <t>10.12.13.12</t>
  </si>
  <si>
    <t>10.12.13.13</t>
  </si>
  <si>
    <t>10.12.13.14</t>
  </si>
  <si>
    <t>10.12.13.15</t>
  </si>
  <si>
    <t>10.12.13.16</t>
  </si>
  <si>
    <t>10.12.13.17</t>
  </si>
  <si>
    <t>10.12.13.18</t>
  </si>
  <si>
    <t>10.12.13.19</t>
  </si>
  <si>
    <t>10.12.13.20</t>
  </si>
  <si>
    <t>10.12.14.1</t>
  </si>
  <si>
    <t>RV-A1001</t>
  </si>
  <si>
    <t>Lime Plant Rotary Valve VSD</t>
  </si>
  <si>
    <t>10.12.14.2</t>
  </si>
  <si>
    <t>BM-A1002</t>
  </si>
  <si>
    <t>Lime Plant Ball Mill Soft Starter</t>
  </si>
  <si>
    <t>10.12.14.3</t>
  </si>
  <si>
    <t>PU-A1003</t>
  </si>
  <si>
    <t>Lime Plant Mill Discharge Pump VSD</t>
  </si>
  <si>
    <t>10.12.14.4</t>
  </si>
  <si>
    <t>10.12.14.5</t>
  </si>
  <si>
    <t>10.12.14.6</t>
  </si>
  <si>
    <t>10.12.14.7</t>
  </si>
  <si>
    <t>10.12.14.8</t>
  </si>
  <si>
    <t>10.12.14.9</t>
  </si>
  <si>
    <t>10.12.14.10</t>
  </si>
  <si>
    <t>10.12.14.11</t>
  </si>
  <si>
    <t>10.12.14.12</t>
  </si>
  <si>
    <t>10.12.14.13</t>
  </si>
  <si>
    <t>10.12.14.14</t>
  </si>
  <si>
    <t>10.12.14.15</t>
  </si>
  <si>
    <t>10.12.14.16</t>
  </si>
  <si>
    <t>10.12.14.17</t>
  </si>
  <si>
    <t>10.12.14.18</t>
  </si>
  <si>
    <t>10.12.14.19</t>
  </si>
  <si>
    <t>10.12.14.20</t>
  </si>
  <si>
    <t>10.12.15.1</t>
  </si>
  <si>
    <t>10.12.15.2</t>
  </si>
  <si>
    <t>10.12.15.3</t>
  </si>
  <si>
    <t>10.12.15.4</t>
  </si>
  <si>
    <t>10.12.15.5</t>
  </si>
  <si>
    <t>10.12.15.6</t>
  </si>
  <si>
    <t>10.12.15.7</t>
  </si>
  <si>
    <t>10.12.15.8</t>
  </si>
  <si>
    <t>10.12.15.9</t>
  </si>
  <si>
    <t>10.12.15.10</t>
  </si>
  <si>
    <t>10.12.15.11</t>
  </si>
  <si>
    <t>10.12.15.12</t>
  </si>
  <si>
    <t>10.12.15.13</t>
  </si>
  <si>
    <t>10.12.15.14</t>
  </si>
  <si>
    <t>10.12.15.15</t>
  </si>
  <si>
    <t>10.12.15.16</t>
  </si>
  <si>
    <t>10.12.15.17</t>
  </si>
  <si>
    <t>10.12.15.18</t>
  </si>
  <si>
    <t>10.12.15.19</t>
  </si>
  <si>
    <t>10.12.15.20</t>
  </si>
  <si>
    <t>10.12.16.1</t>
  </si>
  <si>
    <t>Blower #4</t>
  </si>
  <si>
    <t>10.12.16.2</t>
  </si>
  <si>
    <t>10.12.16.3</t>
  </si>
  <si>
    <t>10.12.16.4</t>
  </si>
  <si>
    <t>10.12.16.5</t>
  </si>
  <si>
    <t>10.12.16.6</t>
  </si>
  <si>
    <t>10.12.16.7</t>
  </si>
  <si>
    <t>10.12.16.8</t>
  </si>
  <si>
    <t>10.12.16.9</t>
  </si>
  <si>
    <t>10.12.16.10</t>
  </si>
  <si>
    <t>10.12.16.11</t>
  </si>
  <si>
    <t>10.12.16.12</t>
  </si>
  <si>
    <t>10.12.16.13</t>
  </si>
  <si>
    <t>10.12.16.14</t>
  </si>
  <si>
    <t>10.12.16.15</t>
  </si>
  <si>
    <t>10.12.16.16</t>
  </si>
  <si>
    <t>10.12.16.17</t>
  </si>
  <si>
    <t>10.12.16.18</t>
  </si>
  <si>
    <t>10.12.16.19</t>
  </si>
  <si>
    <t>10.12.16.20</t>
  </si>
  <si>
    <t>10.12.17.1</t>
  </si>
  <si>
    <t>SF-M369</t>
  </si>
  <si>
    <t>Altivar71 VSD - Rotafeed 1 Feeder 1</t>
  </si>
  <si>
    <t>10.12.17.2</t>
  </si>
  <si>
    <t>SF-M370</t>
  </si>
  <si>
    <t>Altivar71 VSD - Rotafeed 1 Feeder 2</t>
  </si>
  <si>
    <t>10.12.17.3</t>
  </si>
  <si>
    <t>SF-M371</t>
  </si>
  <si>
    <t>Altivar71 VSD - Rotafeed 1 Feeder 3</t>
  </si>
  <si>
    <t>10.12.17.4</t>
  </si>
  <si>
    <t>SF-M372</t>
  </si>
  <si>
    <t>Altivar71 VSD - Rotafeed 1 Feeder 4</t>
  </si>
  <si>
    <t>10.12.17.5</t>
  </si>
  <si>
    <t>SF-M373</t>
  </si>
  <si>
    <t>Altivar71 VSD - Rotafeed 1 Feeder 5</t>
  </si>
  <si>
    <t>10.12.17.6</t>
  </si>
  <si>
    <t>SF-M374</t>
  </si>
  <si>
    <t>Altivar71 VSD - Rotafeed 1 Feeder 6</t>
  </si>
  <si>
    <t>10.12.17.7</t>
  </si>
  <si>
    <t>SF-M375</t>
  </si>
  <si>
    <t>Altivar71 VSD - Rotafeed 2 Feeder 1</t>
  </si>
  <si>
    <t>10.12.17.8</t>
  </si>
  <si>
    <t>SF-M376</t>
  </si>
  <si>
    <t>Altivar71 VSD - Rotafeed 2 Feeder 2</t>
  </si>
  <si>
    <t>10.12.17.9</t>
  </si>
  <si>
    <t>SF-M377</t>
  </si>
  <si>
    <t>Altivar71 VSD - Rotafeed 2 Feeder 3</t>
  </si>
  <si>
    <t>10.12.17.10</t>
  </si>
  <si>
    <t>SF-M378</t>
  </si>
  <si>
    <t>Altivar71 VSD - Rotafeed 2 Feeder 4</t>
  </si>
  <si>
    <t>10.12.17.11</t>
  </si>
  <si>
    <t>SF-M379</t>
  </si>
  <si>
    <t>Altivar71 VSD - Rotafeed 2 Feeder 5</t>
  </si>
  <si>
    <t>10.12.17.12</t>
  </si>
  <si>
    <t>SF-M380</t>
  </si>
  <si>
    <t>Altivar71 VSD - Rotafeed 2 Feeder 6</t>
  </si>
  <si>
    <t>10.12.17.13</t>
  </si>
  <si>
    <t>Stack Fan EER EGX-100 gateway</t>
  </si>
  <si>
    <t>10.12.17.14</t>
  </si>
  <si>
    <t>Stack Fan VSD</t>
  </si>
  <si>
    <t>10.12.17.15</t>
  </si>
  <si>
    <t>FWG Modbus/Ethernet Gateway Sepams/ABB</t>
  </si>
  <si>
    <t>10.12.17.16</t>
  </si>
  <si>
    <t>SF-DDCSE1</t>
  </si>
  <si>
    <t>VSD DDCS/Ethernet Converter</t>
  </si>
  <si>
    <t>10.12.17.17</t>
  </si>
  <si>
    <t>SF-RS485E1</t>
  </si>
  <si>
    <t>VSD RS485/Ethernet Gateway (EGX100)</t>
  </si>
  <si>
    <t>10.12.17.18</t>
  </si>
  <si>
    <t>SF-RS485E2</t>
  </si>
  <si>
    <t>Sepam RS485/Ethernet Gateway (EGX100)</t>
  </si>
  <si>
    <t>SF-RS485E3</t>
  </si>
  <si>
    <t>HV Sepam RS485/Ethernet Gateway (EGX100)</t>
  </si>
  <si>
    <t>SF-RS485E4</t>
  </si>
  <si>
    <t>10.12.17.21</t>
  </si>
  <si>
    <t>FWG Modbus/Ethernet Gateway Power meters</t>
  </si>
  <si>
    <t>10.12.17.22</t>
  </si>
  <si>
    <t>KBP-M396</t>
  </si>
  <si>
    <t>Kilin Bagging Plant VSD-341 Conv</t>
  </si>
  <si>
    <t>10.12.17.23</t>
  </si>
  <si>
    <t>M071-VSD</t>
  </si>
  <si>
    <t>Coal Ball Mill VSD</t>
  </si>
  <si>
    <t>10.12.18.1</t>
  </si>
  <si>
    <t>CP-P13</t>
  </si>
  <si>
    <t>Altivar 71 - 21A Repulp Reactor Agitator</t>
  </si>
  <si>
    <t>10.12.18.2</t>
  </si>
  <si>
    <t>10.12.18.3</t>
  </si>
  <si>
    <t>10.12.18.4</t>
  </si>
  <si>
    <t>10.12.18.5</t>
  </si>
  <si>
    <t>10.12.18.6</t>
  </si>
  <si>
    <t>10.12.18.7</t>
  </si>
  <si>
    <t>10.12.18.8</t>
  </si>
  <si>
    <t>10.12.18.9</t>
  </si>
  <si>
    <t>10.12.18.10</t>
  </si>
  <si>
    <t>10.12.18.11</t>
  </si>
  <si>
    <t>10.12.18.12</t>
  </si>
  <si>
    <t>10.12.18.13</t>
  </si>
  <si>
    <t>10.12.18.14</t>
  </si>
  <si>
    <t>10.12.18.15</t>
  </si>
  <si>
    <t>10.12.18.16</t>
  </si>
  <si>
    <t>10.12.18.17</t>
  </si>
  <si>
    <t>10.12.18.18</t>
  </si>
  <si>
    <t>10.12.18.19</t>
  </si>
  <si>
    <t>10.12.18.20</t>
  </si>
  <si>
    <t>10.12.19.1</t>
  </si>
  <si>
    <t>M2613</t>
  </si>
  <si>
    <t>Diemme filter VSD ??????</t>
  </si>
  <si>
    <t>10.12.19.2</t>
  </si>
  <si>
    <t>M2626</t>
  </si>
  <si>
    <t>10.12.19.3</t>
  </si>
  <si>
    <t>M2633</t>
  </si>
  <si>
    <t>10.12.19.4</t>
  </si>
  <si>
    <t>M2641</t>
  </si>
  <si>
    <t>10.12.19.5</t>
  </si>
  <si>
    <t>M2647</t>
  </si>
  <si>
    <t>10.12.19.6</t>
  </si>
  <si>
    <t>10.12.19.7</t>
  </si>
  <si>
    <t>10.12.19.8</t>
  </si>
  <si>
    <t>10.12.19.9</t>
  </si>
  <si>
    <t>10.12.19.10</t>
  </si>
  <si>
    <t>10.12.19.11</t>
  </si>
  <si>
    <t>10.12.19.12</t>
  </si>
  <si>
    <t>10.12.19.13</t>
  </si>
  <si>
    <t>10.12.19.14</t>
  </si>
  <si>
    <t>10.12.19.15</t>
  </si>
  <si>
    <t>10.12.19.16</t>
  </si>
  <si>
    <t>10.12.19.17</t>
  </si>
  <si>
    <t>10.12.19.18</t>
  </si>
  <si>
    <t>10.12.19.19</t>
  </si>
  <si>
    <t>10.12.19.20</t>
  </si>
  <si>
    <t>10.12.20.1</t>
  </si>
  <si>
    <t>VIR #1 Rotary Table VSD</t>
  </si>
  <si>
    <t>10.12.20.2</t>
  </si>
  <si>
    <t>VIR #2 Rotary Table VSD</t>
  </si>
  <si>
    <t>10.12.20.3</t>
  </si>
  <si>
    <t>10.12.20.4</t>
  </si>
  <si>
    <t>10.12.20.5</t>
  </si>
  <si>
    <t>10.12.20.6</t>
  </si>
  <si>
    <t>10.12.20.7</t>
  </si>
  <si>
    <t>10.12.20.8</t>
  </si>
  <si>
    <t>10.12.20.9</t>
  </si>
  <si>
    <t>10.12.20.10</t>
  </si>
  <si>
    <t>10.12.20.11</t>
  </si>
  <si>
    <t>10.12.20.12</t>
  </si>
  <si>
    <t>10.12.20.13</t>
  </si>
  <si>
    <t>10.12.20.14</t>
  </si>
  <si>
    <t>10.12.20.15</t>
  </si>
  <si>
    <t>10.12.20.16</t>
  </si>
  <si>
    <t>10.12.20.17</t>
  </si>
  <si>
    <t>10.12.20.18</t>
  </si>
  <si>
    <t>10.12.20.19</t>
  </si>
  <si>
    <t>10.12.20.20</t>
  </si>
  <si>
    <t>10.12.21.1</t>
  </si>
  <si>
    <t>10.12.21.2</t>
  </si>
  <si>
    <t>10.12.21.3</t>
  </si>
  <si>
    <t>10.12.21.4</t>
  </si>
  <si>
    <t>10.12.21.5</t>
  </si>
  <si>
    <t>10.12.21.6</t>
  </si>
  <si>
    <t>10.12.21.7</t>
  </si>
  <si>
    <t>10.12.21.8</t>
  </si>
  <si>
    <t>10.12.21.9</t>
  </si>
  <si>
    <t>10.12.21.10</t>
  </si>
  <si>
    <t>10.12.21.11</t>
  </si>
  <si>
    <t>10.12.21.12</t>
  </si>
  <si>
    <t>10.12.21.13</t>
  </si>
  <si>
    <t>10.12.21.14</t>
  </si>
  <si>
    <t>10.12.21.15</t>
  </si>
  <si>
    <t>10.12.21.16</t>
  </si>
  <si>
    <t>10.12.21.17</t>
  </si>
  <si>
    <t>10.12.21.18</t>
  </si>
  <si>
    <t>10.12.21.19</t>
  </si>
  <si>
    <t>10.12.21.20</t>
  </si>
  <si>
    <t>10.12.22.1</t>
  </si>
  <si>
    <t>EAF-MB003</t>
  </si>
  <si>
    <t>10.12.22.2</t>
  </si>
  <si>
    <t>EAF-MB105</t>
  </si>
  <si>
    <t>10.12.22.3</t>
  </si>
  <si>
    <t>EAF-MB106</t>
  </si>
  <si>
    <t>10.12.22.4</t>
  </si>
  <si>
    <t>EAF-MB107</t>
  </si>
  <si>
    <t>10.12.22.5</t>
  </si>
  <si>
    <t>EAF-MB108A</t>
  </si>
  <si>
    <t>10.12.22.6</t>
  </si>
  <si>
    <t>EAF-MB108B</t>
  </si>
  <si>
    <t>10.12.22.7</t>
  </si>
  <si>
    <t>EAF-MB110</t>
  </si>
  <si>
    <t>10.12.22.8</t>
  </si>
  <si>
    <t>EAF-MB205</t>
  </si>
  <si>
    <t>10.12.22.9</t>
  </si>
  <si>
    <t>EAF-MB206</t>
  </si>
  <si>
    <t>10.12.22.10</t>
  </si>
  <si>
    <t>EAF-MB207</t>
  </si>
  <si>
    <t>10.12.22.11</t>
  </si>
  <si>
    <t>EAF-MB208A</t>
  </si>
  <si>
    <t>10.12.22.12</t>
  </si>
  <si>
    <t>EAF-MB208B</t>
  </si>
  <si>
    <t>10.12.22.13</t>
  </si>
  <si>
    <t>EAF-MB210</t>
  </si>
  <si>
    <t>10.12.22.14</t>
  </si>
  <si>
    <t>10.12.22.15</t>
  </si>
  <si>
    <t>10.12.22.16</t>
  </si>
  <si>
    <t>10.12.22.17</t>
  </si>
  <si>
    <t>10.12.22.18</t>
  </si>
  <si>
    <t>10.12.22.19</t>
  </si>
  <si>
    <t>10.12.22.20</t>
  </si>
  <si>
    <t>10.12.128.21</t>
  </si>
  <si>
    <t>10.12.128.22</t>
  </si>
  <si>
    <t>10.12.128.23</t>
  </si>
  <si>
    <t>10.12.128.24</t>
  </si>
  <si>
    <t>10.12.128.25</t>
  </si>
  <si>
    <t>10.12.128.26</t>
  </si>
  <si>
    <t>10.12.128.41</t>
  </si>
  <si>
    <t>10.12.128.42</t>
  </si>
  <si>
    <t>10.12.128.43</t>
  </si>
  <si>
    <t>10.12.128.161</t>
  </si>
  <si>
    <t>10.12.128.162</t>
  </si>
  <si>
    <t>10.12.128.178</t>
  </si>
  <si>
    <t>10.12.128.254</t>
  </si>
  <si>
    <t>10.12.129.21</t>
  </si>
  <si>
    <t>10.12.129.22</t>
  </si>
  <si>
    <t>10.12.129.41</t>
  </si>
  <si>
    <t>10.12.129.42</t>
  </si>
  <si>
    <t>10.12.129.161</t>
  </si>
  <si>
    <t>10.12.129.162</t>
  </si>
  <si>
    <t>10.13.1.182</t>
  </si>
  <si>
    <t>RIO Network</t>
  </si>
  <si>
    <t>PMRCRP1</t>
  </si>
  <si>
    <t>10.13.1.183</t>
  </si>
  <si>
    <t>PMRCRA1</t>
  </si>
  <si>
    <t>10.13.1.221</t>
  </si>
  <si>
    <t>EAFCRP1</t>
  </si>
  <si>
    <t>Ethernet RIO Head</t>
  </si>
  <si>
    <t>10.13.1.222</t>
  </si>
  <si>
    <t>EAFCRA1</t>
  </si>
  <si>
    <t>Ethernet RIO Slave</t>
  </si>
  <si>
    <t>does not exist</t>
  </si>
  <si>
    <t>SLMM3 SCADA/View Node Spare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</si>
</sst>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 #,##0.00_ ;_ * \-#,##0.00_ ;_ * &quot;-&quot;??_ ;_ @_ "/>
    <numFmt numFmtId="165" formatCode="_ * #,##0_ ;_ * \-#,##0_ ;_ * &quot;-&quot;??_ ;_ @_ "/>
  </numFmts>
  <fonts count="15" x14ac:knownFonts="1">
    <font>
      <sz val="12"/>
      <color theme="1"/>
      <name val="Calibri"/>
      <family val="2"/>
      <scheme val="minor"/>
    </font>
    <font>
      <sz val="12"/>
      <color theme="1"/>
      <name val="Calibri"/>
      <family val="2"/>
      <scheme val="minor"/>
    </font>
    <font>
      <sz val="12"/>
      <color rgb="FF9C5700"/>
      <name val="Calibri"/>
      <family val="2"/>
      <scheme val="minor"/>
    </font>
    <font>
      <b/>
      <sz val="12"/>
      <color theme="1"/>
      <name val="Calibri"/>
      <family val="2"/>
      <scheme val="minor"/>
    </font>
    <font>
      <sz val="10"/>
      <name val="Arial"/>
    </font>
    <font>
      <b/>
      <sz val="9"/>
      <color indexed="81"/>
      <name val="Tahoma"/>
      <family val="2"/>
    </font>
    <font>
      <sz val="9"/>
      <color indexed="81"/>
      <name val="Tahoma"/>
      <family val="2"/>
    </font>
    <font>
      <b/>
      <sz val="8"/>
      <color indexed="81"/>
      <name val="Tahoma"/>
    </font>
    <font>
      <sz val="8"/>
      <color indexed="81"/>
      <name val="Tahoma"/>
    </font>
    <font>
      <sz val="10"/>
      <color theme="0"/>
      <name val="Arial"/>
    </font>
    <font>
      <u/>
      <sz val="12"/>
      <color theme="10"/>
      <name val="Calibri"/>
      <family val="2"/>
      <scheme val="minor"/>
    </font>
    <font>
      <u/>
      <sz val="12"/>
      <color theme="11"/>
      <name val="Calibri"/>
      <family val="2"/>
      <scheme val="minor"/>
    </font>
    <font>
      <sz val="22"/>
      <color theme="1"/>
      <name val="Calibri"/>
      <family val="2"/>
      <scheme val="minor"/>
    </font>
    <font>
      <b/>
      <sz val="20"/>
      <color theme="1"/>
      <name val="Calibri"/>
      <family val="2"/>
      <scheme val="minor"/>
    </font>
    <font>
      <b/>
      <sz val="24"/>
      <color theme="1"/>
      <name val="Calibri"/>
      <family val="2"/>
      <scheme val="minor"/>
    </font>
  </fonts>
  <fills count="3">
    <fill>
      <patternFill patternType="none"/>
    </fill>
    <fill>
      <patternFill patternType="gray125"/>
    </fill>
    <fill>
      <patternFill patternType="solid">
        <fgColor rgb="FFFFEB9C"/>
      </patternFill>
    </fill>
  </fills>
  <borders count="1">
    <border>
      <left/>
      <right/>
      <top/>
      <bottom/>
      <diagonal/>
    </border>
  </borders>
  <cellStyleXfs count="6">
    <xf numFmtId="0" fontId="0" fillId="0" borderId="0"/>
    <xf numFmtId="164" fontId="1" fillId="0" borderId="0" applyFont="0" applyFill="0" applyBorder="0" applyAlignment="0" applyProtection="0"/>
    <xf numFmtId="0" fontId="2" fillId="2" borderId="0" applyNumberFormat="0" applyBorder="0" applyAlignment="0" applyProtection="0"/>
    <xf numFmtId="0" fontId="4" fillId="0" borderId="0"/>
    <xf numFmtId="0" fontId="10" fillId="0" borderId="0" applyNumberFormat="0" applyFill="0" applyBorder="0" applyAlignment="0" applyProtection="0"/>
    <xf numFmtId="0" fontId="11" fillId="0" borderId="0" applyNumberFormat="0" applyFill="0" applyBorder="0" applyAlignment="0" applyProtection="0"/>
  </cellStyleXfs>
  <cellXfs count="22">
    <xf numFmtId="0" fontId="0" fillId="0" borderId="0" xfId="0"/>
    <xf numFmtId="0" fontId="0" fillId="0" borderId="0" xfId="0" pivotButton="1"/>
    <xf numFmtId="0" fontId="0" fillId="0" borderId="0" xfId="0" applyAlignment="1">
      <alignment horizontal="left" indent="1"/>
    </xf>
    <xf numFmtId="0" fontId="4" fillId="0" borderId="0" xfId="3"/>
    <xf numFmtId="0" fontId="4" fillId="0" borderId="0" xfId="3" applyFill="1" applyBorder="1" applyAlignment="1">
      <alignment wrapText="1"/>
    </xf>
    <xf numFmtId="0" fontId="4" fillId="0" borderId="0" xfId="3" applyFill="1" applyBorder="1"/>
    <xf numFmtId="0" fontId="9" fillId="0" borderId="0" xfId="3" applyFont="1"/>
    <xf numFmtId="0" fontId="9" fillId="0" borderId="0" xfId="3" applyFont="1" applyFill="1" applyBorder="1"/>
    <xf numFmtId="0" fontId="2" fillId="2" borderId="0" xfId="2"/>
    <xf numFmtId="0" fontId="2" fillId="2" borderId="0" xfId="2" applyNumberFormat="1"/>
    <xf numFmtId="3" fontId="0" fillId="0" borderId="0" xfId="0" applyNumberFormat="1"/>
    <xf numFmtId="0" fontId="0" fillId="0" borderId="0" xfId="0" applyAlignment="1">
      <alignment horizontal="left" indent="2"/>
    </xf>
    <xf numFmtId="0" fontId="0" fillId="0" borderId="0" xfId="0" applyAlignment="1">
      <alignment horizontal="left" indent="3"/>
    </xf>
    <xf numFmtId="165" fontId="0" fillId="0" borderId="0" xfId="1" applyNumberFormat="1" applyFont="1"/>
    <xf numFmtId="0" fontId="0" fillId="0" borderId="0" xfId="0" applyAlignment="1">
      <alignment vertical="center" wrapText="1"/>
    </xf>
    <xf numFmtId="0" fontId="3" fillId="0" borderId="0" xfId="0" applyFont="1" applyAlignment="1">
      <alignment vertical="center"/>
    </xf>
    <xf numFmtId="1" fontId="0" fillId="0" borderId="0" xfId="0" applyNumberFormat="1" applyAlignment="1">
      <alignment horizontal="left"/>
    </xf>
    <xf numFmtId="0" fontId="12" fillId="0" borderId="0" xfId="0" applyFont="1" applyAlignment="1">
      <alignment horizontal="center"/>
    </xf>
    <xf numFmtId="0" fontId="0" fillId="0" borderId="0" xfId="0" applyAlignment="1">
      <alignment horizontal="center" vertical="center" wrapText="1"/>
    </xf>
    <xf numFmtId="0" fontId="13" fillId="0" borderId="0" xfId="0" applyFont="1" applyAlignment="1">
      <alignment horizontal="center"/>
    </xf>
    <xf numFmtId="0" fontId="14" fillId="0" borderId="0" xfId="0" applyFont="1" applyAlignment="1">
      <alignment horizontal="center"/>
    </xf>
    <xf numFmtId="0" fontId="0" fillId="0" borderId="0" xfId="0" applyAlignment="1">
      <alignment horizontal="center" vertical="center"/>
    </xf>
  </cellXfs>
  <cellStyles count="6">
    <cellStyle name="Comma" xfId="1" builtinId="3"/>
    <cellStyle name="Followed Hyperlink" xfId="5" builtinId="9" hidden="1"/>
    <cellStyle name="Hyperlink" xfId="4" builtinId="8" hidden="1"/>
    <cellStyle name="Neutral" xfId="2" builtinId="28"/>
    <cellStyle name="Normal" xfId="0" builtinId="0"/>
    <cellStyle name="Normal 2" xfId="3" xr:uid="{00000000-0005-0000-0000-000005000000}"/>
  </cellStyles>
  <dxfs count="11">
    <dxf>
      <numFmt numFmtId="0" formatCode="General"/>
      <fill>
        <patternFill patternType="none">
          <fgColor indexed="64"/>
          <bgColor indexed="65"/>
        </patternFill>
      </fill>
    </dxf>
    <dxf>
      <font>
        <strike val="0"/>
        <outline val="0"/>
        <shadow val="0"/>
        <u val="none"/>
        <vertAlign val="baseline"/>
        <sz val="10"/>
        <color theme="0"/>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rtram Dunskus" refreshedDate="42832.516548148145" createdVersion="4" refreshedVersion="4" minRefreshableVersion="3" recordCount="2275" xr:uid="{00000000-000A-0000-FFFF-FFFF3C000000}">
  <cacheSource type="worksheet">
    <worksheetSource name="Table1"/>
  </cacheSource>
  <cacheFields count="23">
    <cacheField name="Address A" numFmtId="0">
      <sharedItems/>
    </cacheField>
    <cacheField name="Port A" numFmtId="0">
      <sharedItems containsSemiMixedTypes="0" containsString="0" containsNumber="1" containsInteger="1" minValue="1392" maxValue="65526" count="1631">
        <n v="8083"/>
        <n v="8081"/>
        <n v="5450"/>
        <n v="60892"/>
        <n v="60893"/>
        <n v="60894"/>
        <n v="60895"/>
        <n v="60896"/>
        <n v="2804"/>
        <n v="2805"/>
        <n v="2806"/>
        <n v="2807"/>
        <n v="2808"/>
        <n v="2809"/>
        <n v="2810"/>
        <n v="2811"/>
        <n v="2812"/>
        <n v="2813"/>
        <n v="2872"/>
        <n v="2873"/>
        <n v="2874"/>
        <n v="2875"/>
        <n v="2876"/>
        <n v="2877"/>
        <n v="2878"/>
        <n v="2879"/>
        <n v="2880"/>
        <n v="2881"/>
        <n v="2944"/>
        <n v="2945"/>
        <n v="2946"/>
        <n v="2947"/>
        <n v="2948"/>
        <n v="2950"/>
        <n v="3008"/>
        <n v="3009"/>
        <n v="3010"/>
        <n v="3011"/>
        <n v="3012"/>
        <n v="3013"/>
        <n v="3073"/>
        <n v="3074"/>
        <n v="3075"/>
        <n v="3076"/>
        <n v="3077"/>
        <n v="3078"/>
        <n v="3137"/>
        <n v="3138"/>
        <n v="3139"/>
        <n v="3140"/>
        <n v="3141"/>
        <n v="3142"/>
        <n v="3143"/>
        <n v="3144"/>
        <n v="3145"/>
        <n v="3146"/>
        <n v="3206"/>
        <n v="3207"/>
        <n v="3208"/>
        <n v="3209"/>
        <n v="3210"/>
        <n v="3211"/>
        <n v="3212"/>
        <n v="3213"/>
        <n v="3214"/>
        <n v="3215"/>
        <n v="3274"/>
        <n v="3275"/>
        <n v="3276"/>
        <n v="3277"/>
        <n v="3278"/>
        <n v="3279"/>
        <n v="3280"/>
        <n v="3281"/>
        <n v="3282"/>
        <n v="3283"/>
        <n v="3344"/>
        <n v="3345"/>
        <n v="3346"/>
        <n v="3347"/>
        <n v="3348"/>
        <n v="3349"/>
        <n v="3350"/>
        <n v="3351"/>
        <n v="3352"/>
        <n v="3353"/>
        <n v="3412"/>
        <n v="3413"/>
        <n v="3414"/>
        <n v="3415"/>
        <n v="3416"/>
        <n v="3417"/>
        <n v="3418"/>
        <n v="3419"/>
        <n v="3420"/>
        <n v="3421"/>
        <n v="3147"/>
        <n v="3148"/>
        <n v="3149"/>
        <n v="3150"/>
        <n v="3216"/>
        <n v="3217"/>
        <n v="3218"/>
        <n v="3219"/>
        <n v="3220"/>
        <n v="3302"/>
        <n v="3311"/>
        <n v="3312"/>
        <n v="3313"/>
        <n v="3321"/>
        <n v="3383"/>
        <n v="3384"/>
        <n v="3385"/>
        <n v="3386"/>
        <n v="3387"/>
        <n v="3388"/>
        <n v="3448"/>
        <n v="3449"/>
        <n v="3450"/>
        <n v="3451"/>
        <n v="3452"/>
        <n v="3453"/>
        <n v="3513"/>
        <n v="3514"/>
        <n v="3515"/>
        <n v="3516"/>
        <n v="3517"/>
        <n v="3518"/>
        <n v="3519"/>
        <n v="3520"/>
        <n v="3521"/>
        <n v="3522"/>
        <n v="3581"/>
        <n v="3582"/>
        <n v="3583"/>
        <n v="3584"/>
        <n v="3585"/>
        <n v="3586"/>
        <n v="3587"/>
        <n v="3588"/>
        <n v="3589"/>
        <n v="3590"/>
        <n v="3652"/>
        <n v="3653"/>
        <n v="3654"/>
        <n v="3655"/>
        <n v="3656"/>
        <n v="3658"/>
        <n v="3659"/>
        <n v="3660"/>
        <n v="3661"/>
        <n v="3662"/>
        <n v="3721"/>
        <n v="3722"/>
        <n v="3723"/>
        <n v="3724"/>
        <n v="3725"/>
        <n v="3726"/>
        <n v="3727"/>
        <n v="3728"/>
        <n v="3729"/>
        <n v="3730"/>
        <n v="3795"/>
        <n v="3796"/>
        <n v="3797"/>
        <n v="3798"/>
        <n v="3799"/>
        <n v="3800"/>
        <n v="3801"/>
        <n v="3802"/>
        <n v="3803"/>
        <n v="3804"/>
        <n v="42523"/>
        <n v="18128"/>
        <n v="56026"/>
        <n v="12639"/>
        <n v="42522"/>
        <n v="42491"/>
        <n v="15742"/>
        <n v="19133"/>
        <n v="49291"/>
        <n v="64469"/>
        <n v="64468"/>
        <n v="64669"/>
        <n v="64670"/>
        <n v="49403"/>
        <n v="49163"/>
        <n v="49173"/>
        <n v="58354"/>
        <n v="58340"/>
        <n v="58376"/>
        <n v="58377"/>
        <n v="58358"/>
        <n v="58370"/>
        <n v="58352"/>
        <n v="58353"/>
        <n v="14000"/>
        <n v="2552"/>
        <n v="2558"/>
        <n v="2559"/>
        <n v="2554"/>
        <n v="2561"/>
        <n v="2563"/>
        <n v="2568"/>
        <n v="2569"/>
        <n v="2571"/>
        <n v="2572"/>
        <n v="2574"/>
        <n v="2576"/>
        <n v="2577"/>
        <n v="2578"/>
        <n v="2580"/>
        <n v="2582"/>
        <n v="2589"/>
        <n v="2591"/>
        <n v="2592"/>
        <n v="2593"/>
        <n v="2595"/>
        <n v="2597"/>
        <n v="2598"/>
        <n v="2599"/>
        <n v="2601"/>
        <n v="2603"/>
        <n v="2608"/>
        <n v="2609"/>
        <n v="2610"/>
        <n v="2612"/>
        <n v="2614"/>
        <n v="2616"/>
        <n v="2617"/>
        <n v="2618"/>
        <n v="2621"/>
        <n v="2623"/>
        <n v="2627"/>
        <n v="2629"/>
        <n v="2631"/>
        <n v="2632"/>
        <n v="2635"/>
        <n v="2637"/>
        <n v="2638"/>
        <n v="2639"/>
        <n v="2641"/>
        <n v="2643"/>
        <n v="2648"/>
        <n v="2650"/>
        <n v="2651"/>
        <n v="2652"/>
        <n v="2654"/>
        <n v="2656"/>
        <n v="2657"/>
        <n v="2658"/>
        <n v="2660"/>
        <n v="2662"/>
        <n v="2668"/>
        <n v="2669"/>
        <n v="2670"/>
        <n v="2671"/>
        <n v="2673"/>
        <n v="2675"/>
        <n v="2676"/>
        <n v="2677"/>
        <n v="2679"/>
        <n v="2681"/>
        <n v="2683"/>
        <n v="2687"/>
        <n v="2688"/>
        <n v="2689"/>
        <n v="2690"/>
        <n v="2691"/>
        <n v="2693"/>
        <n v="2696"/>
        <n v="2697"/>
        <n v="2698"/>
        <n v="2700"/>
        <n v="2702"/>
        <n v="2704"/>
        <n v="2707"/>
        <n v="2709"/>
        <n v="2710"/>
        <n v="2711"/>
        <n v="2713"/>
        <n v="2715"/>
        <n v="2716"/>
        <n v="2717"/>
        <n v="2718"/>
        <n v="2720"/>
        <n v="2722"/>
        <n v="2726"/>
        <n v="2729"/>
        <n v="2730"/>
        <n v="2731"/>
        <n v="2732"/>
        <n v="2734"/>
        <n v="2736"/>
        <n v="2737"/>
        <n v="2738"/>
        <n v="2740"/>
        <n v="2743"/>
        <n v="2744"/>
        <n v="2748"/>
        <n v="2749"/>
        <n v="2750"/>
        <n v="2751"/>
        <n v="2752"/>
        <n v="2754"/>
        <n v="2757"/>
        <n v="2758"/>
        <n v="2759"/>
        <n v="2761"/>
        <n v="2763"/>
        <n v="2765"/>
        <n v="2768"/>
        <n v="2769"/>
        <n v="2771"/>
        <n v="2772"/>
        <n v="2774"/>
        <n v="2776"/>
        <n v="2777"/>
        <n v="2778"/>
        <n v="2780"/>
        <n v="2782"/>
        <n v="2783"/>
        <n v="2789"/>
        <n v="2790"/>
        <n v="2791"/>
        <n v="2792"/>
        <n v="2794"/>
        <n v="2796"/>
        <n v="2797"/>
        <n v="2798"/>
        <n v="2800"/>
        <n v="2803"/>
        <n v="2814"/>
        <n v="2816"/>
        <n v="2817"/>
        <n v="2819"/>
        <n v="2821"/>
        <n v="2824"/>
        <n v="2826"/>
        <n v="2827"/>
        <n v="2829"/>
        <n v="2831"/>
        <n v="2833"/>
        <n v="2834"/>
        <n v="2835"/>
        <n v="2837"/>
        <n v="2839"/>
        <n v="2843"/>
        <n v="2845"/>
        <n v="2846"/>
        <n v="2847"/>
        <n v="2849"/>
        <n v="2851"/>
        <n v="2852"/>
        <n v="2853"/>
        <n v="2855"/>
        <n v="2858"/>
        <n v="2862"/>
        <n v="2863"/>
        <n v="2864"/>
        <n v="2865"/>
        <n v="2867"/>
        <n v="2869"/>
        <n v="2870"/>
        <n v="2871"/>
        <n v="2882"/>
        <n v="2883"/>
        <n v="2885"/>
        <n v="2888"/>
        <n v="2889"/>
        <n v="2890"/>
        <n v="2892"/>
        <n v="2894"/>
        <n v="2899"/>
        <n v="2901"/>
        <n v="2902"/>
        <n v="2903"/>
        <n v="2905"/>
        <n v="2907"/>
        <n v="2908"/>
        <n v="2909"/>
        <n v="2911"/>
        <n v="2913"/>
        <n v="2917"/>
        <n v="2918"/>
        <n v="2919"/>
        <n v="2920"/>
        <n v="2922"/>
        <n v="2925"/>
        <n v="2926"/>
        <n v="2927"/>
        <n v="2929"/>
        <n v="2932"/>
        <n v="2935"/>
        <n v="2936"/>
        <n v="2937"/>
        <n v="2938"/>
        <n v="2940"/>
        <n v="2943"/>
        <n v="2949"/>
        <n v="2954"/>
        <n v="2956"/>
        <n v="2957"/>
        <n v="2958"/>
        <n v="2960"/>
        <n v="2962"/>
        <n v="2963"/>
        <n v="2964"/>
        <n v="2966"/>
        <n v="2968"/>
        <n v="2972"/>
        <n v="2973"/>
        <n v="2974"/>
        <n v="2975"/>
        <n v="2977"/>
        <n v="2979"/>
        <n v="2981"/>
        <n v="2982"/>
        <n v="2984"/>
        <n v="2987"/>
        <n v="2990"/>
        <n v="2991"/>
        <n v="2992"/>
        <n v="2993"/>
        <n v="2995"/>
        <n v="2998"/>
        <n v="3000"/>
        <n v="3001"/>
        <n v="3003"/>
        <n v="3005"/>
        <n v="3015"/>
        <n v="3017"/>
        <n v="3018"/>
        <n v="3019"/>
        <n v="3021"/>
        <n v="3023"/>
        <n v="3027"/>
        <n v="3029"/>
        <n v="3030"/>
        <n v="3031"/>
        <n v="3033"/>
        <n v="3035"/>
        <n v="3036"/>
        <n v="3037"/>
        <n v="3039"/>
        <n v="3042"/>
        <n v="3047"/>
        <n v="3048"/>
        <n v="3049"/>
        <n v="3050"/>
        <n v="3052"/>
        <n v="3055"/>
        <n v="3056"/>
        <n v="3057"/>
        <n v="3059"/>
        <n v="3062"/>
        <n v="3065"/>
        <n v="3067"/>
        <n v="3068"/>
        <n v="3069"/>
        <n v="3071"/>
        <n v="3080"/>
        <n v="2489"/>
        <n v="2486"/>
        <n v="2490"/>
        <n v="2491"/>
        <n v="2487"/>
        <n v="2492"/>
        <n v="2488"/>
        <n v="2493"/>
        <n v="2494"/>
        <n v="2495"/>
        <n v="2503"/>
        <n v="2504"/>
        <n v="2505"/>
        <n v="2506"/>
        <n v="2507"/>
        <n v="2508"/>
        <n v="2509"/>
        <n v="2510"/>
        <n v="2511"/>
        <n v="2512"/>
        <n v="2518"/>
        <n v="2519"/>
        <n v="2520"/>
        <n v="2521"/>
        <n v="2522"/>
        <n v="2523"/>
        <n v="2525"/>
        <n v="2526"/>
        <n v="2527"/>
        <n v="2528"/>
        <n v="2533"/>
        <n v="2535"/>
        <n v="2536"/>
        <n v="2537"/>
        <n v="2538"/>
        <n v="2539"/>
        <n v="2540"/>
        <n v="2541"/>
        <n v="2542"/>
        <n v="2543"/>
        <n v="2550"/>
        <n v="2551"/>
        <n v="2553"/>
        <n v="2555"/>
        <n v="2556"/>
        <n v="2557"/>
        <n v="2565"/>
        <n v="2566"/>
        <n v="2567"/>
        <n v="2570"/>
        <n v="2573"/>
        <n v="2581"/>
        <n v="2583"/>
        <n v="2584"/>
        <n v="2585"/>
        <n v="2586"/>
        <n v="2587"/>
        <n v="2588"/>
        <n v="2596"/>
        <n v="2600"/>
        <n v="2602"/>
        <n v="2604"/>
        <n v="2611"/>
        <n v="2613"/>
        <n v="2615"/>
        <n v="2619"/>
        <n v="2625"/>
        <n v="2626"/>
        <n v="2628"/>
        <n v="2630"/>
        <n v="2633"/>
        <n v="2634"/>
        <n v="2640"/>
        <n v="2642"/>
        <n v="2644"/>
        <n v="2645"/>
        <n v="2646"/>
        <n v="2647"/>
        <n v="2649"/>
        <n v="2655"/>
        <n v="2659"/>
        <n v="2661"/>
        <n v="2663"/>
        <n v="2664"/>
        <n v="2672"/>
        <n v="2674"/>
        <n v="2678"/>
        <n v="2680"/>
        <n v="2685"/>
        <n v="2692"/>
        <n v="2694"/>
        <n v="2695"/>
        <n v="2701"/>
        <n v="2703"/>
        <n v="2705"/>
        <n v="2706"/>
        <n v="2708"/>
        <n v="2719"/>
        <n v="2721"/>
        <n v="2723"/>
        <n v="2724"/>
        <n v="2725"/>
        <n v="2733"/>
        <n v="2735"/>
        <n v="2739"/>
        <n v="2746"/>
        <n v="2747"/>
        <n v="2753"/>
        <n v="2755"/>
        <n v="2762"/>
        <n v="2764"/>
        <n v="2766"/>
        <n v="2767"/>
        <n v="2770"/>
        <n v="2779"/>
        <n v="2781"/>
        <n v="2784"/>
        <n v="2785"/>
        <n v="2793"/>
        <n v="2795"/>
        <n v="2799"/>
        <n v="2815"/>
        <n v="2822"/>
        <n v="2823"/>
        <n v="2825"/>
        <n v="2828"/>
        <n v="2830"/>
        <n v="2836"/>
        <n v="2838"/>
        <n v="2840"/>
        <n v="2841"/>
        <n v="2842"/>
        <n v="2844"/>
        <n v="2854"/>
        <n v="2856"/>
        <n v="2857"/>
        <n v="2859"/>
        <n v="2860"/>
        <n v="2861"/>
        <n v="2868"/>
        <n v="2884"/>
        <n v="2886"/>
        <n v="2887"/>
        <n v="2891"/>
        <n v="2897"/>
        <n v="2898"/>
        <n v="2900"/>
        <n v="2904"/>
        <n v="2906"/>
        <n v="2396"/>
        <n v="2397"/>
        <n v="2398"/>
        <n v="52082"/>
        <n v="52105"/>
        <n v="52113"/>
        <n v="4085"/>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3"/>
        <n v="4534"/>
        <n v="4535"/>
        <n v="4536"/>
        <n v="4537"/>
        <n v="4538"/>
        <n v="4539"/>
        <n v="4540"/>
        <n v="4541"/>
        <n v="4542"/>
        <n v="4543"/>
        <n v="4544"/>
        <n v="4545"/>
        <n v="4546"/>
        <n v="4547"/>
        <n v="4548"/>
        <n v="4549"/>
        <n v="4550"/>
        <n v="4551"/>
        <n v="4552"/>
        <n v="4553"/>
        <n v="4554"/>
        <n v="4555"/>
        <n v="4556"/>
        <n v="4557"/>
        <n v="4558"/>
        <n v="65284"/>
        <n v="65292"/>
        <n v="65294"/>
        <n v="65298"/>
        <n v="65304"/>
        <n v="65308"/>
        <n v="65314"/>
        <n v="65318"/>
        <n v="65324"/>
        <n v="65328"/>
        <n v="65330"/>
        <n v="65339"/>
        <n v="65340"/>
        <n v="65346"/>
        <n v="65350"/>
        <n v="65356"/>
        <n v="65360"/>
        <n v="65361"/>
        <n v="65370"/>
        <n v="65371"/>
        <n v="65377"/>
        <n v="65381"/>
        <n v="65387"/>
        <n v="65391"/>
        <n v="65392"/>
        <n v="65401"/>
        <n v="65402"/>
        <n v="65411"/>
        <n v="65412"/>
        <n v="65421"/>
        <n v="65422"/>
        <n v="65423"/>
        <n v="65434"/>
        <n v="65435"/>
        <n v="65444"/>
        <n v="65448"/>
        <n v="65454"/>
        <n v="65458"/>
        <n v="65459"/>
        <n v="65468"/>
        <n v="65469"/>
        <n v="65475"/>
        <n v="65479"/>
        <n v="65485"/>
        <n v="65489"/>
        <n v="65490"/>
        <n v="65499"/>
        <n v="65500"/>
        <n v="65512"/>
        <n v="65513"/>
        <n v="65520"/>
        <n v="65524"/>
        <n v="65526"/>
        <n v="49155"/>
        <n v="49156"/>
        <n v="49169"/>
        <n v="49170"/>
        <n v="49194"/>
        <n v="49195"/>
        <n v="49196"/>
        <n v="49209"/>
        <n v="49210"/>
        <n v="49221"/>
        <n v="3064"/>
        <n v="3066"/>
        <n v="3070"/>
        <n v="3072"/>
        <n v="3867"/>
        <n v="3868"/>
        <n v="3869"/>
        <n v="3870"/>
        <n v="3871"/>
        <n v="3872"/>
        <n v="3873"/>
        <n v="3874"/>
        <n v="3875"/>
        <n v="3877"/>
        <n v="62286"/>
        <n v="62290"/>
        <n v="62291"/>
        <n v="62295"/>
        <n v="62299"/>
        <n v="62303"/>
        <n v="62304"/>
        <n v="62308"/>
        <n v="62312"/>
        <n v="62316"/>
        <n v="62317"/>
        <n v="62321"/>
        <n v="62325"/>
        <n v="62329"/>
        <n v="62330"/>
        <n v="62334"/>
        <n v="62340"/>
        <n v="62344"/>
        <n v="62345"/>
        <n v="62349"/>
        <n v="62353"/>
        <n v="62357"/>
        <n v="62361"/>
        <n v="62362"/>
        <n v="62366"/>
        <n v="62370"/>
        <n v="62374"/>
        <n v="62375"/>
        <n v="62379"/>
        <n v="62383"/>
        <n v="62384"/>
        <n v="62385"/>
        <n v="62389"/>
        <n v="62390"/>
        <n v="62391"/>
        <n v="62395"/>
        <n v="62399"/>
        <n v="62403"/>
        <n v="62407"/>
        <n v="62408"/>
        <n v="62412"/>
        <n v="62416"/>
        <n v="64131"/>
        <n v="51592"/>
        <n v="50470"/>
        <n v="50527"/>
        <n v="50587"/>
        <n v="54611"/>
        <n v="4176"/>
        <n v="4186"/>
        <n v="4219"/>
        <n v="4223"/>
        <n v="4227"/>
        <n v="4228"/>
        <n v="4232"/>
        <n v="4236"/>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4381"/>
        <n v="4382"/>
        <n v="58137"/>
        <n v="58141"/>
        <n v="58145"/>
        <n v="58151"/>
        <n v="58152"/>
        <n v="58158"/>
        <n v="58162"/>
        <n v="58166"/>
        <n v="58167"/>
        <n v="58171"/>
        <n v="58175"/>
        <n v="58179"/>
        <n v="58180"/>
        <n v="58184"/>
        <n v="58188"/>
        <n v="58192"/>
        <n v="58195"/>
        <n v="58199"/>
        <n v="58203"/>
        <n v="58207"/>
        <n v="58208"/>
        <n v="58212"/>
        <n v="58216"/>
        <n v="58217"/>
        <n v="58221"/>
        <n v="58225"/>
        <n v="58226"/>
        <n v="58230"/>
        <n v="58234"/>
        <n v="58238"/>
        <n v="58241"/>
        <n v="58245"/>
        <n v="58249"/>
        <n v="58253"/>
        <n v="58254"/>
        <n v="58258"/>
        <n v="58262"/>
        <n v="58266"/>
        <n v="58270"/>
        <n v="58271"/>
        <n v="53601"/>
        <n v="53605"/>
        <n v="53609"/>
        <n v="53613"/>
        <n v="53614"/>
        <n v="53618"/>
        <n v="53622"/>
        <n v="53626"/>
        <n v="53627"/>
        <n v="53631"/>
        <n v="53635"/>
        <n v="53639"/>
        <n v="53640"/>
        <n v="53644"/>
        <n v="53650"/>
        <n v="53654"/>
        <n v="53655"/>
        <n v="53659"/>
        <n v="53663"/>
        <n v="53667"/>
        <n v="53668"/>
        <n v="53672"/>
        <n v="53673"/>
        <n v="53677"/>
        <n v="53681"/>
        <n v="53682"/>
        <n v="53686"/>
        <n v="53690"/>
        <n v="53694"/>
        <n v="53695"/>
        <n v="53699"/>
        <n v="53703"/>
        <n v="53707"/>
        <n v="53711"/>
        <n v="53712"/>
        <n v="53716"/>
        <n v="53720"/>
        <n v="53724"/>
        <n v="53725"/>
        <n v="53729"/>
        <n v="3971"/>
        <n v="3972"/>
        <n v="3973"/>
        <n v="3974"/>
        <n v="3975"/>
        <n v="3976"/>
        <n v="3977"/>
        <n v="3978"/>
        <n v="3979"/>
        <n v="3980"/>
        <n v="3981"/>
        <n v="3982"/>
        <n v="3983"/>
        <n v="3984"/>
        <n v="3985"/>
        <n v="3986"/>
        <n v="3987"/>
        <n v="3988"/>
        <n v="3989"/>
        <n v="3990"/>
        <n v="3991"/>
        <n v="3992"/>
        <n v="3993"/>
        <n v="3994"/>
        <n v="3995"/>
        <n v="3996"/>
        <n v="3997"/>
        <n v="3998"/>
        <n v="3999"/>
        <n v="4000"/>
        <n v="4001"/>
        <n v="1543"/>
        <n v="1444"/>
        <n v="1544"/>
        <n v="1545"/>
        <n v="1546"/>
        <n v="1547"/>
        <n v="1549"/>
        <n v="1548"/>
        <n v="1449"/>
        <n v="1448"/>
        <n v="1553"/>
        <n v="1554"/>
        <n v="1555"/>
        <n v="1451"/>
        <n v="1558"/>
        <n v="1439"/>
        <n v="1452"/>
        <n v="1561"/>
        <n v="1562"/>
        <n v="1564"/>
        <n v="1453"/>
        <n v="1569"/>
        <n v="1613"/>
        <n v="1728"/>
        <n v="1733"/>
        <n v="61548"/>
        <n v="61551"/>
        <n v="61552"/>
        <n v="61553"/>
        <n v="61622"/>
        <n v="61627"/>
        <n v="61628"/>
        <n v="61629"/>
        <n v="4353"/>
        <n v="4608"/>
        <n v="4224"/>
        <n v="3840"/>
        <n v="3329"/>
        <n v="4352"/>
        <n v="3969"/>
        <n v="4097"/>
        <n v="3200"/>
        <n v="3713"/>
        <n v="4736"/>
        <n v="4865"/>
        <n v="3968"/>
        <n v="3841"/>
        <n v="4864"/>
        <n v="3457"/>
        <n v="4096"/>
        <n v="4609"/>
        <n v="4225"/>
        <n v="3456"/>
        <n v="3201"/>
        <n v="4737"/>
        <n v="3328"/>
        <n v="3712"/>
        <n v="1447"/>
        <n v="1567"/>
        <n v="1568"/>
        <n v="65032"/>
        <n v="49447"/>
        <n v="49449"/>
        <n v="63372"/>
        <n v="63339"/>
        <n v="63457"/>
        <n v="49564"/>
        <n v="49569"/>
        <n v="49575"/>
        <n v="49576"/>
        <n v="49585"/>
        <n v="49590"/>
        <n v="62995"/>
        <n v="52869"/>
        <n v="60820"/>
        <n v="52738"/>
        <n v="52983"/>
        <n v="52995"/>
        <n v="61045"/>
        <n v="61046"/>
        <n v="59146"/>
        <n v="24800"/>
        <n v="59142"/>
        <n v="59170"/>
        <n v="50208"/>
        <n v="50209"/>
        <n v="59835"/>
        <n v="59836"/>
        <n v="59837"/>
        <n v="59841"/>
        <n v="59838"/>
        <n v="59842"/>
        <n v="59839"/>
        <n v="59840"/>
        <n v="59843"/>
        <n v="59830"/>
        <n v="59844"/>
        <n v="59831"/>
        <n v="59845"/>
        <n v="59846"/>
        <n v="59832"/>
        <n v="59847"/>
        <n v="59833"/>
        <n v="59834"/>
        <n v="59848"/>
        <n v="59849"/>
        <n v="59850"/>
        <n v="59851"/>
        <n v="59852"/>
        <n v="59853"/>
        <n v="59854"/>
        <n v="59855"/>
        <n v="59856"/>
        <n v="59857"/>
        <n v="59858"/>
        <n v="59859"/>
        <n v="59860"/>
        <n v="59861"/>
        <n v="59862"/>
        <n v="59863"/>
        <n v="59864"/>
        <n v="59865"/>
        <n v="59866"/>
        <n v="59867"/>
        <n v="59868"/>
        <n v="59869"/>
        <n v="59870"/>
        <n v="59871"/>
        <n v="59872"/>
        <n v="59873"/>
        <n v="59874"/>
        <n v="59875"/>
        <n v="59876"/>
        <n v="59877"/>
        <n v="59878"/>
        <n v="59879"/>
        <n v="59880"/>
        <n v="59881"/>
        <n v="59882"/>
        <n v="59883"/>
        <n v="59884"/>
        <n v="59885"/>
        <n v="59886"/>
        <n v="59887"/>
        <n v="59888"/>
        <n v="59889"/>
        <n v="59890"/>
        <n v="59891"/>
        <n v="59892"/>
        <n v="59893"/>
        <n v="59894"/>
        <n v="59895"/>
        <n v="59896"/>
        <n v="59897"/>
        <n v="59898"/>
        <n v="59899"/>
        <n v="59900"/>
        <n v="59901"/>
        <n v="59902"/>
        <n v="59903"/>
        <n v="59904"/>
        <n v="59905"/>
        <n v="59906"/>
        <n v="59907"/>
        <n v="59908"/>
        <n v="59909"/>
        <n v="59910"/>
        <n v="59911"/>
        <n v="59912"/>
        <n v="59913"/>
        <n v="59914"/>
        <n v="59915"/>
        <n v="59916"/>
        <n v="59917"/>
        <n v="59918"/>
        <n v="59919"/>
        <n v="59920"/>
        <n v="59921"/>
        <n v="59922"/>
        <n v="59923"/>
        <n v="59924"/>
        <n v="59925"/>
        <n v="59926"/>
        <n v="59927"/>
        <n v="59928"/>
        <n v="59929"/>
        <n v="59930"/>
        <n v="59931"/>
        <n v="59932"/>
        <n v="59933"/>
        <n v="59934"/>
        <n v="59935"/>
        <n v="59936"/>
        <n v="59937"/>
        <n v="59938"/>
        <n v="59939"/>
        <n v="59940"/>
        <n v="59941"/>
        <n v="59942"/>
        <n v="59943"/>
        <n v="59944"/>
        <n v="59945"/>
        <n v="59946"/>
        <n v="59947"/>
        <n v="59948"/>
        <n v="59949"/>
        <n v="59950"/>
        <n v="59951"/>
        <n v="59952"/>
        <n v="59953"/>
        <n v="59954"/>
        <n v="59955"/>
        <n v="59956"/>
        <n v="59957"/>
        <n v="59958"/>
        <n v="59959"/>
        <n v="59960"/>
        <n v="59961"/>
        <n v="59962"/>
        <n v="59963"/>
        <n v="59964"/>
        <n v="59965"/>
        <n v="59966"/>
        <n v="59967"/>
        <n v="59968"/>
        <n v="59969"/>
        <n v="59970"/>
        <n v="59971"/>
        <n v="59972"/>
        <n v="59973"/>
        <n v="59974"/>
        <n v="59975"/>
        <n v="59976"/>
        <n v="59977"/>
        <n v="59978"/>
        <n v="59979"/>
        <n v="59980"/>
        <n v="59981"/>
        <n v="59982"/>
        <n v="59983"/>
        <n v="59984"/>
        <n v="59985"/>
        <n v="59986"/>
        <n v="59987"/>
        <n v="59988"/>
        <n v="59989"/>
        <n v="59990"/>
        <n v="59991"/>
        <n v="59992"/>
        <n v="59993"/>
        <n v="59994"/>
        <n v="59995"/>
        <n v="59996"/>
        <n v="59997"/>
        <n v="59998"/>
        <n v="59999"/>
        <n v="60000"/>
        <n v="60001"/>
        <n v="60002"/>
        <n v="60003"/>
        <n v="60004"/>
        <n v="60005"/>
        <n v="60006"/>
        <n v="60007"/>
        <n v="60008"/>
        <n v="60009"/>
        <n v="60010"/>
        <n v="60011"/>
        <n v="60012"/>
        <n v="60013"/>
        <n v="60014"/>
        <n v="60015"/>
        <n v="60016"/>
        <n v="60017"/>
        <n v="60018"/>
        <n v="60019"/>
        <n v="60020"/>
        <n v="60021"/>
        <n v="60022"/>
        <n v="60023"/>
        <n v="60024"/>
        <n v="60025"/>
        <n v="60026"/>
        <n v="60027"/>
        <n v="60028"/>
        <n v="60029"/>
        <n v="60030"/>
        <n v="60031"/>
        <n v="60032"/>
        <n v="60033"/>
        <n v="60034"/>
        <n v="60035"/>
        <n v="60036"/>
        <n v="60037"/>
        <n v="60038"/>
        <n v="60039"/>
        <n v="60040"/>
        <n v="60041"/>
        <n v="60042"/>
        <n v="60043"/>
        <n v="60044"/>
        <n v="60045"/>
        <n v="60046"/>
        <n v="60047"/>
        <n v="60048"/>
        <n v="60049"/>
        <n v="60050"/>
        <n v="60051"/>
        <n v="60052"/>
        <n v="60053"/>
        <n v="60054"/>
        <n v="60055"/>
        <n v="60056"/>
        <n v="60057"/>
        <n v="60058"/>
        <n v="60059"/>
        <n v="60060"/>
        <n v="60061"/>
        <n v="60062"/>
        <n v="60063"/>
        <n v="60064"/>
        <n v="60065"/>
        <n v="60066"/>
        <n v="60067"/>
        <n v="60068"/>
        <n v="60069"/>
        <n v="60070"/>
        <n v="60071"/>
        <n v="60072"/>
        <n v="60073"/>
        <n v="60074"/>
        <n v="60075"/>
        <n v="60076"/>
        <n v="60077"/>
        <n v="60078"/>
        <n v="60079"/>
        <n v="60080"/>
        <n v="60081"/>
        <n v="60082"/>
        <n v="60083"/>
        <n v="60084"/>
        <n v="60085"/>
        <n v="60086"/>
        <n v="60087"/>
        <n v="60088"/>
        <n v="60089"/>
        <n v="60090"/>
        <n v="60091"/>
        <n v="60092"/>
        <n v="60093"/>
        <n v="60094"/>
        <n v="60095"/>
        <n v="60096"/>
        <n v="60097"/>
        <n v="60098"/>
        <n v="60099"/>
        <n v="60100"/>
        <n v="60101"/>
        <n v="60102"/>
        <n v="60103"/>
        <n v="60104"/>
        <n v="60105"/>
        <n v="60106"/>
        <n v="60107"/>
        <n v="60108"/>
        <n v="60109"/>
        <n v="60110"/>
        <n v="60111"/>
        <n v="60112"/>
        <n v="60113"/>
        <n v="60114"/>
        <n v="60115"/>
        <n v="60116"/>
        <n v="60117"/>
        <n v="60118"/>
        <n v="60119"/>
        <n v="60120"/>
        <n v="60121"/>
        <n v="60122"/>
        <n v="60123"/>
        <n v="60124"/>
        <n v="60125"/>
        <n v="60126"/>
        <n v="60127"/>
        <n v="60128"/>
        <n v="60129"/>
        <n v="60130"/>
        <n v="60131"/>
        <n v="60132"/>
        <n v="60133"/>
        <n v="60134"/>
        <n v="60135"/>
        <n v="60136"/>
        <n v="60137"/>
        <n v="60138"/>
        <n v="60139"/>
        <n v="60140"/>
        <n v="60141"/>
        <n v="60142"/>
        <n v="60143"/>
        <n v="60144"/>
        <n v="60145"/>
        <n v="60146"/>
        <n v="60147"/>
        <n v="60148"/>
        <n v="60149"/>
        <n v="60150"/>
        <n v="60151"/>
        <n v="60152"/>
        <n v="60153"/>
        <n v="60154"/>
        <n v="60155"/>
        <n v="60156"/>
        <n v="60157"/>
        <n v="60158"/>
        <n v="60159"/>
        <n v="60160"/>
        <n v="60161"/>
        <n v="60162"/>
        <n v="60163"/>
        <n v="60164"/>
        <n v="60165"/>
        <n v="60166"/>
        <n v="60167"/>
        <n v="60168"/>
        <n v="60169"/>
        <n v="60170"/>
        <n v="60171"/>
        <n v="60172"/>
        <n v="60173"/>
        <n v="60174"/>
        <n v="60175"/>
        <n v="60176"/>
        <n v="60177"/>
        <n v="60178"/>
        <n v="60179"/>
        <n v="60180"/>
        <n v="60181"/>
        <n v="60182"/>
        <n v="60183"/>
        <n v="60184"/>
        <n v="60185"/>
        <n v="60186"/>
        <n v="60187"/>
        <n v="60188"/>
        <n v="60189"/>
        <n v="60190"/>
        <n v="60191"/>
        <n v="60192"/>
        <n v="60193"/>
        <n v="60194"/>
        <n v="60195"/>
        <n v="60196"/>
        <n v="60197"/>
        <n v="60198"/>
        <n v="60199"/>
        <n v="60200"/>
        <n v="60201"/>
        <n v="60202"/>
        <n v="60203"/>
        <n v="60204"/>
        <n v="60205"/>
        <n v="60206"/>
        <n v="60207"/>
        <n v="60208"/>
        <n v="60209"/>
        <n v="60210"/>
        <n v="60211"/>
        <n v="60212"/>
        <n v="60213"/>
        <n v="60214"/>
        <n v="60215"/>
        <n v="60216"/>
        <n v="60217"/>
        <n v="60218"/>
        <n v="60219"/>
        <n v="60220"/>
        <n v="60221"/>
        <n v="60222"/>
        <n v="60223"/>
        <n v="60224"/>
        <n v="60225"/>
        <n v="60226"/>
        <n v="60227"/>
        <n v="60228"/>
        <n v="60229"/>
        <n v="60230"/>
        <n v="60231"/>
        <n v="60232"/>
        <n v="60233"/>
        <n v="60234"/>
        <n v="60235"/>
        <n v="60236"/>
        <n v="60237"/>
        <n v="60238"/>
        <n v="60239"/>
        <n v="60240"/>
        <n v="60241"/>
        <n v="60242"/>
        <n v="60243"/>
        <n v="60244"/>
        <n v="60245"/>
        <n v="60246"/>
        <n v="60247"/>
        <n v="60248"/>
        <n v="60249"/>
        <n v="60250"/>
        <n v="60251"/>
        <n v="60252"/>
        <n v="60253"/>
        <n v="60254"/>
        <n v="60255"/>
        <n v="60256"/>
        <n v="60257"/>
        <n v="60258"/>
        <n v="60259"/>
        <n v="60260"/>
        <n v="60261"/>
        <n v="60262"/>
        <n v="60263"/>
        <n v="60264"/>
        <n v="60265"/>
        <n v="60266"/>
        <n v="60267"/>
        <n v="60268"/>
        <n v="60269"/>
        <n v="60270"/>
        <n v="60271"/>
        <n v="60272"/>
        <n v="60273"/>
        <n v="60274"/>
        <n v="60275"/>
        <n v="60276"/>
        <n v="60277"/>
        <n v="60278"/>
        <n v="60279"/>
        <n v="60280"/>
        <n v="60281"/>
        <n v="60282"/>
        <n v="60283"/>
        <n v="60284"/>
        <n v="60285"/>
        <n v="60286"/>
        <n v="60287"/>
        <n v="60288"/>
        <n v="60289"/>
        <n v="60290"/>
        <n v="60291"/>
        <n v="60292"/>
        <n v="60293"/>
        <n v="60294"/>
        <n v="60295"/>
        <n v="60296"/>
        <n v="60297"/>
        <n v="60298"/>
        <n v="60299"/>
        <n v="60300"/>
        <n v="60301"/>
        <n v="60302"/>
        <n v="60303"/>
        <n v="60304"/>
        <n v="60305"/>
        <n v="60306"/>
        <n v="60307"/>
        <n v="60308"/>
        <n v="60309"/>
        <n v="60310"/>
        <n v="60311"/>
        <n v="60312"/>
        <n v="60313"/>
        <n v="60314"/>
        <n v="60315"/>
        <n v="60316"/>
        <n v="60317"/>
        <n v="60318"/>
        <n v="60319"/>
        <n v="60320"/>
        <n v="60321"/>
        <n v="60322"/>
        <n v="60323"/>
        <n v="60324"/>
        <n v="60325"/>
        <n v="60326"/>
        <n v="60327"/>
        <n v="60328"/>
        <n v="60329"/>
        <n v="60330"/>
        <n v="60331"/>
        <n v="60332"/>
        <n v="60333"/>
        <n v="60334"/>
        <n v="60335"/>
        <n v="60336"/>
        <n v="60337"/>
        <n v="60338"/>
        <n v="60339"/>
        <n v="60340"/>
        <n v="60341"/>
        <n v="60342"/>
        <n v="60343"/>
        <n v="60344"/>
        <n v="60345"/>
        <n v="60346"/>
        <n v="60347"/>
        <n v="60348"/>
        <n v="60349"/>
        <n v="60350"/>
        <n v="60351"/>
        <n v="60352"/>
        <n v="60353"/>
        <n v="60354"/>
        <n v="60355"/>
        <n v="60356"/>
        <n v="60357"/>
        <n v="60358"/>
        <n v="60359"/>
        <n v="60360"/>
        <n v="60361"/>
        <n v="60362"/>
        <n v="60363"/>
        <n v="60364"/>
        <n v="60365"/>
        <n v="60366"/>
        <n v="60367"/>
        <n v="60368"/>
        <n v="60369"/>
        <n v="60370"/>
        <n v="60371"/>
        <n v="60372"/>
        <n v="60373"/>
        <n v="60374"/>
        <n v="60375"/>
        <n v="60376"/>
        <n v="60377"/>
        <n v="60378"/>
        <n v="60379"/>
        <n v="60380"/>
        <n v="60381"/>
        <n v="60382"/>
        <n v="60383"/>
        <n v="60384"/>
        <n v="60385"/>
        <n v="60386"/>
        <n v="60387"/>
        <n v="60388"/>
        <n v="60389"/>
        <n v="60390"/>
        <n v="60391"/>
        <n v="60392"/>
        <n v="60393"/>
      </sharedItems>
    </cacheField>
    <cacheField name="Address B" numFmtId="0">
      <sharedItems/>
    </cacheField>
    <cacheField name="Port B" numFmtId="0">
      <sharedItems containsSemiMixedTypes="0" containsString="0" containsNumber="1" containsInteger="1" minValue="80" maxValue="40036" count="251">
        <n v="4416"/>
        <n v="1759"/>
        <n v="2624"/>
        <n v="3060"/>
        <n v="2630"/>
        <n v="3061"/>
        <n v="4245"/>
        <n v="1745"/>
        <n v="1746"/>
        <n v="2548"/>
        <n v="3056"/>
        <n v="3057"/>
        <n v="3058"/>
        <n v="3059"/>
        <n v="4383"/>
        <n v="2557"/>
        <n v="2565"/>
        <n v="2567"/>
        <n v="2570"/>
        <n v="2584"/>
        <n v="2587"/>
        <n v="2588"/>
        <n v="2604"/>
        <n v="2605"/>
        <n v="2607"/>
        <n v="2619"/>
        <n v="2625"/>
        <n v="2626"/>
        <n v="2633"/>
        <n v="2644"/>
        <n v="2645"/>
        <n v="2649"/>
        <n v="2663"/>
        <n v="2665"/>
        <n v="2667"/>
        <n v="2682"/>
        <n v="2684"/>
        <n v="2686"/>
        <n v="2695"/>
        <n v="2703"/>
        <n v="2706"/>
        <n v="2708"/>
        <n v="2723"/>
        <n v="2725"/>
        <n v="2728"/>
        <n v="2742"/>
        <n v="2745"/>
        <n v="2747"/>
        <n v="2756"/>
        <n v="2764"/>
        <n v="2766"/>
        <n v="2770"/>
        <n v="2784"/>
        <n v="2786"/>
        <n v="2788"/>
        <n v="2802"/>
        <n v="2805"/>
        <n v="2806"/>
        <n v="2815"/>
        <n v="2822"/>
        <n v="2823"/>
        <n v="2828"/>
        <n v="2840"/>
        <n v="2841"/>
        <n v="2844"/>
        <n v="2859"/>
        <n v="2860"/>
        <n v="2861"/>
        <n v="2875"/>
        <n v="2877"/>
        <n v="2879"/>
        <n v="2887"/>
        <n v="2895"/>
        <n v="2897"/>
        <n v="2900"/>
        <n v="2914"/>
        <n v="2915"/>
        <n v="2916"/>
        <n v="2931"/>
        <n v="2933"/>
        <n v="2934"/>
        <n v="2942"/>
        <n v="2951"/>
        <n v="2952"/>
        <n v="2955"/>
        <n v="2969"/>
        <n v="2970"/>
        <n v="2971"/>
        <n v="2986"/>
        <n v="2988"/>
        <n v="2989"/>
        <n v="2999"/>
        <n v="3006"/>
        <n v="3007"/>
        <n v="3012"/>
        <n v="3025"/>
        <n v="3026"/>
        <n v="3028"/>
        <n v="3043"/>
        <n v="3044"/>
        <n v="3045"/>
        <n v="3063"/>
        <n v="3064"/>
        <n v="3073"/>
        <n v="3081"/>
        <n v="445"/>
        <n v="139"/>
        <n v="502"/>
        <n v="1688"/>
        <n v="4077"/>
        <n v="4078"/>
        <n v="4081"/>
        <n v="4082"/>
        <n v="14000"/>
        <n v="3978"/>
        <n v="3986"/>
        <n v="80"/>
        <n v="443"/>
        <n v="1433"/>
        <n v="1043"/>
        <n v="1042"/>
        <n v="3856"/>
        <n v="3857"/>
        <n v="3858"/>
        <n v="2590"/>
        <n v="2606"/>
        <n v="2496"/>
        <n v="2497"/>
        <n v="4075"/>
        <n v="4076"/>
        <n v="4079"/>
        <n v="4080"/>
        <n v="4083"/>
        <n v="4084"/>
        <n v="3859"/>
        <n v="3860"/>
        <n v="3861"/>
        <n v="3862"/>
        <n v="2646"/>
        <n v="3062"/>
        <n v="2664"/>
        <n v="3389"/>
        <n v="5900"/>
        <n v="4861"/>
        <n v="3055"/>
        <n v="1528"/>
        <n v="1527"/>
        <n v="3863"/>
        <n v="1526"/>
        <n v="3864"/>
        <n v="3865"/>
        <n v="3866"/>
        <n v="4411"/>
        <n v="4410"/>
        <n v="4229"/>
        <n v="1530"/>
        <n v="1531"/>
        <n v="4406"/>
        <n v="1532"/>
        <n v="1533"/>
        <n v="3243"/>
        <n v="1519"/>
        <n v="4231"/>
        <n v="1536"/>
        <n v="4409"/>
        <n v="4230"/>
        <n v="1534"/>
        <n v="1535"/>
        <n v="1529"/>
        <n v="1537"/>
        <n v="1525"/>
        <n v="4408"/>
        <n v="1538"/>
        <n v="4235"/>
        <n v="1747"/>
        <n v="2566"/>
        <n v="2585"/>
        <n v="4236"/>
        <n v="1767"/>
        <n v="1521"/>
        <n v="1522"/>
        <n v="4242"/>
        <n v="4415"/>
        <n v="1768"/>
        <n v="1769"/>
        <n v="2392"/>
        <n v="2393"/>
        <n v="4246"/>
        <n v="4244"/>
        <n v="1770"/>
        <n v="1771"/>
        <n v="4413"/>
        <n v="4417"/>
        <n v="4232"/>
        <n v="1748"/>
        <n v="1756"/>
        <n v="1520"/>
        <n v="4240"/>
        <n v="1541"/>
        <n v="4241"/>
        <n v="4243"/>
        <n v="3241"/>
        <n v="4412"/>
        <n v="4233"/>
        <n v="4239"/>
        <n v="4234"/>
        <n v="3240"/>
        <n v="1523"/>
        <n v="1524"/>
        <n v="4407"/>
        <n v="4237"/>
        <n v="1539"/>
        <n v="2394"/>
        <n v="2395"/>
        <n v="4238"/>
        <n v="1540"/>
        <n v="3242"/>
        <n v="40031"/>
        <n v="40003"/>
        <n v="40022"/>
        <n v="40010"/>
        <n v="40035"/>
        <n v="40008"/>
        <n v="12350"/>
        <n v="40020"/>
        <n v="40015"/>
        <n v="33033"/>
        <n v="40030"/>
        <n v="40012"/>
        <n v="40016"/>
        <n v="40029"/>
        <n v="40002"/>
        <n v="40026"/>
        <n v="40011"/>
        <n v="40009"/>
        <n v="40024"/>
        <n v="40018"/>
        <n v="40023"/>
        <n v="40028"/>
        <n v="40005"/>
        <n v="40001"/>
        <n v="40033"/>
        <n v="40006"/>
        <n v="40021"/>
        <n v="40036"/>
        <n v="40034"/>
        <n v="40007"/>
        <n v="40017"/>
        <n v="40032"/>
        <n v="40004"/>
        <n v="40027"/>
      </sharedItems>
    </cacheField>
    <cacheField name="Packets" numFmtId="0">
      <sharedItems containsSemiMixedTypes="0" containsString="0" containsNumber="1" containsInteger="1" minValue="1" maxValue="54564"/>
    </cacheField>
    <cacheField name="Bytes" numFmtId="0">
      <sharedItems containsSemiMixedTypes="0" containsString="0" containsNumber="1" containsInteger="1" minValue="60" maxValue="19123217" count="112">
        <n v="186"/>
        <n v="62"/>
        <n v="180"/>
        <n v="2560"/>
        <n v="2680"/>
        <n v="2734"/>
        <n v="2614"/>
        <n v="2934"/>
        <n v="2500"/>
        <n v="2620"/>
        <n v="3053"/>
        <n v="2801"/>
        <n v="2740"/>
        <n v="2999"/>
        <n v="2440"/>
        <n v="264930"/>
        <n v="149971"/>
        <n v="189861"/>
        <n v="66"/>
        <n v="614"/>
        <n v="613"/>
        <n v="733"/>
        <n v="553"/>
        <n v="176642"/>
        <n v="244695"/>
        <n v="397116"/>
        <n v="7534"/>
        <n v="22912"/>
        <n v="66458"/>
        <n v="19734"/>
        <n v="2732"/>
        <n v="6465450"/>
        <n v="23500"/>
        <n v="23200"/>
        <n v="9173"/>
        <n v="9337"/>
        <n v="24084"/>
        <n v="23576"/>
        <n v="23838"/>
        <n v="147885"/>
        <n v="376260"/>
        <n v="202444"/>
        <n v="202324"/>
        <n v="148482"/>
        <n v="471867"/>
        <n v="147825"/>
        <n v="24052"/>
        <n v="23872"/>
        <n v="124"/>
        <n v="194"/>
        <n v="559"/>
        <n v="593"/>
        <n v="623"/>
        <n v="627"/>
        <n v="1136"/>
        <n v="424"/>
        <n v="645"/>
        <n v="635"/>
        <n v="619"/>
        <n v="653"/>
        <n v="1076"/>
        <n v="544"/>
        <n v="57111"/>
        <n v="128"/>
        <n v="394152"/>
        <n v="394360"/>
        <n v="4940"/>
        <n v="60"/>
        <n v="276"/>
        <n v="315"/>
        <n v="375"/>
        <n v="120"/>
        <n v="2804"/>
        <n v="3292"/>
        <n v="1490"/>
        <n v="1520"/>
        <n v="2530"/>
        <n v="132"/>
        <n v="192"/>
        <n v="64"/>
        <n v="320"/>
        <n v="256"/>
        <n v="317"/>
        <n v="693"/>
        <n v="3527"/>
        <n v="2266"/>
        <n v="3311"/>
        <n v="3467"/>
        <n v="198546"/>
        <n v="4294"/>
        <n v="8710375"/>
        <n v="882"/>
        <n v="2591"/>
        <n v="239586"/>
        <n v="2471"/>
        <n v="543957"/>
        <n v="1072123"/>
        <n v="2679318"/>
        <n v="198016"/>
        <n v="196282"/>
        <n v="756602"/>
        <n v="19123217"/>
        <n v="11884209"/>
        <n v="11478429"/>
        <n v="390"/>
        <n v="8778122"/>
        <n v="201904"/>
        <n v="70418"/>
        <n v="196952"/>
        <n v="21644"/>
        <n v="4994"/>
        <n v="4989"/>
      </sharedItems>
    </cacheField>
    <cacheField name="Packets A → B" numFmtId="0">
      <sharedItems containsSemiMixedTypes="0" containsString="0" containsNumber="1" containsInteger="1" minValue="0" maxValue="54564"/>
    </cacheField>
    <cacheField name="Bytes A → B" numFmtId="0">
      <sharedItems containsSemiMixedTypes="0" containsString="0" containsNumber="1" containsInteger="1" minValue="0" maxValue="9466530"/>
    </cacheField>
    <cacheField name="Packets B → A" numFmtId="0">
      <sharedItems containsSemiMixedTypes="0" containsString="0" containsNumber="1" containsInteger="1" minValue="0" maxValue="14409"/>
    </cacheField>
    <cacheField name="Bytes B → A" numFmtId="0">
      <sharedItems containsSemiMixedTypes="0" containsString="0" containsNumber="1" containsInteger="1" minValue="0" maxValue="18658002"/>
    </cacheField>
    <cacheField name="Rel Start" numFmtId="0">
      <sharedItems containsSemiMixedTypes="0" containsString="0" containsNumber="1" minValue="0" maxValue="901.913229"/>
    </cacheField>
    <cacheField name="Duration" numFmtId="0">
      <sharedItems containsSemiMixedTypes="0" containsString="0" containsNumber="1" minValue="0" maxValue="902.78915700000005"/>
    </cacheField>
    <cacheField name="Bits/s A → B" numFmtId="0">
      <sharedItems containsSemiMixedTypes="0" containsString="0" containsNumber="1" minValue="0" maxValue="2115305.1643195902"/>
    </cacheField>
    <cacheField name="Bits/s B → A" numFmtId="0">
      <sharedItems containsSemiMixedTypes="0" containsString="0" containsNumber="1" minValue="0" maxValue="2717458.5711332601"/>
    </cacheField>
    <cacheField name="FullAddress A" numFmtId="0">
      <sharedItems count="93">
        <s v="010.001.001.012"/>
        <s v="010.001.002.005"/>
        <s v="010.001.002.099"/>
        <s v="010.010.010.017"/>
        <s v="010.010.010.018"/>
        <s v="010.011.001.012"/>
        <s v="010.011.001.014"/>
        <s v="010.011.001.031"/>
        <s v="010.011.001.079"/>
        <s v="010.011.001.080"/>
        <s v="010.011.001.159"/>
        <s v="010.011.001.190"/>
        <s v="010.011.002.031"/>
        <s v="010.011.003.007"/>
        <s v="010.011.009.008"/>
        <s v="010.011.009.036"/>
        <s v="010.011.009.037"/>
        <s v="010.011.009.178"/>
        <s v="010.011.009.194"/>
        <s v="010.012.000.001"/>
        <s v="010.012.000.002"/>
        <s v="010.012.000.007"/>
        <s v="010.012.000.022"/>
        <s v="010.012.000.041"/>
        <s v="010.012.000.042"/>
        <s v="010.012.000.062"/>
        <s v="010.012.000.063"/>
        <s v="010.012.000.065"/>
        <s v="010.012.000.071"/>
        <s v="010.012.000.122"/>
        <s v="010.012.000.141"/>
        <s v="010.012.000.162"/>
        <s v="010.012.000.163"/>
        <s v="010.012.000.184"/>
        <s v="010.012.000.190"/>
        <s v="010.012.000.201"/>
        <s v="010.012.000.202"/>
        <s v="010.012.000.241"/>
        <s v="010.012.000.251"/>
        <s v="010.012.000.252"/>
        <s v="010.012.000.253"/>
        <s v="010.012.001.124"/>
        <s v="010.012.129.252"/>
        <s v="010.015.035.107"/>
        <s v="010.015.097.041"/>
        <s v="010.015.098.041"/>
        <s v="010.020.097.012"/>
        <s v="010.020.097.017"/>
        <s v="010.020.097.087"/>
        <s v="010.021.097.011"/>
        <s v="010.021.097.035"/>
        <s v="010.033.010.006"/>
        <s v="010.033.010.007"/>
        <s v="010.033.010.008"/>
        <s v="010.080.001.065"/>
        <s v="010.080.002.057"/>
        <s v="010.082.001.030"/>
        <s v="010.082.001.038"/>
        <s v="010.086.001.012"/>
        <s v="010.095.001.018"/>
        <s v="010.095.001.135"/>
        <s v="010.095.032.032"/>
        <s v="010.095.032.103"/>
        <s v="010.095.079.040"/>
        <s v="010.112.001.076"/>
        <s v="010.113.010.001"/>
        <s v="010.113.010.013"/>
        <s v="010.114.001.101"/>
        <s v="010.114.001.107"/>
        <s v="010.115.001.003"/>
        <s v="010.115.001.006"/>
        <s v="010.115.001.017"/>
        <s v="010.116.001.001"/>
        <s v="010.116.001.003"/>
        <s v="010.116.001.041"/>
        <s v="010.119.001.002"/>
        <s v="010.119.001.003"/>
        <s v="010.120.001.001"/>
        <s v="010.120.001.005"/>
        <s v="010.121.001.005"/>
        <s v="010.121.001.014"/>
        <s v="010.121.001.016"/>
        <s v="010.125.020.012"/>
        <s v="010.130.001.003"/>
        <s v="010.130.021.133"/>
        <s v="010.134.001.007"/>
        <s v="010.134.001.010"/>
        <s v="010.136.001.001"/>
        <s v="010.136.001.003"/>
        <s v="010.136.001.009"/>
        <s v="010.136.001.011"/>
        <s v="010.238.101.079"/>
        <s v="192.168.100.002"/>
      </sharedItems>
    </cacheField>
    <cacheField name="FullAddress B" numFmtId="0">
      <sharedItems count="254">
        <s v="010.012.000.190"/>
        <s v="010.012.000.252"/>
        <s v="010.012.000.001"/>
        <s v="010.012.000.063"/>
        <s v="010.012.000.064"/>
        <s v="010.012.000.074"/>
        <s v="010.012.000.072"/>
        <s v="010.012.000.073"/>
        <s v="010.012.001.024"/>
        <s v="010.012.000.041"/>
        <s v="010.012.017.019"/>
        <s v="010.012.017.020"/>
        <s v="010.012.001.157"/>
        <s v="010.012.001.080"/>
        <s v="010.012.001.240"/>
        <s v="010.012.001.033"/>
        <s v="010.012.000.241"/>
        <s v="010.012.001.102"/>
        <s v="010.012.001.241"/>
        <s v="010.012.001.242"/>
        <s v="010.011.009.028"/>
        <s v="095.101.113.027"/>
        <s v="095.101.113.032"/>
        <s v="095.101.113.042"/>
        <s v="095.101.113.024"/>
        <s v="095.101.113.041"/>
        <s v="095.101.113.034"/>
        <s v="095.101.113.033"/>
        <s v="095.101.113.026"/>
        <s v="095.101.113.040"/>
        <s v="010.238.200.037"/>
        <s v="023.000.040.234"/>
        <s v="010.011.009.208"/>
        <s v="143.166.135.105"/>
        <s v="172.217.022.068"/>
        <s v="143.166.147.101"/>
        <s v="095.101.113.048"/>
        <s v="095.101.113.049"/>
        <s v="095.101.113.008"/>
        <s v="095.101.113.010"/>
        <s v="095.101.113.009"/>
        <s v="095.101.113.043"/>
        <s v="040.077.226.249"/>
        <s v="040.077.226.250"/>
        <s v="191.238.240.012"/>
        <s v="010.011.001.149"/>
        <s v="023.032.124.029"/>
        <s v="010.238.101.079"/>
        <s v="010.001.001.012"/>
        <s v="010.114.001.100"/>
        <s v="010.134.001.011"/>
        <s v="010.112.001.011"/>
        <s v="010.120.001.001"/>
        <s v="010.115.001.006"/>
        <s v="010.082.001.030"/>
        <s v="010.011.001.012"/>
        <s v="010.080.001.065"/>
        <s v="010.121.001.005"/>
        <s v="010.086.001.012"/>
        <s v="010.119.001.003"/>
        <s v="010.130.001.003"/>
        <s v="010.136.001.001"/>
        <s v="010.095.001.018"/>
        <s v="010.116.001.001"/>
        <s v="010.113.010.001"/>
        <s v="010.033.010.008"/>
        <s v="010.095.032.032"/>
        <s v="010.012.128.164"/>
        <s v="010.012.000.018"/>
        <s v="010.012.000.178"/>
        <s v="010.012.000.240"/>
        <s v="010.012.000.040"/>
        <s v="010.012.000.036"/>
        <s v="010.012.000.038"/>
        <s v="010.012.000.039"/>
        <s v="010.012.000.059"/>
        <s v="010.012.000.060"/>
        <s v="010.012.000.254"/>
        <s v="010.012.000.139"/>
        <s v="010.012.000.080"/>
        <s v="010.012.000.079"/>
        <s v="010.012.000.135"/>
        <s v="010.012.000.017"/>
        <s v="010.012.000.177"/>
        <s v="010.012.000.200"/>
        <s v="010.012.001.125"/>
        <s v="010.012.000.199"/>
        <s v="010.012.000.180"/>
        <s v="010.012.000.134"/>
        <s v="092.123.194.164"/>
        <s v="023.037.043.027"/>
        <s v="092.123.194.116"/>
        <s v="023.037.037.163"/>
        <s v="010.001.001.002"/>
        <s v="010.001.001.003"/>
        <s v="010.012.128.180"/>
        <s v="010.012.128.179"/>
        <s v="010.012.128.040"/>
        <s v="010.012.128.060"/>
        <s v="010.012.000.065"/>
        <s v="010.012.000.002"/>
        <s v="010.012.000.223"/>
        <s v="010.012.000.145"/>
        <s v="010.012.000.143"/>
        <s v="010.012.000.144"/>
        <s v="010.012.000.121"/>
        <s v="010.012.000.061"/>
        <s v="010.012.000.062"/>
        <s v="010.012.001.194"/>
        <s v="010.012.000.186"/>
        <s v="010.012.000.007"/>
        <s v="111.221.077.162"/>
        <s v="157.056.052.020"/>
        <s v="157.055.235.176"/>
        <s v="157.055.056.156"/>
        <s v="157.056.052.013"/>
        <s v="157.055.130.169"/>
        <s v="111.221.077.145"/>
        <s v="103.043.075.140"/>
        <s v="091.190.218.052"/>
        <s v="157.055.056.161"/>
        <s v="157.055.235.153"/>
        <s v="157.055.056.146"/>
        <s v="157.056.052.048"/>
        <s v="065.055.223.034"/>
        <s v="157.055.056.159"/>
        <s v="157.055.056.141"/>
        <s v="078.046.049.023"/>
        <s v="157.056.052.017"/>
        <s v="157.056.052.022"/>
        <s v="064.004.023.153"/>
        <s v="085.025.103.030"/>
        <s v="157.055.130.168"/>
        <s v="065.055.223.039"/>
        <s v="157.056.052.019"/>
        <s v="157.056.052.023"/>
        <s v="064.004.023.156"/>
        <s v="157.056.052.026"/>
        <s v="064.004.023.160"/>
        <s v="157.055.130.149"/>
        <s v="091.190.218.057"/>
        <s v="111.221.077.171"/>
        <s v="157.055.056.174"/>
        <s v="111.221.077.140"/>
        <s v="157.055.235.162"/>
        <s v="065.055.223.018"/>
        <s v="157.056.052.044"/>
        <s v="064.004.023.149"/>
        <s v="064.004.023.169"/>
        <s v="157.055.056.162"/>
        <s v="157.055.235.173"/>
        <s v="157.055.235.167"/>
        <s v="157.055.056.145"/>
        <s v="064.004.023.140"/>
        <s v="157.055.235.165"/>
        <s v="064.004.023.146"/>
        <s v="091.190.218.064"/>
        <s v="064.004.023.161"/>
        <s v="111.221.077.148"/>
        <s v="111.221.077.156"/>
        <s v="157.055.130.151"/>
        <s v="157.055.235.142"/>
        <s v="157.056.052.046"/>
        <s v="064.004.023.141"/>
        <s v="157.055.056.147"/>
        <s v="157.055.130.143"/>
        <s v="157.056.052.018"/>
        <s v="157.055.056.167"/>
        <s v="065.055.223.025"/>
        <s v="157.056.052.043"/>
        <s v="065.055.223.024"/>
        <s v="157.056.052.040"/>
        <s v="157.055.235.152"/>
        <s v="091.190.218.058"/>
        <s v="157.055.235.158"/>
        <s v="157.055.235.146"/>
        <s v="065.055.223.035"/>
        <s v="157.055.056.153"/>
        <s v="065.055.223.032"/>
        <s v="065.055.223.046"/>
        <s v="157.055.130.176"/>
        <s v="065.055.223.028"/>
        <s v="065.055.223.012"/>
        <s v="157.055.056.169"/>
        <s v="157.055.235.141"/>
        <s v="157.055.235.140"/>
        <s v="111.221.077.165"/>
        <s v="091.190.218.051"/>
        <s v="111.221.077.153"/>
        <s v="157.056.052.014"/>
        <s v="111.221.077.150"/>
        <s v="091.190.218.059"/>
        <s v="111.221.077.146"/>
        <s v="157.055.130.174"/>
        <s v="157.055.056.176"/>
        <s v="091.190.219.044"/>
        <s v="157.056.052.021"/>
        <s v="064.004.023.170"/>
        <s v="157.056.052.037"/>
        <s v="065.055.223.031"/>
        <s v="157.056.052.034"/>
        <s v="157.056.052.025"/>
        <s v="091.190.218.066"/>
        <s v="111.221.077.176"/>
        <s v="065.055.223.014"/>
        <s v="157.055.056.154"/>
        <s v="157.055.235.170"/>
        <s v="111.221.077.159"/>
        <s v="157.055.235.160"/>
        <s v="065.055.223.044"/>
        <s v="111.221.077.151"/>
        <s v="064.004.023.151"/>
        <s v="157.055.130.170"/>
        <s v="157.055.235.151"/>
        <s v="157.055.235.164"/>
        <s v="157.055.235.168"/>
        <s v="157.055.130.172"/>
        <s v="157.055.056.149"/>
        <s v="065.055.223.021"/>
        <s v="157.055.056.170"/>
        <s v="065.055.223.019"/>
        <s v="157.055.056.148"/>
        <s v="111.221.077.152"/>
        <s v="111.221.077.141"/>
        <s v="157.055.235.147"/>
        <s v="157.055.130.162"/>
        <s v="064.004.023.168"/>
        <s v="157.055.130.140"/>
        <s v="064.004.023.163"/>
        <s v="157.055.235.149"/>
        <s v="157.055.130.173"/>
        <s v="157.055.130.152"/>
        <s v="157.055.056.151"/>
        <s v="157.055.130.171"/>
        <s v="157.055.130.144"/>
        <s v="157.055.056.164"/>
        <s v="157.055.130.148"/>
        <s v="157.055.056.152"/>
        <s v="157.056.052.039"/>
        <s v="065.055.223.022"/>
        <s v="065.055.223.042"/>
        <s v="111.221.077.164"/>
        <s v="111.221.077.155"/>
        <s v="157.055.130.156"/>
        <s v="157.055.130.158"/>
        <s v="065.055.223.013"/>
        <s v="064.004.023.174"/>
        <s v="157.055.056.173"/>
        <s v="157.056.052.035"/>
        <s v="111.221.077.170"/>
        <s v="065.055.223.017"/>
        <s v="157.056.052.041"/>
        <s v="157.055.130.155"/>
        <s v="157.055.130.146"/>
      </sharedItems>
    </cacheField>
    <cacheField name="Asset Name A" numFmtId="0">
      <sharedItems/>
    </cacheField>
    <cacheField name="Asset Name B" numFmtId="0">
      <sharedItems containsMixedTypes="1" containsNumber="1" containsInteger="1" minValue="0" maxValue="0"/>
    </cacheField>
    <cacheField name="Site A" numFmtId="0">
      <sharedItems/>
    </cacheField>
    <cacheField name="Site B" numFmtId="0">
      <sharedItems/>
    </cacheField>
    <cacheField name="Network Type A" numFmtId="0">
      <sharedItems count="3">
        <e v="#N/A"/>
        <s v="iFIX Nodes &amp; Ethernet Switches"/>
        <s v="PLCs &amp; Control Equipment"/>
      </sharedItems>
    </cacheField>
    <cacheField name="Network Type B" numFmtId="0">
      <sharedItems count="4">
        <s v="iFIX Nodes &amp; Ethernet Switches"/>
        <s v="PLCs &amp; Control Equipment"/>
        <s v="Motor Control Equipment"/>
        <e v="#N/A"/>
      </sharedItems>
    </cacheField>
    <cacheField name="Traffic Type" numFmtId="0">
      <sharedItems count="8">
        <e v="#N/A"/>
        <s v="SMB"/>
        <s v="TCP Netbios"/>
        <s v="Modbus"/>
        <s v="HTTP"/>
        <s v="HTTP/S"/>
        <s v="SQL-Server"/>
        <s v="RDP"/>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5">
  <r>
    <s v="10.1.1.12"/>
    <x v="0"/>
    <s v="10.12.0.190"/>
    <x v="0"/>
    <n v="3"/>
    <x v="0"/>
    <n v="0"/>
    <n v="0"/>
    <n v="3"/>
    <n v="186"/>
    <n v="822.22951"/>
    <n v="9.0268879999999907"/>
    <n v="0"/>
    <n v="164.84086209998401"/>
    <x v="0"/>
    <x v="0"/>
    <e v="#N/A"/>
    <s v="PPPCRF10"/>
    <e v="#N/A"/>
    <s v="Refinery"/>
    <x v="0"/>
    <x v="0"/>
    <x v="0"/>
  </r>
  <r>
    <s v="10.1.2.5"/>
    <x v="1"/>
    <s v="10.12.0.252"/>
    <x v="1"/>
    <n v="3"/>
    <x v="0"/>
    <n v="0"/>
    <n v="0"/>
    <n v="3"/>
    <n v="186"/>
    <n v="725.65327000000002"/>
    <n v="8.9811959999999509"/>
    <n v="0"/>
    <n v="165.67949302075201"/>
    <x v="1"/>
    <x v="1"/>
    <e v="#N/A"/>
    <s v="PP_FIX3"/>
    <e v="#N/A"/>
    <s v="Other ProcN Devices"/>
    <x v="0"/>
    <x v="0"/>
    <x v="0"/>
  </r>
  <r>
    <s v="10.1.2.99"/>
    <x v="1"/>
    <s v="10.12.0.1"/>
    <x v="2"/>
    <n v="3"/>
    <x v="0"/>
    <n v="0"/>
    <n v="0"/>
    <n v="3"/>
    <n v="186"/>
    <n v="108.09550400000001"/>
    <n v="8.9742199999999901"/>
    <n v="0"/>
    <n v="165.80828194539501"/>
    <x v="2"/>
    <x v="2"/>
    <e v="#N/A"/>
    <s v="PPPCFC1"/>
    <e v="#N/A"/>
    <s v="Fume Control"/>
    <x v="0"/>
    <x v="0"/>
    <x v="0"/>
  </r>
  <r>
    <s v="10.1.2.99"/>
    <x v="1"/>
    <s v="10.12.0.63"/>
    <x v="3"/>
    <n v="3"/>
    <x v="0"/>
    <n v="0"/>
    <n v="0"/>
    <n v="3"/>
    <n v="186"/>
    <n v="115.75004300000001"/>
    <n v="8.9493859999999898"/>
    <n v="0"/>
    <n v="166.268389809089"/>
    <x v="2"/>
    <x v="3"/>
    <e v="#N/A"/>
    <s v="PPPCPET3"/>
    <e v="#N/A"/>
    <s v="PETs Plant"/>
    <x v="0"/>
    <x v="0"/>
    <x v="0"/>
  </r>
  <r>
    <s v="10.1.2.99"/>
    <x v="1"/>
    <s v="10.12.0.1"/>
    <x v="4"/>
    <n v="3"/>
    <x v="0"/>
    <n v="0"/>
    <n v="0"/>
    <n v="3"/>
    <n v="186"/>
    <n v="129.04155600000001"/>
    <n v="8.9526859999999999"/>
    <n v="0"/>
    <n v="166.20710253883601"/>
    <x v="2"/>
    <x v="2"/>
    <e v="#N/A"/>
    <s v="PPPCFC1"/>
    <e v="#N/A"/>
    <s v="Fume Control"/>
    <x v="0"/>
    <x v="0"/>
    <x v="0"/>
  </r>
  <r>
    <s v="10.1.2.99"/>
    <x v="1"/>
    <s v="10.12.0.63"/>
    <x v="5"/>
    <n v="3"/>
    <x v="0"/>
    <n v="0"/>
    <n v="0"/>
    <n v="3"/>
    <n v="186"/>
    <n v="136.731537"/>
    <n v="8.9684010000000001"/>
    <n v="0"/>
    <n v="165.91586393159699"/>
    <x v="2"/>
    <x v="3"/>
    <e v="#N/A"/>
    <s v="PPPCPET3"/>
    <e v="#N/A"/>
    <s v="PETs Plant"/>
    <x v="0"/>
    <x v="0"/>
    <x v="0"/>
  </r>
  <r>
    <s v="10.1.2.99"/>
    <x v="1"/>
    <s v="10.12.0.64"/>
    <x v="6"/>
    <n v="3"/>
    <x v="0"/>
    <n v="0"/>
    <n v="0"/>
    <n v="3"/>
    <n v="186"/>
    <n v="617.00946499999998"/>
    <n v="8.9960630000000492"/>
    <n v="0"/>
    <n v="165.40568913312299"/>
    <x v="2"/>
    <x v="4"/>
    <e v="#N/A"/>
    <s v="PPPCPET4"/>
    <e v="#N/A"/>
    <s v="PETs Plant"/>
    <x v="0"/>
    <x v="0"/>
    <x v="0"/>
  </r>
  <r>
    <s v="10.10.10.17"/>
    <x v="1"/>
    <s v="10.12.0.252"/>
    <x v="7"/>
    <n v="3"/>
    <x v="0"/>
    <n v="0"/>
    <n v="0"/>
    <n v="3"/>
    <n v="186"/>
    <n v="604.63649199999998"/>
    <n v="9.1373170000000492"/>
    <n v="0"/>
    <n v="162.84867866573899"/>
    <x v="3"/>
    <x v="1"/>
    <e v="#N/A"/>
    <s v="PP_FIX3"/>
    <e v="#N/A"/>
    <s v="Other ProcN Devices"/>
    <x v="0"/>
    <x v="0"/>
    <x v="0"/>
  </r>
  <r>
    <s v="10.10.10.17"/>
    <x v="1"/>
    <s v="10.12.0.252"/>
    <x v="8"/>
    <n v="3"/>
    <x v="0"/>
    <n v="0"/>
    <n v="0"/>
    <n v="3"/>
    <n v="186"/>
    <n v="625.807502"/>
    <n v="8.9665690000000495"/>
    <n v="0"/>
    <n v="165.94976294723099"/>
    <x v="3"/>
    <x v="1"/>
    <e v="#N/A"/>
    <s v="PP_FIX3"/>
    <e v="#N/A"/>
    <s v="Other ProcN Devices"/>
    <x v="0"/>
    <x v="0"/>
    <x v="0"/>
  </r>
  <r>
    <s v="10.10.10.18"/>
    <x v="1"/>
    <s v="10.12.0.1"/>
    <x v="9"/>
    <n v="1"/>
    <x v="1"/>
    <n v="0"/>
    <n v="0"/>
    <n v="1"/>
    <n v="62"/>
    <n v="2.4877159999999998"/>
    <n v="0"/>
    <n v="0"/>
    <n v="0"/>
    <x v="4"/>
    <x v="2"/>
    <e v="#N/A"/>
    <s v="PPPCFC1"/>
    <e v="#N/A"/>
    <s v="Fume Control"/>
    <x v="0"/>
    <x v="0"/>
    <x v="0"/>
  </r>
  <r>
    <s v="10.10.10.18"/>
    <x v="1"/>
    <s v="10.12.0.63"/>
    <x v="10"/>
    <n v="3"/>
    <x v="0"/>
    <n v="0"/>
    <n v="0"/>
    <n v="3"/>
    <n v="186"/>
    <n v="26.387826"/>
    <n v="9.1697260000000007"/>
    <n v="0"/>
    <n v="162.27311481280901"/>
    <x v="4"/>
    <x v="3"/>
    <e v="#N/A"/>
    <s v="PPPCPET3"/>
    <e v="#N/A"/>
    <s v="PETs Plant"/>
    <x v="0"/>
    <x v="0"/>
    <x v="0"/>
  </r>
  <r>
    <s v="10.10.10.18"/>
    <x v="1"/>
    <s v="10.12.0.63"/>
    <x v="11"/>
    <n v="3"/>
    <x v="0"/>
    <n v="0"/>
    <n v="0"/>
    <n v="3"/>
    <n v="186"/>
    <n v="47.588743000000001"/>
    <n v="9.2966169999999995"/>
    <n v="0"/>
    <n v="160.05822333005699"/>
    <x v="4"/>
    <x v="3"/>
    <e v="#N/A"/>
    <s v="PPPCPET3"/>
    <e v="#N/A"/>
    <s v="PETs Plant"/>
    <x v="0"/>
    <x v="0"/>
    <x v="0"/>
  </r>
  <r>
    <s v="10.10.10.18"/>
    <x v="1"/>
    <s v="10.12.0.63"/>
    <x v="12"/>
    <n v="3"/>
    <x v="0"/>
    <n v="0"/>
    <n v="0"/>
    <n v="3"/>
    <n v="186"/>
    <n v="68.919303999999997"/>
    <n v="9.1853070000000105"/>
    <n v="0"/>
    <n v="161.99785156881501"/>
    <x v="4"/>
    <x v="3"/>
    <e v="#N/A"/>
    <s v="PPPCPET3"/>
    <e v="#N/A"/>
    <s v="PETs Plant"/>
    <x v="0"/>
    <x v="0"/>
    <x v="0"/>
  </r>
  <r>
    <s v="10.10.10.18"/>
    <x v="1"/>
    <s v="10.12.0.63"/>
    <x v="13"/>
    <n v="3"/>
    <x v="0"/>
    <n v="0"/>
    <n v="0"/>
    <n v="3"/>
    <n v="186"/>
    <n v="90.246626000000006"/>
    <n v="8.9677930000000003"/>
    <n v="0"/>
    <n v="165.92711272439001"/>
    <x v="4"/>
    <x v="3"/>
    <e v="#N/A"/>
    <s v="PPPCPET3"/>
    <e v="#N/A"/>
    <s v="PETs Plant"/>
    <x v="0"/>
    <x v="0"/>
    <x v="0"/>
  </r>
  <r>
    <s v="10.11.1.12"/>
    <x v="0"/>
    <s v="10.12.0.190"/>
    <x v="14"/>
    <n v="3"/>
    <x v="0"/>
    <n v="0"/>
    <n v="0"/>
    <n v="3"/>
    <n v="186"/>
    <n v="191.00733299999999"/>
    <n v="9.1455789999999997"/>
    <n v="0"/>
    <n v="162.70156323618201"/>
    <x v="5"/>
    <x v="0"/>
    <e v="#N/A"/>
    <s v="PPPCRF10"/>
    <e v="#N/A"/>
    <s v="Refinery"/>
    <x v="0"/>
    <x v="0"/>
    <x v="0"/>
  </r>
  <r>
    <s v="10.11.1.14"/>
    <x v="2"/>
    <s v="10.12.0.1"/>
    <x v="15"/>
    <n v="3"/>
    <x v="2"/>
    <n v="2"/>
    <n v="120"/>
    <n v="1"/>
    <n v="60"/>
    <n v="7.3332999999999995E-2"/>
    <n v="9.7505579999999998"/>
    <n v="98.455903754431304"/>
    <n v="49.227951877215602"/>
    <x v="6"/>
    <x v="2"/>
    <e v="#N/A"/>
    <s v="PPPCFC1"/>
    <e v="#N/A"/>
    <s v="Fume Control"/>
    <x v="0"/>
    <x v="0"/>
    <x v="0"/>
  </r>
  <r>
    <s v="10.11.1.14"/>
    <x v="2"/>
    <s v="10.12.0.1"/>
    <x v="16"/>
    <n v="12"/>
    <x v="3"/>
    <n v="5"/>
    <n v="326"/>
    <n v="7"/>
    <n v="2234"/>
    <n v="9.8825559999999992"/>
    <n v="9.9413269999999994"/>
    <n v="262.33922292265402"/>
    <n v="1797.7479264086201"/>
    <x v="6"/>
    <x v="2"/>
    <e v="#N/A"/>
    <s v="PPPCFC1"/>
    <e v="#N/A"/>
    <s v="Fume Control"/>
    <x v="0"/>
    <x v="0"/>
    <x v="0"/>
  </r>
  <r>
    <s v="10.11.1.14"/>
    <x v="2"/>
    <s v="10.12.0.1"/>
    <x v="17"/>
    <n v="12"/>
    <x v="3"/>
    <n v="6"/>
    <n v="386"/>
    <n v="6"/>
    <n v="2174"/>
    <n v="19.882873"/>
    <n v="9.9411640000000006"/>
    <n v="310.62760859794702"/>
    <n v="1749.49331889103"/>
    <x v="6"/>
    <x v="2"/>
    <e v="#N/A"/>
    <s v="PPPCFC1"/>
    <e v="#N/A"/>
    <s v="Fume Control"/>
    <x v="0"/>
    <x v="0"/>
    <x v="0"/>
  </r>
  <r>
    <s v="10.11.1.14"/>
    <x v="2"/>
    <s v="10.12.0.1"/>
    <x v="18"/>
    <n v="12"/>
    <x v="3"/>
    <n v="5"/>
    <n v="326"/>
    <n v="7"/>
    <n v="2234"/>
    <n v="29.891175"/>
    <n v="9.9330029999999994"/>
    <n v="262.55906698105298"/>
    <n v="1799.2544651400999"/>
    <x v="6"/>
    <x v="2"/>
    <e v="#N/A"/>
    <s v="PPPCFC1"/>
    <e v="#N/A"/>
    <s v="Fume Control"/>
    <x v="0"/>
    <x v="0"/>
    <x v="0"/>
  </r>
  <r>
    <s v="10.11.1.14"/>
    <x v="2"/>
    <s v="10.12.0.1"/>
    <x v="19"/>
    <n v="14"/>
    <x v="4"/>
    <n v="6"/>
    <n v="386"/>
    <n v="8"/>
    <n v="2294"/>
    <n v="40.011088000000001"/>
    <n v="9.8135739999999991"/>
    <n v="314.66619602603498"/>
    <n v="1870.0628333775201"/>
    <x v="6"/>
    <x v="2"/>
    <e v="#N/A"/>
    <s v="PPPCFC1"/>
    <e v="#N/A"/>
    <s v="Fume Control"/>
    <x v="0"/>
    <x v="0"/>
    <x v="0"/>
  </r>
  <r>
    <s v="10.11.1.14"/>
    <x v="2"/>
    <s v="10.12.0.1"/>
    <x v="20"/>
    <n v="15"/>
    <x v="5"/>
    <n v="7"/>
    <n v="446"/>
    <n v="8"/>
    <n v="2288"/>
    <n v="49.885821999999997"/>
    <n v="9.9388369999999995"/>
    <n v="358.99572555621899"/>
    <n v="1841.6641705664399"/>
    <x v="6"/>
    <x v="2"/>
    <e v="#N/A"/>
    <s v="PPPCFC1"/>
    <e v="#N/A"/>
    <s v="Fume Control"/>
    <x v="0"/>
    <x v="0"/>
    <x v="0"/>
  </r>
  <r>
    <s v="10.11.1.14"/>
    <x v="2"/>
    <s v="10.12.0.1"/>
    <x v="21"/>
    <n v="14"/>
    <x v="4"/>
    <n v="6"/>
    <n v="386"/>
    <n v="8"/>
    <n v="2294"/>
    <n v="59.888046000000003"/>
    <n v="9.9416049999999991"/>
    <n v="310.613829457115"/>
    <n v="1845.9795978617101"/>
    <x v="6"/>
    <x v="2"/>
    <e v="#N/A"/>
    <s v="PPPCFC1"/>
    <e v="#N/A"/>
    <s v="Fume Control"/>
    <x v="0"/>
    <x v="0"/>
    <x v="0"/>
  </r>
  <r>
    <s v="10.11.1.14"/>
    <x v="2"/>
    <s v="10.12.0.1"/>
    <x v="22"/>
    <n v="12"/>
    <x v="3"/>
    <n v="5"/>
    <n v="326"/>
    <n v="7"/>
    <n v="2234"/>
    <n v="72.906875999999997"/>
    <n v="6.9183720000000104"/>
    <n v="376.96729808689099"/>
    <n v="2583.2666991598599"/>
    <x v="6"/>
    <x v="2"/>
    <e v="#N/A"/>
    <s v="PPPCFC1"/>
    <e v="#N/A"/>
    <s v="Fume Control"/>
    <x v="0"/>
    <x v="0"/>
    <x v="0"/>
  </r>
  <r>
    <s v="10.11.1.14"/>
    <x v="2"/>
    <s v="10.12.0.1"/>
    <x v="23"/>
    <n v="13"/>
    <x v="6"/>
    <n v="6"/>
    <n v="386"/>
    <n v="7"/>
    <n v="2228"/>
    <n v="79.910095999999996"/>
    <n v="9.9227510000000105"/>
    <n v="311.20401993358502"/>
    <n v="1796.2760528808999"/>
    <x v="6"/>
    <x v="2"/>
    <e v="#N/A"/>
    <s v="PPPCFC1"/>
    <e v="#N/A"/>
    <s v="Fume Control"/>
    <x v="0"/>
    <x v="0"/>
    <x v="0"/>
  </r>
  <r>
    <s v="10.11.1.14"/>
    <x v="2"/>
    <s v="10.12.0.1"/>
    <x v="24"/>
    <n v="18"/>
    <x v="7"/>
    <n v="8"/>
    <n v="506"/>
    <n v="10"/>
    <n v="2428"/>
    <n v="89.889859999999999"/>
    <n v="9.9434389999999997"/>
    <n v="407.102613089898"/>
    <n v="1953.4489023365099"/>
    <x v="6"/>
    <x v="2"/>
    <e v="#N/A"/>
    <s v="PPPCFC1"/>
    <e v="#N/A"/>
    <s v="Fume Control"/>
    <x v="0"/>
    <x v="0"/>
    <x v="0"/>
  </r>
  <r>
    <s v="10.11.1.14"/>
    <x v="2"/>
    <s v="10.12.0.1"/>
    <x v="25"/>
    <n v="12"/>
    <x v="3"/>
    <n v="5"/>
    <n v="326"/>
    <n v="7"/>
    <n v="2234"/>
    <n v="99.899930999999995"/>
    <n v="9.9318740000000094"/>
    <n v="262.588913230272"/>
    <n v="1799.45899434487"/>
    <x v="6"/>
    <x v="2"/>
    <e v="#N/A"/>
    <s v="PPPCFC1"/>
    <e v="#N/A"/>
    <s v="Fume Control"/>
    <x v="0"/>
    <x v="0"/>
    <x v="0"/>
  </r>
  <r>
    <s v="10.11.1.14"/>
    <x v="2"/>
    <s v="10.12.0.1"/>
    <x v="26"/>
    <n v="15"/>
    <x v="5"/>
    <n v="7"/>
    <n v="446"/>
    <n v="8"/>
    <n v="2288"/>
    <n v="109.893427"/>
    <n v="9.9310200000000002"/>
    <n v="359.27830172530099"/>
    <n v="1843.1137989854001"/>
    <x v="6"/>
    <x v="2"/>
    <e v="#N/A"/>
    <s v="PPPCFC1"/>
    <e v="#N/A"/>
    <s v="Fume Control"/>
    <x v="0"/>
    <x v="0"/>
    <x v="0"/>
  </r>
  <r>
    <s v="10.11.1.14"/>
    <x v="2"/>
    <s v="10.12.0.1"/>
    <x v="27"/>
    <n v="12"/>
    <x v="3"/>
    <n v="6"/>
    <n v="386"/>
    <n v="6"/>
    <n v="2174"/>
    <n v="119.892149"/>
    <n v="9.9327169999999807"/>
    <n v="310.89177311706402"/>
    <n v="1750.9811263121701"/>
    <x v="6"/>
    <x v="2"/>
    <e v="#N/A"/>
    <s v="PPPCFC1"/>
    <e v="#N/A"/>
    <s v="Fume Control"/>
    <x v="0"/>
    <x v="0"/>
    <x v="0"/>
  </r>
  <r>
    <s v="10.11.1.14"/>
    <x v="2"/>
    <s v="10.12.0.1"/>
    <x v="28"/>
    <n v="13"/>
    <x v="6"/>
    <n v="6"/>
    <n v="386"/>
    <n v="7"/>
    <n v="2228"/>
    <n v="129.88553099999999"/>
    <n v="9.9490170000000298"/>
    <n v="310.38242270568003"/>
    <n v="1791.5337766535099"/>
    <x v="6"/>
    <x v="2"/>
    <e v="#N/A"/>
    <s v="PPPCFC1"/>
    <e v="#N/A"/>
    <s v="Fume Control"/>
    <x v="0"/>
    <x v="0"/>
    <x v="0"/>
  </r>
  <r>
    <s v="10.11.1.14"/>
    <x v="2"/>
    <s v="10.12.0.1"/>
    <x v="29"/>
    <n v="14"/>
    <x v="4"/>
    <n v="6"/>
    <n v="386"/>
    <n v="8"/>
    <n v="2294"/>
    <n v="139.89819900000001"/>
    <n v="9.9369570000000103"/>
    <n v="310.75911871209598"/>
    <n v="1846.84305265686"/>
    <x v="6"/>
    <x v="2"/>
    <e v="#N/A"/>
    <s v="PPPCFC1"/>
    <e v="#N/A"/>
    <s v="Fume Control"/>
    <x v="0"/>
    <x v="0"/>
    <x v="0"/>
  </r>
  <r>
    <s v="10.11.1.14"/>
    <x v="2"/>
    <s v="10.12.0.1"/>
    <x v="30"/>
    <n v="12"/>
    <x v="3"/>
    <n v="5"/>
    <n v="326"/>
    <n v="7"/>
    <n v="2234"/>
    <n v="149.90254200000001"/>
    <n v="9.9324130000000004"/>
    <n v="262.57466337736901"/>
    <n v="1799.3613435124"/>
    <x v="6"/>
    <x v="2"/>
    <e v="#N/A"/>
    <s v="PPPCFC1"/>
    <e v="#N/A"/>
    <s v="Fume Control"/>
    <x v="0"/>
    <x v="0"/>
    <x v="0"/>
  </r>
  <r>
    <s v="10.11.1.14"/>
    <x v="2"/>
    <s v="10.12.0.1"/>
    <x v="31"/>
    <n v="14"/>
    <x v="4"/>
    <n v="6"/>
    <n v="386"/>
    <n v="8"/>
    <n v="2294"/>
    <n v="159.90230500000001"/>
    <n v="9.9339519999999801"/>
    <n v="310.85312270484201"/>
    <n v="1847.4017188728201"/>
    <x v="6"/>
    <x v="2"/>
    <e v="#N/A"/>
    <s v="PPPCFC1"/>
    <e v="#N/A"/>
    <s v="Fume Control"/>
    <x v="0"/>
    <x v="0"/>
    <x v="0"/>
  </r>
  <r>
    <s v="10.11.1.14"/>
    <x v="2"/>
    <s v="10.12.0.1"/>
    <x v="32"/>
    <n v="11"/>
    <x v="8"/>
    <n v="5"/>
    <n v="326"/>
    <n v="6"/>
    <n v="2174"/>
    <n v="171.19244399999999"/>
    <n v="8.6350309999999997"/>
    <n v="302.02555150062602"/>
    <n v="2014.1213158354601"/>
    <x v="6"/>
    <x v="2"/>
    <e v="#N/A"/>
    <s v="PPPCFC1"/>
    <e v="#N/A"/>
    <s v="Fume Control"/>
    <x v="0"/>
    <x v="0"/>
    <x v="0"/>
  </r>
  <r>
    <s v="10.11.1.14"/>
    <x v="2"/>
    <s v="10.12.0.1"/>
    <x v="33"/>
    <n v="13"/>
    <x v="9"/>
    <n v="6"/>
    <n v="386"/>
    <n v="7"/>
    <n v="2234"/>
    <n v="179.886764"/>
    <n v="9.9422350000000108"/>
    <n v="310.59414709066903"/>
    <n v="1797.5837424884801"/>
    <x v="6"/>
    <x v="2"/>
    <e v="#N/A"/>
    <s v="PPPCFC1"/>
    <e v="#N/A"/>
    <s v="Fume Control"/>
    <x v="0"/>
    <x v="0"/>
    <x v="0"/>
  </r>
  <r>
    <s v="10.11.1.14"/>
    <x v="2"/>
    <s v="10.12.0.1"/>
    <x v="34"/>
    <n v="12"/>
    <x v="3"/>
    <n v="5"/>
    <n v="326"/>
    <n v="7"/>
    <n v="2234"/>
    <n v="189.888295"/>
    <n v="9.9409010000000002"/>
    <n v="262.35046501318101"/>
    <n v="1797.82496576518"/>
    <x v="6"/>
    <x v="2"/>
    <e v="#N/A"/>
    <s v="PPPCFC1"/>
    <e v="#N/A"/>
    <s v="Fume Control"/>
    <x v="0"/>
    <x v="0"/>
    <x v="0"/>
  </r>
  <r>
    <s v="10.11.1.14"/>
    <x v="2"/>
    <s v="10.12.0.1"/>
    <x v="35"/>
    <n v="12"/>
    <x v="3"/>
    <n v="5"/>
    <n v="326"/>
    <n v="7"/>
    <n v="2234"/>
    <n v="199.88744700000001"/>
    <n v="9.9421429999999908"/>
    <n v="262.31769146752401"/>
    <n v="1797.60037649831"/>
    <x v="6"/>
    <x v="2"/>
    <e v="#N/A"/>
    <s v="PPPCFC1"/>
    <e v="#N/A"/>
    <s v="Fume Control"/>
    <x v="0"/>
    <x v="0"/>
    <x v="0"/>
  </r>
  <r>
    <s v="10.11.1.14"/>
    <x v="2"/>
    <s v="10.12.0.1"/>
    <x v="36"/>
    <n v="17"/>
    <x v="10"/>
    <n v="8"/>
    <n v="506"/>
    <n v="9"/>
    <n v="2547"/>
    <n v="209.88974200000001"/>
    <n v="9.9400569999999995"/>
    <n v="407.24112547845601"/>
    <n v="2049.8876414893798"/>
    <x v="6"/>
    <x v="2"/>
    <e v="#N/A"/>
    <s v="PPPCFC1"/>
    <e v="#N/A"/>
    <s v="Fume Control"/>
    <x v="0"/>
    <x v="0"/>
    <x v="0"/>
  </r>
  <r>
    <s v="10.11.1.14"/>
    <x v="2"/>
    <s v="10.12.0.1"/>
    <x v="37"/>
    <n v="14"/>
    <x v="4"/>
    <n v="6"/>
    <n v="386"/>
    <n v="8"/>
    <n v="2294"/>
    <n v="219.89132599999999"/>
    <n v="9.9478830000000205"/>
    <n v="310.41780447156401"/>
    <n v="1844.8146203569099"/>
    <x v="6"/>
    <x v="2"/>
    <e v="#N/A"/>
    <s v="PPPCFC1"/>
    <e v="#N/A"/>
    <s v="Fume Control"/>
    <x v="0"/>
    <x v="0"/>
    <x v="0"/>
  </r>
  <r>
    <s v="10.11.1.14"/>
    <x v="2"/>
    <s v="10.12.0.1"/>
    <x v="38"/>
    <n v="14"/>
    <x v="4"/>
    <n v="6"/>
    <n v="386"/>
    <n v="8"/>
    <n v="2294"/>
    <n v="229.94118"/>
    <n v="9.88408200000001"/>
    <n v="312.421527866725"/>
    <n v="1856.7227588763401"/>
    <x v="6"/>
    <x v="2"/>
    <e v="#N/A"/>
    <s v="PPPCFC1"/>
    <e v="#N/A"/>
    <s v="Fume Control"/>
    <x v="0"/>
    <x v="0"/>
    <x v="0"/>
  </r>
  <r>
    <s v="10.11.1.14"/>
    <x v="2"/>
    <s v="10.12.0.1"/>
    <x v="39"/>
    <n v="12"/>
    <x v="3"/>
    <n v="5"/>
    <n v="326"/>
    <n v="7"/>
    <n v="2234"/>
    <n v="239.90909400000001"/>
    <n v="9.9215160000000004"/>
    <n v="262.863054396123"/>
    <n v="1801.3376181623901"/>
    <x v="6"/>
    <x v="2"/>
    <e v="#N/A"/>
    <s v="PPPCFC1"/>
    <e v="#N/A"/>
    <s v="Fume Control"/>
    <x v="0"/>
    <x v="0"/>
    <x v="0"/>
  </r>
  <r>
    <s v="10.11.1.14"/>
    <x v="2"/>
    <s v="10.12.0.1"/>
    <x v="40"/>
    <n v="12"/>
    <x v="3"/>
    <n v="5"/>
    <n v="326"/>
    <n v="7"/>
    <n v="2234"/>
    <n v="249.886021"/>
    <n v="9.9448030000000092"/>
    <n v="262.24752767852698"/>
    <n v="1797.1195608399701"/>
    <x v="6"/>
    <x v="2"/>
    <e v="#N/A"/>
    <s v="PPPCFC1"/>
    <e v="#N/A"/>
    <s v="Fume Control"/>
    <x v="0"/>
    <x v="0"/>
    <x v="0"/>
  </r>
  <r>
    <s v="10.11.1.14"/>
    <x v="2"/>
    <s v="10.12.0.1"/>
    <x v="41"/>
    <n v="12"/>
    <x v="3"/>
    <n v="5"/>
    <n v="326"/>
    <n v="7"/>
    <n v="2234"/>
    <n v="259.89214900000002"/>
    <n v="9.9385309999999496"/>
    <n v="262.41302663341401"/>
    <n v="1798.2536855799001"/>
    <x v="6"/>
    <x v="2"/>
    <e v="#N/A"/>
    <s v="PPPCFC1"/>
    <e v="#N/A"/>
    <s v="Fume Control"/>
    <x v="0"/>
    <x v="0"/>
    <x v="0"/>
  </r>
  <r>
    <s v="10.11.1.14"/>
    <x v="2"/>
    <s v="10.12.0.1"/>
    <x v="42"/>
    <n v="12"/>
    <x v="3"/>
    <n v="5"/>
    <n v="326"/>
    <n v="7"/>
    <n v="2234"/>
    <n v="271.086476"/>
    <n v="8.7392830000000004"/>
    <n v="298.42265091999002"/>
    <n v="2045.0190250161299"/>
    <x v="6"/>
    <x v="2"/>
    <e v="#N/A"/>
    <s v="PPPCFC1"/>
    <e v="#N/A"/>
    <s v="Fume Control"/>
    <x v="0"/>
    <x v="0"/>
    <x v="0"/>
  </r>
  <r>
    <s v="10.11.1.14"/>
    <x v="2"/>
    <s v="10.12.0.1"/>
    <x v="43"/>
    <n v="12"/>
    <x v="3"/>
    <n v="5"/>
    <n v="326"/>
    <n v="7"/>
    <n v="2234"/>
    <n v="279.880943"/>
    <n v="9.9483690000000102"/>
    <n v="262.15352486422597"/>
    <n v="1796.4753820450301"/>
    <x v="6"/>
    <x v="2"/>
    <e v="#N/A"/>
    <s v="PPPCFC1"/>
    <e v="#N/A"/>
    <s v="Fume Control"/>
    <x v="0"/>
    <x v="0"/>
    <x v="0"/>
  </r>
  <r>
    <s v="10.11.1.14"/>
    <x v="2"/>
    <s v="10.12.0.1"/>
    <x v="44"/>
    <n v="14"/>
    <x v="4"/>
    <n v="6"/>
    <n v="386"/>
    <n v="8"/>
    <n v="2294"/>
    <n v="289.89209199999999"/>
    <n v="9.9375669999999996"/>
    <n v="310.74004331241201"/>
    <n v="1846.7296874577"/>
    <x v="6"/>
    <x v="2"/>
    <e v="#N/A"/>
    <s v="PPPCFC1"/>
    <e v="#N/A"/>
    <s v="Fume Control"/>
    <x v="0"/>
    <x v="0"/>
    <x v="0"/>
  </r>
  <r>
    <s v="10.11.1.14"/>
    <x v="2"/>
    <s v="10.12.0.1"/>
    <x v="45"/>
    <n v="14"/>
    <x v="4"/>
    <n v="6"/>
    <n v="386"/>
    <n v="8"/>
    <n v="2294"/>
    <n v="299.89944800000001"/>
    <n v="9.9258909999999805"/>
    <n v="311.10557228565199"/>
    <n v="1848.9020280396001"/>
    <x v="6"/>
    <x v="2"/>
    <e v="#N/A"/>
    <s v="PPPCFC1"/>
    <e v="#N/A"/>
    <s v="Fume Control"/>
    <x v="0"/>
    <x v="0"/>
    <x v="0"/>
  </r>
  <r>
    <s v="10.11.1.14"/>
    <x v="2"/>
    <s v="10.12.0.1"/>
    <x v="46"/>
    <n v="12"/>
    <x v="3"/>
    <n v="5"/>
    <n v="326"/>
    <n v="7"/>
    <n v="2234"/>
    <n v="309.88874700000002"/>
    <n v="9.9454899999999498"/>
    <n v="262.22941252768999"/>
    <n v="1796.99542204558"/>
    <x v="6"/>
    <x v="2"/>
    <e v="#N/A"/>
    <s v="PPPCFC1"/>
    <e v="#N/A"/>
    <s v="Fume Control"/>
    <x v="0"/>
    <x v="0"/>
    <x v="0"/>
  </r>
  <r>
    <s v="10.11.1.14"/>
    <x v="2"/>
    <s v="10.12.0.1"/>
    <x v="47"/>
    <n v="12"/>
    <x v="3"/>
    <n v="5"/>
    <n v="326"/>
    <n v="7"/>
    <n v="2234"/>
    <n v="319.93496099999999"/>
    <n v="9.8999180000000102"/>
    <n v="263.43652543384701"/>
    <n v="1805.2674779730501"/>
    <x v="6"/>
    <x v="2"/>
    <e v="#N/A"/>
    <s v="PPPCFC1"/>
    <e v="#N/A"/>
    <s v="Fume Control"/>
    <x v="0"/>
    <x v="0"/>
    <x v="0"/>
  </r>
  <r>
    <s v="10.11.1.14"/>
    <x v="2"/>
    <s v="10.12.0.1"/>
    <x v="48"/>
    <n v="14"/>
    <x v="4"/>
    <n v="6"/>
    <n v="386"/>
    <n v="8"/>
    <n v="2294"/>
    <n v="329.89731999999998"/>
    <n v="9.9311410000000304"/>
    <n v="310.94110938511398"/>
    <n v="1847.92462416956"/>
    <x v="6"/>
    <x v="2"/>
    <e v="#N/A"/>
    <s v="PPPCFC1"/>
    <e v="#N/A"/>
    <s v="Fume Control"/>
    <x v="0"/>
    <x v="0"/>
    <x v="0"/>
  </r>
  <r>
    <s v="10.11.1.14"/>
    <x v="2"/>
    <s v="10.12.0.1"/>
    <x v="49"/>
    <n v="14"/>
    <x v="4"/>
    <n v="6"/>
    <n v="386"/>
    <n v="8"/>
    <n v="2294"/>
    <n v="339.90444500000001"/>
    <n v="9.9213019999999705"/>
    <n v="311.24947108756601"/>
    <n v="1849.7572193649601"/>
    <x v="6"/>
    <x v="2"/>
    <e v="#N/A"/>
    <s v="PPPCFC1"/>
    <e v="#N/A"/>
    <s v="Fume Control"/>
    <x v="0"/>
    <x v="0"/>
    <x v="0"/>
  </r>
  <r>
    <s v="10.11.1.14"/>
    <x v="2"/>
    <s v="10.12.0.1"/>
    <x v="50"/>
    <n v="12"/>
    <x v="3"/>
    <n v="5"/>
    <n v="326"/>
    <n v="7"/>
    <n v="2234"/>
    <n v="349.888351"/>
    <n v="9.9501789999999897"/>
    <n v="262.10583749297399"/>
    <n v="1796.14859189971"/>
    <x v="6"/>
    <x v="2"/>
    <e v="#N/A"/>
    <s v="PPPCFC1"/>
    <e v="#N/A"/>
    <s v="Fume Control"/>
    <x v="0"/>
    <x v="0"/>
    <x v="0"/>
  </r>
  <r>
    <s v="10.11.1.14"/>
    <x v="2"/>
    <s v="10.12.0.1"/>
    <x v="51"/>
    <n v="12"/>
    <x v="3"/>
    <n v="5"/>
    <n v="326"/>
    <n v="7"/>
    <n v="2234"/>
    <n v="359.93607300000002"/>
    <n v="9.9026329999999803"/>
    <n v="263.36429917174598"/>
    <n v="1804.7725286800001"/>
    <x v="6"/>
    <x v="2"/>
    <e v="#N/A"/>
    <s v="PPPCFC1"/>
    <e v="#N/A"/>
    <s v="Fume Control"/>
    <x v="0"/>
    <x v="0"/>
    <x v="0"/>
  </r>
  <r>
    <s v="10.11.1.14"/>
    <x v="2"/>
    <s v="10.12.0.1"/>
    <x v="52"/>
    <n v="12"/>
    <x v="3"/>
    <n v="5"/>
    <n v="326"/>
    <n v="7"/>
    <n v="2234"/>
    <n v="370.17626300000001"/>
    <n v="9.65042599999998"/>
    <n v="270.24713727663499"/>
    <n v="1851.93897139878"/>
    <x v="6"/>
    <x v="2"/>
    <e v="#N/A"/>
    <s v="PPPCFC1"/>
    <e v="#N/A"/>
    <s v="Fume Control"/>
    <x v="0"/>
    <x v="0"/>
    <x v="0"/>
  </r>
  <r>
    <s v="10.11.1.14"/>
    <x v="2"/>
    <s v="10.12.0.1"/>
    <x v="53"/>
    <n v="12"/>
    <x v="3"/>
    <n v="5"/>
    <n v="326"/>
    <n v="7"/>
    <n v="2234"/>
    <n v="379.89674300000001"/>
    <n v="9.942183"/>
    <n v="262.31663609491"/>
    <n v="1797.5931442823"/>
    <x v="6"/>
    <x v="2"/>
    <e v="#N/A"/>
    <s v="PPPCFC1"/>
    <e v="#N/A"/>
    <s v="Fume Control"/>
    <x v="0"/>
    <x v="0"/>
    <x v="0"/>
  </r>
  <r>
    <s v="10.11.1.14"/>
    <x v="2"/>
    <s v="10.12.0.1"/>
    <x v="54"/>
    <n v="12"/>
    <x v="3"/>
    <n v="5"/>
    <n v="326"/>
    <n v="7"/>
    <n v="2234"/>
    <n v="389.89226500000001"/>
    <n v="9.9468579999999598"/>
    <n v="262.19334788935498"/>
    <n v="1796.7482797080299"/>
    <x v="6"/>
    <x v="2"/>
    <e v="#N/A"/>
    <s v="PPPCFC1"/>
    <e v="#N/A"/>
    <s v="Fume Control"/>
    <x v="0"/>
    <x v="0"/>
    <x v="0"/>
  </r>
  <r>
    <s v="10.11.1.14"/>
    <x v="2"/>
    <s v="10.12.0.1"/>
    <x v="55"/>
    <n v="12"/>
    <x v="3"/>
    <n v="5"/>
    <n v="326"/>
    <n v="7"/>
    <n v="2234"/>
    <n v="399.91182099999997"/>
    <n v="9.9146029999999996"/>
    <n v="263.04633680239101"/>
    <n v="1802.5936086397001"/>
    <x v="6"/>
    <x v="2"/>
    <e v="#N/A"/>
    <s v="PPPCFC1"/>
    <e v="#N/A"/>
    <s v="Fume Control"/>
    <x v="0"/>
    <x v="0"/>
    <x v="0"/>
  </r>
  <r>
    <s v="10.11.1.14"/>
    <x v="2"/>
    <s v="10.12.0.1"/>
    <x v="56"/>
    <n v="14"/>
    <x v="4"/>
    <n v="6"/>
    <n v="386"/>
    <n v="8"/>
    <n v="2294"/>
    <n v="409.900869"/>
    <n v="9.9392439999999702"/>
    <n v="310.68761366558698"/>
    <n v="1846.41809779497"/>
    <x v="6"/>
    <x v="2"/>
    <e v="#N/A"/>
    <s v="PPPCFC1"/>
    <e v="#N/A"/>
    <s v="Fume Control"/>
    <x v="0"/>
    <x v="0"/>
    <x v="0"/>
  </r>
  <r>
    <s v="10.11.1.14"/>
    <x v="2"/>
    <s v="10.12.0.1"/>
    <x v="57"/>
    <n v="14"/>
    <x v="4"/>
    <n v="6"/>
    <n v="386"/>
    <n v="8"/>
    <n v="2294"/>
    <n v="419.93906099999998"/>
    <n v="9.9009300000000202"/>
    <n v="311.88989317165101"/>
    <n v="1853.56325112893"/>
    <x v="6"/>
    <x v="2"/>
    <e v="#N/A"/>
    <s v="PPPCFC1"/>
    <e v="#N/A"/>
    <s v="Fume Control"/>
    <x v="0"/>
    <x v="0"/>
    <x v="0"/>
  </r>
  <r>
    <s v="10.11.1.14"/>
    <x v="2"/>
    <s v="10.12.0.1"/>
    <x v="58"/>
    <n v="12"/>
    <x v="3"/>
    <n v="5"/>
    <n v="326"/>
    <n v="7"/>
    <n v="2234"/>
    <n v="429.91667799999999"/>
    <n v="9.9114759999999897"/>
    <n v="263.129326045889"/>
    <n v="1803.1623140690699"/>
    <x v="6"/>
    <x v="2"/>
    <e v="#N/A"/>
    <s v="PPPCFC1"/>
    <e v="#N/A"/>
    <s v="Fume Control"/>
    <x v="0"/>
    <x v="0"/>
    <x v="0"/>
  </r>
  <r>
    <s v="10.11.1.14"/>
    <x v="2"/>
    <s v="10.12.0.1"/>
    <x v="59"/>
    <n v="13"/>
    <x v="6"/>
    <n v="6"/>
    <n v="386"/>
    <n v="7"/>
    <n v="2228"/>
    <n v="439.90064000000001"/>
    <n v="9.9260629999999992"/>
    <n v="311.10018141130098"/>
    <n v="1795.67669477818"/>
    <x v="6"/>
    <x v="2"/>
    <e v="#N/A"/>
    <s v="PPPCFC1"/>
    <e v="#N/A"/>
    <s v="Fume Control"/>
    <x v="0"/>
    <x v="0"/>
    <x v="0"/>
  </r>
  <r>
    <s v="10.11.1.14"/>
    <x v="2"/>
    <s v="10.12.0.1"/>
    <x v="60"/>
    <n v="14"/>
    <x v="4"/>
    <n v="6"/>
    <n v="386"/>
    <n v="8"/>
    <n v="2294"/>
    <n v="449.88612499999999"/>
    <n v="9.9713060000000304"/>
    <n v="309.68862052774102"/>
    <n v="1840.4810764006199"/>
    <x v="6"/>
    <x v="2"/>
    <e v="#N/A"/>
    <s v="PPPCFC1"/>
    <e v="#N/A"/>
    <s v="Fume Control"/>
    <x v="0"/>
    <x v="0"/>
    <x v="0"/>
  </r>
  <r>
    <s v="10.11.1.14"/>
    <x v="2"/>
    <s v="10.12.0.1"/>
    <x v="61"/>
    <n v="12"/>
    <x v="3"/>
    <n v="5"/>
    <n v="326"/>
    <n v="7"/>
    <n v="2234"/>
    <n v="459.93802499999998"/>
    <n v="9.9196320000000409"/>
    <n v="262.91297902986599"/>
    <n v="1801.67973973227"/>
    <x v="6"/>
    <x v="2"/>
    <e v="#N/A"/>
    <s v="PPPCFC1"/>
    <e v="#N/A"/>
    <s v="Fume Control"/>
    <x v="0"/>
    <x v="0"/>
    <x v="0"/>
  </r>
  <r>
    <s v="10.11.1.14"/>
    <x v="2"/>
    <s v="10.12.0.1"/>
    <x v="62"/>
    <n v="12"/>
    <x v="3"/>
    <n v="5"/>
    <n v="326"/>
    <n v="7"/>
    <n v="2234"/>
    <n v="469.930813"/>
    <n v="9.9580730000000095"/>
    <n v="261.89805999614498"/>
    <n v="1794.7247424275699"/>
    <x v="6"/>
    <x v="2"/>
    <e v="#N/A"/>
    <s v="PPPCFC1"/>
    <e v="#N/A"/>
    <s v="Fume Control"/>
    <x v="0"/>
    <x v="0"/>
    <x v="0"/>
  </r>
  <r>
    <s v="10.11.1.14"/>
    <x v="2"/>
    <s v="10.12.0.1"/>
    <x v="63"/>
    <n v="12"/>
    <x v="3"/>
    <n v="5"/>
    <n v="326"/>
    <n v="7"/>
    <n v="2234"/>
    <n v="479.975009"/>
    <n v="9.92940599999997"/>
    <n v="262.65418092482099"/>
    <n v="1799.9062582394199"/>
    <x v="6"/>
    <x v="2"/>
    <e v="#N/A"/>
    <s v="PPPCFC1"/>
    <e v="#N/A"/>
    <s v="Fume Control"/>
    <x v="0"/>
    <x v="0"/>
    <x v="0"/>
  </r>
  <r>
    <s v="10.11.1.14"/>
    <x v="2"/>
    <s v="10.12.0.1"/>
    <x v="64"/>
    <n v="18"/>
    <x v="7"/>
    <n v="8"/>
    <n v="506"/>
    <n v="10"/>
    <n v="2428"/>
    <n v="490.00445200000001"/>
    <n v="9.9033010000000008"/>
    <n v="408.75259673516899"/>
    <n v="1961.3662151640101"/>
    <x v="6"/>
    <x v="2"/>
    <e v="#N/A"/>
    <s v="PPPCFC1"/>
    <e v="#N/A"/>
    <s v="Fume Control"/>
    <x v="0"/>
    <x v="0"/>
    <x v="0"/>
  </r>
  <r>
    <s v="10.11.1.14"/>
    <x v="2"/>
    <s v="10.12.0.1"/>
    <x v="65"/>
    <n v="12"/>
    <x v="3"/>
    <n v="5"/>
    <n v="326"/>
    <n v="7"/>
    <n v="2234"/>
    <n v="499.977349"/>
    <n v="9.9272770000000001"/>
    <n v="262.71050963924898"/>
    <n v="1800.2922654419699"/>
    <x v="6"/>
    <x v="2"/>
    <e v="#N/A"/>
    <s v="PPPCFC1"/>
    <e v="#N/A"/>
    <s v="Fume Control"/>
    <x v="0"/>
    <x v="0"/>
    <x v="0"/>
  </r>
  <r>
    <s v="10.11.1.14"/>
    <x v="2"/>
    <s v="10.12.0.1"/>
    <x v="66"/>
    <n v="14"/>
    <x v="4"/>
    <n v="6"/>
    <n v="386"/>
    <n v="8"/>
    <n v="2294"/>
    <n v="509.96604600000001"/>
    <n v="9.9390479999999606"/>
    <n v="310.69374048701798"/>
    <n v="1846.45450952647"/>
    <x v="6"/>
    <x v="2"/>
    <e v="#N/A"/>
    <s v="PPPCFC1"/>
    <e v="#N/A"/>
    <s v="Fume Control"/>
    <x v="0"/>
    <x v="0"/>
    <x v="0"/>
  </r>
  <r>
    <s v="10.11.1.14"/>
    <x v="2"/>
    <s v="10.12.0.1"/>
    <x v="67"/>
    <n v="14"/>
    <x v="11"/>
    <n v="6"/>
    <n v="386"/>
    <n v="8"/>
    <n v="2415"/>
    <n v="519.96346800000003"/>
    <n v="9.9415450000000192"/>
    <n v="310.61570409830603"/>
    <n v="1943.35991035598"/>
    <x v="6"/>
    <x v="2"/>
    <e v="#N/A"/>
    <s v="PPPCFC1"/>
    <e v="#N/A"/>
    <s v="Fume Control"/>
    <x v="0"/>
    <x v="0"/>
    <x v="0"/>
  </r>
  <r>
    <s v="10.11.1.14"/>
    <x v="2"/>
    <s v="10.12.0.1"/>
    <x v="68"/>
    <n v="12"/>
    <x v="3"/>
    <n v="6"/>
    <n v="386"/>
    <n v="6"/>
    <n v="2174"/>
    <n v="529.96288900000002"/>
    <n v="9.9421810000000104"/>
    <n v="310.59583405290999"/>
    <n v="1749.31436070214"/>
    <x v="6"/>
    <x v="2"/>
    <e v="#N/A"/>
    <s v="PPPCFC1"/>
    <e v="#N/A"/>
    <s v="Fume Control"/>
    <x v="0"/>
    <x v="0"/>
    <x v="0"/>
  </r>
  <r>
    <s v="10.11.1.14"/>
    <x v="2"/>
    <s v="10.12.0.1"/>
    <x v="69"/>
    <n v="12"/>
    <x v="3"/>
    <n v="5"/>
    <n v="326"/>
    <n v="7"/>
    <n v="2234"/>
    <n v="539.96293700000001"/>
    <n v="9.9422489999999506"/>
    <n v="262.31489474866402"/>
    <n v="1797.58121125312"/>
    <x v="6"/>
    <x v="2"/>
    <e v="#N/A"/>
    <s v="PPPCFC1"/>
    <e v="#N/A"/>
    <s v="Fume Control"/>
    <x v="0"/>
    <x v="0"/>
    <x v="0"/>
  </r>
  <r>
    <s v="10.11.1.14"/>
    <x v="2"/>
    <s v="10.12.0.1"/>
    <x v="70"/>
    <n v="12"/>
    <x v="3"/>
    <n v="5"/>
    <n v="326"/>
    <n v="7"/>
    <n v="2234"/>
    <n v="549.96412499999997"/>
    <n v="9.9412020000000894"/>
    <n v="262.34252155825601"/>
    <n v="1797.77053116915"/>
    <x v="6"/>
    <x v="2"/>
    <e v="#N/A"/>
    <s v="PPPCFC1"/>
    <e v="#N/A"/>
    <s v="Fume Control"/>
    <x v="0"/>
    <x v="0"/>
    <x v="0"/>
  </r>
  <r>
    <s v="10.11.1.14"/>
    <x v="2"/>
    <s v="10.12.0.1"/>
    <x v="71"/>
    <n v="13"/>
    <x v="6"/>
    <n v="6"/>
    <n v="386"/>
    <n v="7"/>
    <n v="2228"/>
    <n v="559.96666000000005"/>
    <n v="9.9385790000000007"/>
    <n v="310.70840207639299"/>
    <n v="1793.41533633732"/>
    <x v="6"/>
    <x v="2"/>
    <e v="#N/A"/>
    <s v="PPPCFC1"/>
    <e v="#N/A"/>
    <s v="Fume Control"/>
    <x v="0"/>
    <x v="0"/>
    <x v="0"/>
  </r>
  <r>
    <s v="10.11.1.14"/>
    <x v="2"/>
    <s v="10.12.0.1"/>
    <x v="72"/>
    <n v="14"/>
    <x v="4"/>
    <n v="7"/>
    <n v="446"/>
    <n v="7"/>
    <n v="2234"/>
    <n v="569.96678399999996"/>
    <n v="9.9387270000000907"/>
    <n v="358.99969885478998"/>
    <n v="1798.2182225147999"/>
    <x v="6"/>
    <x v="2"/>
    <e v="#N/A"/>
    <s v="PPPCFC1"/>
    <e v="#N/A"/>
    <s v="Fume Control"/>
    <x v="0"/>
    <x v="0"/>
    <x v="0"/>
  </r>
  <r>
    <s v="10.11.1.14"/>
    <x v="2"/>
    <s v="10.12.0.1"/>
    <x v="73"/>
    <n v="15"/>
    <x v="5"/>
    <n v="7"/>
    <n v="446"/>
    <n v="8"/>
    <n v="2288"/>
    <n v="579.96619699999997"/>
    <n v="9.9395520000000506"/>
    <n v="358.96990125912902"/>
    <n v="1841.53169076432"/>
    <x v="6"/>
    <x v="2"/>
    <e v="#N/A"/>
    <s v="PPPCFC1"/>
    <e v="#N/A"/>
    <s v="Fume Control"/>
    <x v="0"/>
    <x v="0"/>
    <x v="0"/>
  </r>
  <r>
    <s v="10.11.1.14"/>
    <x v="2"/>
    <s v="10.12.0.1"/>
    <x v="74"/>
    <n v="14"/>
    <x v="4"/>
    <n v="6"/>
    <n v="386"/>
    <n v="8"/>
    <n v="2294"/>
    <n v="589.96769300000005"/>
    <n v="9.9381229999999103"/>
    <n v="310.72265859458901"/>
    <n v="1846.6263699896001"/>
    <x v="6"/>
    <x v="2"/>
    <e v="#N/A"/>
    <s v="PPPCFC1"/>
    <e v="#N/A"/>
    <s v="Fume Control"/>
    <x v="0"/>
    <x v="0"/>
    <x v="0"/>
  </r>
  <r>
    <s v="10.11.1.14"/>
    <x v="2"/>
    <s v="10.12.0.1"/>
    <x v="75"/>
    <n v="12"/>
    <x v="3"/>
    <n v="6"/>
    <n v="386"/>
    <n v="6"/>
    <n v="2174"/>
    <n v="599.96565199999998"/>
    <n v="9.9403049999999702"/>
    <n v="310.65445174972098"/>
    <n v="1749.64450285983"/>
    <x v="6"/>
    <x v="2"/>
    <e v="#N/A"/>
    <s v="PPPCFC1"/>
    <e v="#N/A"/>
    <s v="Fume Control"/>
    <x v="0"/>
    <x v="0"/>
    <x v="0"/>
  </r>
  <r>
    <s v="10.11.1.14"/>
    <x v="2"/>
    <s v="10.12.0.1"/>
    <x v="76"/>
    <n v="13"/>
    <x v="6"/>
    <n v="6"/>
    <n v="386"/>
    <n v="7"/>
    <n v="2228"/>
    <n v="609.96709199999998"/>
    <n v="9.9386399999999604"/>
    <n v="310.70649505364997"/>
    <n v="1793.4043289625199"/>
    <x v="6"/>
    <x v="2"/>
    <e v="#N/A"/>
    <s v="PPPCFC1"/>
    <e v="#N/A"/>
    <s v="Fume Control"/>
    <x v="0"/>
    <x v="0"/>
    <x v="0"/>
  </r>
  <r>
    <s v="10.11.1.14"/>
    <x v="2"/>
    <s v="10.12.0.1"/>
    <x v="77"/>
    <n v="14"/>
    <x v="4"/>
    <n v="6"/>
    <n v="386"/>
    <n v="8"/>
    <n v="2294"/>
    <n v="619.96831299999997"/>
    <n v="9.9380780000000204"/>
    <n v="310.72406555875199"/>
    <n v="1846.63473158492"/>
    <x v="6"/>
    <x v="2"/>
    <e v="#N/A"/>
    <s v="PPPCFC1"/>
    <e v="#N/A"/>
    <s v="Fume Control"/>
    <x v="0"/>
    <x v="0"/>
    <x v="0"/>
  </r>
  <r>
    <s v="10.11.1.14"/>
    <x v="2"/>
    <s v="10.12.0.1"/>
    <x v="78"/>
    <n v="13"/>
    <x v="6"/>
    <n v="6"/>
    <n v="386"/>
    <n v="7"/>
    <n v="2228"/>
    <n v="629.96646699999997"/>
    <n v="9.9395420000000705"/>
    <n v="310.67829885924101"/>
    <n v="1793.24157994401"/>
    <x v="6"/>
    <x v="2"/>
    <e v="#N/A"/>
    <s v="PPPCFC1"/>
    <e v="#N/A"/>
    <s v="Fume Control"/>
    <x v="0"/>
    <x v="0"/>
    <x v="0"/>
  </r>
  <r>
    <s v="10.11.1.14"/>
    <x v="2"/>
    <s v="10.12.0.1"/>
    <x v="79"/>
    <n v="15"/>
    <x v="12"/>
    <n v="7"/>
    <n v="446"/>
    <n v="8"/>
    <n v="2294"/>
    <n v="639.96490700000004"/>
    <n v="9.9416390000000092"/>
    <n v="358.89454445086898"/>
    <n v="1845.9732846867601"/>
    <x v="6"/>
    <x v="2"/>
    <e v="#N/A"/>
    <s v="PPPCFC1"/>
    <e v="#N/A"/>
    <s v="Fume Control"/>
    <x v="0"/>
    <x v="0"/>
    <x v="0"/>
  </r>
  <r>
    <s v="10.11.1.14"/>
    <x v="2"/>
    <s v="10.12.0.1"/>
    <x v="80"/>
    <n v="12"/>
    <x v="3"/>
    <n v="5"/>
    <n v="326"/>
    <n v="7"/>
    <n v="2234"/>
    <n v="649.96469300000001"/>
    <n v="9.9417449999999707"/>
    <n v="262.32819288766802"/>
    <n v="1797.67234021795"/>
    <x v="6"/>
    <x v="2"/>
    <e v="#N/A"/>
    <s v="PPPCFC1"/>
    <e v="#N/A"/>
    <s v="Fume Control"/>
    <x v="0"/>
    <x v="0"/>
    <x v="0"/>
  </r>
  <r>
    <s v="10.11.1.14"/>
    <x v="2"/>
    <s v="10.12.0.1"/>
    <x v="81"/>
    <n v="13"/>
    <x v="9"/>
    <n v="6"/>
    <n v="386"/>
    <n v="7"/>
    <n v="2234"/>
    <n v="659.96458099999995"/>
    <n v="9.9418659999999992"/>
    <n v="310.60567503122599"/>
    <n v="1797.65046119109"/>
    <x v="6"/>
    <x v="2"/>
    <e v="#N/A"/>
    <s v="PPPCFC1"/>
    <e v="#N/A"/>
    <s v="Fume Control"/>
    <x v="0"/>
    <x v="0"/>
    <x v="0"/>
  </r>
  <r>
    <s v="10.11.1.14"/>
    <x v="2"/>
    <s v="10.12.0.1"/>
    <x v="82"/>
    <n v="15"/>
    <x v="12"/>
    <n v="7"/>
    <n v="446"/>
    <n v="8"/>
    <n v="2294"/>
    <n v="669.96587699999998"/>
    <n v="9.9407089999999698"/>
    <n v="358.928120720565"/>
    <n v="1846.14598415466"/>
    <x v="6"/>
    <x v="2"/>
    <e v="#N/A"/>
    <s v="PPPCFC1"/>
    <e v="#N/A"/>
    <s v="Fume Control"/>
    <x v="0"/>
    <x v="0"/>
    <x v="0"/>
  </r>
  <r>
    <s v="10.11.1.14"/>
    <x v="2"/>
    <s v="10.12.0.1"/>
    <x v="83"/>
    <n v="14"/>
    <x v="4"/>
    <n v="7"/>
    <n v="446"/>
    <n v="7"/>
    <n v="2234"/>
    <n v="679.96615099999997"/>
    <n v="9.9405550000000193"/>
    <n v="358.93368126829898"/>
    <n v="1797.8875424963701"/>
    <x v="6"/>
    <x v="2"/>
    <e v="#N/A"/>
    <s v="PPPCFC1"/>
    <e v="#N/A"/>
    <s v="Fume Control"/>
    <x v="0"/>
    <x v="0"/>
    <x v="0"/>
  </r>
  <r>
    <s v="10.11.1.14"/>
    <x v="2"/>
    <s v="10.12.0.1"/>
    <x v="84"/>
    <n v="13"/>
    <x v="6"/>
    <n v="6"/>
    <n v="386"/>
    <n v="7"/>
    <n v="2228"/>
    <n v="689.967353"/>
    <n v="9.9391590000000196"/>
    <n v="310.690270675818"/>
    <n v="1793.3106815174201"/>
    <x v="6"/>
    <x v="2"/>
    <e v="#N/A"/>
    <s v="PPPCFC1"/>
    <e v="#N/A"/>
    <s v="Fume Control"/>
    <x v="0"/>
    <x v="0"/>
    <x v="0"/>
  </r>
  <r>
    <s v="10.11.1.14"/>
    <x v="2"/>
    <s v="10.12.0.1"/>
    <x v="85"/>
    <n v="12"/>
    <x v="3"/>
    <n v="5"/>
    <n v="326"/>
    <n v="7"/>
    <n v="2234"/>
    <n v="699.96860200000003"/>
    <n v="9.9382889999999406"/>
    <n v="262.41941646092403"/>
    <n v="1798.2974735389701"/>
    <x v="6"/>
    <x v="2"/>
    <e v="#N/A"/>
    <s v="PPPCFC1"/>
    <e v="#N/A"/>
    <s v="Fume Control"/>
    <x v="0"/>
    <x v="0"/>
    <x v="0"/>
  </r>
  <r>
    <s v="10.11.1.14"/>
    <x v="2"/>
    <s v="10.12.0.1"/>
    <x v="86"/>
    <n v="12"/>
    <x v="3"/>
    <n v="6"/>
    <n v="386"/>
    <n v="6"/>
    <n v="2174"/>
    <n v="709.96603100000004"/>
    <n v="9.9449260000000095"/>
    <n v="310.51010334315202"/>
    <n v="1748.83151468397"/>
    <x v="6"/>
    <x v="2"/>
    <e v="#N/A"/>
    <s v="PPPCFC1"/>
    <e v="#N/A"/>
    <s v="Fume Control"/>
    <x v="0"/>
    <x v="0"/>
    <x v="0"/>
  </r>
  <r>
    <s v="10.11.1.14"/>
    <x v="2"/>
    <s v="10.12.0.1"/>
    <x v="87"/>
    <n v="12"/>
    <x v="3"/>
    <n v="5"/>
    <n v="326"/>
    <n v="7"/>
    <n v="2234"/>
    <n v="719.97122000000002"/>
    <n v="9.9396659999999901"/>
    <n v="262.38306196606601"/>
    <n v="1798.04834488403"/>
    <x v="6"/>
    <x v="2"/>
    <e v="#N/A"/>
    <s v="PPPCFC1"/>
    <e v="#N/A"/>
    <s v="Fume Control"/>
    <x v="0"/>
    <x v="0"/>
    <x v="0"/>
  </r>
  <r>
    <s v="10.11.1.14"/>
    <x v="2"/>
    <s v="10.12.0.1"/>
    <x v="88"/>
    <n v="13"/>
    <x v="6"/>
    <n v="6"/>
    <n v="386"/>
    <n v="7"/>
    <n v="2228"/>
    <n v="729.97252500000002"/>
    <n v="9.9456880000000201"/>
    <n v="310.48631326460202"/>
    <n v="1792.13343511278"/>
    <x v="6"/>
    <x v="2"/>
    <e v="#N/A"/>
    <s v="PPPCFC1"/>
    <e v="#N/A"/>
    <s v="Fume Control"/>
    <x v="0"/>
    <x v="0"/>
    <x v="0"/>
  </r>
  <r>
    <s v="10.11.1.14"/>
    <x v="2"/>
    <s v="10.12.0.1"/>
    <x v="89"/>
    <n v="14"/>
    <x v="4"/>
    <n v="6"/>
    <n v="386"/>
    <n v="8"/>
    <n v="2294"/>
    <n v="739.97379599999999"/>
    <n v="9.9405610000000006"/>
    <n v="310.64645144272998"/>
    <n v="1846.1734704912501"/>
    <x v="6"/>
    <x v="2"/>
    <e v="#N/A"/>
    <s v="PPPCFC1"/>
    <e v="#N/A"/>
    <s v="Fume Control"/>
    <x v="0"/>
    <x v="0"/>
    <x v="0"/>
  </r>
  <r>
    <s v="10.11.1.14"/>
    <x v="2"/>
    <s v="10.12.0.1"/>
    <x v="90"/>
    <n v="12"/>
    <x v="3"/>
    <n v="5"/>
    <n v="326"/>
    <n v="7"/>
    <n v="2234"/>
    <n v="749.97691199999997"/>
    <n v="9.9412090000000699"/>
    <n v="262.34233683246998"/>
    <n v="1797.7692652875401"/>
    <x v="6"/>
    <x v="2"/>
    <e v="#N/A"/>
    <s v="PPPCFC1"/>
    <e v="#N/A"/>
    <s v="Fume Control"/>
    <x v="0"/>
    <x v="0"/>
    <x v="0"/>
  </r>
  <r>
    <s v="10.11.1.14"/>
    <x v="2"/>
    <s v="10.12.0.1"/>
    <x v="91"/>
    <n v="14"/>
    <x v="4"/>
    <n v="6"/>
    <n v="386"/>
    <n v="8"/>
    <n v="2294"/>
    <n v="759.97429499999998"/>
    <n v="9.9356460000000197"/>
    <n v="310.80012311227603"/>
    <n v="1847.08674201959"/>
    <x v="6"/>
    <x v="2"/>
    <e v="#N/A"/>
    <s v="PPPCFC1"/>
    <e v="#N/A"/>
    <s v="Fume Control"/>
    <x v="0"/>
    <x v="0"/>
    <x v="0"/>
  </r>
  <r>
    <s v="10.11.1.14"/>
    <x v="2"/>
    <s v="10.12.0.1"/>
    <x v="92"/>
    <n v="13"/>
    <x v="6"/>
    <n v="6"/>
    <n v="386"/>
    <n v="7"/>
    <n v="2228"/>
    <n v="769.98161100000004"/>
    <n v="9.9294699999999203"/>
    <n v="310.99343670911202"/>
    <n v="1795.0605621448201"/>
    <x v="6"/>
    <x v="2"/>
    <e v="#N/A"/>
    <s v="PPPCFC1"/>
    <e v="#N/A"/>
    <s v="Fume Control"/>
    <x v="0"/>
    <x v="0"/>
    <x v="0"/>
  </r>
  <r>
    <s v="10.11.1.14"/>
    <x v="2"/>
    <s v="10.12.0.1"/>
    <x v="93"/>
    <n v="14"/>
    <x v="4"/>
    <n v="6"/>
    <n v="386"/>
    <n v="8"/>
    <n v="2294"/>
    <n v="779.97505999999998"/>
    <n v="9.9401729999999606"/>
    <n v="310.65857706903199"/>
    <n v="1846.2455331511901"/>
    <x v="6"/>
    <x v="2"/>
    <e v="#N/A"/>
    <s v="PPPCFC1"/>
    <e v="#N/A"/>
    <s v="Fume Control"/>
    <x v="0"/>
    <x v="0"/>
    <x v="0"/>
  </r>
  <r>
    <s v="10.11.1.14"/>
    <x v="2"/>
    <s v="10.12.0.1"/>
    <x v="94"/>
    <n v="12"/>
    <x v="3"/>
    <n v="5"/>
    <n v="326"/>
    <n v="7"/>
    <n v="2234"/>
    <n v="789.97225000000003"/>
    <n v="9.9484539999999697"/>
    <n v="262.151285013733"/>
    <n v="1796.4600328855199"/>
    <x v="6"/>
    <x v="2"/>
    <e v="#N/A"/>
    <s v="PPPCFC1"/>
    <e v="#N/A"/>
    <s v="Fume Control"/>
    <x v="0"/>
    <x v="0"/>
    <x v="0"/>
  </r>
  <r>
    <s v="10.11.1.14"/>
    <x v="2"/>
    <s v="10.12.0.1"/>
    <x v="95"/>
    <n v="14"/>
    <x v="4"/>
    <n v="6"/>
    <n v="386"/>
    <n v="8"/>
    <n v="2294"/>
    <n v="799.97581500000001"/>
    <n v="9.9340730000000104"/>
    <n v="310.84933642021701"/>
    <n v="1847.3792169636699"/>
    <x v="6"/>
    <x v="2"/>
    <e v="#N/A"/>
    <s v="PPPCFC1"/>
    <e v="#N/A"/>
    <s v="Fume Control"/>
    <x v="0"/>
    <x v="0"/>
    <x v="0"/>
  </r>
  <r>
    <s v="10.11.1.14"/>
    <x v="2"/>
    <s v="10.12.0.1"/>
    <x v="96"/>
    <n v="12"/>
    <x v="3"/>
    <n v="5"/>
    <n v="326"/>
    <n v="7"/>
    <n v="2234"/>
    <n v="809.98264700000004"/>
    <n v="9.9362329999999002"/>
    <n v="262.47371614574899"/>
    <n v="1798.66957628713"/>
    <x v="6"/>
    <x v="2"/>
    <e v="#N/A"/>
    <s v="PPPCFC1"/>
    <e v="#N/A"/>
    <s v="Fume Control"/>
    <x v="0"/>
    <x v="0"/>
    <x v="0"/>
  </r>
  <r>
    <s v="10.11.1.14"/>
    <x v="2"/>
    <s v="10.12.0.1"/>
    <x v="97"/>
    <n v="16"/>
    <x v="13"/>
    <n v="7"/>
    <n v="446"/>
    <n v="9"/>
    <n v="2553"/>
    <n v="820.02010399999995"/>
    <n v="9.8919650000000292"/>
    <n v="360.69678774641699"/>
    <n v="2064.7060518309499"/>
    <x v="6"/>
    <x v="2"/>
    <e v="#N/A"/>
    <s v="PPPCFC1"/>
    <e v="#N/A"/>
    <s v="Fume Control"/>
    <x v="0"/>
    <x v="0"/>
    <x v="0"/>
  </r>
  <r>
    <s v="10.11.1.14"/>
    <x v="2"/>
    <s v="10.12.0.1"/>
    <x v="98"/>
    <n v="14"/>
    <x v="4"/>
    <n v="6"/>
    <n v="386"/>
    <n v="8"/>
    <n v="2294"/>
    <n v="829.98515899999995"/>
    <n v="9.93922700000007"/>
    <n v="310.68814506399502"/>
    <n v="1846.42125589846"/>
    <x v="6"/>
    <x v="2"/>
    <e v="#N/A"/>
    <s v="PPPCFC1"/>
    <e v="#N/A"/>
    <s v="Fume Control"/>
    <x v="0"/>
    <x v="0"/>
    <x v="0"/>
  </r>
  <r>
    <s v="10.11.1.14"/>
    <x v="2"/>
    <s v="10.12.0.1"/>
    <x v="99"/>
    <n v="14"/>
    <x v="4"/>
    <n v="6"/>
    <n v="386"/>
    <n v="8"/>
    <n v="2294"/>
    <n v="840.02106500000002"/>
    <n v="9.9002789999999496"/>
    <n v="311.91040171696301"/>
    <n v="1853.6851335199799"/>
    <x v="6"/>
    <x v="2"/>
    <e v="#N/A"/>
    <s v="PPPCFC1"/>
    <e v="#N/A"/>
    <s v="Fume Control"/>
    <x v="0"/>
    <x v="0"/>
    <x v="0"/>
  </r>
  <r>
    <s v="10.11.1.14"/>
    <x v="2"/>
    <s v="10.12.0.1"/>
    <x v="100"/>
    <n v="12"/>
    <x v="3"/>
    <n v="5"/>
    <n v="326"/>
    <n v="7"/>
    <n v="2234"/>
    <n v="849.99269000000004"/>
    <n v="9.9236379999999809"/>
    <n v="262.80684563463598"/>
    <n v="1800.9524329686401"/>
    <x v="6"/>
    <x v="2"/>
    <e v="#N/A"/>
    <s v="PPPCFC1"/>
    <e v="#N/A"/>
    <s v="Fume Control"/>
    <x v="0"/>
    <x v="0"/>
    <x v="0"/>
  </r>
  <r>
    <s v="10.11.1.14"/>
    <x v="2"/>
    <s v="10.12.0.1"/>
    <x v="5"/>
    <n v="13"/>
    <x v="9"/>
    <n v="6"/>
    <n v="386"/>
    <n v="7"/>
    <n v="2234"/>
    <n v="859.98314500000004"/>
    <n v="9.9384339999999192"/>
    <n v="310.71293525720699"/>
    <n v="1798.2712366958599"/>
    <x v="6"/>
    <x v="2"/>
    <e v="#N/A"/>
    <s v="PPPCFC1"/>
    <e v="#N/A"/>
    <s v="Fume Control"/>
    <x v="0"/>
    <x v="0"/>
    <x v="0"/>
  </r>
  <r>
    <s v="10.11.1.14"/>
    <x v="2"/>
    <s v="10.12.0.1"/>
    <x v="101"/>
    <n v="12"/>
    <x v="3"/>
    <n v="5"/>
    <n v="326"/>
    <n v="7"/>
    <n v="2234"/>
    <n v="869.977575"/>
    <n v="9.9369450000000406"/>
    <n v="262.45490943141903"/>
    <n v="1798.54069837359"/>
    <x v="6"/>
    <x v="2"/>
    <e v="#N/A"/>
    <s v="PPPCFC1"/>
    <e v="#N/A"/>
    <s v="Fume Control"/>
    <x v="0"/>
    <x v="0"/>
    <x v="0"/>
  </r>
  <r>
    <s v="10.11.1.14"/>
    <x v="2"/>
    <s v="10.12.0.1"/>
    <x v="102"/>
    <n v="12"/>
    <x v="3"/>
    <n v="5"/>
    <n v="326"/>
    <n v="7"/>
    <n v="2234"/>
    <n v="879.991536"/>
    <n v="9.9186479999999602"/>
    <n v="262.93906185601202"/>
    <n v="1801.8584790991699"/>
    <x v="6"/>
    <x v="2"/>
    <e v="#N/A"/>
    <s v="PPPCFC1"/>
    <e v="#N/A"/>
    <s v="Fume Control"/>
    <x v="0"/>
    <x v="0"/>
    <x v="0"/>
  </r>
  <r>
    <s v="10.11.1.14"/>
    <x v="2"/>
    <s v="10.12.0.1"/>
    <x v="103"/>
    <n v="14"/>
    <x v="4"/>
    <n v="6"/>
    <n v="386"/>
    <n v="8"/>
    <n v="2294"/>
    <n v="889.97539900000004"/>
    <n v="9.9481399999999702"/>
    <n v="310.40978514576699"/>
    <n v="1844.76696146215"/>
    <x v="6"/>
    <x v="2"/>
    <e v="#N/A"/>
    <s v="PPPCFC1"/>
    <e v="#N/A"/>
    <s v="Fume Control"/>
    <x v="0"/>
    <x v="0"/>
    <x v="0"/>
  </r>
  <r>
    <s v="10.11.1.14"/>
    <x v="2"/>
    <s v="10.12.0.1"/>
    <x v="104"/>
    <n v="10"/>
    <x v="14"/>
    <n v="3"/>
    <n v="206"/>
    <n v="7"/>
    <n v="2234"/>
    <n v="899.97859700000004"/>
    <n v="0.151836000000003"/>
    <n v="10853.8159593243"/>
    <n v="117705.945888983"/>
    <x v="6"/>
    <x v="2"/>
    <e v="#N/A"/>
    <s v="PPPCFC1"/>
    <e v="#N/A"/>
    <s v="Fume Control"/>
    <x v="0"/>
    <x v="0"/>
    <x v="0"/>
  </r>
  <r>
    <s v="10.11.1.31"/>
    <x v="3"/>
    <s v="10.12.0.74"/>
    <x v="105"/>
    <n v="416"/>
    <x v="15"/>
    <n v="180"/>
    <n v="17099"/>
    <n v="236"/>
    <n v="247831"/>
    <n v="479.92451899999998"/>
    <n v="25.213583"/>
    <n v="5425.3296725023101"/>
    <n v="78634.123519850298"/>
    <x v="7"/>
    <x v="5"/>
    <e v="#N/A"/>
    <n v="0"/>
    <e v="#N/A"/>
    <s v="PETs Plant"/>
    <x v="0"/>
    <x v="0"/>
    <x v="1"/>
  </r>
  <r>
    <s v="10.11.1.31"/>
    <x v="4"/>
    <s v="10.12.0.72"/>
    <x v="105"/>
    <n v="447"/>
    <x v="16"/>
    <n v="214"/>
    <n v="26396"/>
    <n v="233"/>
    <n v="123575"/>
    <n v="479.92905300000001"/>
    <n v="13.189887000000001"/>
    <n v="16009.8414793091"/>
    <n v="74951.3623581461"/>
    <x v="7"/>
    <x v="6"/>
    <e v="#N/A"/>
    <n v="0"/>
    <e v="#N/A"/>
    <s v="PETs Plant"/>
    <x v="0"/>
    <x v="0"/>
    <x v="1"/>
  </r>
  <r>
    <s v="10.11.1.31"/>
    <x v="5"/>
    <s v="10.12.0.73"/>
    <x v="105"/>
    <n v="462"/>
    <x v="17"/>
    <n v="213"/>
    <n v="25189"/>
    <n v="249"/>
    <n v="164672"/>
    <n v="479.937726"/>
    <n v="13.209826"/>
    <n v="15254.705096039799"/>
    <n v="99726.975964709796"/>
    <x v="7"/>
    <x v="7"/>
    <e v="#N/A"/>
    <n v="0"/>
    <e v="#N/A"/>
    <s v="PETs Plant"/>
    <x v="0"/>
    <x v="0"/>
    <x v="1"/>
  </r>
  <r>
    <s v="10.11.1.31"/>
    <x v="6"/>
    <s v="10.12.0.74"/>
    <x v="105"/>
    <n v="1"/>
    <x v="18"/>
    <n v="1"/>
    <n v="66"/>
    <n v="0"/>
    <n v="0"/>
    <n v="481.01459699999998"/>
    <n v="0"/>
    <n v="0"/>
    <n v="0"/>
    <x v="7"/>
    <x v="5"/>
    <e v="#N/A"/>
    <n v="0"/>
    <e v="#N/A"/>
    <s v="PETs Plant"/>
    <x v="0"/>
    <x v="0"/>
    <x v="1"/>
  </r>
  <r>
    <s v="10.11.1.31"/>
    <x v="7"/>
    <s v="10.12.0.74"/>
    <x v="106"/>
    <n v="1"/>
    <x v="18"/>
    <n v="1"/>
    <n v="66"/>
    <n v="0"/>
    <n v="0"/>
    <n v="481.01552700000002"/>
    <n v="0"/>
    <n v="0"/>
    <n v="0"/>
    <x v="7"/>
    <x v="5"/>
    <e v="#N/A"/>
    <n v="0"/>
    <e v="#N/A"/>
    <s v="PETs Plant"/>
    <x v="0"/>
    <x v="0"/>
    <x v="2"/>
  </r>
  <r>
    <s v="10.11.1.79"/>
    <x v="8"/>
    <s v="10.12.1.24"/>
    <x v="107"/>
    <n v="10"/>
    <x v="19"/>
    <n v="5"/>
    <n v="308"/>
    <n v="5"/>
    <n v="306"/>
    <n v="54.211438999999999"/>
    <n v="4.2355000000000601E-2"/>
    <n v="58174.949828826997"/>
    <n v="57797.190414354103"/>
    <x v="8"/>
    <x v="8"/>
    <e v="#N/A"/>
    <s v="BFNCPLC"/>
    <e v="#N/A"/>
    <s v="Blast Furnace"/>
    <x v="0"/>
    <x v="1"/>
    <x v="3"/>
  </r>
  <r>
    <s v="10.11.1.79"/>
    <x v="9"/>
    <s v="10.12.1.24"/>
    <x v="107"/>
    <n v="10"/>
    <x v="20"/>
    <n v="5"/>
    <n v="308"/>
    <n v="5"/>
    <n v="305"/>
    <n v="54.235810999999998"/>
    <n v="6.8308999999999301E-2"/>
    <n v="36071.381516345202"/>
    <n v="35720.036891185999"/>
    <x v="8"/>
    <x v="8"/>
    <e v="#N/A"/>
    <s v="BFNCPLC"/>
    <e v="#N/A"/>
    <s v="Blast Furnace"/>
    <x v="0"/>
    <x v="1"/>
    <x v="3"/>
  </r>
  <r>
    <s v="10.11.1.79"/>
    <x v="10"/>
    <s v="10.12.1.24"/>
    <x v="107"/>
    <n v="10"/>
    <x v="19"/>
    <n v="5"/>
    <n v="308"/>
    <n v="5"/>
    <n v="306"/>
    <n v="54.327463999999999"/>
    <n v="3.90920000000037E-2"/>
    <n v="63030.799140483199"/>
    <n v="62621.508236973503"/>
    <x v="8"/>
    <x v="8"/>
    <e v="#N/A"/>
    <s v="BFNCPLC"/>
    <e v="#N/A"/>
    <s v="Blast Furnace"/>
    <x v="0"/>
    <x v="1"/>
    <x v="3"/>
  </r>
  <r>
    <s v="10.11.1.79"/>
    <x v="11"/>
    <s v="10.12.1.24"/>
    <x v="107"/>
    <n v="10"/>
    <x v="20"/>
    <n v="5"/>
    <n v="308"/>
    <n v="5"/>
    <n v="305"/>
    <n v="54.35474"/>
    <n v="5.84210000000027E-2"/>
    <n v="42176.614573524697"/>
    <n v="41765.8033926137"/>
    <x v="8"/>
    <x v="8"/>
    <e v="#N/A"/>
    <s v="BFNCPLC"/>
    <e v="#N/A"/>
    <s v="Blast Furnace"/>
    <x v="0"/>
    <x v="1"/>
    <x v="3"/>
  </r>
  <r>
    <s v="10.11.1.79"/>
    <x v="12"/>
    <s v="10.12.1.24"/>
    <x v="107"/>
    <n v="10"/>
    <x v="19"/>
    <n v="5"/>
    <n v="308"/>
    <n v="5"/>
    <n v="306"/>
    <n v="54.418950000000002"/>
    <n v="4.7702000000001001E-2"/>
    <n v="51654.018699424501"/>
    <n v="51318.6029935841"/>
    <x v="8"/>
    <x v="8"/>
    <e v="#N/A"/>
    <s v="BFNCPLC"/>
    <e v="#N/A"/>
    <s v="Blast Furnace"/>
    <x v="0"/>
    <x v="1"/>
    <x v="3"/>
  </r>
  <r>
    <s v="10.11.1.79"/>
    <x v="13"/>
    <s v="10.12.1.24"/>
    <x v="107"/>
    <n v="10"/>
    <x v="19"/>
    <n v="5"/>
    <n v="308"/>
    <n v="5"/>
    <n v="306"/>
    <n v="59.227063999999999"/>
    <n v="4.5256000000002003E-2"/>
    <n v="54445.819338869798"/>
    <n v="54092.275057448598"/>
    <x v="8"/>
    <x v="8"/>
    <e v="#N/A"/>
    <s v="BFNCPLC"/>
    <e v="#N/A"/>
    <s v="Blast Furnace"/>
    <x v="0"/>
    <x v="1"/>
    <x v="3"/>
  </r>
  <r>
    <s v="10.11.1.79"/>
    <x v="14"/>
    <s v="10.12.1.24"/>
    <x v="107"/>
    <n v="10"/>
    <x v="20"/>
    <n v="5"/>
    <n v="308"/>
    <n v="5"/>
    <n v="305"/>
    <n v="59.254572000000003"/>
    <n v="8.7283999999996795E-2"/>
    <n v="28229.6869987637"/>
    <n v="27954.7225150095"/>
    <x v="8"/>
    <x v="8"/>
    <e v="#N/A"/>
    <s v="BFNCPLC"/>
    <e v="#N/A"/>
    <s v="Blast Furnace"/>
    <x v="0"/>
    <x v="1"/>
    <x v="3"/>
  </r>
  <r>
    <s v="10.11.1.79"/>
    <x v="15"/>
    <s v="10.12.1.24"/>
    <x v="107"/>
    <n v="10"/>
    <x v="19"/>
    <n v="5"/>
    <n v="308"/>
    <n v="5"/>
    <n v="306"/>
    <n v="59.327044000000001"/>
    <n v="0.104819999999997"/>
    <n v="23506.964319787101"/>
    <n v="23354.321694333899"/>
    <x v="8"/>
    <x v="8"/>
    <e v="#N/A"/>
    <s v="BFNCPLC"/>
    <e v="#N/A"/>
    <s v="Blast Furnace"/>
    <x v="0"/>
    <x v="1"/>
    <x v="3"/>
  </r>
  <r>
    <s v="10.11.1.79"/>
    <x v="16"/>
    <s v="10.12.1.24"/>
    <x v="107"/>
    <n v="10"/>
    <x v="20"/>
    <n v="5"/>
    <n v="308"/>
    <n v="5"/>
    <n v="305"/>
    <n v="59.414915999999998"/>
    <n v="5.8451000000005103E-2"/>
    <n v="42154.967408595003"/>
    <n v="41744.367076693103"/>
    <x v="8"/>
    <x v="8"/>
    <e v="#N/A"/>
    <s v="BFNCPLC"/>
    <e v="#N/A"/>
    <s v="Blast Furnace"/>
    <x v="0"/>
    <x v="1"/>
    <x v="3"/>
  </r>
  <r>
    <s v="10.11.1.79"/>
    <x v="17"/>
    <s v="10.12.1.24"/>
    <x v="107"/>
    <n v="10"/>
    <x v="19"/>
    <n v="5"/>
    <n v="308"/>
    <n v="5"/>
    <n v="306"/>
    <n v="59.481676999999998"/>
    <n v="5.0755000000002298E-2"/>
    <n v="48546.941188058103"/>
    <n v="48231.701310213502"/>
    <x v="8"/>
    <x v="8"/>
    <e v="#N/A"/>
    <s v="BFNCPLC"/>
    <e v="#N/A"/>
    <s v="Blast Furnace"/>
    <x v="0"/>
    <x v="1"/>
    <x v="3"/>
  </r>
  <r>
    <s v="10.11.1.79"/>
    <x v="18"/>
    <s v="10.12.1.24"/>
    <x v="107"/>
    <n v="10"/>
    <x v="19"/>
    <n v="5"/>
    <n v="308"/>
    <n v="5"/>
    <n v="306"/>
    <n v="144.21268000000001"/>
    <n v="4.0890999999987798E-2"/>
    <n v="60257.758430968599"/>
    <n v="59866.474285312899"/>
    <x v="8"/>
    <x v="8"/>
    <e v="#N/A"/>
    <s v="BFNCPLC"/>
    <e v="#N/A"/>
    <s v="Blast Furnace"/>
    <x v="0"/>
    <x v="1"/>
    <x v="3"/>
  </r>
  <r>
    <s v="10.11.1.79"/>
    <x v="19"/>
    <s v="10.12.1.24"/>
    <x v="107"/>
    <n v="12"/>
    <x v="21"/>
    <n v="6"/>
    <n v="368"/>
    <n v="6"/>
    <n v="365"/>
    <n v="144.24627100000001"/>
    <n v="3.0035569999999998"/>
    <n v="980.17117704108796"/>
    <n v="972.18065114129695"/>
    <x v="8"/>
    <x v="8"/>
    <e v="#N/A"/>
    <s v="BFNCPLC"/>
    <e v="#N/A"/>
    <s v="Blast Furnace"/>
    <x v="0"/>
    <x v="1"/>
    <x v="3"/>
  </r>
  <r>
    <s v="10.11.1.79"/>
    <x v="20"/>
    <s v="10.12.1.24"/>
    <x v="107"/>
    <n v="10"/>
    <x v="19"/>
    <n v="5"/>
    <n v="308"/>
    <n v="5"/>
    <n v="306"/>
    <n v="144.29767200000001"/>
    <n v="3.40089999999975E-2"/>
    <n v="72451.409920908598"/>
    <n v="71980.9462201235"/>
    <x v="8"/>
    <x v="8"/>
    <e v="#N/A"/>
    <s v="BFNCPLC"/>
    <e v="#N/A"/>
    <s v="Blast Furnace"/>
    <x v="0"/>
    <x v="1"/>
    <x v="3"/>
  </r>
  <r>
    <s v="10.11.1.79"/>
    <x v="21"/>
    <s v="10.12.1.24"/>
    <x v="107"/>
    <n v="10"/>
    <x v="20"/>
    <n v="5"/>
    <n v="308"/>
    <n v="5"/>
    <n v="305"/>
    <n v="144.32341400000001"/>
    <n v="2.98189999999749E-2"/>
    <n v="82631.879003389404"/>
    <n v="81827.0230390707"/>
    <x v="8"/>
    <x v="8"/>
    <e v="#N/A"/>
    <s v="BFNCPLC"/>
    <e v="#N/A"/>
    <s v="Blast Furnace"/>
    <x v="0"/>
    <x v="1"/>
    <x v="3"/>
  </r>
  <r>
    <s v="10.11.1.79"/>
    <x v="22"/>
    <s v="10.12.1.24"/>
    <x v="107"/>
    <n v="10"/>
    <x v="19"/>
    <n v="5"/>
    <n v="308"/>
    <n v="5"/>
    <n v="306"/>
    <n v="144.35799399999999"/>
    <n v="2.5801999999998802E-2"/>
    <n v="95496.473141621507"/>
    <n v="94876.366173169401"/>
    <x v="8"/>
    <x v="8"/>
    <e v="#N/A"/>
    <s v="BFNCPLC"/>
    <e v="#N/A"/>
    <s v="Blast Furnace"/>
    <x v="0"/>
    <x v="1"/>
    <x v="3"/>
  </r>
  <r>
    <s v="10.11.1.79"/>
    <x v="23"/>
    <s v="10.12.1.24"/>
    <x v="107"/>
    <n v="10"/>
    <x v="19"/>
    <n v="5"/>
    <n v="308"/>
    <n v="5"/>
    <n v="306"/>
    <n v="149.21279100000001"/>
    <n v="3.1334999999984299E-2"/>
    <n v="78634.115206677205"/>
    <n v="78123.504068971495"/>
    <x v="8"/>
    <x v="8"/>
    <e v="#N/A"/>
    <s v="BFNCPLC"/>
    <e v="#N/A"/>
    <s v="Blast Furnace"/>
    <x v="0"/>
    <x v="1"/>
    <x v="3"/>
  </r>
  <r>
    <s v="10.11.1.79"/>
    <x v="24"/>
    <s v="10.12.1.24"/>
    <x v="107"/>
    <n v="10"/>
    <x v="20"/>
    <n v="5"/>
    <n v="308"/>
    <n v="5"/>
    <n v="305"/>
    <n v="149.23820799999999"/>
    <n v="2.1877000000017702E-2"/>
    <n v="112629.702427116"/>
    <n v="111532.659871007"/>
    <x v="8"/>
    <x v="8"/>
    <e v="#N/A"/>
    <s v="BFNCPLC"/>
    <e v="#N/A"/>
    <s v="Blast Furnace"/>
    <x v="0"/>
    <x v="1"/>
    <x v="3"/>
  </r>
  <r>
    <s v="10.11.1.79"/>
    <x v="25"/>
    <s v="10.12.1.24"/>
    <x v="107"/>
    <n v="10"/>
    <x v="19"/>
    <n v="5"/>
    <n v="308"/>
    <n v="5"/>
    <n v="306"/>
    <n v="149.26585800000001"/>
    <n v="2.65149999999892E-2"/>
    <n v="92928.531020215203"/>
    <n v="92325.099000603397"/>
    <x v="8"/>
    <x v="8"/>
    <e v="#N/A"/>
    <s v="BFNCPLC"/>
    <e v="#N/A"/>
    <s v="Blast Furnace"/>
    <x v="0"/>
    <x v="1"/>
    <x v="3"/>
  </r>
  <r>
    <s v="10.11.1.79"/>
    <x v="26"/>
    <s v="10.12.1.24"/>
    <x v="107"/>
    <n v="10"/>
    <x v="20"/>
    <n v="5"/>
    <n v="308"/>
    <n v="5"/>
    <n v="305"/>
    <n v="149.29023599999999"/>
    <n v="1.8101999999999001E-2"/>
    <n v="136117.55607116001"/>
    <n v="134791.73571981801"/>
    <x v="8"/>
    <x v="8"/>
    <e v="#N/A"/>
    <s v="BFNCPLC"/>
    <e v="#N/A"/>
    <s v="Blast Furnace"/>
    <x v="0"/>
    <x v="1"/>
    <x v="3"/>
  </r>
  <r>
    <s v="10.11.1.79"/>
    <x v="27"/>
    <s v="10.12.1.24"/>
    <x v="107"/>
    <n v="10"/>
    <x v="19"/>
    <n v="5"/>
    <n v="308"/>
    <n v="5"/>
    <n v="306"/>
    <n v="149.326752"/>
    <n v="2.2371999999990101E-2"/>
    <n v="110137.672090162"/>
    <n v="109422.492401264"/>
    <x v="8"/>
    <x v="8"/>
    <e v="#N/A"/>
    <s v="BFNCPLC"/>
    <e v="#N/A"/>
    <s v="Blast Furnace"/>
    <x v="0"/>
    <x v="1"/>
    <x v="3"/>
  </r>
  <r>
    <s v="10.11.1.79"/>
    <x v="28"/>
    <s v="10.12.1.24"/>
    <x v="107"/>
    <n v="1"/>
    <x v="1"/>
    <n v="1"/>
    <n v="62"/>
    <n v="0"/>
    <n v="0"/>
    <n v="234.21400499999999"/>
    <n v="0"/>
    <n v="0"/>
    <n v="0"/>
    <x v="8"/>
    <x v="8"/>
    <e v="#N/A"/>
    <s v="BFNCPLC"/>
    <e v="#N/A"/>
    <s v="Blast Furnace"/>
    <x v="0"/>
    <x v="1"/>
    <x v="3"/>
  </r>
  <r>
    <s v="10.11.1.79"/>
    <x v="29"/>
    <s v="10.12.1.24"/>
    <x v="107"/>
    <n v="1"/>
    <x v="1"/>
    <n v="1"/>
    <n v="62"/>
    <n v="0"/>
    <n v="0"/>
    <n v="236.214651"/>
    <n v="0"/>
    <n v="0"/>
    <n v="0"/>
    <x v="8"/>
    <x v="8"/>
    <e v="#N/A"/>
    <s v="BFNCPLC"/>
    <e v="#N/A"/>
    <s v="Blast Furnace"/>
    <x v="0"/>
    <x v="1"/>
    <x v="3"/>
  </r>
  <r>
    <s v="10.11.1.79"/>
    <x v="30"/>
    <s v="10.12.1.24"/>
    <x v="107"/>
    <n v="1"/>
    <x v="1"/>
    <n v="1"/>
    <n v="62"/>
    <n v="0"/>
    <n v="0"/>
    <n v="238.214673"/>
    <n v="0"/>
    <n v="0"/>
    <n v="0"/>
    <x v="8"/>
    <x v="8"/>
    <e v="#N/A"/>
    <s v="BFNCPLC"/>
    <e v="#N/A"/>
    <s v="Blast Furnace"/>
    <x v="0"/>
    <x v="1"/>
    <x v="3"/>
  </r>
  <r>
    <s v="10.11.1.79"/>
    <x v="31"/>
    <s v="10.12.1.24"/>
    <x v="107"/>
    <n v="1"/>
    <x v="1"/>
    <n v="1"/>
    <n v="62"/>
    <n v="0"/>
    <n v="0"/>
    <n v="240.21999299999999"/>
    <n v="0"/>
    <n v="0"/>
    <n v="0"/>
    <x v="8"/>
    <x v="8"/>
    <e v="#N/A"/>
    <s v="BFNCPLC"/>
    <e v="#N/A"/>
    <s v="Blast Furnace"/>
    <x v="0"/>
    <x v="1"/>
    <x v="3"/>
  </r>
  <r>
    <s v="10.11.1.79"/>
    <x v="32"/>
    <s v="10.12.1.24"/>
    <x v="107"/>
    <n v="1"/>
    <x v="1"/>
    <n v="1"/>
    <n v="62"/>
    <n v="0"/>
    <n v="0"/>
    <n v="242.246624"/>
    <n v="0"/>
    <n v="0"/>
    <n v="0"/>
    <x v="8"/>
    <x v="8"/>
    <e v="#N/A"/>
    <s v="BFNCPLC"/>
    <e v="#N/A"/>
    <s v="Blast Furnace"/>
    <x v="0"/>
    <x v="1"/>
    <x v="3"/>
  </r>
  <r>
    <s v="10.11.1.79"/>
    <x v="33"/>
    <s v="10.12.1.24"/>
    <x v="107"/>
    <n v="1"/>
    <x v="1"/>
    <n v="1"/>
    <n v="62"/>
    <n v="0"/>
    <n v="0"/>
    <n v="244.277941"/>
    <n v="0"/>
    <n v="0"/>
    <n v="0"/>
    <x v="8"/>
    <x v="8"/>
    <e v="#N/A"/>
    <s v="BFNCPLC"/>
    <e v="#N/A"/>
    <s v="Blast Furnace"/>
    <x v="0"/>
    <x v="1"/>
    <x v="3"/>
  </r>
  <r>
    <s v="10.11.1.79"/>
    <x v="34"/>
    <s v="10.12.1.24"/>
    <x v="107"/>
    <n v="1"/>
    <x v="1"/>
    <n v="1"/>
    <n v="62"/>
    <n v="0"/>
    <n v="0"/>
    <n v="325.23098900000002"/>
    <n v="0"/>
    <n v="0"/>
    <n v="0"/>
    <x v="8"/>
    <x v="8"/>
    <e v="#N/A"/>
    <s v="BFNCPLC"/>
    <e v="#N/A"/>
    <s v="Blast Furnace"/>
    <x v="0"/>
    <x v="1"/>
    <x v="3"/>
  </r>
  <r>
    <s v="10.11.1.79"/>
    <x v="35"/>
    <s v="10.12.1.24"/>
    <x v="107"/>
    <n v="1"/>
    <x v="1"/>
    <n v="1"/>
    <n v="62"/>
    <n v="0"/>
    <n v="0"/>
    <n v="327.24726900000002"/>
    <n v="0"/>
    <n v="0"/>
    <n v="0"/>
    <x v="8"/>
    <x v="8"/>
    <e v="#N/A"/>
    <s v="BFNCPLC"/>
    <e v="#N/A"/>
    <s v="Blast Furnace"/>
    <x v="0"/>
    <x v="1"/>
    <x v="3"/>
  </r>
  <r>
    <s v="10.11.1.79"/>
    <x v="36"/>
    <s v="10.12.1.24"/>
    <x v="107"/>
    <n v="1"/>
    <x v="1"/>
    <n v="1"/>
    <n v="62"/>
    <n v="0"/>
    <n v="0"/>
    <n v="329.24735099999998"/>
    <n v="0"/>
    <n v="0"/>
    <n v="0"/>
    <x v="8"/>
    <x v="8"/>
    <e v="#N/A"/>
    <s v="BFNCPLC"/>
    <e v="#N/A"/>
    <s v="Blast Furnace"/>
    <x v="0"/>
    <x v="1"/>
    <x v="3"/>
  </r>
  <r>
    <s v="10.11.1.79"/>
    <x v="37"/>
    <s v="10.12.1.24"/>
    <x v="107"/>
    <n v="1"/>
    <x v="1"/>
    <n v="1"/>
    <n v="62"/>
    <n v="0"/>
    <n v="0"/>
    <n v="331.253739"/>
    <n v="0"/>
    <n v="0"/>
    <n v="0"/>
    <x v="8"/>
    <x v="8"/>
    <e v="#N/A"/>
    <s v="BFNCPLC"/>
    <e v="#N/A"/>
    <s v="Blast Furnace"/>
    <x v="0"/>
    <x v="1"/>
    <x v="3"/>
  </r>
  <r>
    <s v="10.11.1.79"/>
    <x v="38"/>
    <s v="10.12.1.24"/>
    <x v="107"/>
    <n v="1"/>
    <x v="1"/>
    <n v="1"/>
    <n v="62"/>
    <n v="0"/>
    <n v="0"/>
    <n v="333.28088100000002"/>
    <n v="0"/>
    <n v="0"/>
    <n v="0"/>
    <x v="8"/>
    <x v="8"/>
    <e v="#N/A"/>
    <s v="BFNCPLC"/>
    <e v="#N/A"/>
    <s v="Blast Furnace"/>
    <x v="0"/>
    <x v="1"/>
    <x v="3"/>
  </r>
  <r>
    <s v="10.11.1.79"/>
    <x v="39"/>
    <s v="10.12.1.24"/>
    <x v="107"/>
    <n v="1"/>
    <x v="1"/>
    <n v="1"/>
    <n v="62"/>
    <n v="0"/>
    <n v="0"/>
    <n v="335.31054"/>
    <n v="0"/>
    <n v="0"/>
    <n v="0"/>
    <x v="8"/>
    <x v="8"/>
    <e v="#N/A"/>
    <s v="BFNCPLC"/>
    <e v="#N/A"/>
    <s v="Blast Furnace"/>
    <x v="0"/>
    <x v="1"/>
    <x v="3"/>
  </r>
  <r>
    <s v="10.11.1.79"/>
    <x v="40"/>
    <s v="10.12.1.24"/>
    <x v="107"/>
    <n v="1"/>
    <x v="1"/>
    <n v="1"/>
    <n v="62"/>
    <n v="0"/>
    <n v="0"/>
    <n v="416.279315"/>
    <n v="0"/>
    <n v="0"/>
    <n v="0"/>
    <x v="8"/>
    <x v="8"/>
    <e v="#N/A"/>
    <s v="BFNCPLC"/>
    <e v="#N/A"/>
    <s v="Blast Furnace"/>
    <x v="0"/>
    <x v="1"/>
    <x v="3"/>
  </r>
  <r>
    <s v="10.11.1.79"/>
    <x v="41"/>
    <s v="10.12.1.24"/>
    <x v="107"/>
    <n v="1"/>
    <x v="1"/>
    <n v="1"/>
    <n v="62"/>
    <n v="0"/>
    <n v="0"/>
    <n v="418.27990399999999"/>
    <n v="0"/>
    <n v="0"/>
    <n v="0"/>
    <x v="8"/>
    <x v="8"/>
    <e v="#N/A"/>
    <s v="BFNCPLC"/>
    <e v="#N/A"/>
    <s v="Blast Furnace"/>
    <x v="0"/>
    <x v="1"/>
    <x v="3"/>
  </r>
  <r>
    <s v="10.11.1.79"/>
    <x v="42"/>
    <s v="10.12.1.24"/>
    <x v="107"/>
    <n v="1"/>
    <x v="1"/>
    <n v="1"/>
    <n v="62"/>
    <n v="0"/>
    <n v="0"/>
    <n v="420.27998600000001"/>
    <n v="0"/>
    <n v="0"/>
    <n v="0"/>
    <x v="8"/>
    <x v="8"/>
    <e v="#N/A"/>
    <s v="BFNCPLC"/>
    <e v="#N/A"/>
    <s v="Blast Furnace"/>
    <x v="0"/>
    <x v="1"/>
    <x v="3"/>
  </r>
  <r>
    <s v="10.11.1.79"/>
    <x v="43"/>
    <s v="10.12.1.24"/>
    <x v="107"/>
    <n v="1"/>
    <x v="1"/>
    <n v="1"/>
    <n v="62"/>
    <n v="0"/>
    <n v="0"/>
    <n v="422.28513299999997"/>
    <n v="0"/>
    <n v="0"/>
    <n v="0"/>
    <x v="8"/>
    <x v="8"/>
    <e v="#N/A"/>
    <s v="BFNCPLC"/>
    <e v="#N/A"/>
    <s v="Blast Furnace"/>
    <x v="0"/>
    <x v="1"/>
    <x v="3"/>
  </r>
  <r>
    <s v="10.11.1.79"/>
    <x v="44"/>
    <s v="10.12.1.24"/>
    <x v="107"/>
    <n v="1"/>
    <x v="1"/>
    <n v="1"/>
    <n v="62"/>
    <n v="0"/>
    <n v="0"/>
    <n v="424.31189000000001"/>
    <n v="0"/>
    <n v="0"/>
    <n v="0"/>
    <x v="8"/>
    <x v="8"/>
    <e v="#N/A"/>
    <s v="BFNCPLC"/>
    <e v="#N/A"/>
    <s v="Blast Furnace"/>
    <x v="0"/>
    <x v="1"/>
    <x v="3"/>
  </r>
  <r>
    <s v="10.11.1.79"/>
    <x v="45"/>
    <s v="10.12.1.24"/>
    <x v="107"/>
    <n v="1"/>
    <x v="1"/>
    <n v="1"/>
    <n v="62"/>
    <n v="0"/>
    <n v="0"/>
    <n v="426.34307799999999"/>
    <n v="0"/>
    <n v="0"/>
    <n v="0"/>
    <x v="8"/>
    <x v="8"/>
    <e v="#N/A"/>
    <s v="BFNCPLC"/>
    <e v="#N/A"/>
    <s v="Blast Furnace"/>
    <x v="0"/>
    <x v="1"/>
    <x v="3"/>
  </r>
  <r>
    <s v="10.11.1.79"/>
    <x v="46"/>
    <s v="10.12.1.24"/>
    <x v="107"/>
    <n v="10"/>
    <x v="19"/>
    <n v="5"/>
    <n v="308"/>
    <n v="5"/>
    <n v="306"/>
    <n v="507.29620399999999"/>
    <n v="0.23225700000000399"/>
    <n v="10608.9375131856"/>
    <n v="10540.0483085546"/>
    <x v="8"/>
    <x v="8"/>
    <e v="#N/A"/>
    <s v="BFNCPLC"/>
    <e v="#N/A"/>
    <s v="Blast Furnace"/>
    <x v="0"/>
    <x v="1"/>
    <x v="3"/>
  </r>
  <r>
    <s v="10.11.1.79"/>
    <x v="47"/>
    <s v="10.12.1.24"/>
    <x v="107"/>
    <n v="10"/>
    <x v="20"/>
    <n v="5"/>
    <n v="308"/>
    <n v="5"/>
    <n v="305"/>
    <n v="507.48427500000003"/>
    <n v="0.14475699999996999"/>
    <n v="17021.629351261101"/>
    <n v="16855.834260177398"/>
    <x v="8"/>
    <x v="8"/>
    <e v="#N/A"/>
    <s v="BFNCPLC"/>
    <e v="#N/A"/>
    <s v="Blast Furnace"/>
    <x v="0"/>
    <x v="1"/>
    <x v="3"/>
  </r>
  <r>
    <s v="10.11.1.79"/>
    <x v="48"/>
    <s v="10.12.1.24"/>
    <x v="107"/>
    <n v="10"/>
    <x v="19"/>
    <n v="5"/>
    <n v="308"/>
    <n v="5"/>
    <n v="306"/>
    <n v="507.59910300000001"/>
    <n v="0.229563999999982"/>
    <n v="10733.3902528279"/>
    <n v="10663.692913523901"/>
    <x v="8"/>
    <x v="8"/>
    <e v="#N/A"/>
    <s v="BFNCPLC"/>
    <e v="#N/A"/>
    <s v="Blast Furnace"/>
    <x v="0"/>
    <x v="1"/>
    <x v="3"/>
  </r>
  <r>
    <s v="10.11.1.79"/>
    <x v="49"/>
    <s v="10.12.1.24"/>
    <x v="107"/>
    <n v="10"/>
    <x v="20"/>
    <n v="5"/>
    <n v="308"/>
    <n v="5"/>
    <n v="305"/>
    <n v="507.75097699999998"/>
    <n v="0.43078600000001199"/>
    <n v="5719.7773372392103"/>
    <n v="5664.0652203180498"/>
    <x v="8"/>
    <x v="8"/>
    <e v="#N/A"/>
    <s v="BFNCPLC"/>
    <e v="#N/A"/>
    <s v="Blast Furnace"/>
    <x v="0"/>
    <x v="1"/>
    <x v="3"/>
  </r>
  <r>
    <s v="10.11.1.79"/>
    <x v="50"/>
    <s v="10.12.1.24"/>
    <x v="107"/>
    <n v="10"/>
    <x v="19"/>
    <n v="5"/>
    <n v="308"/>
    <n v="5"/>
    <n v="306"/>
    <n v="508.19153499999999"/>
    <n v="8.5685000000012196E-2"/>
    <n v="28756.491801361401"/>
    <n v="28569.761335118801"/>
    <x v="8"/>
    <x v="8"/>
    <e v="#N/A"/>
    <s v="BFNCPLC"/>
    <e v="#N/A"/>
    <s v="Blast Furnace"/>
    <x v="0"/>
    <x v="1"/>
    <x v="3"/>
  </r>
  <r>
    <s v="10.11.1.79"/>
    <x v="51"/>
    <s v="10.12.1.24"/>
    <x v="107"/>
    <n v="10"/>
    <x v="19"/>
    <n v="5"/>
    <n v="308"/>
    <n v="5"/>
    <n v="306"/>
    <n v="512.31204000000002"/>
    <n v="0.66556200000002297"/>
    <n v="3702.1344367615902"/>
    <n v="3678.0946027566401"/>
    <x v="8"/>
    <x v="8"/>
    <e v="#N/A"/>
    <s v="BFNCPLC"/>
    <e v="#N/A"/>
    <s v="Blast Furnace"/>
    <x v="0"/>
    <x v="1"/>
    <x v="3"/>
  </r>
  <r>
    <s v="10.11.1.79"/>
    <x v="52"/>
    <s v="10.12.1.24"/>
    <x v="107"/>
    <n v="10"/>
    <x v="20"/>
    <n v="5"/>
    <n v="308"/>
    <n v="5"/>
    <n v="305"/>
    <n v="512.590419"/>
    <n v="0.49049000000002302"/>
    <n v="5023.5478806905103"/>
    <n v="4974.6172195149502"/>
    <x v="8"/>
    <x v="8"/>
    <e v="#N/A"/>
    <s v="BFNCPLC"/>
    <e v="#N/A"/>
    <s v="Blast Furnace"/>
    <x v="0"/>
    <x v="1"/>
    <x v="3"/>
  </r>
  <r>
    <s v="10.11.1.79"/>
    <x v="53"/>
    <s v="10.12.1.24"/>
    <x v="107"/>
    <n v="10"/>
    <x v="19"/>
    <n v="5"/>
    <n v="308"/>
    <n v="5"/>
    <n v="306"/>
    <n v="513.06797600000004"/>
    <n v="6.0667999999964202E-2"/>
    <n v="40614.491989210997"/>
    <n v="40350.761521748602"/>
    <x v="8"/>
    <x v="8"/>
    <e v="#N/A"/>
    <s v="BFNCPLC"/>
    <e v="#N/A"/>
    <s v="Blast Furnace"/>
    <x v="0"/>
    <x v="1"/>
    <x v="3"/>
  </r>
  <r>
    <s v="10.11.1.79"/>
    <x v="54"/>
    <s v="10.12.1.24"/>
    <x v="107"/>
    <n v="10"/>
    <x v="20"/>
    <n v="5"/>
    <n v="308"/>
    <n v="5"/>
    <n v="305"/>
    <n v="513.11965299999997"/>
    <n v="0.57817699999998196"/>
    <n v="4261.6707340487001"/>
    <n v="4220.1609541715998"/>
    <x v="8"/>
    <x v="8"/>
    <e v="#N/A"/>
    <s v="BFNCPLC"/>
    <e v="#N/A"/>
    <s v="Blast Furnace"/>
    <x v="0"/>
    <x v="1"/>
    <x v="3"/>
  </r>
  <r>
    <s v="10.11.1.79"/>
    <x v="55"/>
    <s v="10.12.1.24"/>
    <x v="107"/>
    <n v="10"/>
    <x v="19"/>
    <n v="5"/>
    <n v="308"/>
    <n v="5"/>
    <n v="306"/>
    <n v="513.66019700000004"/>
    <n v="0.23782099999994"/>
    <n v="10360.733492839699"/>
    <n v="10293.456002626401"/>
    <x v="8"/>
    <x v="8"/>
    <e v="#N/A"/>
    <s v="BFNCPLC"/>
    <e v="#N/A"/>
    <s v="Blast Furnace"/>
    <x v="0"/>
    <x v="1"/>
    <x v="3"/>
  </r>
  <r>
    <s v="10.11.1.79"/>
    <x v="56"/>
    <s v="10.12.1.24"/>
    <x v="107"/>
    <n v="10"/>
    <x v="19"/>
    <n v="5"/>
    <n v="308"/>
    <n v="5"/>
    <n v="306"/>
    <n v="597.29756599999996"/>
    <n v="3.0098000000066301E-2"/>
    <n v="81865.904711095995"/>
    <n v="81334.307927257702"/>
    <x v="8"/>
    <x v="8"/>
    <e v="#N/A"/>
    <s v="BFNCPLC"/>
    <e v="#N/A"/>
    <s v="Blast Furnace"/>
    <x v="0"/>
    <x v="1"/>
    <x v="3"/>
  </r>
  <r>
    <s v="10.11.1.79"/>
    <x v="57"/>
    <s v="10.12.1.24"/>
    <x v="107"/>
    <n v="10"/>
    <x v="20"/>
    <n v="5"/>
    <n v="308"/>
    <n v="5"/>
    <n v="305"/>
    <n v="597.32163800000001"/>
    <n v="2.8296999999952301E-2"/>
    <n v="87076.368519777898"/>
    <n v="86228.222073156707"/>
    <x v="8"/>
    <x v="8"/>
    <e v="#N/A"/>
    <s v="BFNCPLC"/>
    <e v="#N/A"/>
    <s v="Blast Furnace"/>
    <x v="0"/>
    <x v="1"/>
    <x v="3"/>
  </r>
  <r>
    <s v="10.11.1.79"/>
    <x v="58"/>
    <s v="10.12.1.24"/>
    <x v="107"/>
    <n v="10"/>
    <x v="19"/>
    <n v="5"/>
    <n v="308"/>
    <n v="5"/>
    <n v="306"/>
    <n v="597.35055499999999"/>
    <n v="2.65160000000151E-2"/>
    <n v="92925.026399102397"/>
    <n v="92321.617136770496"/>
    <x v="8"/>
    <x v="8"/>
    <e v="#N/A"/>
    <s v="BFNCPLC"/>
    <e v="#N/A"/>
    <s v="Blast Furnace"/>
    <x v="0"/>
    <x v="1"/>
    <x v="3"/>
  </r>
  <r>
    <s v="10.11.1.79"/>
    <x v="59"/>
    <s v="10.12.1.24"/>
    <x v="107"/>
    <n v="10"/>
    <x v="20"/>
    <n v="5"/>
    <n v="308"/>
    <n v="5"/>
    <n v="305"/>
    <n v="597.37237400000004"/>
    <n v="1.8947999999909398E-2"/>
    <n v="130040.10977474099"/>
    <n v="128773.48532888301"/>
    <x v="8"/>
    <x v="8"/>
    <e v="#N/A"/>
    <s v="BFNCPLC"/>
    <e v="#N/A"/>
    <s v="Blast Furnace"/>
    <x v="0"/>
    <x v="1"/>
    <x v="3"/>
  </r>
  <r>
    <s v="10.11.1.79"/>
    <x v="60"/>
    <s v="10.12.1.24"/>
    <x v="107"/>
    <n v="10"/>
    <x v="19"/>
    <n v="5"/>
    <n v="308"/>
    <n v="5"/>
    <n v="306"/>
    <n v="597.41155200000003"/>
    <n v="2.0783999999935101E-2"/>
    <n v="118552.73287181"/>
    <n v="117782.909931084"/>
    <x v="8"/>
    <x v="8"/>
    <e v="#N/A"/>
    <s v="BFNCPLC"/>
    <e v="#N/A"/>
    <s v="Blast Furnace"/>
    <x v="0"/>
    <x v="1"/>
    <x v="3"/>
  </r>
  <r>
    <s v="10.11.1.79"/>
    <x v="61"/>
    <s v="10.12.1.24"/>
    <x v="107"/>
    <n v="10"/>
    <x v="19"/>
    <n v="5"/>
    <n v="308"/>
    <n v="5"/>
    <n v="306"/>
    <n v="602.29779199999996"/>
    <n v="2.3802000000046099E-2"/>
    <n v="103520.712544964"/>
    <n v="102848.500125841"/>
    <x v="8"/>
    <x v="8"/>
    <e v="#N/A"/>
    <s v="BFNCPLC"/>
    <e v="#N/A"/>
    <s v="Blast Furnace"/>
    <x v="0"/>
    <x v="1"/>
    <x v="3"/>
  </r>
  <r>
    <s v="10.11.1.79"/>
    <x v="62"/>
    <s v="10.12.1.24"/>
    <x v="107"/>
    <n v="10"/>
    <x v="20"/>
    <n v="5"/>
    <n v="308"/>
    <n v="5"/>
    <n v="305"/>
    <n v="602.31825700000002"/>
    <n v="2.4219000000016401E-2"/>
    <n v="101738.30463678599"/>
    <n v="100747.34712409"/>
    <x v="8"/>
    <x v="8"/>
    <e v="#N/A"/>
    <s v="BFNCPLC"/>
    <e v="#N/A"/>
    <s v="Blast Furnace"/>
    <x v="0"/>
    <x v="1"/>
    <x v="3"/>
  </r>
  <r>
    <s v="10.11.1.79"/>
    <x v="63"/>
    <s v="10.12.1.24"/>
    <x v="107"/>
    <n v="10"/>
    <x v="19"/>
    <n v="5"/>
    <n v="308"/>
    <n v="5"/>
    <n v="306"/>
    <n v="602.35237600000005"/>
    <n v="3.1622999999967802E-2"/>
    <n v="77917.971097065805"/>
    <n v="77412.010245786194"/>
    <x v="8"/>
    <x v="8"/>
    <e v="#N/A"/>
    <s v="BFNCPLC"/>
    <e v="#N/A"/>
    <s v="Blast Furnace"/>
    <x v="0"/>
    <x v="1"/>
    <x v="3"/>
  </r>
  <r>
    <s v="10.11.1.79"/>
    <x v="64"/>
    <s v="10.12.1.24"/>
    <x v="107"/>
    <n v="10"/>
    <x v="20"/>
    <n v="5"/>
    <n v="308"/>
    <n v="5"/>
    <n v="305"/>
    <n v="602.38134700000001"/>
    <n v="2.5004999999964601E-2"/>
    <n v="98540.291941750998"/>
    <n v="97580.483903357395"/>
    <x v="8"/>
    <x v="8"/>
    <e v="#N/A"/>
    <s v="BFNCPLC"/>
    <e v="#N/A"/>
    <s v="Blast Furnace"/>
    <x v="0"/>
    <x v="1"/>
    <x v="3"/>
  </r>
  <r>
    <s v="10.11.1.79"/>
    <x v="65"/>
    <s v="10.12.1.24"/>
    <x v="107"/>
    <n v="10"/>
    <x v="19"/>
    <n v="5"/>
    <n v="308"/>
    <n v="5"/>
    <n v="306"/>
    <n v="602.41387999999995"/>
    <n v="2.6851000000078801E-2"/>
    <n v="91765.669807186699"/>
    <n v="91169.7888344128"/>
    <x v="8"/>
    <x v="8"/>
    <e v="#N/A"/>
    <s v="BFNCPLC"/>
    <e v="#N/A"/>
    <s v="Blast Furnace"/>
    <x v="0"/>
    <x v="1"/>
    <x v="3"/>
  </r>
  <r>
    <s v="10.11.1.79"/>
    <x v="66"/>
    <s v="10.12.1.24"/>
    <x v="107"/>
    <n v="10"/>
    <x v="19"/>
    <n v="5"/>
    <n v="308"/>
    <n v="5"/>
    <n v="306"/>
    <n v="687.29893100000004"/>
    <n v="2.50069999999596E-2"/>
    <n v="98532.410925100194"/>
    <n v="97892.590074937296"/>
    <x v="8"/>
    <x v="8"/>
    <e v="#N/A"/>
    <s v="BFNCPLC"/>
    <e v="#N/A"/>
    <s v="Blast Furnace"/>
    <x v="0"/>
    <x v="1"/>
    <x v="3"/>
  </r>
  <r>
    <s v="10.11.1.79"/>
    <x v="67"/>
    <s v="10.12.1.24"/>
    <x v="107"/>
    <n v="10"/>
    <x v="20"/>
    <n v="5"/>
    <n v="308"/>
    <n v="5"/>
    <n v="305"/>
    <n v="687.31798400000002"/>
    <n v="1.9325999999978201E-2"/>
    <n v="127496.63665542701"/>
    <n v="126254.786298394"/>
    <x v="8"/>
    <x v="8"/>
    <e v="#N/A"/>
    <s v="BFNCPLC"/>
    <e v="#N/A"/>
    <s v="Blast Furnace"/>
    <x v="0"/>
    <x v="1"/>
    <x v="3"/>
  </r>
  <r>
    <s v="10.11.1.79"/>
    <x v="68"/>
    <s v="10.12.1.24"/>
    <x v="107"/>
    <n v="10"/>
    <x v="19"/>
    <n v="5"/>
    <n v="308"/>
    <n v="5"/>
    <n v="306"/>
    <n v="687.35170500000004"/>
    <n v="2.5271999999972601E-2"/>
    <n v="97499.208610425194"/>
    <n v="96866.096866201697"/>
    <x v="8"/>
    <x v="8"/>
    <e v="#N/A"/>
    <s v="BFNCPLC"/>
    <e v="#N/A"/>
    <s v="Blast Furnace"/>
    <x v="0"/>
    <x v="1"/>
    <x v="3"/>
  </r>
  <r>
    <s v="10.11.1.79"/>
    <x v="69"/>
    <s v="10.12.1.24"/>
    <x v="107"/>
    <n v="10"/>
    <x v="20"/>
    <n v="5"/>
    <n v="308"/>
    <n v="5"/>
    <n v="305"/>
    <n v="687.37469699999997"/>
    <n v="1.7449000000056E-2"/>
    <n v="141211.53074629401"/>
    <n v="139836.093758506"/>
    <x v="8"/>
    <x v="8"/>
    <e v="#N/A"/>
    <s v="BFNCPLC"/>
    <e v="#N/A"/>
    <s v="Blast Furnace"/>
    <x v="0"/>
    <x v="1"/>
    <x v="3"/>
  </r>
  <r>
    <s v="10.11.1.79"/>
    <x v="70"/>
    <s v="10.12.1.24"/>
    <x v="107"/>
    <n v="10"/>
    <x v="19"/>
    <n v="5"/>
    <n v="308"/>
    <n v="5"/>
    <n v="306"/>
    <n v="687.41292399999998"/>
    <n v="2.1235000000047001E-2"/>
    <n v="116034.848127834"/>
    <n v="115281.375088043"/>
    <x v="8"/>
    <x v="8"/>
    <e v="#N/A"/>
    <s v="BFNCPLC"/>
    <e v="#N/A"/>
    <s v="Blast Furnace"/>
    <x v="0"/>
    <x v="1"/>
    <x v="3"/>
  </r>
  <r>
    <s v="10.11.1.79"/>
    <x v="71"/>
    <s v="10.12.1.24"/>
    <x v="107"/>
    <n v="10"/>
    <x v="19"/>
    <n v="5"/>
    <n v="308"/>
    <n v="5"/>
    <n v="306"/>
    <n v="692.29904599999998"/>
    <n v="2.2679000000039199E-2"/>
    <n v="108646.765730224"/>
    <n v="107941.267251456"/>
    <x v="8"/>
    <x v="8"/>
    <e v="#N/A"/>
    <s v="BFNCPLC"/>
    <e v="#N/A"/>
    <s v="Blast Furnace"/>
    <x v="0"/>
    <x v="1"/>
    <x v="3"/>
  </r>
  <r>
    <s v="10.11.1.79"/>
    <x v="72"/>
    <s v="10.12.1.24"/>
    <x v="107"/>
    <n v="10"/>
    <x v="20"/>
    <n v="5"/>
    <n v="308"/>
    <n v="5"/>
    <n v="305"/>
    <n v="692.31897000000004"/>
    <n v="1.90809999999146E-2"/>
    <n v="129133.69320323999"/>
    <n v="127875.897490221"/>
    <x v="8"/>
    <x v="8"/>
    <e v="#N/A"/>
    <s v="BFNCPLC"/>
    <e v="#N/A"/>
    <s v="Blast Furnace"/>
    <x v="0"/>
    <x v="1"/>
    <x v="3"/>
  </r>
  <r>
    <s v="10.11.1.79"/>
    <x v="73"/>
    <s v="10.12.1.24"/>
    <x v="107"/>
    <n v="10"/>
    <x v="19"/>
    <n v="5"/>
    <n v="308"/>
    <n v="5"/>
    <n v="306"/>
    <n v="692.35181299999999"/>
    <n v="1.9924000000060001E-2"/>
    <n v="123669.94579364501"/>
    <n v="122866.89419758201"/>
    <x v="8"/>
    <x v="8"/>
    <e v="#N/A"/>
    <s v="BFNCPLC"/>
    <e v="#N/A"/>
    <s v="Blast Furnace"/>
    <x v="0"/>
    <x v="1"/>
    <x v="3"/>
  </r>
  <r>
    <s v="10.11.1.79"/>
    <x v="74"/>
    <s v="10.12.1.24"/>
    <x v="107"/>
    <n v="10"/>
    <x v="20"/>
    <n v="5"/>
    <n v="308"/>
    <n v="5"/>
    <n v="305"/>
    <n v="692.36975099999995"/>
    <n v="2.0273000000088401E-2"/>
    <n v="121540.96581607399"/>
    <n v="120357.12523994299"/>
    <x v="8"/>
    <x v="8"/>
    <e v="#N/A"/>
    <s v="BFNCPLC"/>
    <e v="#N/A"/>
    <s v="Blast Furnace"/>
    <x v="0"/>
    <x v="1"/>
    <x v="3"/>
  </r>
  <r>
    <s v="10.11.1.79"/>
    <x v="75"/>
    <s v="10.12.1.24"/>
    <x v="107"/>
    <n v="10"/>
    <x v="19"/>
    <n v="5"/>
    <n v="308"/>
    <n v="5"/>
    <n v="306"/>
    <n v="692.412913"/>
    <n v="2.1666999999979501E-2"/>
    <n v="113721.32736430199"/>
    <n v="112982.87718661199"/>
    <x v="8"/>
    <x v="8"/>
    <e v="#N/A"/>
    <s v="BFNCPLC"/>
    <e v="#N/A"/>
    <s v="Blast Furnace"/>
    <x v="0"/>
    <x v="1"/>
    <x v="3"/>
  </r>
  <r>
    <s v="10.11.1.79"/>
    <x v="76"/>
    <s v="10.12.1.24"/>
    <x v="107"/>
    <n v="10"/>
    <x v="19"/>
    <n v="5"/>
    <n v="308"/>
    <n v="5"/>
    <n v="306"/>
    <n v="777.30030499999998"/>
    <n v="2.07290000000739E-2"/>
    <n v="118867.287374751"/>
    <n v="118095.42187231701"/>
    <x v="8"/>
    <x v="8"/>
    <e v="#N/A"/>
    <s v="BFNCPLC"/>
    <e v="#N/A"/>
    <s v="Blast Furnace"/>
    <x v="0"/>
    <x v="1"/>
    <x v="3"/>
  </r>
  <r>
    <s v="10.11.1.79"/>
    <x v="77"/>
    <s v="10.12.1.24"/>
    <x v="107"/>
    <n v="10"/>
    <x v="20"/>
    <n v="5"/>
    <n v="308"/>
    <n v="5"/>
    <n v="305"/>
    <n v="777.31822999999997"/>
    <n v="1.7030999999974501E-2"/>
    <n v="144677.35306227999"/>
    <n v="143268.15806491999"/>
    <x v="8"/>
    <x v="8"/>
    <e v="#N/A"/>
    <s v="BFNCPLC"/>
    <e v="#N/A"/>
    <s v="Blast Furnace"/>
    <x v="0"/>
    <x v="1"/>
    <x v="3"/>
  </r>
  <r>
    <s v="10.11.1.79"/>
    <x v="78"/>
    <s v="10.12.1.24"/>
    <x v="107"/>
    <n v="10"/>
    <x v="19"/>
    <n v="5"/>
    <n v="308"/>
    <n v="5"/>
    <n v="306"/>
    <n v="777.35301100000004"/>
    <n v="2.49209999999493E-2"/>
    <n v="98872.436900806904"/>
    <n v="98230.408089762699"/>
    <x v="8"/>
    <x v="8"/>
    <e v="#N/A"/>
    <s v="BFNCPLC"/>
    <e v="#N/A"/>
    <s v="Blast Furnace"/>
    <x v="0"/>
    <x v="1"/>
    <x v="3"/>
  </r>
  <r>
    <s v="10.11.1.79"/>
    <x v="79"/>
    <s v="10.12.1.24"/>
    <x v="107"/>
    <n v="10"/>
    <x v="20"/>
    <n v="5"/>
    <n v="308"/>
    <n v="5"/>
    <n v="305"/>
    <n v="777.37423200000001"/>
    <n v="1.9470999999953199E-2"/>
    <n v="126547.172718706"/>
    <n v="125314.57038703001"/>
    <x v="8"/>
    <x v="8"/>
    <e v="#N/A"/>
    <s v="BFNCPLC"/>
    <e v="#N/A"/>
    <s v="Blast Furnace"/>
    <x v="0"/>
    <x v="1"/>
    <x v="3"/>
  </r>
  <r>
    <s v="10.11.1.79"/>
    <x v="80"/>
    <s v="10.12.1.24"/>
    <x v="107"/>
    <n v="10"/>
    <x v="19"/>
    <n v="5"/>
    <n v="308"/>
    <n v="5"/>
    <n v="306"/>
    <n v="777.41425300000003"/>
    <n v="2.3454000000015199E-2"/>
    <n v="105056.70674505"/>
    <n v="104374.520337615"/>
    <x v="8"/>
    <x v="8"/>
    <e v="#N/A"/>
    <s v="BFNCPLC"/>
    <e v="#N/A"/>
    <s v="Blast Furnace"/>
    <x v="0"/>
    <x v="1"/>
    <x v="3"/>
  </r>
  <r>
    <s v="10.11.1.79"/>
    <x v="81"/>
    <s v="10.12.1.24"/>
    <x v="107"/>
    <n v="10"/>
    <x v="19"/>
    <n v="5"/>
    <n v="308"/>
    <n v="5"/>
    <n v="306"/>
    <n v="782.30057999999997"/>
    <n v="2.65330000000858E-2"/>
    <n v="92865.488259602294"/>
    <n v="92262.465608565893"/>
    <x v="8"/>
    <x v="8"/>
    <e v="#N/A"/>
    <s v="BFNCPLC"/>
    <e v="#N/A"/>
    <s v="Blast Furnace"/>
    <x v="0"/>
    <x v="1"/>
    <x v="3"/>
  </r>
  <r>
    <s v="10.11.1.79"/>
    <x v="82"/>
    <s v="10.12.1.24"/>
    <x v="107"/>
    <n v="10"/>
    <x v="20"/>
    <n v="5"/>
    <n v="308"/>
    <n v="5"/>
    <n v="305"/>
    <n v="782.32523600000002"/>
    <n v="1.64740000000165E-2"/>
    <n v="149569.017846153"/>
    <n v="148112.176763236"/>
    <x v="8"/>
    <x v="8"/>
    <e v="#N/A"/>
    <s v="BFNCPLC"/>
    <e v="#N/A"/>
    <s v="Blast Furnace"/>
    <x v="0"/>
    <x v="1"/>
    <x v="3"/>
  </r>
  <r>
    <s v="10.11.1.79"/>
    <x v="83"/>
    <s v="10.12.1.24"/>
    <x v="107"/>
    <n v="10"/>
    <x v="19"/>
    <n v="5"/>
    <n v="308"/>
    <n v="5"/>
    <n v="306"/>
    <n v="782.35328300000003"/>
    <n v="2.5400999999987999E-2"/>
    <n v="97004.054958512002"/>
    <n v="96374.158497742406"/>
    <x v="8"/>
    <x v="8"/>
    <e v="#N/A"/>
    <s v="BFNCPLC"/>
    <e v="#N/A"/>
    <s v="Blast Furnace"/>
    <x v="0"/>
    <x v="1"/>
    <x v="3"/>
  </r>
  <r>
    <s v="10.11.1.79"/>
    <x v="84"/>
    <s v="10.12.1.24"/>
    <x v="107"/>
    <n v="10"/>
    <x v="20"/>
    <n v="5"/>
    <n v="308"/>
    <n v="5"/>
    <n v="305"/>
    <n v="782.37615900000003"/>
    <n v="2.15259999999944E-2"/>
    <n v="114466.226888444"/>
    <n v="113351.296107063"/>
    <x v="8"/>
    <x v="8"/>
    <e v="#N/A"/>
    <s v="BFNCPLC"/>
    <e v="#N/A"/>
    <s v="Blast Furnace"/>
    <x v="0"/>
    <x v="1"/>
    <x v="3"/>
  </r>
  <r>
    <s v="10.11.1.79"/>
    <x v="85"/>
    <s v="10.12.1.24"/>
    <x v="107"/>
    <n v="10"/>
    <x v="19"/>
    <n v="5"/>
    <n v="308"/>
    <n v="5"/>
    <n v="306"/>
    <n v="782.41428800000006"/>
    <n v="2.0407999999974901E-2"/>
    <n v="120736.965895876"/>
    <n v="119952.95962382499"/>
    <x v="8"/>
    <x v="8"/>
    <e v="#N/A"/>
    <s v="BFNCPLC"/>
    <e v="#N/A"/>
    <s v="Blast Furnace"/>
    <x v="0"/>
    <x v="1"/>
    <x v="3"/>
  </r>
  <r>
    <s v="10.11.1.79"/>
    <x v="86"/>
    <s v="10.12.1.24"/>
    <x v="107"/>
    <n v="10"/>
    <x v="19"/>
    <n v="5"/>
    <n v="308"/>
    <n v="5"/>
    <n v="306"/>
    <n v="867.31732699999998"/>
    <n v="2.9704000000037901E-2"/>
    <n v="82951.791004472601"/>
    <n v="82413.143010937099"/>
    <x v="8"/>
    <x v="8"/>
    <e v="#N/A"/>
    <s v="BFNCPLC"/>
    <e v="#N/A"/>
    <s v="Blast Furnace"/>
    <x v="0"/>
    <x v="1"/>
    <x v="3"/>
  </r>
  <r>
    <s v="10.11.1.79"/>
    <x v="87"/>
    <s v="10.12.1.24"/>
    <x v="107"/>
    <n v="10"/>
    <x v="20"/>
    <n v="5"/>
    <n v="308"/>
    <n v="5"/>
    <n v="305"/>
    <n v="867.34066499999994"/>
    <n v="2.6422000000024998E-2"/>
    <n v="93255.620316314598"/>
    <n v="92347.2863521947"/>
    <x v="8"/>
    <x v="8"/>
    <e v="#N/A"/>
    <s v="BFNCPLC"/>
    <e v="#N/A"/>
    <s v="Blast Furnace"/>
    <x v="0"/>
    <x v="1"/>
    <x v="3"/>
  </r>
  <r>
    <s v="10.11.1.79"/>
    <x v="88"/>
    <s v="10.12.1.24"/>
    <x v="107"/>
    <n v="10"/>
    <x v="19"/>
    <n v="5"/>
    <n v="308"/>
    <n v="5"/>
    <n v="306"/>
    <n v="867.37023299999998"/>
    <n v="2.78710000000046E-2"/>
    <n v="88407.305084122898"/>
    <n v="87833.231674485796"/>
    <x v="8"/>
    <x v="8"/>
    <e v="#N/A"/>
    <s v="BFNCPLC"/>
    <e v="#N/A"/>
    <s v="Blast Furnace"/>
    <x v="0"/>
    <x v="1"/>
    <x v="3"/>
  </r>
  <r>
    <s v="10.11.1.79"/>
    <x v="89"/>
    <s v="10.12.1.24"/>
    <x v="107"/>
    <n v="10"/>
    <x v="20"/>
    <n v="5"/>
    <n v="308"/>
    <n v="5"/>
    <n v="305"/>
    <n v="867.391615"/>
    <n v="2.2119999999972599E-2"/>
    <n v="111392.405063429"/>
    <n v="110307.41410501899"/>
    <x v="8"/>
    <x v="8"/>
    <e v="#N/A"/>
    <s v="BFNCPLC"/>
    <e v="#N/A"/>
    <s v="Blast Furnace"/>
    <x v="0"/>
    <x v="1"/>
    <x v="3"/>
  </r>
  <r>
    <s v="10.11.1.79"/>
    <x v="90"/>
    <s v="10.12.1.24"/>
    <x v="107"/>
    <n v="10"/>
    <x v="19"/>
    <n v="5"/>
    <n v="308"/>
    <n v="5"/>
    <n v="306"/>
    <n v="867.43115999999998"/>
    <n v="2.3876999999970401E-2"/>
    <n v="103195.543828917"/>
    <n v="102525.44289496299"/>
    <x v="8"/>
    <x v="8"/>
    <e v="#N/A"/>
    <s v="BFNCPLC"/>
    <e v="#N/A"/>
    <s v="Blast Furnace"/>
    <x v="0"/>
    <x v="1"/>
    <x v="3"/>
  </r>
  <r>
    <s v="10.11.1.79"/>
    <x v="91"/>
    <s v="10.12.1.24"/>
    <x v="107"/>
    <n v="10"/>
    <x v="19"/>
    <n v="5"/>
    <n v="308"/>
    <n v="5"/>
    <n v="306"/>
    <n v="872.31729600000006"/>
    <n v="2.3574999999937101E-2"/>
    <n v="104517.49734916601"/>
    <n v="103838.81230144401"/>
    <x v="8"/>
    <x v="8"/>
    <e v="#N/A"/>
    <s v="BFNCPLC"/>
    <e v="#N/A"/>
    <s v="Blast Furnace"/>
    <x v="0"/>
    <x v="1"/>
    <x v="3"/>
  </r>
  <r>
    <s v="10.11.1.79"/>
    <x v="92"/>
    <s v="10.12.1.24"/>
    <x v="107"/>
    <n v="10"/>
    <x v="20"/>
    <n v="5"/>
    <n v="308"/>
    <n v="5"/>
    <n v="305"/>
    <n v="872.33543799999995"/>
    <n v="2.5718000000097201E-2"/>
    <n v="95808.383233171"/>
    <n v="94875.184695185497"/>
    <x v="8"/>
    <x v="8"/>
    <e v="#N/A"/>
    <s v="BFNCPLC"/>
    <e v="#N/A"/>
    <s v="Blast Furnace"/>
    <x v="0"/>
    <x v="1"/>
    <x v="3"/>
  </r>
  <r>
    <s v="10.11.1.79"/>
    <x v="93"/>
    <s v="10.12.1.24"/>
    <x v="107"/>
    <n v="10"/>
    <x v="19"/>
    <n v="5"/>
    <n v="308"/>
    <n v="5"/>
    <n v="306"/>
    <n v="872.37037699999996"/>
    <n v="2.34179999999924E-2"/>
    <n v="105218.208215936"/>
    <n v="104534.973097651"/>
    <x v="8"/>
    <x v="8"/>
    <e v="#N/A"/>
    <s v="BFNCPLC"/>
    <e v="#N/A"/>
    <s v="Blast Furnace"/>
    <x v="0"/>
    <x v="1"/>
    <x v="3"/>
  </r>
  <r>
    <s v="10.11.1.79"/>
    <x v="94"/>
    <s v="10.12.1.24"/>
    <x v="107"/>
    <n v="10"/>
    <x v="20"/>
    <n v="5"/>
    <n v="308"/>
    <n v="5"/>
    <n v="305"/>
    <n v="872.39147000000003"/>
    <n v="1.8550000000004702E-2"/>
    <n v="132830.18867921099"/>
    <n v="131536.38814012799"/>
    <x v="8"/>
    <x v="8"/>
    <e v="#N/A"/>
    <s v="BFNCPLC"/>
    <e v="#N/A"/>
    <s v="Blast Furnace"/>
    <x v="0"/>
    <x v="1"/>
    <x v="3"/>
  </r>
  <r>
    <s v="10.11.1.79"/>
    <x v="95"/>
    <s v="10.12.1.24"/>
    <x v="107"/>
    <n v="10"/>
    <x v="19"/>
    <n v="5"/>
    <n v="308"/>
    <n v="5"/>
    <n v="306"/>
    <n v="872.43121599999995"/>
    <n v="2.3356000000035199E-2"/>
    <n v="105497.516697906"/>
    <n v="104812.467888179"/>
    <x v="8"/>
    <x v="8"/>
    <e v="#N/A"/>
    <s v="BFNCPLC"/>
    <e v="#N/A"/>
    <s v="Blast Furnace"/>
    <x v="0"/>
    <x v="1"/>
    <x v="3"/>
  </r>
  <r>
    <s v="10.11.1.80"/>
    <x v="49"/>
    <s v="10.12.1.24"/>
    <x v="107"/>
    <n v="10"/>
    <x v="19"/>
    <n v="5"/>
    <n v="308"/>
    <n v="5"/>
    <n v="306"/>
    <n v="48.219576000000004"/>
    <n v="3.4265999999995203E-2"/>
    <n v="71908.013774596999"/>
    <n v="71441.078620216504"/>
    <x v="9"/>
    <x v="8"/>
    <e v="#N/A"/>
    <s v="BFNCPLC"/>
    <e v="#N/A"/>
    <s v="Blast Furnace"/>
    <x v="0"/>
    <x v="1"/>
    <x v="3"/>
  </r>
  <r>
    <s v="10.11.1.80"/>
    <x v="50"/>
    <s v="10.12.1.24"/>
    <x v="107"/>
    <n v="10"/>
    <x v="20"/>
    <n v="5"/>
    <n v="308"/>
    <n v="5"/>
    <n v="305"/>
    <n v="48.245657999999999"/>
    <n v="4.0007000000002797E-2"/>
    <n v="61589.2218861656"/>
    <n v="60989.326867793898"/>
    <x v="9"/>
    <x v="8"/>
    <e v="#N/A"/>
    <s v="BFNCPLC"/>
    <e v="#N/A"/>
    <s v="Blast Furnace"/>
    <x v="0"/>
    <x v="1"/>
    <x v="3"/>
  </r>
  <r>
    <s v="10.11.1.80"/>
    <x v="51"/>
    <s v="10.12.1.24"/>
    <x v="107"/>
    <n v="10"/>
    <x v="19"/>
    <n v="5"/>
    <n v="308"/>
    <n v="5"/>
    <n v="306"/>
    <n v="48.302933000000003"/>
    <n v="3.88789999999943E-2"/>
    <n v="63376.1156408436"/>
    <n v="62964.582422396597"/>
    <x v="9"/>
    <x v="8"/>
    <e v="#N/A"/>
    <s v="BFNCPLC"/>
    <e v="#N/A"/>
    <s v="Blast Furnace"/>
    <x v="0"/>
    <x v="1"/>
    <x v="3"/>
  </r>
  <r>
    <s v="10.11.1.80"/>
    <x v="52"/>
    <s v="10.12.1.24"/>
    <x v="107"/>
    <n v="10"/>
    <x v="20"/>
    <n v="5"/>
    <n v="308"/>
    <n v="5"/>
    <n v="305"/>
    <n v="48.328418999999997"/>
    <n v="4.4980000000002497E-2"/>
    <n v="54779.902178743097"/>
    <n v="54246.331702976102"/>
    <x v="9"/>
    <x v="8"/>
    <e v="#N/A"/>
    <s v="BFNCPLC"/>
    <e v="#N/A"/>
    <s v="Blast Furnace"/>
    <x v="0"/>
    <x v="1"/>
    <x v="3"/>
  </r>
  <r>
    <s v="10.11.1.80"/>
    <x v="53"/>
    <s v="10.12.1.24"/>
    <x v="107"/>
    <n v="10"/>
    <x v="19"/>
    <n v="5"/>
    <n v="308"/>
    <n v="5"/>
    <n v="306"/>
    <n v="48.395479000000002"/>
    <n v="3.86699999999962E-2"/>
    <n v="63718.644944407599"/>
    <n v="63304.887509703702"/>
    <x v="9"/>
    <x v="8"/>
    <e v="#N/A"/>
    <s v="BFNCPLC"/>
    <e v="#N/A"/>
    <s v="Blast Furnace"/>
    <x v="0"/>
    <x v="1"/>
    <x v="3"/>
  </r>
  <r>
    <s v="10.11.1.80"/>
    <x v="55"/>
    <s v="10.12.1.24"/>
    <x v="107"/>
    <n v="10"/>
    <x v="19"/>
    <n v="5"/>
    <n v="308"/>
    <n v="5"/>
    <n v="306"/>
    <n v="53.235425999999997"/>
    <n v="5.70220000000035E-2"/>
    <n v="43211.392094276802"/>
    <n v="42930.798639119101"/>
    <x v="9"/>
    <x v="8"/>
    <e v="#N/A"/>
    <s v="BFNCPLC"/>
    <e v="#N/A"/>
    <s v="Blast Furnace"/>
    <x v="0"/>
    <x v="1"/>
    <x v="3"/>
  </r>
  <r>
    <s v="10.11.1.80"/>
    <x v="96"/>
    <s v="10.12.1.24"/>
    <x v="107"/>
    <n v="9"/>
    <x v="22"/>
    <n v="5"/>
    <n v="308"/>
    <n v="4"/>
    <n v="245"/>
    <n v="53.284295999999998"/>
    <n v="4.2190000000005098E-2"/>
    <n v="58402.4650391018"/>
    <n v="46456.506281103699"/>
    <x v="9"/>
    <x v="8"/>
    <e v="#N/A"/>
    <s v="BFNCPLC"/>
    <e v="#N/A"/>
    <s v="Blast Furnace"/>
    <x v="0"/>
    <x v="1"/>
    <x v="3"/>
  </r>
  <r>
    <s v="10.11.1.80"/>
    <x v="97"/>
    <s v="10.12.1.24"/>
    <x v="107"/>
    <n v="10"/>
    <x v="19"/>
    <n v="5"/>
    <n v="308"/>
    <n v="5"/>
    <n v="306"/>
    <n v="53.334605000000003"/>
    <n v="3.0250999999999799E-2"/>
    <n v="81451.852831311902"/>
    <n v="80922.944696043603"/>
    <x v="9"/>
    <x v="8"/>
    <e v="#N/A"/>
    <s v="BFNCPLC"/>
    <e v="#N/A"/>
    <s v="Blast Furnace"/>
    <x v="0"/>
    <x v="1"/>
    <x v="3"/>
  </r>
  <r>
    <s v="10.11.1.80"/>
    <x v="98"/>
    <s v="10.12.1.24"/>
    <x v="107"/>
    <n v="10"/>
    <x v="20"/>
    <n v="5"/>
    <n v="308"/>
    <n v="5"/>
    <n v="305"/>
    <n v="53.357256"/>
    <n v="3.7770999999999298E-2"/>
    <n v="65235.233380107602"/>
    <n v="64599.8252627689"/>
    <x v="9"/>
    <x v="8"/>
    <e v="#N/A"/>
    <s v="BFNCPLC"/>
    <e v="#N/A"/>
    <s v="Blast Furnace"/>
    <x v="0"/>
    <x v="1"/>
    <x v="3"/>
  </r>
  <r>
    <s v="10.11.1.80"/>
    <x v="99"/>
    <s v="10.12.1.24"/>
    <x v="107"/>
    <n v="10"/>
    <x v="19"/>
    <n v="5"/>
    <n v="308"/>
    <n v="5"/>
    <n v="306"/>
    <n v="53.395615999999997"/>
    <n v="3.66240000000033E-2"/>
    <n v="67278.287461767599"/>
    <n v="66841.415465262602"/>
    <x v="9"/>
    <x v="8"/>
    <e v="#N/A"/>
    <s v="BFNCPLC"/>
    <e v="#N/A"/>
    <s v="Blast Furnace"/>
    <x v="0"/>
    <x v="1"/>
    <x v="3"/>
  </r>
  <r>
    <s v="10.11.1.80"/>
    <x v="61"/>
    <s v="10.12.1.24"/>
    <x v="107"/>
    <n v="10"/>
    <x v="19"/>
    <n v="5"/>
    <n v="308"/>
    <n v="5"/>
    <n v="306"/>
    <n v="138.223626"/>
    <n v="3.7700000000000997E-2"/>
    <n v="65358.0901856747"/>
    <n v="64933.687002650899"/>
    <x v="9"/>
    <x v="8"/>
    <e v="#N/A"/>
    <s v="BFNCPLC"/>
    <e v="#N/A"/>
    <s v="Blast Furnace"/>
    <x v="0"/>
    <x v="1"/>
    <x v="3"/>
  </r>
  <r>
    <s v="10.11.1.80"/>
    <x v="62"/>
    <s v="10.12.1.24"/>
    <x v="107"/>
    <n v="10"/>
    <x v="20"/>
    <n v="5"/>
    <n v="308"/>
    <n v="5"/>
    <n v="305"/>
    <n v="138.24677500000001"/>
    <n v="4.3193999999999698E-2"/>
    <n v="57044.959948141302"/>
    <n v="56489.3272213737"/>
    <x v="9"/>
    <x v="8"/>
    <e v="#N/A"/>
    <s v="BFNCPLC"/>
    <e v="#N/A"/>
    <s v="Blast Furnace"/>
    <x v="0"/>
    <x v="1"/>
    <x v="3"/>
  </r>
  <r>
    <s v="10.11.1.80"/>
    <x v="63"/>
    <s v="10.12.1.24"/>
    <x v="107"/>
    <n v="10"/>
    <x v="19"/>
    <n v="5"/>
    <n v="308"/>
    <n v="5"/>
    <n v="306"/>
    <n v="138.30724499999999"/>
    <n v="4.2012999999997198E-2"/>
    <n v="58648.513555332"/>
    <n v="58267.679051726001"/>
    <x v="9"/>
    <x v="8"/>
    <e v="#N/A"/>
    <s v="BFNCPLC"/>
    <e v="#N/A"/>
    <s v="Blast Furnace"/>
    <x v="0"/>
    <x v="1"/>
    <x v="3"/>
  </r>
  <r>
    <s v="10.11.1.80"/>
    <x v="64"/>
    <s v="10.12.1.24"/>
    <x v="107"/>
    <n v="10"/>
    <x v="20"/>
    <n v="5"/>
    <n v="308"/>
    <n v="5"/>
    <n v="305"/>
    <n v="138.33257800000001"/>
    <n v="5.7249999999982003E-2"/>
    <n v="43039.301310057199"/>
    <n v="42620.0873362579"/>
    <x v="9"/>
    <x v="8"/>
    <e v="#N/A"/>
    <s v="BFNCPLC"/>
    <e v="#N/A"/>
    <s v="Blast Furnace"/>
    <x v="0"/>
    <x v="1"/>
    <x v="3"/>
  </r>
  <r>
    <s v="10.11.1.80"/>
    <x v="65"/>
    <s v="10.12.1.24"/>
    <x v="107"/>
    <n v="10"/>
    <x v="19"/>
    <n v="5"/>
    <n v="308"/>
    <n v="5"/>
    <n v="306"/>
    <n v="138.39939799999999"/>
    <n v="5.3055000000000498E-2"/>
    <n v="46442.371124304504"/>
    <n v="46140.797285834997"/>
    <x v="9"/>
    <x v="8"/>
    <e v="#N/A"/>
    <s v="BFNCPLC"/>
    <e v="#N/A"/>
    <s v="Blast Furnace"/>
    <x v="0"/>
    <x v="1"/>
    <x v="3"/>
  </r>
  <r>
    <s v="10.11.1.80"/>
    <x v="100"/>
    <s v="10.12.1.24"/>
    <x v="107"/>
    <n v="10"/>
    <x v="19"/>
    <n v="5"/>
    <n v="308"/>
    <n v="5"/>
    <n v="306"/>
    <n v="143.22377499999999"/>
    <n v="9.02150000000006E-2"/>
    <n v="27312.531175525"/>
    <n v="27135.1770769826"/>
    <x v="9"/>
    <x v="8"/>
    <e v="#N/A"/>
    <s v="BFNCPLC"/>
    <e v="#N/A"/>
    <s v="Blast Furnace"/>
    <x v="0"/>
    <x v="1"/>
    <x v="3"/>
  </r>
  <r>
    <s v="10.11.1.80"/>
    <x v="101"/>
    <s v="10.12.1.24"/>
    <x v="107"/>
    <n v="10"/>
    <x v="20"/>
    <n v="5"/>
    <n v="308"/>
    <n v="5"/>
    <n v="305"/>
    <n v="143.27601999999999"/>
    <n v="8.7348000000020007E-2"/>
    <n v="28209.003068180598"/>
    <n v="27934.240051282701"/>
    <x v="9"/>
    <x v="8"/>
    <e v="#N/A"/>
    <s v="BFNCPLC"/>
    <e v="#N/A"/>
    <s v="Blast Furnace"/>
    <x v="0"/>
    <x v="1"/>
    <x v="3"/>
  </r>
  <r>
    <s v="10.11.1.80"/>
    <x v="102"/>
    <s v="10.12.1.24"/>
    <x v="107"/>
    <n v="10"/>
    <x v="19"/>
    <n v="5"/>
    <n v="308"/>
    <n v="5"/>
    <n v="306"/>
    <n v="143.37003999999999"/>
    <n v="8.0218999999999596E-2"/>
    <n v="30715.915182188899"/>
    <n v="30516.461187499401"/>
    <x v="9"/>
    <x v="8"/>
    <e v="#N/A"/>
    <s v="BFNCPLC"/>
    <e v="#N/A"/>
    <s v="Blast Furnace"/>
    <x v="0"/>
    <x v="1"/>
    <x v="3"/>
  </r>
  <r>
    <s v="10.11.1.80"/>
    <x v="103"/>
    <s v="10.12.1.24"/>
    <x v="107"/>
    <n v="10"/>
    <x v="20"/>
    <n v="5"/>
    <n v="308"/>
    <n v="5"/>
    <n v="305"/>
    <n v="143.41492600000001"/>
    <n v="0.13497799999998999"/>
    <n v="18254.826712502701"/>
    <n v="18077.019958809498"/>
    <x v="9"/>
    <x v="8"/>
    <e v="#N/A"/>
    <s v="BFNCPLC"/>
    <e v="#N/A"/>
    <s v="Blast Furnace"/>
    <x v="0"/>
    <x v="1"/>
    <x v="3"/>
  </r>
  <r>
    <s v="10.11.1.80"/>
    <x v="104"/>
    <s v="10.12.1.24"/>
    <x v="107"/>
    <n v="10"/>
    <x v="19"/>
    <n v="5"/>
    <n v="308"/>
    <n v="5"/>
    <n v="306"/>
    <n v="143.524822"/>
    <n v="0.158763999999991"/>
    <n v="15519.891159205799"/>
    <n v="15419.1126451849"/>
    <x v="9"/>
    <x v="8"/>
    <e v="#N/A"/>
    <s v="BFNCPLC"/>
    <e v="#N/A"/>
    <s v="Blast Furnace"/>
    <x v="0"/>
    <x v="1"/>
    <x v="3"/>
  </r>
  <r>
    <s v="10.11.1.80"/>
    <x v="74"/>
    <s v="10.12.1.24"/>
    <x v="107"/>
    <n v="1"/>
    <x v="1"/>
    <n v="1"/>
    <n v="62"/>
    <n v="0"/>
    <n v="0"/>
    <n v="228.22761499999999"/>
    <n v="0"/>
    <n v="0"/>
    <n v="0"/>
    <x v="9"/>
    <x v="8"/>
    <e v="#N/A"/>
    <s v="BFNCPLC"/>
    <e v="#N/A"/>
    <s v="Blast Furnace"/>
    <x v="0"/>
    <x v="1"/>
    <x v="3"/>
  </r>
  <r>
    <s v="10.11.1.80"/>
    <x v="105"/>
    <s v="10.12.1.24"/>
    <x v="107"/>
    <n v="1"/>
    <x v="1"/>
    <n v="1"/>
    <n v="62"/>
    <n v="0"/>
    <n v="0"/>
    <n v="230.22882799999999"/>
    <n v="0"/>
    <n v="0"/>
    <n v="0"/>
    <x v="9"/>
    <x v="8"/>
    <e v="#N/A"/>
    <s v="BFNCPLC"/>
    <e v="#N/A"/>
    <s v="Blast Furnace"/>
    <x v="0"/>
    <x v="1"/>
    <x v="3"/>
  </r>
  <r>
    <s v="10.11.1.80"/>
    <x v="106"/>
    <s v="10.12.1.24"/>
    <x v="107"/>
    <n v="1"/>
    <x v="1"/>
    <n v="1"/>
    <n v="62"/>
    <n v="0"/>
    <n v="0"/>
    <n v="232.228163"/>
    <n v="0"/>
    <n v="0"/>
    <n v="0"/>
    <x v="9"/>
    <x v="8"/>
    <e v="#N/A"/>
    <s v="BFNCPLC"/>
    <e v="#N/A"/>
    <s v="Blast Furnace"/>
    <x v="0"/>
    <x v="1"/>
    <x v="3"/>
  </r>
  <r>
    <s v="10.11.1.80"/>
    <x v="107"/>
    <s v="10.12.1.24"/>
    <x v="107"/>
    <n v="1"/>
    <x v="1"/>
    <n v="1"/>
    <n v="62"/>
    <n v="0"/>
    <n v="0"/>
    <n v="234.23295400000001"/>
    <n v="0"/>
    <n v="0"/>
    <n v="0"/>
    <x v="9"/>
    <x v="8"/>
    <e v="#N/A"/>
    <s v="BFNCPLC"/>
    <e v="#N/A"/>
    <s v="Blast Furnace"/>
    <x v="0"/>
    <x v="1"/>
    <x v="3"/>
  </r>
  <r>
    <s v="10.11.1.80"/>
    <x v="108"/>
    <s v="10.12.1.24"/>
    <x v="107"/>
    <n v="1"/>
    <x v="1"/>
    <n v="1"/>
    <n v="62"/>
    <n v="0"/>
    <n v="0"/>
    <n v="236.260232"/>
    <n v="0"/>
    <n v="0"/>
    <n v="0"/>
    <x v="9"/>
    <x v="8"/>
    <e v="#N/A"/>
    <s v="BFNCPLC"/>
    <e v="#N/A"/>
    <s v="Blast Furnace"/>
    <x v="0"/>
    <x v="1"/>
    <x v="3"/>
  </r>
  <r>
    <s v="10.11.1.80"/>
    <x v="109"/>
    <s v="10.12.1.24"/>
    <x v="107"/>
    <n v="1"/>
    <x v="1"/>
    <n v="1"/>
    <n v="62"/>
    <n v="0"/>
    <n v="0"/>
    <n v="238.40099699999999"/>
    <n v="0"/>
    <n v="0"/>
    <n v="0"/>
    <x v="9"/>
    <x v="8"/>
    <e v="#N/A"/>
    <s v="BFNCPLC"/>
    <e v="#N/A"/>
    <s v="Blast Furnace"/>
    <x v="0"/>
    <x v="1"/>
    <x v="3"/>
  </r>
  <r>
    <s v="10.11.1.80"/>
    <x v="110"/>
    <s v="10.12.1.24"/>
    <x v="107"/>
    <n v="1"/>
    <x v="1"/>
    <n v="1"/>
    <n v="62"/>
    <n v="0"/>
    <n v="0"/>
    <n v="319.24726500000003"/>
    <n v="0"/>
    <n v="0"/>
    <n v="0"/>
    <x v="9"/>
    <x v="8"/>
    <e v="#N/A"/>
    <s v="BFNCPLC"/>
    <e v="#N/A"/>
    <s v="Blast Furnace"/>
    <x v="0"/>
    <x v="1"/>
    <x v="3"/>
  </r>
  <r>
    <s v="10.11.1.80"/>
    <x v="111"/>
    <s v="10.12.1.24"/>
    <x v="107"/>
    <n v="1"/>
    <x v="1"/>
    <n v="1"/>
    <n v="62"/>
    <n v="0"/>
    <n v="0"/>
    <n v="321.263397"/>
    <n v="0"/>
    <n v="0"/>
    <n v="0"/>
    <x v="9"/>
    <x v="8"/>
    <e v="#N/A"/>
    <s v="BFNCPLC"/>
    <e v="#N/A"/>
    <s v="Blast Furnace"/>
    <x v="0"/>
    <x v="1"/>
    <x v="3"/>
  </r>
  <r>
    <s v="10.11.1.80"/>
    <x v="112"/>
    <s v="10.12.1.24"/>
    <x v="107"/>
    <n v="1"/>
    <x v="1"/>
    <n v="1"/>
    <n v="62"/>
    <n v="0"/>
    <n v="0"/>
    <n v="323.26367199999999"/>
    <n v="0"/>
    <n v="0"/>
    <n v="0"/>
    <x v="9"/>
    <x v="8"/>
    <e v="#N/A"/>
    <s v="BFNCPLC"/>
    <e v="#N/A"/>
    <s v="Blast Furnace"/>
    <x v="0"/>
    <x v="1"/>
    <x v="3"/>
  </r>
  <r>
    <s v="10.11.1.80"/>
    <x v="113"/>
    <s v="10.12.1.24"/>
    <x v="107"/>
    <n v="1"/>
    <x v="1"/>
    <n v="1"/>
    <n v="62"/>
    <n v="0"/>
    <n v="0"/>
    <n v="325.26832300000001"/>
    <n v="0"/>
    <n v="0"/>
    <n v="0"/>
    <x v="9"/>
    <x v="8"/>
    <e v="#N/A"/>
    <s v="BFNCPLC"/>
    <e v="#N/A"/>
    <s v="Blast Furnace"/>
    <x v="0"/>
    <x v="1"/>
    <x v="3"/>
  </r>
  <r>
    <s v="10.11.1.80"/>
    <x v="114"/>
    <s v="10.12.1.24"/>
    <x v="107"/>
    <n v="1"/>
    <x v="1"/>
    <n v="1"/>
    <n v="62"/>
    <n v="0"/>
    <n v="0"/>
    <n v="327.29560500000002"/>
    <n v="0"/>
    <n v="0"/>
    <n v="0"/>
    <x v="9"/>
    <x v="8"/>
    <e v="#N/A"/>
    <s v="BFNCPLC"/>
    <e v="#N/A"/>
    <s v="Blast Furnace"/>
    <x v="0"/>
    <x v="1"/>
    <x v="3"/>
  </r>
  <r>
    <s v="10.11.1.80"/>
    <x v="115"/>
    <s v="10.12.1.24"/>
    <x v="107"/>
    <n v="1"/>
    <x v="1"/>
    <n v="1"/>
    <n v="62"/>
    <n v="0"/>
    <n v="0"/>
    <n v="329.32680900000003"/>
    <n v="0"/>
    <n v="0"/>
    <n v="0"/>
    <x v="9"/>
    <x v="8"/>
    <e v="#N/A"/>
    <s v="BFNCPLC"/>
    <e v="#N/A"/>
    <s v="Blast Furnace"/>
    <x v="0"/>
    <x v="1"/>
    <x v="3"/>
  </r>
  <r>
    <s v="10.11.1.80"/>
    <x v="116"/>
    <s v="10.12.1.24"/>
    <x v="107"/>
    <n v="1"/>
    <x v="1"/>
    <n v="1"/>
    <n v="62"/>
    <n v="0"/>
    <n v="0"/>
    <n v="410.282442"/>
    <n v="0"/>
    <n v="0"/>
    <n v="0"/>
    <x v="9"/>
    <x v="8"/>
    <e v="#N/A"/>
    <s v="BFNCPLC"/>
    <e v="#N/A"/>
    <s v="Blast Furnace"/>
    <x v="0"/>
    <x v="1"/>
    <x v="3"/>
  </r>
  <r>
    <s v="10.11.1.80"/>
    <x v="117"/>
    <s v="10.12.1.24"/>
    <x v="107"/>
    <n v="1"/>
    <x v="1"/>
    <n v="1"/>
    <n v="62"/>
    <n v="0"/>
    <n v="0"/>
    <n v="412.298789"/>
    <n v="0"/>
    <n v="0"/>
    <n v="0"/>
    <x v="9"/>
    <x v="8"/>
    <e v="#N/A"/>
    <s v="BFNCPLC"/>
    <e v="#N/A"/>
    <s v="Blast Furnace"/>
    <x v="0"/>
    <x v="1"/>
    <x v="3"/>
  </r>
  <r>
    <s v="10.11.1.80"/>
    <x v="118"/>
    <s v="10.12.1.24"/>
    <x v="107"/>
    <n v="1"/>
    <x v="1"/>
    <n v="1"/>
    <n v="62"/>
    <n v="0"/>
    <n v="0"/>
    <n v="414.298922"/>
    <n v="0"/>
    <n v="0"/>
    <n v="0"/>
    <x v="9"/>
    <x v="8"/>
    <e v="#N/A"/>
    <s v="BFNCPLC"/>
    <e v="#N/A"/>
    <s v="Blast Furnace"/>
    <x v="0"/>
    <x v="1"/>
    <x v="3"/>
  </r>
  <r>
    <s v="10.11.1.80"/>
    <x v="119"/>
    <s v="10.12.1.24"/>
    <x v="107"/>
    <n v="1"/>
    <x v="1"/>
    <n v="1"/>
    <n v="62"/>
    <n v="0"/>
    <n v="0"/>
    <n v="416.30357700000002"/>
    <n v="0"/>
    <n v="0"/>
    <n v="0"/>
    <x v="9"/>
    <x v="8"/>
    <e v="#N/A"/>
    <s v="BFNCPLC"/>
    <e v="#N/A"/>
    <s v="Blast Furnace"/>
    <x v="0"/>
    <x v="1"/>
    <x v="3"/>
  </r>
  <r>
    <s v="10.11.1.80"/>
    <x v="120"/>
    <s v="10.12.1.24"/>
    <x v="107"/>
    <n v="1"/>
    <x v="1"/>
    <n v="1"/>
    <n v="62"/>
    <n v="0"/>
    <n v="0"/>
    <n v="418.33074599999998"/>
    <n v="0"/>
    <n v="0"/>
    <n v="0"/>
    <x v="9"/>
    <x v="8"/>
    <e v="#N/A"/>
    <s v="BFNCPLC"/>
    <e v="#N/A"/>
    <s v="Blast Furnace"/>
    <x v="0"/>
    <x v="1"/>
    <x v="3"/>
  </r>
  <r>
    <s v="10.11.1.80"/>
    <x v="121"/>
    <s v="10.12.1.24"/>
    <x v="107"/>
    <n v="1"/>
    <x v="1"/>
    <n v="1"/>
    <n v="62"/>
    <n v="0"/>
    <n v="0"/>
    <n v="420.36217799999997"/>
    <n v="0"/>
    <n v="0"/>
    <n v="0"/>
    <x v="9"/>
    <x v="8"/>
    <e v="#N/A"/>
    <s v="BFNCPLC"/>
    <e v="#N/A"/>
    <s v="Blast Furnace"/>
    <x v="0"/>
    <x v="1"/>
    <x v="3"/>
  </r>
  <r>
    <s v="10.11.1.80"/>
    <x v="122"/>
    <s v="10.12.1.24"/>
    <x v="107"/>
    <n v="10"/>
    <x v="19"/>
    <n v="5"/>
    <n v="308"/>
    <n v="5"/>
    <n v="306"/>
    <n v="501.31768899999997"/>
    <n v="2.3474000000021499E-2"/>
    <n v="104967.197750607"/>
    <n v="104285.592570408"/>
    <x v="9"/>
    <x v="8"/>
    <e v="#N/A"/>
    <s v="BFNCPLC"/>
    <e v="#N/A"/>
    <s v="Blast Furnace"/>
    <x v="0"/>
    <x v="1"/>
    <x v="3"/>
  </r>
  <r>
    <s v="10.11.1.80"/>
    <x v="123"/>
    <s v="10.12.1.24"/>
    <x v="107"/>
    <n v="10"/>
    <x v="20"/>
    <n v="5"/>
    <n v="308"/>
    <n v="5"/>
    <n v="305"/>
    <n v="501.33797199999998"/>
    <n v="2.0601999999996699E-2"/>
    <n v="119600.038831201"/>
    <n v="118435.10338804001"/>
    <x v="9"/>
    <x v="8"/>
    <e v="#N/A"/>
    <s v="BFNCPLC"/>
    <e v="#N/A"/>
    <s v="Blast Furnace"/>
    <x v="0"/>
    <x v="1"/>
    <x v="3"/>
  </r>
  <r>
    <s v="10.11.1.80"/>
    <x v="124"/>
    <s v="10.12.1.24"/>
    <x v="107"/>
    <n v="10"/>
    <x v="19"/>
    <n v="5"/>
    <n v="308"/>
    <n v="5"/>
    <n v="306"/>
    <n v="501.37031100000002"/>
    <n v="3.1723999999996998E-2"/>
    <n v="77669.902912628793"/>
    <n v="77165.552893715605"/>
    <x v="9"/>
    <x v="8"/>
    <e v="#N/A"/>
    <s v="BFNCPLC"/>
    <e v="#N/A"/>
    <s v="Blast Furnace"/>
    <x v="0"/>
    <x v="1"/>
    <x v="3"/>
  </r>
  <r>
    <s v="10.11.1.80"/>
    <x v="125"/>
    <s v="10.12.1.24"/>
    <x v="107"/>
    <n v="10"/>
    <x v="20"/>
    <n v="5"/>
    <n v="308"/>
    <n v="5"/>
    <n v="305"/>
    <n v="501.39530400000001"/>
    <n v="2.5067999999976099E-2"/>
    <n v="98292.6440083911"/>
    <n v="97335.248125192506"/>
    <x v="9"/>
    <x v="8"/>
    <e v="#N/A"/>
    <s v="BFNCPLC"/>
    <e v="#N/A"/>
    <s v="Blast Furnace"/>
    <x v="0"/>
    <x v="1"/>
    <x v="3"/>
  </r>
  <r>
    <s v="10.11.1.80"/>
    <x v="126"/>
    <s v="10.12.1.24"/>
    <x v="107"/>
    <n v="10"/>
    <x v="19"/>
    <n v="5"/>
    <n v="308"/>
    <n v="5"/>
    <n v="306"/>
    <n v="501.43114400000002"/>
    <n v="2.6033999999981499E-2"/>
    <n v="94645.463624558499"/>
    <n v="94030.882691931401"/>
    <x v="9"/>
    <x v="8"/>
    <e v="#N/A"/>
    <s v="BFNCPLC"/>
    <e v="#N/A"/>
    <s v="Blast Furnace"/>
    <x v="0"/>
    <x v="1"/>
    <x v="3"/>
  </r>
  <r>
    <s v="10.11.1.80"/>
    <x v="127"/>
    <s v="10.12.1.24"/>
    <x v="107"/>
    <n v="10"/>
    <x v="19"/>
    <n v="5"/>
    <n v="308"/>
    <n v="5"/>
    <n v="306"/>
    <n v="506.31800700000002"/>
    <n v="6.2732999999980193E-2"/>
    <n v="39277.5732070964"/>
    <n v="39022.524030426997"/>
    <x v="9"/>
    <x v="8"/>
    <e v="#N/A"/>
    <s v="BFNCPLC"/>
    <e v="#N/A"/>
    <s v="Blast Furnace"/>
    <x v="0"/>
    <x v="1"/>
    <x v="3"/>
  </r>
  <r>
    <s v="10.11.1.80"/>
    <x v="128"/>
    <s v="10.12.1.24"/>
    <x v="107"/>
    <n v="10"/>
    <x v="20"/>
    <n v="5"/>
    <n v="308"/>
    <n v="5"/>
    <n v="305"/>
    <n v="506.36393900000002"/>
    <n v="0.29772199999996501"/>
    <n v="8276.1771048168794"/>
    <n v="8195.5649901595807"/>
    <x v="9"/>
    <x v="8"/>
    <e v="#N/A"/>
    <s v="BFNCPLC"/>
    <e v="#N/A"/>
    <s v="Blast Furnace"/>
    <x v="0"/>
    <x v="1"/>
    <x v="3"/>
  </r>
  <r>
    <s v="10.11.1.80"/>
    <x v="129"/>
    <s v="10.12.1.24"/>
    <x v="107"/>
    <n v="10"/>
    <x v="19"/>
    <n v="5"/>
    <n v="308"/>
    <n v="5"/>
    <n v="306"/>
    <n v="506.62032699999997"/>
    <n v="0.21823900000004001"/>
    <n v="11290.3743143964"/>
    <n v="11217.0601954717"/>
    <x v="9"/>
    <x v="8"/>
    <e v="#N/A"/>
    <s v="BFNCPLC"/>
    <e v="#N/A"/>
    <s v="Blast Furnace"/>
    <x v="0"/>
    <x v="1"/>
    <x v="3"/>
  </r>
  <r>
    <s v="10.11.1.80"/>
    <x v="130"/>
    <s v="10.12.1.24"/>
    <x v="107"/>
    <n v="10"/>
    <x v="20"/>
    <n v="5"/>
    <n v="308"/>
    <n v="5"/>
    <n v="305"/>
    <n v="506.76323000000002"/>
    <n v="0.65420699999998499"/>
    <n v="3766.3919829657202"/>
    <n v="3729.706346768"/>
    <x v="9"/>
    <x v="8"/>
    <e v="#N/A"/>
    <s v="BFNCPLC"/>
    <e v="#N/A"/>
    <s v="Blast Furnace"/>
    <x v="0"/>
    <x v="1"/>
    <x v="3"/>
  </r>
  <r>
    <s v="10.11.1.80"/>
    <x v="131"/>
    <s v="10.12.1.24"/>
    <x v="107"/>
    <n v="10"/>
    <x v="19"/>
    <n v="5"/>
    <n v="308"/>
    <n v="5"/>
    <n v="306"/>
    <n v="507.400038"/>
    <n v="0.18911500000001499"/>
    <n v="13029.109272135"/>
    <n v="12944.504666471699"/>
    <x v="9"/>
    <x v="8"/>
    <e v="#N/A"/>
    <s v="BFNCPLC"/>
    <e v="#N/A"/>
    <s v="Blast Furnace"/>
    <x v="0"/>
    <x v="1"/>
    <x v="3"/>
  </r>
  <r>
    <s v="10.11.1.80"/>
    <x v="132"/>
    <s v="10.12.1.24"/>
    <x v="107"/>
    <n v="10"/>
    <x v="19"/>
    <n v="5"/>
    <n v="308"/>
    <n v="5"/>
    <n v="306"/>
    <n v="591.32170399999995"/>
    <n v="2.9215000000022001E-2"/>
    <n v="84340.236179981104"/>
    <n v="83792.572308682502"/>
    <x v="9"/>
    <x v="8"/>
    <e v="#N/A"/>
    <s v="BFNCPLC"/>
    <e v="#N/A"/>
    <s v="Blast Furnace"/>
    <x v="0"/>
    <x v="1"/>
    <x v="3"/>
  </r>
  <r>
    <s v="10.11.1.80"/>
    <x v="133"/>
    <s v="10.12.1.24"/>
    <x v="107"/>
    <n v="10"/>
    <x v="20"/>
    <n v="5"/>
    <n v="308"/>
    <n v="5"/>
    <n v="305"/>
    <n v="591.34813299999996"/>
    <n v="2.3552999999992601E-2"/>
    <n v="104615.123338886"/>
    <n v="103596.144864806"/>
    <x v="9"/>
    <x v="8"/>
    <e v="#N/A"/>
    <s v="BFNCPLC"/>
    <e v="#N/A"/>
    <s v="Blast Furnace"/>
    <x v="0"/>
    <x v="1"/>
    <x v="3"/>
  </r>
  <r>
    <s v="10.11.1.80"/>
    <x v="134"/>
    <s v="10.12.1.24"/>
    <x v="107"/>
    <n v="10"/>
    <x v="19"/>
    <n v="5"/>
    <n v="308"/>
    <n v="5"/>
    <n v="306"/>
    <n v="591.405574"/>
    <n v="2.3403000000030299E-2"/>
    <n v="105285.64713912"/>
    <n v="104601.974105749"/>
    <x v="9"/>
    <x v="8"/>
    <e v="#N/A"/>
    <s v="BFNCPLC"/>
    <e v="#N/A"/>
    <s v="Blast Furnace"/>
    <x v="0"/>
    <x v="1"/>
    <x v="3"/>
  </r>
  <r>
    <s v="10.11.1.80"/>
    <x v="135"/>
    <s v="10.12.1.24"/>
    <x v="107"/>
    <n v="10"/>
    <x v="20"/>
    <n v="5"/>
    <n v="308"/>
    <n v="5"/>
    <n v="305"/>
    <n v="591.42328599999996"/>
    <n v="2.39710000000741E-2"/>
    <n v="102790.87230371599"/>
    <n v="101789.66250855"/>
    <x v="9"/>
    <x v="8"/>
    <e v="#N/A"/>
    <s v="BFNCPLC"/>
    <e v="#N/A"/>
    <s v="Blast Furnace"/>
    <x v="0"/>
    <x v="1"/>
    <x v="3"/>
  </r>
  <r>
    <s v="10.11.1.80"/>
    <x v="136"/>
    <s v="10.12.1.24"/>
    <x v="107"/>
    <n v="10"/>
    <x v="19"/>
    <n v="5"/>
    <n v="308"/>
    <n v="5"/>
    <n v="306"/>
    <n v="591.46634900000004"/>
    <n v="2.7041999999937599E-2"/>
    <n v="91117.520893635199"/>
    <n v="90525.848680040202"/>
    <x v="9"/>
    <x v="8"/>
    <e v="#N/A"/>
    <s v="BFNCPLC"/>
    <e v="#N/A"/>
    <s v="Blast Furnace"/>
    <x v="0"/>
    <x v="1"/>
    <x v="3"/>
  </r>
  <r>
    <s v="10.11.1.80"/>
    <x v="137"/>
    <s v="10.12.1.24"/>
    <x v="107"/>
    <n v="10"/>
    <x v="19"/>
    <n v="5"/>
    <n v="308"/>
    <n v="5"/>
    <n v="306"/>
    <n v="596.32189500000004"/>
    <n v="2.9088999999999001E-2"/>
    <n v="84705.558802299201"/>
    <n v="84155.522706180403"/>
    <x v="9"/>
    <x v="8"/>
    <e v="#N/A"/>
    <s v="BFNCPLC"/>
    <e v="#N/A"/>
    <s v="Blast Furnace"/>
    <x v="0"/>
    <x v="1"/>
    <x v="3"/>
  </r>
  <r>
    <s v="10.11.1.80"/>
    <x v="138"/>
    <s v="10.12.1.24"/>
    <x v="107"/>
    <n v="10"/>
    <x v="20"/>
    <n v="5"/>
    <n v="308"/>
    <n v="5"/>
    <n v="305"/>
    <n v="596.34419500000001"/>
    <n v="2.53249999999525E-2"/>
    <n v="97295.162882709497"/>
    <n v="96347.482724761096"/>
    <x v="9"/>
    <x v="8"/>
    <e v="#N/A"/>
    <s v="BFNCPLC"/>
    <e v="#N/A"/>
    <s v="Blast Furnace"/>
    <x v="0"/>
    <x v="1"/>
    <x v="3"/>
  </r>
  <r>
    <s v="10.11.1.80"/>
    <x v="139"/>
    <s v="10.12.1.24"/>
    <x v="107"/>
    <n v="10"/>
    <x v="19"/>
    <n v="5"/>
    <n v="308"/>
    <n v="5"/>
    <n v="306"/>
    <n v="596.37424499999997"/>
    <n v="3.3431000000064201E-2"/>
    <n v="73704.047141732895"/>
    <n v="73225.449433020302"/>
    <x v="9"/>
    <x v="8"/>
    <e v="#N/A"/>
    <s v="BFNCPLC"/>
    <e v="#N/A"/>
    <s v="Blast Furnace"/>
    <x v="0"/>
    <x v="1"/>
    <x v="3"/>
  </r>
  <r>
    <s v="10.11.1.80"/>
    <x v="140"/>
    <s v="10.12.1.24"/>
    <x v="107"/>
    <n v="10"/>
    <x v="20"/>
    <n v="5"/>
    <n v="308"/>
    <n v="5"/>
    <n v="305"/>
    <n v="596.40343199999995"/>
    <n v="2.58060000001024E-2"/>
    <n v="95481.670928862499"/>
    <n v="94551.654653581398"/>
    <x v="9"/>
    <x v="8"/>
    <e v="#N/A"/>
    <s v="BFNCPLC"/>
    <e v="#N/A"/>
    <s v="Blast Furnace"/>
    <x v="0"/>
    <x v="1"/>
    <x v="3"/>
  </r>
  <r>
    <s v="10.11.1.80"/>
    <x v="141"/>
    <s v="10.12.1.24"/>
    <x v="107"/>
    <n v="10"/>
    <x v="19"/>
    <n v="5"/>
    <n v="308"/>
    <n v="5"/>
    <n v="306"/>
    <n v="596.43532300000004"/>
    <n v="3.22289999999157E-2"/>
    <n v="76452.884048727705"/>
    <n v="75956.436749710003"/>
    <x v="9"/>
    <x v="8"/>
    <e v="#N/A"/>
    <s v="BFNCPLC"/>
    <e v="#N/A"/>
    <s v="Blast Furnace"/>
    <x v="0"/>
    <x v="1"/>
    <x v="3"/>
  </r>
  <r>
    <s v="10.11.1.80"/>
    <x v="142"/>
    <s v="10.12.1.24"/>
    <x v="107"/>
    <n v="10"/>
    <x v="19"/>
    <n v="5"/>
    <n v="308"/>
    <n v="5"/>
    <n v="306"/>
    <n v="681.32564500000001"/>
    <n v="2.12020000000166E-2"/>
    <n v="116215.451372421"/>
    <n v="115460.805584288"/>
    <x v="9"/>
    <x v="8"/>
    <e v="#N/A"/>
    <s v="BFNCPLC"/>
    <e v="#N/A"/>
    <s v="Blast Furnace"/>
    <x v="0"/>
    <x v="1"/>
    <x v="3"/>
  </r>
  <r>
    <s v="10.11.1.80"/>
    <x v="143"/>
    <s v="10.12.1.24"/>
    <x v="107"/>
    <n v="10"/>
    <x v="20"/>
    <n v="5"/>
    <n v="308"/>
    <n v="5"/>
    <n v="305"/>
    <n v="681.34399699999994"/>
    <n v="1.5943000000106601E-2"/>
    <n v="154550.58646324501"/>
    <n v="153045.22360808399"/>
    <x v="9"/>
    <x v="8"/>
    <e v="#N/A"/>
    <s v="BFNCPLC"/>
    <e v="#N/A"/>
    <s v="Blast Furnace"/>
    <x v="0"/>
    <x v="1"/>
    <x v="3"/>
  </r>
  <r>
    <s v="10.11.1.80"/>
    <x v="144"/>
    <s v="10.12.1.24"/>
    <x v="107"/>
    <n v="10"/>
    <x v="19"/>
    <n v="5"/>
    <n v="308"/>
    <n v="5"/>
    <n v="306"/>
    <n v="681.37815699999999"/>
    <n v="2.2995000000037201E-2"/>
    <n v="107153.729071364"/>
    <n v="106457.925635836"/>
    <x v="9"/>
    <x v="8"/>
    <e v="#N/A"/>
    <s v="BFNCPLC"/>
    <e v="#N/A"/>
    <s v="Blast Furnace"/>
    <x v="0"/>
    <x v="1"/>
    <x v="3"/>
  </r>
  <r>
    <s v="10.11.1.80"/>
    <x v="145"/>
    <s v="10.12.1.24"/>
    <x v="107"/>
    <n v="10"/>
    <x v="20"/>
    <n v="5"/>
    <n v="308"/>
    <n v="5"/>
    <n v="305"/>
    <n v="681.39876000000004"/>
    <n v="1.7324999999914301E-2"/>
    <n v="142222.22222292601"/>
    <n v="140836.940837637"/>
    <x v="9"/>
    <x v="8"/>
    <e v="#N/A"/>
    <s v="BFNCPLC"/>
    <e v="#N/A"/>
    <s v="Blast Furnace"/>
    <x v="0"/>
    <x v="1"/>
    <x v="3"/>
  </r>
  <r>
    <s v="10.11.1.80"/>
    <x v="146"/>
    <s v="10.12.1.24"/>
    <x v="107"/>
    <n v="10"/>
    <x v="19"/>
    <n v="5"/>
    <n v="308"/>
    <n v="5"/>
    <n v="306"/>
    <n v="681.43900699999995"/>
    <n v="2.51490000000558E-2"/>
    <n v="97976.062666290105"/>
    <n v="97339.854467158395"/>
    <x v="9"/>
    <x v="8"/>
    <e v="#N/A"/>
    <s v="BFNCPLC"/>
    <e v="#N/A"/>
    <s v="Blast Furnace"/>
    <x v="0"/>
    <x v="1"/>
    <x v="3"/>
  </r>
  <r>
    <s v="10.11.1.80"/>
    <x v="147"/>
    <s v="10.12.1.24"/>
    <x v="107"/>
    <n v="10"/>
    <x v="19"/>
    <n v="5"/>
    <n v="308"/>
    <n v="5"/>
    <n v="306"/>
    <n v="686.32590500000003"/>
    <n v="2.3187000000007198E-2"/>
    <n v="106266.442403038"/>
    <n v="105576.400569252"/>
    <x v="9"/>
    <x v="8"/>
    <e v="#N/A"/>
    <s v="BFNCPLC"/>
    <e v="#N/A"/>
    <s v="Blast Furnace"/>
    <x v="0"/>
    <x v="1"/>
    <x v="3"/>
  </r>
  <r>
    <s v="10.11.1.80"/>
    <x v="148"/>
    <s v="10.12.1.24"/>
    <x v="107"/>
    <n v="10"/>
    <x v="20"/>
    <n v="5"/>
    <n v="308"/>
    <n v="5"/>
    <n v="305"/>
    <n v="686.34634300000005"/>
    <n v="1.7431999999985199E-2"/>
    <n v="141349.242772033"/>
    <n v="139972.46443334501"/>
    <x v="9"/>
    <x v="8"/>
    <e v="#N/A"/>
    <s v="BFNCPLC"/>
    <e v="#N/A"/>
    <s v="Blast Furnace"/>
    <x v="0"/>
    <x v="1"/>
    <x v="3"/>
  </r>
  <r>
    <s v="10.11.1.80"/>
    <x v="149"/>
    <s v="10.12.1.24"/>
    <x v="107"/>
    <n v="10"/>
    <x v="19"/>
    <n v="5"/>
    <n v="308"/>
    <n v="5"/>
    <n v="306"/>
    <n v="686.37826900000005"/>
    <n v="2.1997999999939601E-2"/>
    <n v="112010.182744194"/>
    <n v="111282.84389520501"/>
    <x v="9"/>
    <x v="8"/>
    <e v="#N/A"/>
    <s v="BFNCPLC"/>
    <e v="#N/A"/>
    <s v="Blast Furnace"/>
    <x v="0"/>
    <x v="1"/>
    <x v="3"/>
  </r>
  <r>
    <s v="10.11.1.80"/>
    <x v="150"/>
    <s v="10.12.1.24"/>
    <x v="107"/>
    <n v="10"/>
    <x v="20"/>
    <n v="5"/>
    <n v="308"/>
    <n v="5"/>
    <n v="305"/>
    <n v="686.39761299999998"/>
    <n v="2.5659000000018799E-2"/>
    <n v="96028.683892521105"/>
    <n v="95093.339568892698"/>
    <x v="9"/>
    <x v="8"/>
    <e v="#N/A"/>
    <s v="BFNCPLC"/>
    <e v="#N/A"/>
    <s v="Blast Furnace"/>
    <x v="0"/>
    <x v="1"/>
    <x v="3"/>
  </r>
  <r>
    <s v="10.11.1.80"/>
    <x v="151"/>
    <s v="10.12.1.24"/>
    <x v="107"/>
    <n v="10"/>
    <x v="19"/>
    <n v="5"/>
    <n v="308"/>
    <n v="5"/>
    <n v="306"/>
    <n v="686.43926399999998"/>
    <n v="2.39229999999679E-2"/>
    <n v="102997.11574649101"/>
    <n v="102328.30330657899"/>
    <x v="9"/>
    <x v="8"/>
    <e v="#N/A"/>
    <s v="BFNCPLC"/>
    <e v="#N/A"/>
    <s v="Blast Furnace"/>
    <x v="0"/>
    <x v="1"/>
    <x v="3"/>
  </r>
  <r>
    <s v="10.11.1.80"/>
    <x v="152"/>
    <s v="10.12.1.24"/>
    <x v="107"/>
    <n v="10"/>
    <x v="19"/>
    <n v="5"/>
    <n v="308"/>
    <n v="5"/>
    <n v="306"/>
    <n v="771.329567"/>
    <n v="2.62940000000071E-2"/>
    <n v="93709.591541771093"/>
    <n v="93101.087700590797"/>
    <x v="9"/>
    <x v="8"/>
    <e v="#N/A"/>
    <s v="BFNCPLC"/>
    <e v="#N/A"/>
    <s v="Blast Furnace"/>
    <x v="0"/>
    <x v="1"/>
    <x v="3"/>
  </r>
  <r>
    <s v="10.11.1.80"/>
    <x v="153"/>
    <s v="10.12.1.24"/>
    <x v="107"/>
    <n v="10"/>
    <x v="20"/>
    <n v="5"/>
    <n v="308"/>
    <n v="5"/>
    <n v="305"/>
    <n v="771.35236499999996"/>
    <n v="1.6206000000011E-2"/>
    <n v="152042.45341221301"/>
    <n v="150561.520424432"/>
    <x v="9"/>
    <x v="8"/>
    <e v="#N/A"/>
    <s v="BFNCPLC"/>
    <e v="#N/A"/>
    <s v="Blast Furnace"/>
    <x v="0"/>
    <x v="1"/>
    <x v="3"/>
  </r>
  <r>
    <s v="10.11.1.80"/>
    <x v="154"/>
    <s v="10.12.1.24"/>
    <x v="107"/>
    <n v="10"/>
    <x v="19"/>
    <n v="5"/>
    <n v="308"/>
    <n v="5"/>
    <n v="306"/>
    <n v="771.38208099999997"/>
    <n v="2.3011999999994301E-2"/>
    <n v="107074.569789702"/>
    <n v="106379.28037548299"/>
    <x v="9"/>
    <x v="8"/>
    <e v="#N/A"/>
    <s v="BFNCPLC"/>
    <e v="#N/A"/>
    <s v="Blast Furnace"/>
    <x v="0"/>
    <x v="1"/>
    <x v="3"/>
  </r>
  <r>
    <s v="10.11.1.80"/>
    <x v="155"/>
    <s v="10.12.1.24"/>
    <x v="107"/>
    <n v="10"/>
    <x v="20"/>
    <n v="5"/>
    <n v="308"/>
    <n v="5"/>
    <n v="305"/>
    <n v="771.40189499999997"/>
    <n v="1.87590000000455E-2"/>
    <n v="131350.285196121"/>
    <n v="130070.899301353"/>
    <x v="9"/>
    <x v="8"/>
    <e v="#N/A"/>
    <s v="BFNCPLC"/>
    <e v="#N/A"/>
    <s v="Blast Furnace"/>
    <x v="0"/>
    <x v="1"/>
    <x v="3"/>
  </r>
  <r>
    <s v="10.11.1.80"/>
    <x v="156"/>
    <s v="10.12.1.24"/>
    <x v="107"/>
    <n v="10"/>
    <x v="19"/>
    <n v="5"/>
    <n v="308"/>
    <n v="5"/>
    <n v="306"/>
    <n v="771.44304099999999"/>
    <n v="2.7626000000054801E-2"/>
    <n v="89191.341489724"/>
    <n v="88612.176934595904"/>
    <x v="9"/>
    <x v="8"/>
    <e v="#N/A"/>
    <s v="BFNCPLC"/>
    <e v="#N/A"/>
    <s v="Blast Furnace"/>
    <x v="0"/>
    <x v="1"/>
    <x v="3"/>
  </r>
  <r>
    <s v="10.11.1.80"/>
    <x v="157"/>
    <s v="10.12.1.24"/>
    <x v="107"/>
    <n v="10"/>
    <x v="19"/>
    <n v="5"/>
    <n v="308"/>
    <n v="5"/>
    <n v="306"/>
    <n v="776.32986300000005"/>
    <n v="2.3139999999898499E-2"/>
    <n v="106482.281763648"/>
    <n v="105790.838375572"/>
    <x v="9"/>
    <x v="8"/>
    <e v="#N/A"/>
    <s v="BFNCPLC"/>
    <e v="#N/A"/>
    <s v="Blast Furnace"/>
    <x v="0"/>
    <x v="1"/>
    <x v="3"/>
  </r>
  <r>
    <s v="10.11.1.80"/>
    <x v="158"/>
    <s v="10.12.1.24"/>
    <x v="107"/>
    <n v="10"/>
    <x v="20"/>
    <n v="5"/>
    <n v="308"/>
    <n v="5"/>
    <n v="305"/>
    <n v="776.35083999999995"/>
    <n v="1.89750000000686E-2"/>
    <n v="129855.072463299"/>
    <n v="128590.25032891599"/>
    <x v="9"/>
    <x v="8"/>
    <e v="#N/A"/>
    <s v="BFNCPLC"/>
    <e v="#N/A"/>
    <s v="Blast Furnace"/>
    <x v="0"/>
    <x v="1"/>
    <x v="3"/>
  </r>
  <r>
    <s v="10.11.1.80"/>
    <x v="159"/>
    <s v="10.12.1.24"/>
    <x v="107"/>
    <n v="10"/>
    <x v="19"/>
    <n v="5"/>
    <n v="308"/>
    <n v="5"/>
    <n v="306"/>
    <n v="776.38217299999997"/>
    <n v="2.66820000000507E-2"/>
    <n v="92346.900532018393"/>
    <n v="91747.245333758605"/>
    <x v="9"/>
    <x v="8"/>
    <e v="#N/A"/>
    <s v="BFNCPLC"/>
    <e v="#N/A"/>
    <s v="Blast Furnace"/>
    <x v="0"/>
    <x v="1"/>
    <x v="3"/>
  </r>
  <r>
    <s v="10.11.1.80"/>
    <x v="160"/>
    <s v="10.12.1.24"/>
    <x v="107"/>
    <n v="10"/>
    <x v="20"/>
    <n v="5"/>
    <n v="308"/>
    <n v="5"/>
    <n v="305"/>
    <n v="776.40665200000001"/>
    <n v="2.0368999999959701E-2"/>
    <n v="120968.13785678599"/>
    <n v="119789.87677376599"/>
    <x v="9"/>
    <x v="8"/>
    <e v="#N/A"/>
    <s v="BFNCPLC"/>
    <e v="#N/A"/>
    <s v="Blast Furnace"/>
    <x v="0"/>
    <x v="1"/>
    <x v="3"/>
  </r>
  <r>
    <s v="10.11.1.80"/>
    <x v="161"/>
    <s v="10.12.1.24"/>
    <x v="107"/>
    <n v="10"/>
    <x v="19"/>
    <n v="5"/>
    <n v="308"/>
    <n v="5"/>
    <n v="306"/>
    <n v="776.44316900000001"/>
    <n v="2.3600999999985099E-2"/>
    <n v="104402.355832446"/>
    <n v="103724.41845691099"/>
    <x v="9"/>
    <x v="8"/>
    <e v="#N/A"/>
    <s v="BFNCPLC"/>
    <e v="#N/A"/>
    <s v="Blast Furnace"/>
    <x v="0"/>
    <x v="1"/>
    <x v="3"/>
  </r>
  <r>
    <s v="10.11.1.80"/>
    <x v="162"/>
    <s v="10.12.1.24"/>
    <x v="107"/>
    <n v="10"/>
    <x v="19"/>
    <n v="5"/>
    <n v="308"/>
    <n v="5"/>
    <n v="306"/>
    <n v="861.333619"/>
    <n v="2.6721999999949699E-2"/>
    <n v="92208.667016115403"/>
    <n v="91609.909438088696"/>
    <x v="9"/>
    <x v="8"/>
    <e v="#N/A"/>
    <s v="BFNCPLC"/>
    <e v="#N/A"/>
    <s v="Blast Furnace"/>
    <x v="0"/>
    <x v="1"/>
    <x v="3"/>
  </r>
  <r>
    <s v="10.11.1.80"/>
    <x v="163"/>
    <s v="10.12.1.24"/>
    <x v="107"/>
    <n v="10"/>
    <x v="20"/>
    <n v="5"/>
    <n v="308"/>
    <n v="5"/>
    <n v="305"/>
    <n v="861.35357699999997"/>
    <n v="2.7547000000026901E-2"/>
    <n v="89447.126728776202"/>
    <n v="88575.888481418006"/>
    <x v="9"/>
    <x v="8"/>
    <e v="#N/A"/>
    <s v="BFNCPLC"/>
    <e v="#N/A"/>
    <s v="Blast Furnace"/>
    <x v="0"/>
    <x v="1"/>
    <x v="3"/>
  </r>
  <r>
    <s v="10.11.1.80"/>
    <x v="164"/>
    <s v="10.12.1.24"/>
    <x v="107"/>
    <n v="10"/>
    <x v="19"/>
    <n v="5"/>
    <n v="308"/>
    <n v="5"/>
    <n v="306"/>
    <n v="861.38590999999997"/>
    <n v="2.57420000000366E-2"/>
    <n v="95719.0583480887"/>
    <n v="95097.506021153094"/>
    <x v="9"/>
    <x v="8"/>
    <e v="#N/A"/>
    <s v="BFNCPLC"/>
    <e v="#N/A"/>
    <s v="Blast Furnace"/>
    <x v="0"/>
    <x v="1"/>
    <x v="3"/>
  </r>
  <r>
    <s v="10.11.1.80"/>
    <x v="165"/>
    <s v="10.12.1.24"/>
    <x v="107"/>
    <n v="10"/>
    <x v="20"/>
    <n v="5"/>
    <n v="308"/>
    <n v="5"/>
    <n v="305"/>
    <n v="861.40834900000004"/>
    <n v="2.24329999999782E-2"/>
    <n v="109838.184817118"/>
    <n v="108768.3323676"/>
    <x v="9"/>
    <x v="8"/>
    <e v="#N/A"/>
    <s v="BFNCPLC"/>
    <e v="#N/A"/>
    <s v="Blast Furnace"/>
    <x v="0"/>
    <x v="1"/>
    <x v="3"/>
  </r>
  <r>
    <s v="10.11.1.80"/>
    <x v="166"/>
    <s v="10.12.1.24"/>
    <x v="107"/>
    <n v="10"/>
    <x v="19"/>
    <n v="5"/>
    <n v="308"/>
    <n v="5"/>
    <n v="306"/>
    <n v="861.44706299999996"/>
    <n v="2.3159000000077899E-2"/>
    <n v="106394.92206018"/>
    <n v="105704.045942906"/>
    <x v="9"/>
    <x v="8"/>
    <e v="#N/A"/>
    <s v="BFNCPLC"/>
    <e v="#N/A"/>
    <s v="Blast Furnace"/>
    <x v="0"/>
    <x v="1"/>
    <x v="3"/>
  </r>
  <r>
    <s v="10.11.1.80"/>
    <x v="167"/>
    <s v="10.12.1.24"/>
    <x v="107"/>
    <n v="10"/>
    <x v="19"/>
    <n v="5"/>
    <n v="308"/>
    <n v="5"/>
    <n v="306"/>
    <n v="866.33394999999996"/>
    <n v="3.4277000000088299E-2"/>
    <n v="71884.937421409501"/>
    <n v="71418.152113478296"/>
    <x v="9"/>
    <x v="8"/>
    <e v="#N/A"/>
    <s v="BFNCPLC"/>
    <e v="#N/A"/>
    <s v="Blast Furnace"/>
    <x v="0"/>
    <x v="1"/>
    <x v="3"/>
  </r>
  <r>
    <s v="10.11.1.80"/>
    <x v="168"/>
    <s v="10.12.1.24"/>
    <x v="107"/>
    <n v="10"/>
    <x v="20"/>
    <n v="5"/>
    <n v="308"/>
    <n v="5"/>
    <n v="305"/>
    <n v="866.35958600000004"/>
    <n v="2.7867000000014699E-2"/>
    <n v="88419.994976089904"/>
    <n v="87558.761258790299"/>
    <x v="9"/>
    <x v="8"/>
    <e v="#N/A"/>
    <s v="BFNCPLC"/>
    <e v="#N/A"/>
    <s v="Blast Furnace"/>
    <x v="0"/>
    <x v="1"/>
    <x v="3"/>
  </r>
  <r>
    <s v="10.11.1.80"/>
    <x v="169"/>
    <s v="10.12.1.24"/>
    <x v="107"/>
    <n v="10"/>
    <x v="19"/>
    <n v="5"/>
    <n v="308"/>
    <n v="5"/>
    <n v="306"/>
    <n v="866.41816300000005"/>
    <n v="2.8399999999919601E-2"/>
    <n v="86760.563380527296"/>
    <n v="86197.183098835594"/>
    <x v="9"/>
    <x v="8"/>
    <e v="#N/A"/>
    <s v="BFNCPLC"/>
    <e v="#N/A"/>
    <s v="Blast Furnace"/>
    <x v="0"/>
    <x v="1"/>
    <x v="3"/>
  </r>
  <r>
    <s v="10.11.1.80"/>
    <x v="170"/>
    <s v="10.12.1.24"/>
    <x v="107"/>
    <n v="10"/>
    <x v="20"/>
    <n v="5"/>
    <n v="308"/>
    <n v="5"/>
    <n v="305"/>
    <n v="866.442588"/>
    <n v="1.7888999999968298E-2"/>
    <n v="137738.27491779099"/>
    <n v="136396.668343917"/>
    <x v="9"/>
    <x v="8"/>
    <e v="#N/A"/>
    <s v="BFNCPLC"/>
    <e v="#N/A"/>
    <s v="Blast Furnace"/>
    <x v="0"/>
    <x v="1"/>
    <x v="3"/>
  </r>
  <r>
    <s v="10.11.1.80"/>
    <x v="171"/>
    <s v="10.12.1.24"/>
    <x v="107"/>
    <n v="10"/>
    <x v="19"/>
    <n v="5"/>
    <n v="308"/>
    <n v="5"/>
    <n v="306"/>
    <n v="866.478477"/>
    <n v="2.74789999999712E-2"/>
    <n v="89668.474107594404"/>
    <n v="89086.211288713894"/>
    <x v="9"/>
    <x v="8"/>
    <e v="#N/A"/>
    <s v="BFNCPLC"/>
    <e v="#N/A"/>
    <s v="Blast Furnace"/>
    <x v="0"/>
    <x v="1"/>
    <x v="3"/>
  </r>
  <r>
    <s v="10.11.1.159"/>
    <x v="1"/>
    <s v="10.12.0.252"/>
    <x v="108"/>
    <n v="3"/>
    <x v="0"/>
    <n v="0"/>
    <n v="0"/>
    <n v="3"/>
    <n v="186"/>
    <n v="578.24688800000001"/>
    <n v="9.0579940000000096"/>
    <n v="0"/>
    <n v="164.27478313630999"/>
    <x v="10"/>
    <x v="1"/>
    <e v="#N/A"/>
    <s v="PP_FIX3"/>
    <e v="#N/A"/>
    <s v="Other ProcN Devices"/>
    <x v="0"/>
    <x v="0"/>
    <x v="0"/>
  </r>
  <r>
    <s v="10.11.1.190"/>
    <x v="1"/>
    <s v="10.12.0.41"/>
    <x v="109"/>
    <n v="3"/>
    <x v="0"/>
    <n v="0"/>
    <n v="0"/>
    <n v="3"/>
    <n v="186"/>
    <n v="7.8997719999999996"/>
    <n v="9.1291670000000007"/>
    <n v="0"/>
    <n v="162.994060684836"/>
    <x v="11"/>
    <x v="9"/>
    <e v="#N/A"/>
    <s v="PPPCAP1"/>
    <e v="#N/A"/>
    <s v="Acid Plant"/>
    <x v="0"/>
    <x v="0"/>
    <x v="0"/>
  </r>
  <r>
    <s v="10.11.1.190"/>
    <x v="1"/>
    <s v="10.12.0.41"/>
    <x v="110"/>
    <n v="3"/>
    <x v="0"/>
    <n v="0"/>
    <n v="0"/>
    <n v="3"/>
    <n v="186"/>
    <n v="29.021874"/>
    <n v="8.9295740000000006"/>
    <n v="0"/>
    <n v="166.63728863213399"/>
    <x v="11"/>
    <x v="9"/>
    <e v="#N/A"/>
    <s v="PPPCAP1"/>
    <e v="#N/A"/>
    <s v="Acid Plant"/>
    <x v="0"/>
    <x v="0"/>
    <x v="0"/>
  </r>
  <r>
    <s v="10.11.1.190"/>
    <x v="1"/>
    <s v="10.12.0.41"/>
    <x v="111"/>
    <n v="3"/>
    <x v="0"/>
    <n v="0"/>
    <n v="0"/>
    <n v="3"/>
    <n v="186"/>
    <n v="51.796743999999997"/>
    <n v="8.8876600000000003"/>
    <n v="0"/>
    <n v="167.42314624996899"/>
    <x v="11"/>
    <x v="9"/>
    <e v="#N/A"/>
    <s v="PPPCAP1"/>
    <e v="#N/A"/>
    <s v="Acid Plant"/>
    <x v="0"/>
    <x v="0"/>
    <x v="0"/>
  </r>
  <r>
    <s v="10.11.1.190"/>
    <x v="1"/>
    <s v="10.12.0.41"/>
    <x v="112"/>
    <n v="3"/>
    <x v="0"/>
    <n v="0"/>
    <n v="0"/>
    <n v="3"/>
    <n v="186"/>
    <n v="72.656520999999998"/>
    <n v="9.0510289999999998"/>
    <n v="0"/>
    <n v="164.401196814196"/>
    <x v="11"/>
    <x v="9"/>
    <e v="#N/A"/>
    <s v="PPPCAP1"/>
    <e v="#N/A"/>
    <s v="Acid Plant"/>
    <x v="0"/>
    <x v="0"/>
    <x v="0"/>
  </r>
  <r>
    <s v="10.11.2.31"/>
    <x v="172"/>
    <s v="10.12.17.19"/>
    <x v="107"/>
    <n v="2133"/>
    <x v="23"/>
    <n v="1012"/>
    <n v="66300"/>
    <n v="1121"/>
    <n v="110342"/>
    <n v="0"/>
    <n v="894.58169399999997"/>
    <n v="592.90280983549803"/>
    <n v="986.75839883663002"/>
    <x v="12"/>
    <x v="10"/>
    <e v="#N/A"/>
    <s v="SF-RS485E3"/>
    <e v="#N/A"/>
    <s v="Slag Fumer"/>
    <x v="0"/>
    <x v="2"/>
    <x v="3"/>
  </r>
  <r>
    <s v="10.11.2.31"/>
    <x v="173"/>
    <s v="10.12.17.20"/>
    <x v="107"/>
    <n v="3321"/>
    <x v="24"/>
    <n v="1624"/>
    <n v="112314"/>
    <n v="1697"/>
    <n v="132381"/>
    <n v="4.2750000000000002E-3"/>
    <n v="902.78915700000005"/>
    <n v="995.26228580966404"/>
    <n v="1173.0845367253301"/>
    <x v="12"/>
    <x v="11"/>
    <e v="#N/A"/>
    <s v="SF-RS485E4"/>
    <e v="#N/A"/>
    <s v="Slag Fumer"/>
    <x v="0"/>
    <x v="2"/>
    <x v="3"/>
  </r>
  <r>
    <s v="10.11.2.31"/>
    <x v="174"/>
    <s v="10.12.1.157"/>
    <x v="107"/>
    <n v="4604"/>
    <x v="25"/>
    <n v="2014"/>
    <n v="128652"/>
    <n v="2590"/>
    <n v="268464"/>
    <n v="0.30628499999999997"/>
    <n v="901.12377300000003"/>
    <n v="1142.1472064526299"/>
    <n v="2383.3707026171201"/>
    <x v="12"/>
    <x v="12"/>
    <e v="#N/A"/>
    <s v="Elpro 945UE"/>
    <e v="#N/A"/>
    <s v="Copper Plant"/>
    <x v="0"/>
    <x v="1"/>
    <x v="3"/>
  </r>
  <r>
    <s v="10.11.2.31"/>
    <x v="175"/>
    <s v="10.12.1.80"/>
    <x v="107"/>
    <n v="64"/>
    <x v="26"/>
    <n v="28"/>
    <n v="3545"/>
    <n v="36"/>
    <n v="3989"/>
    <n v="3.8632789999999999"/>
    <n v="199.77798000000001"/>
    <n v="141.95758711745901"/>
    <n v="159.73732440382099"/>
    <x v="12"/>
    <x v="13"/>
    <e v="#N/A"/>
    <s v="EGX100"/>
    <e v="#N/A"/>
    <s v="PETs Plant"/>
    <x v="0"/>
    <x v="1"/>
    <x v="3"/>
  </r>
  <r>
    <s v="10.11.2.31"/>
    <x v="176"/>
    <s v="10.12.1.240"/>
    <x v="107"/>
    <n v="302"/>
    <x v="27"/>
    <n v="136"/>
    <n v="10567"/>
    <n v="166"/>
    <n v="12345"/>
    <n v="20.845488"/>
    <n v="881.47382700000003"/>
    <n v="95.903017662712799"/>
    <n v="112.03962837571601"/>
    <x v="12"/>
    <x v="14"/>
    <e v="#N/A"/>
    <n v="0"/>
    <e v="#N/A"/>
    <s v="EAF Dust Washing"/>
    <x v="0"/>
    <x v="1"/>
    <x v="3"/>
  </r>
  <r>
    <s v="10.11.2.31"/>
    <x v="177"/>
    <s v="10.12.1.33"/>
    <x v="107"/>
    <n v="909"/>
    <x v="28"/>
    <n v="505"/>
    <n v="32724"/>
    <n v="404"/>
    <n v="33734"/>
    <n v="26.172823999999999"/>
    <n v="875.63158099999998"/>
    <n v="298.97505489811698"/>
    <n v="308.20268004929301"/>
    <x v="12"/>
    <x v="15"/>
    <e v="#N/A"/>
    <s v="EGX100"/>
    <e v="#N/A"/>
    <s v="Blast Furnace"/>
    <x v="0"/>
    <x v="1"/>
    <x v="3"/>
  </r>
  <r>
    <s v="10.11.2.31"/>
    <x v="178"/>
    <s v="10.12.1.80"/>
    <x v="107"/>
    <n v="172"/>
    <x v="29"/>
    <n v="76"/>
    <n v="9287"/>
    <n v="96"/>
    <n v="10447"/>
    <n v="220.85984199999999"/>
    <n v="588.64068399999996"/>
    <n v="126.21621647884599"/>
    <n v="141.98135173409099"/>
    <x v="12"/>
    <x v="13"/>
    <e v="#N/A"/>
    <s v="EGX100"/>
    <e v="#N/A"/>
    <s v="PETs Plant"/>
    <x v="0"/>
    <x v="1"/>
    <x v="3"/>
  </r>
  <r>
    <s v="10.11.2.31"/>
    <x v="179"/>
    <s v="10.12.1.80"/>
    <x v="107"/>
    <n v="24"/>
    <x v="30"/>
    <n v="12"/>
    <n v="1368"/>
    <n v="12"/>
    <n v="1364"/>
    <n v="840.434258"/>
    <n v="61.354556000000002"/>
    <n v="178.373061651689"/>
    <n v="177.85150299188899"/>
    <x v="12"/>
    <x v="13"/>
    <e v="#N/A"/>
    <s v="EGX100"/>
    <e v="#N/A"/>
    <s v="PETs Plant"/>
    <x v="0"/>
    <x v="1"/>
    <x v="3"/>
  </r>
  <r>
    <s v="10.11.3.7"/>
    <x v="180"/>
    <s v="10.12.0.241"/>
    <x v="105"/>
    <n v="54564"/>
    <x v="31"/>
    <n v="54564"/>
    <n v="6465450"/>
    <n v="0"/>
    <n v="0"/>
    <n v="0.49830400000000002"/>
    <n v="902.34788700000001"/>
    <n v="57321.129406046901"/>
    <n v="0"/>
    <x v="13"/>
    <x v="16"/>
    <e v="#N/A"/>
    <s v="PPPCHIST"/>
    <e v="#N/A"/>
    <s v="Other ProcN Devices"/>
    <x v="0"/>
    <x v="0"/>
    <x v="1"/>
  </r>
  <r>
    <s v="10.11.3.7"/>
    <x v="181"/>
    <s v="10.12.0.241"/>
    <x v="113"/>
    <n v="358"/>
    <x v="32"/>
    <n v="358"/>
    <n v="23500"/>
    <n v="0"/>
    <n v="0"/>
    <n v="3.7584849999999999"/>
    <n v="894.055475"/>
    <n v="210.277779463293"/>
    <n v="0"/>
    <x v="13"/>
    <x v="16"/>
    <e v="#N/A"/>
    <s v="PPPCHIST"/>
    <e v="#N/A"/>
    <s v="Other ProcN Devices"/>
    <x v="0"/>
    <x v="0"/>
    <x v="0"/>
  </r>
  <r>
    <s v="10.11.3.7"/>
    <x v="182"/>
    <s v="10.12.0.241"/>
    <x v="113"/>
    <n v="353"/>
    <x v="33"/>
    <n v="353"/>
    <n v="23200"/>
    <n v="0"/>
    <n v="0"/>
    <n v="3.7585980000000001"/>
    <n v="894.05536800000004"/>
    <n v="207.59340712330501"/>
    <n v="0"/>
    <x v="13"/>
    <x v="16"/>
    <e v="#N/A"/>
    <s v="PPPCHIST"/>
    <e v="#N/A"/>
    <s v="Other ProcN Devices"/>
    <x v="0"/>
    <x v="0"/>
    <x v="0"/>
  </r>
  <r>
    <s v="10.11.3.7"/>
    <x v="183"/>
    <s v="10.12.0.241"/>
    <x v="113"/>
    <n v="130"/>
    <x v="34"/>
    <n v="130"/>
    <n v="9173"/>
    <n v="0"/>
    <n v="0"/>
    <n v="290.47635300000002"/>
    <n v="319.670525"/>
    <n v="229.561358526877"/>
    <n v="0"/>
    <x v="13"/>
    <x v="16"/>
    <e v="#N/A"/>
    <s v="PPPCHIST"/>
    <e v="#N/A"/>
    <s v="Other ProcN Devices"/>
    <x v="0"/>
    <x v="0"/>
    <x v="0"/>
  </r>
  <r>
    <s v="10.11.3.7"/>
    <x v="184"/>
    <s v="10.12.0.241"/>
    <x v="113"/>
    <n v="132"/>
    <x v="35"/>
    <n v="132"/>
    <n v="9337"/>
    <n v="0"/>
    <n v="0"/>
    <n v="290.73714100000001"/>
    <n v="314.336907"/>
    <n v="237.63038426792201"/>
    <n v="0"/>
    <x v="13"/>
    <x v="16"/>
    <e v="#N/A"/>
    <s v="PPPCHIST"/>
    <e v="#N/A"/>
    <s v="Other ProcN Devices"/>
    <x v="0"/>
    <x v="0"/>
    <x v="0"/>
  </r>
  <r>
    <s v="10.11.9.8"/>
    <x v="185"/>
    <s v="10.12.0.241"/>
    <x v="113"/>
    <n v="367"/>
    <x v="36"/>
    <n v="367"/>
    <n v="24084"/>
    <n v="0"/>
    <n v="0"/>
    <n v="3.7583790000000001"/>
    <n v="894.05524700000001"/>
    <n v="215.50346093992599"/>
    <n v="0"/>
    <x v="14"/>
    <x v="16"/>
    <s v="PPPCRF8"/>
    <s v="PPPCHIST"/>
    <s v="Refinery"/>
    <s v="Other ProcN Devices"/>
    <x v="1"/>
    <x v="0"/>
    <x v="0"/>
  </r>
  <r>
    <s v="10.11.9.36"/>
    <x v="186"/>
    <s v="10.12.0.241"/>
    <x v="113"/>
    <n v="360"/>
    <x v="37"/>
    <n v="360"/>
    <n v="23576"/>
    <n v="0"/>
    <n v="0"/>
    <n v="3.7580550000000001"/>
    <n v="894.05535399999997"/>
    <n v="210.95785530075801"/>
    <n v="0"/>
    <x v="15"/>
    <x v="16"/>
    <s v="PPPCSF12"/>
    <s v="PPPCHIST"/>
    <s v="Slag Fumer"/>
    <s v="Other ProcN Devices"/>
    <x v="1"/>
    <x v="0"/>
    <x v="0"/>
  </r>
  <r>
    <s v="10.11.9.37"/>
    <x v="187"/>
    <s v="10.12.0.241"/>
    <x v="113"/>
    <n v="363"/>
    <x v="38"/>
    <n v="363"/>
    <n v="23838"/>
    <n v="0"/>
    <n v="0"/>
    <n v="3.7581730000000002"/>
    <n v="894.05523800000003"/>
    <n v="213.30225683438101"/>
    <n v="0"/>
    <x v="16"/>
    <x v="16"/>
    <s v="PPPCSF13"/>
    <s v="PPPCHIST"/>
    <s v="Slag Fumer"/>
    <s v="Other ProcN Devices"/>
    <x v="1"/>
    <x v="0"/>
    <x v="0"/>
  </r>
  <r>
    <s v="10.11.9.178"/>
    <x v="188"/>
    <s v="10.12.1.102"/>
    <x v="107"/>
    <n v="901"/>
    <x v="39"/>
    <n v="451"/>
    <n v="74310"/>
    <n v="450"/>
    <n v="73575"/>
    <n v="9.3992999999999993E-2"/>
    <n v="900.10948099999996"/>
    <n v="660.45299216218302"/>
    <n v="653.92045348314696"/>
    <x v="17"/>
    <x v="17"/>
    <s v="PPPCPP1"/>
    <s v="PPPLC"/>
    <s v="Power Plant"/>
    <s v="Power Plant"/>
    <x v="1"/>
    <x v="1"/>
    <x v="3"/>
  </r>
  <r>
    <s v="10.11.9.178"/>
    <x v="189"/>
    <s v="10.12.0.241"/>
    <x v="113"/>
    <n v="1427"/>
    <x v="40"/>
    <n v="1427"/>
    <n v="376260"/>
    <n v="0"/>
    <n v="0"/>
    <n v="0.51046499999999995"/>
    <n v="900.90667800000006"/>
    <n v="3341.1673744969198"/>
    <n v="0"/>
    <x v="17"/>
    <x v="16"/>
    <s v="PPPCPP1"/>
    <s v="PPPCHIST"/>
    <s v="Power Plant"/>
    <s v="Other ProcN Devices"/>
    <x v="1"/>
    <x v="0"/>
    <x v="0"/>
  </r>
  <r>
    <s v="10.11.9.178"/>
    <x v="190"/>
    <s v="10.12.1.241"/>
    <x v="113"/>
    <n v="970"/>
    <x v="41"/>
    <n v="349"/>
    <n v="22992"/>
    <n v="621"/>
    <n v="179452"/>
    <n v="0.75739299999999998"/>
    <n v="900.00436500000001"/>
    <n v="204.37234212747401"/>
    <n v="1595.1211525512999"/>
    <x v="17"/>
    <x v="18"/>
    <s v="PPPCPP1"/>
    <s v="PPPCHIST1"/>
    <s v="Power Plant"/>
    <s v="Other ProcN Devices"/>
    <x v="1"/>
    <x v="1"/>
    <x v="0"/>
  </r>
  <r>
    <s v="10.11.9.178"/>
    <x v="191"/>
    <s v="10.12.1.241"/>
    <x v="113"/>
    <n v="968"/>
    <x v="42"/>
    <n v="347"/>
    <n v="22872"/>
    <n v="621"/>
    <n v="179452"/>
    <n v="0.75747299999999995"/>
    <n v="900.00433999999996"/>
    <n v="203.30568628146801"/>
    <n v="1595.1211968600101"/>
    <x v="17"/>
    <x v="18"/>
    <s v="PPPCPP1"/>
    <s v="PPPCHIST1"/>
    <s v="Power Plant"/>
    <s v="Other ProcN Devices"/>
    <x v="1"/>
    <x v="1"/>
    <x v="0"/>
  </r>
  <r>
    <s v="10.11.9.178"/>
    <x v="192"/>
    <s v="10.12.1.102"/>
    <x v="107"/>
    <n v="904"/>
    <x v="43"/>
    <n v="452"/>
    <n v="74580"/>
    <n v="452"/>
    <n v="73902"/>
    <n v="0.88660799999999995"/>
    <n v="900.31491200000005"/>
    <n v="662.701452622391"/>
    <n v="656.67689396218702"/>
    <x v="17"/>
    <x v="17"/>
    <s v="PPPCPP1"/>
    <s v="PPPLC"/>
    <s v="Power Plant"/>
    <s v="Power Plant"/>
    <x v="1"/>
    <x v="1"/>
    <x v="3"/>
  </r>
  <r>
    <s v="10.11.9.178"/>
    <x v="193"/>
    <s v="10.12.1.242"/>
    <x v="113"/>
    <n v="1888"/>
    <x v="44"/>
    <n v="1188"/>
    <n v="414763"/>
    <n v="700"/>
    <n v="57104"/>
    <n v="1.4906509999999999"/>
    <n v="900.90657099999999"/>
    <n v="3683.0722594429799"/>
    <n v="507.08032853275699"/>
    <x v="17"/>
    <x v="19"/>
    <s v="PPPCPP1"/>
    <s v="PPPCHIST2"/>
    <s v="Power Plant"/>
    <s v="Other ProcN Devices"/>
    <x v="1"/>
    <x v="1"/>
    <x v="0"/>
  </r>
  <r>
    <s v="10.11.9.178"/>
    <x v="194"/>
    <s v="10.12.1.102"/>
    <x v="107"/>
    <n v="904"/>
    <x v="43"/>
    <n v="452"/>
    <n v="74580"/>
    <n v="452"/>
    <n v="73902"/>
    <n v="1.88571"/>
    <n v="900.32985799999994"/>
    <n v="662.69045139231605"/>
    <n v="656.66599274329496"/>
    <x v="17"/>
    <x v="17"/>
    <s v="PPPCPP1"/>
    <s v="PPPLC"/>
    <s v="Power Plant"/>
    <s v="Power Plant"/>
    <x v="1"/>
    <x v="1"/>
    <x v="3"/>
  </r>
  <r>
    <s v="10.11.9.178"/>
    <x v="195"/>
    <s v="10.12.1.102"/>
    <x v="107"/>
    <n v="900"/>
    <x v="45"/>
    <n v="450"/>
    <n v="74250"/>
    <n v="450"/>
    <n v="73575"/>
    <n v="2.8846729999999998"/>
    <n v="896.32575399999996"/>
    <n v="662.70549222665795"/>
    <n v="656.68089684277902"/>
    <x v="17"/>
    <x v="17"/>
    <s v="PPPCPP1"/>
    <s v="PPPLC"/>
    <s v="Power Plant"/>
    <s v="Power Plant"/>
    <x v="1"/>
    <x v="1"/>
    <x v="3"/>
  </r>
  <r>
    <s v="10.11.9.194"/>
    <x v="196"/>
    <s v="10.12.0.64"/>
    <x v="114"/>
    <n v="367"/>
    <x v="46"/>
    <n v="0"/>
    <n v="0"/>
    <n v="367"/>
    <n v="24052"/>
    <n v="3.7575440000000002"/>
    <n v="894.05548099999999"/>
    <n v="0"/>
    <n v="215.21706883870701"/>
    <x v="18"/>
    <x v="4"/>
    <s v="PPPCHIST"/>
    <s v="PPPCPET4"/>
    <s v="Other ProcN Devices"/>
    <s v="PETs Plant"/>
    <x v="1"/>
    <x v="0"/>
    <x v="0"/>
  </r>
  <r>
    <s v="10.11.9.194"/>
    <x v="196"/>
    <s v="10.12.0.64"/>
    <x v="115"/>
    <n v="364"/>
    <x v="47"/>
    <n v="0"/>
    <n v="0"/>
    <n v="364"/>
    <n v="23872"/>
    <n v="3.7575449999999999"/>
    <n v="894.05548399999998"/>
    <n v="0"/>
    <n v="213.606429821977"/>
    <x v="18"/>
    <x v="4"/>
    <s v="PPPCHIST"/>
    <s v="PPPCPET4"/>
    <s v="Other ProcN Devices"/>
    <s v="PETs Plant"/>
    <x v="1"/>
    <x v="0"/>
    <x v="0"/>
  </r>
  <r>
    <s v="10.12.0.1"/>
    <x v="197"/>
    <s v="10.11.9.28"/>
    <x v="107"/>
    <n v="1"/>
    <x v="1"/>
    <n v="1"/>
    <n v="62"/>
    <n v="0"/>
    <n v="0"/>
    <n v="0.57637000000000005"/>
    <n v="0"/>
    <n v="0"/>
    <n v="0"/>
    <x v="19"/>
    <x v="20"/>
    <s v="PPPCFC1"/>
    <s v="EGX100"/>
    <s v="Fume Control"/>
    <s v="Miscellaneous"/>
    <x v="1"/>
    <x v="0"/>
    <x v="3"/>
  </r>
  <r>
    <s v="10.12.0.1"/>
    <x v="198"/>
    <s v="10.11.9.28"/>
    <x v="107"/>
    <n v="1"/>
    <x v="1"/>
    <n v="1"/>
    <n v="62"/>
    <n v="0"/>
    <n v="0"/>
    <n v="0.69389299999999998"/>
    <n v="0"/>
    <n v="0"/>
    <n v="0"/>
    <x v="19"/>
    <x v="20"/>
    <s v="PPPCFC1"/>
    <s v="EGX100"/>
    <s v="Fume Control"/>
    <s v="Miscellaneous"/>
    <x v="1"/>
    <x v="0"/>
    <x v="3"/>
  </r>
  <r>
    <s v="10.12.0.1"/>
    <x v="199"/>
    <s v="10.11.9.28"/>
    <x v="107"/>
    <n v="2"/>
    <x v="48"/>
    <n v="2"/>
    <n v="124"/>
    <n v="0"/>
    <n v="0"/>
    <n v="0.76061900000000005"/>
    <n v="2.9345870000000001"/>
    <n v="338.03734562989598"/>
    <n v="0"/>
    <x v="19"/>
    <x v="20"/>
    <s v="PPPCFC1"/>
    <s v="EGX100"/>
    <s v="Fume Control"/>
    <s v="Miscellaneous"/>
    <x v="1"/>
    <x v="0"/>
    <x v="3"/>
  </r>
  <r>
    <s v="10.12.0.1"/>
    <x v="200"/>
    <s v="10.11.9.28"/>
    <x v="107"/>
    <n v="1"/>
    <x v="1"/>
    <n v="1"/>
    <n v="62"/>
    <n v="0"/>
    <n v="0"/>
    <n v="1.1799269999999999"/>
    <n v="0"/>
    <n v="0"/>
    <n v="0"/>
    <x v="19"/>
    <x v="20"/>
    <s v="PPPCFC1"/>
    <s v="EGX100"/>
    <s v="Fume Control"/>
    <s v="Miscellaneous"/>
    <x v="1"/>
    <x v="0"/>
    <x v="3"/>
  </r>
  <r>
    <s v="10.12.0.1"/>
    <x v="201"/>
    <s v="10.11.9.28"/>
    <x v="107"/>
    <n v="1"/>
    <x v="1"/>
    <n v="1"/>
    <n v="62"/>
    <n v="0"/>
    <n v="0"/>
    <n v="1.3193999999999999"/>
    <n v="0"/>
    <n v="0"/>
    <n v="0"/>
    <x v="19"/>
    <x v="20"/>
    <s v="PPPCFC1"/>
    <s v="EGX100"/>
    <s v="Fume Control"/>
    <s v="Miscellaneous"/>
    <x v="1"/>
    <x v="0"/>
    <x v="3"/>
  </r>
  <r>
    <s v="10.12.0.1"/>
    <x v="202"/>
    <s v="10.11.9.28"/>
    <x v="107"/>
    <n v="1"/>
    <x v="1"/>
    <n v="1"/>
    <n v="62"/>
    <n v="0"/>
    <n v="0"/>
    <n v="3.772481"/>
    <n v="0"/>
    <n v="0"/>
    <n v="0"/>
    <x v="19"/>
    <x v="20"/>
    <s v="PPPCFC1"/>
    <s v="EGX100"/>
    <s v="Fume Control"/>
    <s v="Miscellaneous"/>
    <x v="1"/>
    <x v="0"/>
    <x v="3"/>
  </r>
  <r>
    <s v="10.12.0.1"/>
    <x v="203"/>
    <s v="10.11.9.28"/>
    <x v="107"/>
    <n v="2"/>
    <x v="48"/>
    <n v="2"/>
    <n v="124"/>
    <n v="0"/>
    <n v="0"/>
    <n v="27.268816000000001"/>
    <n v="2.9841280000000001"/>
    <n v="332.42541874879402"/>
    <n v="0"/>
    <x v="19"/>
    <x v="20"/>
    <s v="PPPCFC1"/>
    <s v="EGX100"/>
    <s v="Fume Control"/>
    <s v="Miscellaneous"/>
    <x v="1"/>
    <x v="0"/>
    <x v="3"/>
  </r>
  <r>
    <s v="10.12.0.1"/>
    <x v="204"/>
    <s v="10.11.9.28"/>
    <x v="107"/>
    <n v="2"/>
    <x v="48"/>
    <n v="2"/>
    <n v="124"/>
    <n v="0"/>
    <n v="0"/>
    <n v="29.738059"/>
    <n v="2.9292470000000002"/>
    <n v="338.65358571673897"/>
    <n v="0"/>
    <x v="19"/>
    <x v="20"/>
    <s v="PPPCFC1"/>
    <s v="EGX100"/>
    <s v="Fume Control"/>
    <s v="Miscellaneous"/>
    <x v="1"/>
    <x v="0"/>
    <x v="3"/>
  </r>
  <r>
    <s v="10.12.0.1"/>
    <x v="205"/>
    <s v="10.11.9.28"/>
    <x v="107"/>
    <n v="1"/>
    <x v="1"/>
    <n v="1"/>
    <n v="62"/>
    <n v="0"/>
    <n v="0"/>
    <n v="30.275922000000001"/>
    <n v="0"/>
    <n v="0"/>
    <n v="0"/>
    <x v="19"/>
    <x v="20"/>
    <s v="PPPCFC1"/>
    <s v="EGX100"/>
    <s v="Fume Control"/>
    <s v="Miscellaneous"/>
    <x v="1"/>
    <x v="0"/>
    <x v="3"/>
  </r>
  <r>
    <s v="10.12.0.1"/>
    <x v="206"/>
    <s v="10.11.9.28"/>
    <x v="107"/>
    <n v="2"/>
    <x v="48"/>
    <n v="2"/>
    <n v="124"/>
    <n v="0"/>
    <n v="0"/>
    <n v="30.705946000000001"/>
    <n v="2.9673219999999998"/>
    <n v="334.30817417186302"/>
    <n v="0"/>
    <x v="19"/>
    <x v="20"/>
    <s v="PPPCFC1"/>
    <s v="EGX100"/>
    <s v="Fume Control"/>
    <s v="Miscellaneous"/>
    <x v="1"/>
    <x v="0"/>
    <x v="3"/>
  </r>
  <r>
    <s v="10.12.0.1"/>
    <x v="207"/>
    <s v="10.11.9.28"/>
    <x v="107"/>
    <n v="2"/>
    <x v="48"/>
    <n v="2"/>
    <n v="124"/>
    <n v="0"/>
    <n v="0"/>
    <n v="31.323654999999999"/>
    <n v="2.9532829999999999"/>
    <n v="335.89737251729701"/>
    <n v="0"/>
    <x v="19"/>
    <x v="20"/>
    <s v="PPPCFC1"/>
    <s v="EGX100"/>
    <s v="Fume Control"/>
    <s v="Miscellaneous"/>
    <x v="1"/>
    <x v="0"/>
    <x v="3"/>
  </r>
  <r>
    <s v="10.12.0.1"/>
    <x v="208"/>
    <s v="10.11.9.28"/>
    <x v="107"/>
    <n v="1"/>
    <x v="1"/>
    <n v="1"/>
    <n v="62"/>
    <n v="0"/>
    <n v="0"/>
    <n v="32.744912999999997"/>
    <n v="0"/>
    <n v="0"/>
    <n v="0"/>
    <x v="19"/>
    <x v="20"/>
    <s v="PPPCFC1"/>
    <s v="EGX100"/>
    <s v="Fume Control"/>
    <s v="Miscellaneous"/>
    <x v="1"/>
    <x v="0"/>
    <x v="3"/>
  </r>
  <r>
    <s v="10.12.0.1"/>
    <x v="209"/>
    <s v="10.11.9.28"/>
    <x v="107"/>
    <n v="1"/>
    <x v="1"/>
    <n v="1"/>
    <n v="62"/>
    <n v="0"/>
    <n v="0"/>
    <n v="33.713766"/>
    <n v="0"/>
    <n v="0"/>
    <n v="0"/>
    <x v="19"/>
    <x v="20"/>
    <s v="PPPCFC1"/>
    <s v="EGX100"/>
    <s v="Fume Control"/>
    <s v="Miscellaneous"/>
    <x v="1"/>
    <x v="0"/>
    <x v="3"/>
  </r>
  <r>
    <s v="10.12.0.1"/>
    <x v="210"/>
    <s v="10.11.9.28"/>
    <x v="107"/>
    <n v="2"/>
    <x v="48"/>
    <n v="2"/>
    <n v="124"/>
    <n v="0"/>
    <n v="0"/>
    <n v="33.778478999999997"/>
    <n v="3.0133969999999999"/>
    <n v="329.19658445269499"/>
    <n v="0"/>
    <x v="19"/>
    <x v="20"/>
    <s v="PPPCFC1"/>
    <s v="EGX100"/>
    <s v="Fume Control"/>
    <s v="Miscellaneous"/>
    <x v="1"/>
    <x v="0"/>
    <x v="3"/>
  </r>
  <r>
    <s v="10.12.0.1"/>
    <x v="211"/>
    <s v="10.11.9.28"/>
    <x v="107"/>
    <n v="1"/>
    <x v="1"/>
    <n v="1"/>
    <n v="62"/>
    <n v="0"/>
    <n v="0"/>
    <n v="34.339100000000002"/>
    <n v="0"/>
    <n v="0"/>
    <n v="0"/>
    <x v="19"/>
    <x v="20"/>
    <s v="PPPCFC1"/>
    <s v="EGX100"/>
    <s v="Fume Control"/>
    <s v="Miscellaneous"/>
    <x v="1"/>
    <x v="0"/>
    <x v="3"/>
  </r>
  <r>
    <s v="10.12.0.1"/>
    <x v="212"/>
    <s v="10.11.9.28"/>
    <x v="107"/>
    <n v="1"/>
    <x v="1"/>
    <n v="1"/>
    <n v="62"/>
    <n v="0"/>
    <n v="0"/>
    <n v="36.792341999999998"/>
    <n v="0"/>
    <n v="0"/>
    <n v="0"/>
    <x v="19"/>
    <x v="20"/>
    <s v="PPPCFC1"/>
    <s v="EGX100"/>
    <s v="Fume Control"/>
    <s v="Miscellaneous"/>
    <x v="1"/>
    <x v="0"/>
    <x v="3"/>
  </r>
  <r>
    <s v="10.12.0.1"/>
    <x v="213"/>
    <s v="10.11.9.28"/>
    <x v="107"/>
    <n v="2"/>
    <x v="48"/>
    <n v="2"/>
    <n v="124"/>
    <n v="0"/>
    <n v="0"/>
    <n v="60.286695999999999"/>
    <n v="2.9626070000000002"/>
    <n v="334.84022686775597"/>
    <n v="0"/>
    <x v="19"/>
    <x v="20"/>
    <s v="PPPCFC1"/>
    <s v="EGX100"/>
    <s v="Fume Control"/>
    <s v="Miscellaneous"/>
    <x v="1"/>
    <x v="0"/>
    <x v="3"/>
  </r>
  <r>
    <s v="10.12.0.1"/>
    <x v="214"/>
    <s v="10.11.9.28"/>
    <x v="107"/>
    <n v="2"/>
    <x v="48"/>
    <n v="2"/>
    <n v="124"/>
    <n v="0"/>
    <n v="0"/>
    <n v="62.757629000000001"/>
    <n v="3.0067390000000001"/>
    <n v="329.925543919841"/>
    <n v="0"/>
    <x v="19"/>
    <x v="20"/>
    <s v="PPPCFC1"/>
    <s v="EGX100"/>
    <s v="Fume Control"/>
    <s v="Miscellaneous"/>
    <x v="1"/>
    <x v="0"/>
    <x v="3"/>
  </r>
  <r>
    <s v="10.12.0.1"/>
    <x v="215"/>
    <s v="10.11.9.28"/>
    <x v="107"/>
    <n v="1"/>
    <x v="1"/>
    <n v="1"/>
    <n v="62"/>
    <n v="0"/>
    <n v="0"/>
    <n v="63.295703000000003"/>
    <n v="0"/>
    <n v="0"/>
    <n v="0"/>
    <x v="19"/>
    <x v="20"/>
    <s v="PPPCFC1"/>
    <s v="EGX100"/>
    <s v="Fume Control"/>
    <s v="Miscellaneous"/>
    <x v="1"/>
    <x v="0"/>
    <x v="3"/>
  </r>
  <r>
    <s v="10.12.0.1"/>
    <x v="216"/>
    <s v="10.11.9.28"/>
    <x v="107"/>
    <n v="2"/>
    <x v="48"/>
    <n v="2"/>
    <n v="124"/>
    <n v="0"/>
    <n v="0"/>
    <n v="63.726559999999999"/>
    <n v="2.9431940000000001"/>
    <n v="337.04879800651997"/>
    <n v="0"/>
    <x v="19"/>
    <x v="20"/>
    <s v="PPPCFC1"/>
    <s v="EGX100"/>
    <s v="Fume Control"/>
    <s v="Miscellaneous"/>
    <x v="1"/>
    <x v="0"/>
    <x v="3"/>
  </r>
  <r>
    <s v="10.12.0.1"/>
    <x v="217"/>
    <s v="10.11.9.28"/>
    <x v="107"/>
    <n v="2"/>
    <x v="48"/>
    <n v="2"/>
    <n v="124"/>
    <n v="0"/>
    <n v="0"/>
    <n v="64.351150000000004"/>
    <n v="2.9222800000000002"/>
    <n v="339.46096883255501"/>
    <n v="0"/>
    <x v="19"/>
    <x v="20"/>
    <s v="PPPCFC1"/>
    <s v="EGX100"/>
    <s v="Fume Control"/>
    <s v="Miscellaneous"/>
    <x v="1"/>
    <x v="0"/>
    <x v="3"/>
  </r>
  <r>
    <s v="10.12.0.1"/>
    <x v="218"/>
    <s v="10.11.9.28"/>
    <x v="107"/>
    <n v="1"/>
    <x v="1"/>
    <n v="1"/>
    <n v="62"/>
    <n v="0"/>
    <n v="0"/>
    <n v="65.764852000000005"/>
    <n v="0"/>
    <n v="0"/>
    <n v="0"/>
    <x v="19"/>
    <x v="20"/>
    <s v="PPPCFC1"/>
    <s v="EGX100"/>
    <s v="Fume Control"/>
    <s v="Miscellaneous"/>
    <x v="1"/>
    <x v="0"/>
    <x v="3"/>
  </r>
  <r>
    <s v="10.12.0.1"/>
    <x v="219"/>
    <s v="10.11.9.28"/>
    <x v="107"/>
    <n v="1"/>
    <x v="1"/>
    <n v="1"/>
    <n v="62"/>
    <n v="0"/>
    <n v="0"/>
    <n v="66.733689999999996"/>
    <n v="0"/>
    <n v="0"/>
    <n v="0"/>
    <x v="19"/>
    <x v="20"/>
    <s v="PPPCFC1"/>
    <s v="EGX100"/>
    <s v="Fume Control"/>
    <s v="Miscellaneous"/>
    <x v="1"/>
    <x v="0"/>
    <x v="3"/>
  </r>
  <r>
    <s v="10.12.0.1"/>
    <x v="220"/>
    <s v="10.11.9.28"/>
    <x v="107"/>
    <n v="2"/>
    <x v="48"/>
    <n v="2"/>
    <n v="124"/>
    <n v="0"/>
    <n v="0"/>
    <n v="66.800415000000001"/>
    <n v="2.8873669999999998"/>
    <n v="343.565608389928"/>
    <n v="0"/>
    <x v="19"/>
    <x v="20"/>
    <s v="PPPCFC1"/>
    <s v="EGX100"/>
    <s v="Fume Control"/>
    <s v="Miscellaneous"/>
    <x v="1"/>
    <x v="0"/>
    <x v="3"/>
  </r>
  <r>
    <s v="10.12.0.1"/>
    <x v="221"/>
    <s v="10.11.9.28"/>
    <x v="107"/>
    <n v="1"/>
    <x v="1"/>
    <n v="1"/>
    <n v="62"/>
    <n v="0"/>
    <n v="0"/>
    <n v="67.359159000000005"/>
    <n v="0"/>
    <n v="0"/>
    <n v="0"/>
    <x v="19"/>
    <x v="20"/>
    <s v="PPPCFC1"/>
    <s v="EGX100"/>
    <s v="Fume Control"/>
    <s v="Miscellaneous"/>
    <x v="1"/>
    <x v="0"/>
    <x v="3"/>
  </r>
  <r>
    <s v="10.12.0.1"/>
    <x v="222"/>
    <s v="10.11.9.28"/>
    <x v="107"/>
    <n v="1"/>
    <x v="1"/>
    <n v="1"/>
    <n v="62"/>
    <n v="0"/>
    <n v="0"/>
    <n v="69.812130999999994"/>
    <n v="0"/>
    <n v="0"/>
    <n v="0"/>
    <x v="19"/>
    <x v="20"/>
    <s v="PPPCFC1"/>
    <s v="EGX100"/>
    <s v="Fume Control"/>
    <s v="Miscellaneous"/>
    <x v="1"/>
    <x v="0"/>
    <x v="3"/>
  </r>
  <r>
    <s v="10.12.0.1"/>
    <x v="223"/>
    <s v="10.11.9.28"/>
    <x v="107"/>
    <n v="1"/>
    <x v="1"/>
    <n v="1"/>
    <n v="62"/>
    <n v="0"/>
    <n v="0"/>
    <n v="93.302620000000005"/>
    <n v="0"/>
    <n v="0"/>
    <n v="0"/>
    <x v="19"/>
    <x v="20"/>
    <s v="PPPCFC1"/>
    <s v="EGX100"/>
    <s v="Fume Control"/>
    <s v="Miscellaneous"/>
    <x v="1"/>
    <x v="0"/>
    <x v="3"/>
  </r>
  <r>
    <s v="10.12.0.1"/>
    <x v="224"/>
    <s v="10.11.9.28"/>
    <x v="107"/>
    <n v="2"/>
    <x v="48"/>
    <n v="2"/>
    <n v="124"/>
    <n v="0"/>
    <n v="0"/>
    <n v="95.778616"/>
    <n v="2.9822220000000099"/>
    <n v="332.637878736056"/>
    <n v="0"/>
    <x v="19"/>
    <x v="20"/>
    <s v="PPPCFC1"/>
    <s v="EGX100"/>
    <s v="Fume Control"/>
    <s v="Miscellaneous"/>
    <x v="1"/>
    <x v="0"/>
    <x v="3"/>
  </r>
  <r>
    <s v="10.12.0.1"/>
    <x v="225"/>
    <s v="10.11.9.28"/>
    <x v="107"/>
    <n v="1"/>
    <x v="1"/>
    <n v="1"/>
    <n v="62"/>
    <n v="0"/>
    <n v="0"/>
    <n v="96.31559"/>
    <n v="0"/>
    <n v="0"/>
    <n v="0"/>
    <x v="19"/>
    <x v="20"/>
    <s v="PPPCFC1"/>
    <s v="EGX100"/>
    <s v="Fume Control"/>
    <s v="Miscellaneous"/>
    <x v="1"/>
    <x v="0"/>
    <x v="3"/>
  </r>
  <r>
    <s v="10.12.0.1"/>
    <x v="226"/>
    <s v="10.11.9.28"/>
    <x v="107"/>
    <n v="1"/>
    <x v="1"/>
    <n v="1"/>
    <n v="62"/>
    <n v="0"/>
    <n v="0"/>
    <n v="96.749155000000002"/>
    <n v="0"/>
    <n v="0"/>
    <n v="0"/>
    <x v="19"/>
    <x v="20"/>
    <s v="PPPCFC1"/>
    <s v="EGX100"/>
    <s v="Fume Control"/>
    <s v="Miscellaneous"/>
    <x v="1"/>
    <x v="0"/>
    <x v="3"/>
  </r>
  <r>
    <s v="10.12.0.1"/>
    <x v="227"/>
    <s v="10.11.9.28"/>
    <x v="107"/>
    <n v="2"/>
    <x v="48"/>
    <n v="2"/>
    <n v="124"/>
    <n v="0"/>
    <n v="0"/>
    <n v="97.364458999999997"/>
    <n v="3.0058929999999999"/>
    <n v="330.01840052190801"/>
    <n v="0"/>
    <x v="19"/>
    <x v="20"/>
    <s v="PPPCFC1"/>
    <s v="EGX100"/>
    <s v="Fume Control"/>
    <s v="Miscellaneous"/>
    <x v="1"/>
    <x v="0"/>
    <x v="3"/>
  </r>
  <r>
    <s v="10.12.0.1"/>
    <x v="228"/>
    <s v="10.11.9.28"/>
    <x v="107"/>
    <n v="1"/>
    <x v="1"/>
    <n v="1"/>
    <n v="62"/>
    <n v="0"/>
    <n v="0"/>
    <n v="98.784637000000004"/>
    <n v="0"/>
    <n v="0"/>
    <n v="0"/>
    <x v="19"/>
    <x v="20"/>
    <s v="PPPCFC1"/>
    <s v="EGX100"/>
    <s v="Fume Control"/>
    <s v="Miscellaneous"/>
    <x v="1"/>
    <x v="0"/>
    <x v="3"/>
  </r>
  <r>
    <s v="10.12.0.1"/>
    <x v="229"/>
    <s v="10.11.9.28"/>
    <x v="107"/>
    <n v="1"/>
    <x v="1"/>
    <n v="1"/>
    <n v="62"/>
    <n v="0"/>
    <n v="0"/>
    <n v="99.753534000000002"/>
    <n v="0"/>
    <n v="0"/>
    <n v="0"/>
    <x v="19"/>
    <x v="20"/>
    <s v="PPPCFC1"/>
    <s v="EGX100"/>
    <s v="Fume Control"/>
    <s v="Miscellaneous"/>
    <x v="1"/>
    <x v="0"/>
    <x v="3"/>
  </r>
  <r>
    <s v="10.12.0.1"/>
    <x v="230"/>
    <s v="10.11.9.28"/>
    <x v="107"/>
    <n v="2"/>
    <x v="48"/>
    <n v="2"/>
    <n v="124"/>
    <n v="0"/>
    <n v="0"/>
    <n v="99.819288999999998"/>
    <n v="2.8648220000000002"/>
    <n v="346.26933191660697"/>
    <n v="0"/>
    <x v="19"/>
    <x v="20"/>
    <s v="PPPCFC1"/>
    <s v="EGX100"/>
    <s v="Fume Control"/>
    <s v="Miscellaneous"/>
    <x v="1"/>
    <x v="0"/>
    <x v="3"/>
  </r>
  <r>
    <s v="10.12.0.1"/>
    <x v="231"/>
    <s v="10.11.9.28"/>
    <x v="107"/>
    <n v="1"/>
    <x v="1"/>
    <n v="1"/>
    <n v="62"/>
    <n v="0"/>
    <n v="0"/>
    <n v="100.37892100000001"/>
    <n v="0"/>
    <n v="0"/>
    <n v="0"/>
    <x v="19"/>
    <x v="20"/>
    <s v="PPPCFC1"/>
    <s v="EGX100"/>
    <s v="Fume Control"/>
    <s v="Miscellaneous"/>
    <x v="1"/>
    <x v="0"/>
    <x v="3"/>
  </r>
  <r>
    <s v="10.12.0.1"/>
    <x v="232"/>
    <s v="10.11.9.28"/>
    <x v="107"/>
    <n v="1"/>
    <x v="1"/>
    <n v="1"/>
    <n v="62"/>
    <n v="0"/>
    <n v="0"/>
    <n v="102.83212399999999"/>
    <n v="0"/>
    <n v="0"/>
    <n v="0"/>
    <x v="19"/>
    <x v="20"/>
    <s v="PPPCFC1"/>
    <s v="EGX100"/>
    <s v="Fume Control"/>
    <s v="Miscellaneous"/>
    <x v="1"/>
    <x v="0"/>
    <x v="3"/>
  </r>
  <r>
    <s v="10.12.0.1"/>
    <x v="233"/>
    <s v="10.11.9.28"/>
    <x v="107"/>
    <n v="2"/>
    <x v="48"/>
    <n v="2"/>
    <n v="124"/>
    <n v="0"/>
    <n v="0"/>
    <n v="126.31965700000001"/>
    <n v="2.9225419999999902"/>
    <n v="339.43053684087403"/>
    <n v="0"/>
    <x v="19"/>
    <x v="20"/>
    <s v="PPPCFC1"/>
    <s v="EGX100"/>
    <s v="Fume Control"/>
    <s v="Miscellaneous"/>
    <x v="1"/>
    <x v="0"/>
    <x v="3"/>
  </r>
  <r>
    <s v="10.12.0.1"/>
    <x v="234"/>
    <s v="10.11.9.28"/>
    <x v="107"/>
    <n v="2"/>
    <x v="48"/>
    <n v="2"/>
    <n v="124"/>
    <n v="0"/>
    <n v="0"/>
    <n v="128.79066599999999"/>
    <n v="2.9665040000000098"/>
    <n v="334.40035813199501"/>
    <n v="0"/>
    <x v="19"/>
    <x v="20"/>
    <s v="PPPCFC1"/>
    <s v="EGX100"/>
    <s v="Fume Control"/>
    <s v="Miscellaneous"/>
    <x v="1"/>
    <x v="0"/>
    <x v="3"/>
  </r>
  <r>
    <s v="10.12.0.1"/>
    <x v="235"/>
    <s v="10.11.9.28"/>
    <x v="107"/>
    <n v="1"/>
    <x v="1"/>
    <n v="1"/>
    <n v="62"/>
    <n v="0"/>
    <n v="0"/>
    <n v="129.33540099999999"/>
    <n v="0"/>
    <n v="0"/>
    <n v="0"/>
    <x v="19"/>
    <x v="20"/>
    <s v="PPPCFC1"/>
    <s v="EGX100"/>
    <s v="Fume Control"/>
    <s v="Miscellaneous"/>
    <x v="1"/>
    <x v="0"/>
    <x v="3"/>
  </r>
  <r>
    <s v="10.12.0.1"/>
    <x v="236"/>
    <s v="10.11.9.28"/>
    <x v="107"/>
    <n v="2"/>
    <x v="48"/>
    <n v="2"/>
    <n v="124"/>
    <n v="0"/>
    <n v="0"/>
    <n v="129.767323"/>
    <n v="2.9958399999999901"/>
    <n v="331.12582781457098"/>
    <n v="0"/>
    <x v="19"/>
    <x v="20"/>
    <s v="PPPCFC1"/>
    <s v="EGX100"/>
    <s v="Fume Control"/>
    <s v="Miscellaneous"/>
    <x v="1"/>
    <x v="0"/>
    <x v="3"/>
  </r>
  <r>
    <s v="10.12.0.1"/>
    <x v="237"/>
    <s v="10.11.9.28"/>
    <x v="107"/>
    <n v="2"/>
    <x v="48"/>
    <n v="2"/>
    <n v="124"/>
    <n v="0"/>
    <n v="0"/>
    <n v="130.39177000000001"/>
    <n v="2.9750070000000099"/>
    <n v="333.44459357574601"/>
    <n v="0"/>
    <x v="19"/>
    <x v="20"/>
    <s v="PPPCFC1"/>
    <s v="EGX100"/>
    <s v="Fume Control"/>
    <s v="Miscellaneous"/>
    <x v="1"/>
    <x v="0"/>
    <x v="3"/>
  </r>
  <r>
    <s v="10.12.0.1"/>
    <x v="238"/>
    <s v="10.11.9.28"/>
    <x v="107"/>
    <n v="1"/>
    <x v="1"/>
    <n v="1"/>
    <n v="62"/>
    <n v="0"/>
    <n v="0"/>
    <n v="131.80455900000001"/>
    <n v="0"/>
    <n v="0"/>
    <n v="0"/>
    <x v="19"/>
    <x v="20"/>
    <s v="PPPCFC1"/>
    <s v="EGX100"/>
    <s v="Fume Control"/>
    <s v="Miscellaneous"/>
    <x v="1"/>
    <x v="0"/>
    <x v="3"/>
  </r>
  <r>
    <s v="10.12.0.1"/>
    <x v="239"/>
    <s v="10.11.9.28"/>
    <x v="107"/>
    <n v="1"/>
    <x v="1"/>
    <n v="1"/>
    <n v="62"/>
    <n v="0"/>
    <n v="0"/>
    <n v="132.77351400000001"/>
    <n v="0"/>
    <n v="0"/>
    <n v="0"/>
    <x v="19"/>
    <x v="20"/>
    <s v="PPPCFC1"/>
    <s v="EGX100"/>
    <s v="Fume Control"/>
    <s v="Miscellaneous"/>
    <x v="1"/>
    <x v="0"/>
    <x v="3"/>
  </r>
  <r>
    <s v="10.12.0.1"/>
    <x v="240"/>
    <s v="10.11.9.28"/>
    <x v="107"/>
    <n v="2"/>
    <x v="48"/>
    <n v="2"/>
    <n v="124"/>
    <n v="0"/>
    <n v="0"/>
    <n v="132.83910599999999"/>
    <n v="2.9420139999999999"/>
    <n v="337.183983488862"/>
    <n v="0"/>
    <x v="19"/>
    <x v="20"/>
    <s v="PPPCFC1"/>
    <s v="EGX100"/>
    <s v="Fume Control"/>
    <s v="Miscellaneous"/>
    <x v="1"/>
    <x v="0"/>
    <x v="3"/>
  </r>
  <r>
    <s v="10.12.0.1"/>
    <x v="241"/>
    <s v="10.11.9.28"/>
    <x v="107"/>
    <n v="1"/>
    <x v="1"/>
    <n v="1"/>
    <n v="62"/>
    <n v="0"/>
    <n v="0"/>
    <n v="133.39877999999999"/>
    <n v="0"/>
    <n v="0"/>
    <n v="0"/>
    <x v="19"/>
    <x v="20"/>
    <s v="PPPCFC1"/>
    <s v="EGX100"/>
    <s v="Fume Control"/>
    <s v="Miscellaneous"/>
    <x v="1"/>
    <x v="0"/>
    <x v="3"/>
  </r>
  <r>
    <s v="10.12.0.1"/>
    <x v="242"/>
    <s v="10.11.9.28"/>
    <x v="107"/>
    <n v="1"/>
    <x v="1"/>
    <n v="1"/>
    <n v="62"/>
    <n v="0"/>
    <n v="0"/>
    <n v="135.85186899999999"/>
    <n v="0"/>
    <n v="0"/>
    <n v="0"/>
    <x v="19"/>
    <x v="20"/>
    <s v="PPPCFC1"/>
    <s v="EGX100"/>
    <s v="Fume Control"/>
    <s v="Miscellaneous"/>
    <x v="1"/>
    <x v="0"/>
    <x v="3"/>
  </r>
  <r>
    <s v="10.12.0.1"/>
    <x v="243"/>
    <s v="10.11.9.28"/>
    <x v="107"/>
    <n v="2"/>
    <x v="48"/>
    <n v="2"/>
    <n v="124"/>
    <n v="0"/>
    <n v="0"/>
    <n v="159.344202"/>
    <n v="2.99508500000002"/>
    <n v="331.20929789972399"/>
    <n v="0"/>
    <x v="19"/>
    <x v="20"/>
    <s v="PPPCFC1"/>
    <s v="EGX100"/>
    <s v="Fume Control"/>
    <s v="Miscellaneous"/>
    <x v="1"/>
    <x v="0"/>
    <x v="3"/>
  </r>
  <r>
    <s v="10.12.0.1"/>
    <x v="244"/>
    <s v="10.11.9.28"/>
    <x v="107"/>
    <n v="2"/>
    <x v="48"/>
    <n v="2"/>
    <n v="124"/>
    <n v="0"/>
    <n v="0"/>
    <n v="161.81727900000001"/>
    <n v="2.9363549999999901"/>
    <n v="337.83381096631803"/>
    <n v="0"/>
    <x v="19"/>
    <x v="20"/>
    <s v="PPPCFC1"/>
    <s v="EGX100"/>
    <s v="Fume Control"/>
    <s v="Miscellaneous"/>
    <x v="1"/>
    <x v="0"/>
    <x v="3"/>
  </r>
  <r>
    <s v="10.12.0.1"/>
    <x v="245"/>
    <s v="10.11.9.28"/>
    <x v="107"/>
    <n v="1"/>
    <x v="1"/>
    <n v="1"/>
    <n v="62"/>
    <n v="0"/>
    <n v="0"/>
    <n v="162.35527099999999"/>
    <n v="0"/>
    <n v="0"/>
    <n v="0"/>
    <x v="19"/>
    <x v="20"/>
    <s v="PPPCFC1"/>
    <s v="EGX100"/>
    <s v="Fume Control"/>
    <s v="Miscellaneous"/>
    <x v="1"/>
    <x v="0"/>
    <x v="3"/>
  </r>
  <r>
    <s v="10.12.0.1"/>
    <x v="246"/>
    <s v="10.11.9.28"/>
    <x v="107"/>
    <n v="2"/>
    <x v="48"/>
    <n v="2"/>
    <n v="124"/>
    <n v="0"/>
    <n v="0"/>
    <n v="162.78520700000001"/>
    <n v="2.9743529999999798"/>
    <n v="333.51791129028999"/>
    <n v="0"/>
    <x v="19"/>
    <x v="20"/>
    <s v="PPPCFC1"/>
    <s v="EGX100"/>
    <s v="Fume Control"/>
    <s v="Miscellaneous"/>
    <x v="1"/>
    <x v="0"/>
    <x v="3"/>
  </r>
  <r>
    <s v="10.12.0.1"/>
    <x v="247"/>
    <s v="10.11.9.28"/>
    <x v="107"/>
    <n v="2"/>
    <x v="48"/>
    <n v="2"/>
    <n v="124"/>
    <n v="0"/>
    <n v="0"/>
    <n v="163.41255899999999"/>
    <n v="2.9505990000000102"/>
    <n v="336.202920152822"/>
    <n v="0"/>
    <x v="19"/>
    <x v="20"/>
    <s v="PPPCFC1"/>
    <s v="EGX100"/>
    <s v="Fume Control"/>
    <s v="Miscellaneous"/>
    <x v="1"/>
    <x v="0"/>
    <x v="3"/>
  </r>
  <r>
    <s v="10.12.0.1"/>
    <x v="248"/>
    <s v="10.11.9.28"/>
    <x v="107"/>
    <n v="1"/>
    <x v="1"/>
    <n v="1"/>
    <n v="62"/>
    <n v="0"/>
    <n v="0"/>
    <n v="164.824523"/>
    <n v="0"/>
    <n v="0"/>
    <n v="0"/>
    <x v="19"/>
    <x v="20"/>
    <s v="PPPCFC1"/>
    <s v="EGX100"/>
    <s v="Fume Control"/>
    <s v="Miscellaneous"/>
    <x v="1"/>
    <x v="0"/>
    <x v="3"/>
  </r>
  <r>
    <s v="10.12.0.1"/>
    <x v="249"/>
    <s v="10.11.9.28"/>
    <x v="107"/>
    <n v="1"/>
    <x v="1"/>
    <n v="1"/>
    <n v="62"/>
    <n v="0"/>
    <n v="0"/>
    <n v="165.79323400000001"/>
    <n v="0"/>
    <n v="0"/>
    <n v="0"/>
    <x v="19"/>
    <x v="20"/>
    <s v="PPPCFC1"/>
    <s v="EGX100"/>
    <s v="Fume Control"/>
    <s v="Miscellaneous"/>
    <x v="1"/>
    <x v="0"/>
    <x v="3"/>
  </r>
  <r>
    <s v="10.12.0.1"/>
    <x v="250"/>
    <s v="10.11.9.28"/>
    <x v="107"/>
    <n v="1"/>
    <x v="1"/>
    <n v="1"/>
    <n v="62"/>
    <n v="0"/>
    <n v="0"/>
    <n v="165.85786100000001"/>
    <n v="0"/>
    <n v="0"/>
    <n v="0"/>
    <x v="19"/>
    <x v="20"/>
    <s v="PPPCFC1"/>
    <s v="EGX100"/>
    <s v="Fume Control"/>
    <s v="Miscellaneous"/>
    <x v="1"/>
    <x v="0"/>
    <x v="3"/>
  </r>
  <r>
    <s v="10.12.0.1"/>
    <x v="251"/>
    <s v="10.11.9.28"/>
    <x v="107"/>
    <n v="1"/>
    <x v="1"/>
    <n v="1"/>
    <n v="62"/>
    <n v="0"/>
    <n v="0"/>
    <n v="166.41866099999999"/>
    <n v="0"/>
    <n v="0"/>
    <n v="0"/>
    <x v="19"/>
    <x v="20"/>
    <s v="PPPCFC1"/>
    <s v="EGX100"/>
    <s v="Fume Control"/>
    <s v="Miscellaneous"/>
    <x v="1"/>
    <x v="0"/>
    <x v="3"/>
  </r>
  <r>
    <s v="10.12.0.1"/>
    <x v="252"/>
    <s v="10.11.9.28"/>
    <x v="107"/>
    <n v="1"/>
    <x v="1"/>
    <n v="1"/>
    <n v="62"/>
    <n v="0"/>
    <n v="0"/>
    <n v="168.87184300000001"/>
    <n v="0"/>
    <n v="0"/>
    <n v="0"/>
    <x v="19"/>
    <x v="20"/>
    <s v="PPPCFC1"/>
    <s v="EGX100"/>
    <s v="Fume Control"/>
    <s v="Miscellaneous"/>
    <x v="1"/>
    <x v="0"/>
    <x v="3"/>
  </r>
  <r>
    <s v="10.12.0.1"/>
    <x v="253"/>
    <s v="10.11.9.28"/>
    <x v="107"/>
    <n v="2"/>
    <x v="48"/>
    <n v="2"/>
    <n v="124"/>
    <n v="0"/>
    <n v="0"/>
    <n v="192.36417"/>
    <n v="2.971552"/>
    <n v="333.83228696654101"/>
    <n v="0"/>
    <x v="19"/>
    <x v="20"/>
    <s v="PPPCFC1"/>
    <s v="EGX100"/>
    <s v="Fume Control"/>
    <s v="Miscellaneous"/>
    <x v="1"/>
    <x v="0"/>
    <x v="3"/>
  </r>
  <r>
    <s v="10.12.0.1"/>
    <x v="254"/>
    <s v="10.11.9.28"/>
    <x v="107"/>
    <n v="2"/>
    <x v="48"/>
    <n v="2"/>
    <n v="124"/>
    <n v="0"/>
    <n v="0"/>
    <n v="194.83220900000001"/>
    <n v="2.9182290000000002"/>
    <n v="339.932198604017"/>
    <n v="0"/>
    <x v="19"/>
    <x v="20"/>
    <s v="PPPCFC1"/>
    <s v="EGX100"/>
    <s v="Fume Control"/>
    <s v="Miscellaneous"/>
    <x v="1"/>
    <x v="0"/>
    <x v="3"/>
  </r>
  <r>
    <s v="10.12.0.1"/>
    <x v="255"/>
    <s v="10.11.9.28"/>
    <x v="107"/>
    <n v="1"/>
    <x v="1"/>
    <n v="1"/>
    <n v="62"/>
    <n v="0"/>
    <n v="0"/>
    <n v="195.37501499999999"/>
    <n v="0"/>
    <n v="0"/>
    <n v="0"/>
    <x v="19"/>
    <x v="20"/>
    <s v="PPPCFC1"/>
    <s v="EGX100"/>
    <s v="Fume Control"/>
    <s v="Miscellaneous"/>
    <x v="1"/>
    <x v="0"/>
    <x v="3"/>
  </r>
  <r>
    <s v="10.12.0.1"/>
    <x v="256"/>
    <s v="10.11.9.28"/>
    <x v="107"/>
    <n v="1"/>
    <x v="1"/>
    <n v="1"/>
    <n v="62"/>
    <n v="0"/>
    <n v="0"/>
    <n v="195.80590100000001"/>
    <n v="0"/>
    <n v="0"/>
    <n v="0"/>
    <x v="19"/>
    <x v="20"/>
    <s v="PPPCFC1"/>
    <s v="EGX100"/>
    <s v="Fume Control"/>
    <s v="Miscellaneous"/>
    <x v="1"/>
    <x v="0"/>
    <x v="3"/>
  </r>
  <r>
    <s v="10.12.0.1"/>
    <x v="257"/>
    <s v="10.11.9.28"/>
    <x v="107"/>
    <n v="1"/>
    <x v="1"/>
    <n v="1"/>
    <n v="62"/>
    <n v="0"/>
    <n v="0"/>
    <n v="196.43056999999999"/>
    <n v="0"/>
    <n v="0"/>
    <n v="0"/>
    <x v="19"/>
    <x v="20"/>
    <s v="PPPCFC1"/>
    <s v="EGX100"/>
    <s v="Fume Control"/>
    <s v="Miscellaneous"/>
    <x v="1"/>
    <x v="0"/>
    <x v="3"/>
  </r>
  <r>
    <s v="10.12.0.1"/>
    <x v="258"/>
    <s v="10.11.9.28"/>
    <x v="107"/>
    <n v="1"/>
    <x v="1"/>
    <n v="1"/>
    <n v="62"/>
    <n v="0"/>
    <n v="0"/>
    <n v="197.84416200000001"/>
    <n v="0"/>
    <n v="0"/>
    <n v="0"/>
    <x v="19"/>
    <x v="20"/>
    <s v="PPPCFC1"/>
    <s v="EGX100"/>
    <s v="Fume Control"/>
    <s v="Miscellaneous"/>
    <x v="1"/>
    <x v="0"/>
    <x v="3"/>
  </r>
  <r>
    <s v="10.12.0.1"/>
    <x v="259"/>
    <s v="10.11.9.28"/>
    <x v="107"/>
    <n v="1"/>
    <x v="1"/>
    <n v="1"/>
    <n v="62"/>
    <n v="0"/>
    <n v="0"/>
    <n v="198.81302500000001"/>
    <n v="0"/>
    <n v="0"/>
    <n v="0"/>
    <x v="19"/>
    <x v="20"/>
    <s v="PPPCFC1"/>
    <s v="EGX100"/>
    <s v="Fume Control"/>
    <s v="Miscellaneous"/>
    <x v="1"/>
    <x v="0"/>
    <x v="3"/>
  </r>
  <r>
    <s v="10.12.0.1"/>
    <x v="260"/>
    <s v="10.11.9.28"/>
    <x v="107"/>
    <n v="2"/>
    <x v="48"/>
    <n v="2"/>
    <n v="124"/>
    <n v="0"/>
    <n v="0"/>
    <n v="198.87771699999999"/>
    <n v="2.9968110000000099"/>
    <n v="331.01853937402001"/>
    <n v="0"/>
    <x v="19"/>
    <x v="20"/>
    <s v="PPPCFC1"/>
    <s v="EGX100"/>
    <s v="Fume Control"/>
    <s v="Miscellaneous"/>
    <x v="1"/>
    <x v="0"/>
    <x v="3"/>
  </r>
  <r>
    <s v="10.12.0.1"/>
    <x v="261"/>
    <s v="10.11.9.28"/>
    <x v="107"/>
    <n v="1"/>
    <x v="1"/>
    <n v="1"/>
    <n v="62"/>
    <n v="0"/>
    <n v="0"/>
    <n v="199.43843200000001"/>
    <n v="0"/>
    <n v="0"/>
    <n v="0"/>
    <x v="19"/>
    <x v="20"/>
    <s v="PPPCFC1"/>
    <s v="EGX100"/>
    <s v="Fume Control"/>
    <s v="Miscellaneous"/>
    <x v="1"/>
    <x v="0"/>
    <x v="3"/>
  </r>
  <r>
    <s v="10.12.0.1"/>
    <x v="262"/>
    <s v="95.101.113.27"/>
    <x v="116"/>
    <n v="3"/>
    <x v="0"/>
    <n v="3"/>
    <n v="186"/>
    <n v="0"/>
    <n v="0"/>
    <n v="199.62338099999999"/>
    <n v="8.8906970000000207"/>
    <n v="167.36595567254099"/>
    <n v="0"/>
    <x v="19"/>
    <x v="21"/>
    <s v="PPPCFC1"/>
    <e v="#N/A"/>
    <s v="Fume Control"/>
    <e v="#N/A"/>
    <x v="1"/>
    <x v="3"/>
    <x v="4"/>
  </r>
  <r>
    <s v="10.12.0.1"/>
    <x v="263"/>
    <s v="10.11.9.28"/>
    <x v="107"/>
    <n v="1"/>
    <x v="1"/>
    <n v="1"/>
    <n v="62"/>
    <n v="0"/>
    <n v="0"/>
    <n v="201.891582"/>
    <n v="0"/>
    <n v="0"/>
    <n v="0"/>
    <x v="19"/>
    <x v="20"/>
    <s v="PPPCFC1"/>
    <s v="EGX100"/>
    <s v="Fume Control"/>
    <s v="Miscellaneous"/>
    <x v="1"/>
    <x v="0"/>
    <x v="3"/>
  </r>
  <r>
    <s v="10.12.0.1"/>
    <x v="264"/>
    <s v="95.101.113.32"/>
    <x v="116"/>
    <n v="3"/>
    <x v="0"/>
    <n v="3"/>
    <n v="186"/>
    <n v="0"/>
    <n v="0"/>
    <n v="220.58631700000001"/>
    <n v="9.0536089999999891"/>
    <n v="164.35434753146501"/>
    <n v="0"/>
    <x v="19"/>
    <x v="22"/>
    <s v="PPPCFC1"/>
    <e v="#N/A"/>
    <s v="Fume Control"/>
    <e v="#N/A"/>
    <x v="1"/>
    <x v="3"/>
    <x v="4"/>
  </r>
  <r>
    <s v="10.12.0.1"/>
    <x v="265"/>
    <s v="10.11.9.28"/>
    <x v="107"/>
    <n v="1"/>
    <x v="1"/>
    <n v="1"/>
    <n v="62"/>
    <n v="0"/>
    <n v="0"/>
    <n v="225.38305600000001"/>
    <n v="0"/>
    <n v="0"/>
    <n v="0"/>
    <x v="19"/>
    <x v="20"/>
    <s v="PPPCFC1"/>
    <s v="EGX100"/>
    <s v="Fume Control"/>
    <s v="Miscellaneous"/>
    <x v="1"/>
    <x v="0"/>
    <x v="3"/>
  </r>
  <r>
    <s v="10.12.0.1"/>
    <x v="266"/>
    <s v="10.11.9.28"/>
    <x v="107"/>
    <n v="2"/>
    <x v="48"/>
    <n v="2"/>
    <n v="124"/>
    <n v="0"/>
    <n v="0"/>
    <n v="227.85683800000001"/>
    <n v="2.99010799999999"/>
    <n v="331.760591925109"/>
    <n v="0"/>
    <x v="19"/>
    <x v="20"/>
    <s v="PPPCFC1"/>
    <s v="EGX100"/>
    <s v="Fume Control"/>
    <s v="Miscellaneous"/>
    <x v="1"/>
    <x v="0"/>
    <x v="3"/>
  </r>
  <r>
    <s v="10.12.0.1"/>
    <x v="267"/>
    <s v="10.11.9.28"/>
    <x v="107"/>
    <n v="1"/>
    <x v="1"/>
    <n v="1"/>
    <n v="62"/>
    <n v="0"/>
    <n v="0"/>
    <n v="228.39489699999999"/>
    <n v="0"/>
    <n v="0"/>
    <n v="0"/>
    <x v="19"/>
    <x v="20"/>
    <s v="PPPCFC1"/>
    <s v="EGX100"/>
    <s v="Fume Control"/>
    <s v="Miscellaneous"/>
    <x v="1"/>
    <x v="0"/>
    <x v="3"/>
  </r>
  <r>
    <s v="10.12.0.1"/>
    <x v="268"/>
    <s v="10.11.9.28"/>
    <x v="107"/>
    <n v="2"/>
    <x v="48"/>
    <n v="2"/>
    <n v="124"/>
    <n v="0"/>
    <n v="0"/>
    <n v="228.824881"/>
    <n v="2.9274689999999999"/>
    <n v="338.85926716901201"/>
    <n v="0"/>
    <x v="19"/>
    <x v="20"/>
    <s v="PPPCFC1"/>
    <s v="EGX100"/>
    <s v="Fume Control"/>
    <s v="Miscellaneous"/>
    <x v="1"/>
    <x v="0"/>
    <x v="3"/>
  </r>
  <r>
    <s v="10.12.0.1"/>
    <x v="269"/>
    <s v="10.11.9.28"/>
    <x v="107"/>
    <n v="2"/>
    <x v="48"/>
    <n v="2"/>
    <n v="124"/>
    <n v="0"/>
    <n v="0"/>
    <n v="229.44252800000001"/>
    <n v="3.0140689999999801"/>
    <n v="329.12318861977201"/>
    <n v="0"/>
    <x v="19"/>
    <x v="20"/>
    <s v="PPPCFC1"/>
    <s v="EGX100"/>
    <s v="Fume Control"/>
    <s v="Miscellaneous"/>
    <x v="1"/>
    <x v="0"/>
    <x v="3"/>
  </r>
  <r>
    <s v="10.12.0.1"/>
    <x v="270"/>
    <s v="10.11.9.28"/>
    <x v="107"/>
    <n v="1"/>
    <x v="1"/>
    <n v="1"/>
    <n v="62"/>
    <n v="0"/>
    <n v="0"/>
    <n v="230.86405500000001"/>
    <n v="0"/>
    <n v="0"/>
    <n v="0"/>
    <x v="19"/>
    <x v="20"/>
    <s v="PPPCFC1"/>
    <s v="EGX100"/>
    <s v="Fume Control"/>
    <s v="Miscellaneous"/>
    <x v="1"/>
    <x v="0"/>
    <x v="3"/>
  </r>
  <r>
    <s v="10.12.0.1"/>
    <x v="271"/>
    <s v="10.11.9.28"/>
    <x v="107"/>
    <n v="1"/>
    <x v="1"/>
    <n v="1"/>
    <n v="62"/>
    <n v="0"/>
    <n v="0"/>
    <n v="231.832897"/>
    <n v="0"/>
    <n v="0"/>
    <n v="0"/>
    <x v="19"/>
    <x v="20"/>
    <s v="PPPCFC1"/>
    <s v="EGX100"/>
    <s v="Fume Control"/>
    <s v="Miscellaneous"/>
    <x v="1"/>
    <x v="0"/>
    <x v="3"/>
  </r>
  <r>
    <s v="10.12.0.1"/>
    <x v="272"/>
    <s v="10.11.9.28"/>
    <x v="107"/>
    <n v="2"/>
    <x v="48"/>
    <n v="2"/>
    <n v="124"/>
    <n v="0"/>
    <n v="0"/>
    <n v="231.898506"/>
    <n v="2.9725139999999901"/>
    <n v="333.72424822894101"/>
    <n v="0"/>
    <x v="19"/>
    <x v="20"/>
    <s v="PPPCFC1"/>
    <s v="EGX100"/>
    <s v="Fume Control"/>
    <s v="Miscellaneous"/>
    <x v="1"/>
    <x v="0"/>
    <x v="3"/>
  </r>
  <r>
    <s v="10.12.0.1"/>
    <x v="273"/>
    <s v="10.11.9.28"/>
    <x v="107"/>
    <n v="1"/>
    <x v="1"/>
    <n v="1"/>
    <n v="62"/>
    <n v="0"/>
    <n v="0"/>
    <n v="232.458259"/>
    <n v="0"/>
    <n v="0"/>
    <n v="0"/>
    <x v="19"/>
    <x v="20"/>
    <s v="PPPCFC1"/>
    <s v="EGX100"/>
    <s v="Fume Control"/>
    <s v="Miscellaneous"/>
    <x v="1"/>
    <x v="0"/>
    <x v="3"/>
  </r>
  <r>
    <s v="10.12.0.1"/>
    <x v="274"/>
    <s v="10.11.9.28"/>
    <x v="107"/>
    <n v="1"/>
    <x v="1"/>
    <n v="1"/>
    <n v="62"/>
    <n v="0"/>
    <n v="0"/>
    <n v="234.91127399999999"/>
    <n v="0"/>
    <n v="0"/>
    <n v="0"/>
    <x v="19"/>
    <x v="20"/>
    <s v="PPPCFC1"/>
    <s v="EGX100"/>
    <s v="Fume Control"/>
    <s v="Miscellaneous"/>
    <x v="1"/>
    <x v="0"/>
    <x v="3"/>
  </r>
  <r>
    <s v="10.12.0.1"/>
    <x v="275"/>
    <s v="95.101.113.42"/>
    <x v="116"/>
    <n v="3"/>
    <x v="0"/>
    <n v="3"/>
    <n v="186"/>
    <n v="0"/>
    <n v="0"/>
    <n v="241.611368"/>
    <n v="9.0535399999999999"/>
    <n v="164.35560012989399"/>
    <n v="0"/>
    <x v="19"/>
    <x v="23"/>
    <s v="PPPCFC1"/>
    <e v="#N/A"/>
    <s v="Fume Control"/>
    <e v="#N/A"/>
    <x v="1"/>
    <x v="3"/>
    <x v="4"/>
  </r>
  <r>
    <s v="10.12.0.1"/>
    <x v="276"/>
    <s v="10.11.9.28"/>
    <x v="107"/>
    <n v="2"/>
    <x v="48"/>
    <n v="2"/>
    <n v="124"/>
    <n v="0"/>
    <n v="0"/>
    <n v="258.40571"/>
    <n v="2.92267199999998"/>
    <n v="339.41543902292398"/>
    <n v="0"/>
    <x v="19"/>
    <x v="20"/>
    <s v="PPPCFC1"/>
    <s v="EGX100"/>
    <s v="Fume Control"/>
    <s v="Miscellaneous"/>
    <x v="1"/>
    <x v="0"/>
    <x v="3"/>
  </r>
  <r>
    <s v="10.12.0.1"/>
    <x v="277"/>
    <s v="10.11.9.28"/>
    <x v="107"/>
    <n v="2"/>
    <x v="48"/>
    <n v="2"/>
    <n v="124"/>
    <n v="0"/>
    <n v="0"/>
    <n v="260.87385499999999"/>
    <n v="2.9694499999999899"/>
    <n v="334.06859856202402"/>
    <n v="0"/>
    <x v="19"/>
    <x v="20"/>
    <s v="PPPCFC1"/>
    <s v="EGX100"/>
    <s v="Fume Control"/>
    <s v="Miscellaneous"/>
    <x v="1"/>
    <x v="0"/>
    <x v="3"/>
  </r>
  <r>
    <s v="10.12.0.1"/>
    <x v="278"/>
    <s v="10.11.9.28"/>
    <x v="107"/>
    <n v="1"/>
    <x v="1"/>
    <n v="1"/>
    <n v="62"/>
    <n v="0"/>
    <n v="0"/>
    <n v="261.41502100000002"/>
    <n v="0"/>
    <n v="0"/>
    <n v="0"/>
    <x v="19"/>
    <x v="20"/>
    <s v="PPPCFC1"/>
    <s v="EGX100"/>
    <s v="Fume Control"/>
    <s v="Miscellaneous"/>
    <x v="1"/>
    <x v="0"/>
    <x v="3"/>
  </r>
  <r>
    <s v="10.12.0.1"/>
    <x v="279"/>
    <s v="10.11.9.28"/>
    <x v="107"/>
    <n v="2"/>
    <x v="48"/>
    <n v="2"/>
    <n v="124"/>
    <n v="0"/>
    <n v="0"/>
    <n v="261.84574300000003"/>
    <n v="3.003647"/>
    <n v="330.26517430310503"/>
    <n v="0"/>
    <x v="19"/>
    <x v="20"/>
    <s v="PPPCFC1"/>
    <s v="EGX100"/>
    <s v="Fume Control"/>
    <s v="Miscellaneous"/>
    <x v="1"/>
    <x v="0"/>
    <x v="3"/>
  </r>
  <r>
    <s v="10.12.0.1"/>
    <x v="280"/>
    <s v="10.11.9.28"/>
    <x v="107"/>
    <n v="2"/>
    <x v="48"/>
    <n v="2"/>
    <n v="124"/>
    <n v="0"/>
    <n v="0"/>
    <n v="262.46928000000003"/>
    <n v="2.9837109999999698"/>
    <n v="332.47187814101602"/>
    <n v="0"/>
    <x v="19"/>
    <x v="20"/>
    <s v="PPPCFC1"/>
    <s v="EGX100"/>
    <s v="Fume Control"/>
    <s v="Miscellaneous"/>
    <x v="1"/>
    <x v="0"/>
    <x v="3"/>
  </r>
  <r>
    <s v="10.12.0.1"/>
    <x v="281"/>
    <s v="95.101.113.24"/>
    <x v="116"/>
    <n v="3"/>
    <x v="0"/>
    <n v="3"/>
    <n v="186"/>
    <n v="0"/>
    <n v="0"/>
    <n v="262.63669199999998"/>
    <n v="9.0534470000000091"/>
    <n v="164.35728844494199"/>
    <n v="0"/>
    <x v="19"/>
    <x v="24"/>
    <s v="PPPCFC1"/>
    <e v="#N/A"/>
    <s v="Fume Control"/>
    <e v="#N/A"/>
    <x v="1"/>
    <x v="3"/>
    <x v="4"/>
  </r>
  <r>
    <s v="10.12.0.1"/>
    <x v="282"/>
    <s v="10.11.9.28"/>
    <x v="107"/>
    <n v="1"/>
    <x v="1"/>
    <n v="1"/>
    <n v="62"/>
    <n v="0"/>
    <n v="0"/>
    <n v="263.88382999999999"/>
    <n v="0"/>
    <n v="0"/>
    <n v="0"/>
    <x v="19"/>
    <x v="20"/>
    <s v="PPPCFC1"/>
    <s v="EGX100"/>
    <s v="Fume Control"/>
    <s v="Miscellaneous"/>
    <x v="1"/>
    <x v="0"/>
    <x v="3"/>
  </r>
  <r>
    <s v="10.12.0.1"/>
    <x v="283"/>
    <s v="10.11.9.28"/>
    <x v="107"/>
    <n v="1"/>
    <x v="1"/>
    <n v="1"/>
    <n v="62"/>
    <n v="0"/>
    <n v="0"/>
    <n v="264.85283600000002"/>
    <n v="0"/>
    <n v="0"/>
    <n v="0"/>
    <x v="19"/>
    <x v="20"/>
    <s v="PPPCFC1"/>
    <s v="EGX100"/>
    <s v="Fume Control"/>
    <s v="Miscellaneous"/>
    <x v="1"/>
    <x v="0"/>
    <x v="3"/>
  </r>
  <r>
    <s v="10.12.0.1"/>
    <x v="284"/>
    <s v="10.11.9.28"/>
    <x v="107"/>
    <n v="1"/>
    <x v="1"/>
    <n v="1"/>
    <n v="62"/>
    <n v="0"/>
    <n v="0"/>
    <n v="264.91938399999998"/>
    <n v="0"/>
    <n v="0"/>
    <n v="0"/>
    <x v="19"/>
    <x v="20"/>
    <s v="PPPCFC1"/>
    <s v="EGX100"/>
    <s v="Fume Control"/>
    <s v="Miscellaneous"/>
    <x v="1"/>
    <x v="0"/>
    <x v="3"/>
  </r>
  <r>
    <s v="10.12.0.1"/>
    <x v="285"/>
    <s v="10.11.9.28"/>
    <x v="107"/>
    <n v="1"/>
    <x v="1"/>
    <n v="1"/>
    <n v="62"/>
    <n v="0"/>
    <n v="0"/>
    <n v="265.47826199999997"/>
    <n v="0"/>
    <n v="0"/>
    <n v="0"/>
    <x v="19"/>
    <x v="20"/>
    <s v="PPPCFC1"/>
    <s v="EGX100"/>
    <s v="Fume Control"/>
    <s v="Miscellaneous"/>
    <x v="1"/>
    <x v="0"/>
    <x v="3"/>
  </r>
  <r>
    <s v="10.12.0.1"/>
    <x v="286"/>
    <s v="10.11.9.28"/>
    <x v="107"/>
    <n v="1"/>
    <x v="1"/>
    <n v="1"/>
    <n v="62"/>
    <n v="0"/>
    <n v="0"/>
    <n v="267.93131299999999"/>
    <n v="0"/>
    <n v="0"/>
    <n v="0"/>
    <x v="19"/>
    <x v="20"/>
    <s v="PPPCFC1"/>
    <s v="EGX100"/>
    <s v="Fume Control"/>
    <s v="Miscellaneous"/>
    <x v="1"/>
    <x v="0"/>
    <x v="3"/>
  </r>
  <r>
    <s v="10.12.0.1"/>
    <x v="287"/>
    <s v="95.101.113.41"/>
    <x v="116"/>
    <n v="3"/>
    <x v="0"/>
    <n v="3"/>
    <n v="186"/>
    <n v="0"/>
    <n v="0"/>
    <n v="283.661584"/>
    <n v="8.9529810000000207"/>
    <n v="166.20162602824601"/>
    <n v="0"/>
    <x v="19"/>
    <x v="25"/>
    <s v="PPPCFC1"/>
    <e v="#N/A"/>
    <s v="Fume Control"/>
    <e v="#N/A"/>
    <x v="1"/>
    <x v="3"/>
    <x v="4"/>
  </r>
  <r>
    <s v="10.12.0.1"/>
    <x v="288"/>
    <s v="10.11.9.28"/>
    <x v="107"/>
    <n v="2"/>
    <x v="48"/>
    <n v="2"/>
    <n v="124"/>
    <n v="0"/>
    <n v="0"/>
    <n v="291.42185699999999"/>
    <n v="3.0035880000000401"/>
    <n v="330.27166175919899"/>
    <n v="0"/>
    <x v="19"/>
    <x v="20"/>
    <s v="PPPCFC1"/>
    <s v="EGX100"/>
    <s v="Fume Control"/>
    <s v="Miscellaneous"/>
    <x v="1"/>
    <x v="0"/>
    <x v="3"/>
  </r>
  <r>
    <s v="10.12.0.1"/>
    <x v="289"/>
    <s v="10.11.9.28"/>
    <x v="107"/>
    <n v="2"/>
    <x v="48"/>
    <n v="2"/>
    <n v="124"/>
    <n v="0"/>
    <n v="0"/>
    <n v="293.89751200000001"/>
    <n v="2.9423249999999799"/>
    <n v="337.14834357183702"/>
    <n v="0"/>
    <x v="19"/>
    <x v="20"/>
    <s v="PPPCFC1"/>
    <s v="EGX100"/>
    <s v="Fume Control"/>
    <s v="Miscellaneous"/>
    <x v="1"/>
    <x v="0"/>
    <x v="3"/>
  </r>
  <r>
    <s v="10.12.0.1"/>
    <x v="290"/>
    <s v="10.11.9.28"/>
    <x v="107"/>
    <n v="1"/>
    <x v="1"/>
    <n v="1"/>
    <n v="62"/>
    <n v="0"/>
    <n v="0"/>
    <n v="294.43457599999999"/>
    <n v="0"/>
    <n v="0"/>
    <n v="0"/>
    <x v="19"/>
    <x v="20"/>
    <s v="PPPCFC1"/>
    <s v="EGX100"/>
    <s v="Fume Control"/>
    <s v="Miscellaneous"/>
    <x v="1"/>
    <x v="0"/>
    <x v="3"/>
  </r>
  <r>
    <s v="10.12.0.1"/>
    <x v="291"/>
    <s v="10.11.9.28"/>
    <x v="107"/>
    <n v="1"/>
    <x v="1"/>
    <n v="1"/>
    <n v="62"/>
    <n v="0"/>
    <n v="0"/>
    <n v="294.864529"/>
    <n v="0"/>
    <n v="0"/>
    <n v="0"/>
    <x v="19"/>
    <x v="20"/>
    <s v="PPPCFC1"/>
    <s v="EGX100"/>
    <s v="Fume Control"/>
    <s v="Miscellaneous"/>
    <x v="1"/>
    <x v="0"/>
    <x v="3"/>
  </r>
  <r>
    <s v="10.12.0.1"/>
    <x v="292"/>
    <s v="10.11.9.28"/>
    <x v="107"/>
    <n v="2"/>
    <x v="48"/>
    <n v="2"/>
    <n v="124"/>
    <n v="0"/>
    <n v="0"/>
    <n v="295.491085"/>
    <n v="2.9583020000000002"/>
    <n v="335.32749529966799"/>
    <n v="0"/>
    <x v="19"/>
    <x v="20"/>
    <s v="PPPCFC1"/>
    <s v="EGX100"/>
    <s v="Fume Control"/>
    <s v="Miscellaneous"/>
    <x v="1"/>
    <x v="0"/>
    <x v="3"/>
  </r>
  <r>
    <s v="10.12.0.1"/>
    <x v="293"/>
    <s v="10.11.9.28"/>
    <x v="107"/>
    <n v="1"/>
    <x v="1"/>
    <n v="1"/>
    <n v="62"/>
    <n v="0"/>
    <n v="0"/>
    <n v="296.90375299999999"/>
    <n v="0"/>
    <n v="0"/>
    <n v="0"/>
    <x v="19"/>
    <x v="20"/>
    <s v="PPPCFC1"/>
    <s v="EGX100"/>
    <s v="Fume Control"/>
    <s v="Miscellaneous"/>
    <x v="1"/>
    <x v="0"/>
    <x v="3"/>
  </r>
  <r>
    <s v="10.12.0.1"/>
    <x v="294"/>
    <s v="10.11.9.28"/>
    <x v="107"/>
    <n v="1"/>
    <x v="1"/>
    <n v="1"/>
    <n v="62"/>
    <n v="0"/>
    <n v="0"/>
    <n v="297.872749"/>
    <n v="0"/>
    <n v="0"/>
    <n v="0"/>
    <x v="19"/>
    <x v="20"/>
    <s v="PPPCFC1"/>
    <s v="EGX100"/>
    <s v="Fume Control"/>
    <s v="Miscellaneous"/>
    <x v="1"/>
    <x v="0"/>
    <x v="3"/>
  </r>
  <r>
    <s v="10.12.0.1"/>
    <x v="295"/>
    <s v="10.11.9.28"/>
    <x v="107"/>
    <n v="2"/>
    <x v="48"/>
    <n v="2"/>
    <n v="124"/>
    <n v="0"/>
    <n v="0"/>
    <n v="297.938266"/>
    <n v="2.9254750000000098"/>
    <n v="339.09023320999103"/>
    <n v="0"/>
    <x v="19"/>
    <x v="20"/>
    <s v="PPPCFC1"/>
    <s v="EGX100"/>
    <s v="Fume Control"/>
    <s v="Miscellaneous"/>
    <x v="1"/>
    <x v="0"/>
    <x v="3"/>
  </r>
  <r>
    <s v="10.12.0.1"/>
    <x v="296"/>
    <s v="10.11.9.28"/>
    <x v="107"/>
    <n v="1"/>
    <x v="1"/>
    <n v="1"/>
    <n v="62"/>
    <n v="0"/>
    <n v="0"/>
    <n v="298.49787300000003"/>
    <n v="0"/>
    <n v="0"/>
    <n v="0"/>
    <x v="19"/>
    <x v="20"/>
    <s v="PPPCFC1"/>
    <s v="EGX100"/>
    <s v="Fume Control"/>
    <s v="Miscellaneous"/>
    <x v="1"/>
    <x v="0"/>
    <x v="3"/>
  </r>
  <r>
    <s v="10.12.0.1"/>
    <x v="297"/>
    <s v="10.11.9.28"/>
    <x v="107"/>
    <n v="1"/>
    <x v="1"/>
    <n v="1"/>
    <n v="62"/>
    <n v="0"/>
    <n v="0"/>
    <n v="300.95114799999999"/>
    <n v="0"/>
    <n v="0"/>
    <n v="0"/>
    <x v="19"/>
    <x v="20"/>
    <s v="PPPCFC1"/>
    <s v="EGX100"/>
    <s v="Fume Control"/>
    <s v="Miscellaneous"/>
    <x v="1"/>
    <x v="0"/>
    <x v="3"/>
  </r>
  <r>
    <s v="10.12.0.1"/>
    <x v="298"/>
    <s v="95.101.113.34"/>
    <x v="116"/>
    <n v="3"/>
    <x v="0"/>
    <n v="3"/>
    <n v="186"/>
    <n v="0"/>
    <n v="0"/>
    <n v="304.68675300000001"/>
    <n v="8.9531210000000101"/>
    <n v="166.19902713254899"/>
    <n v="0"/>
    <x v="19"/>
    <x v="26"/>
    <s v="PPPCFC1"/>
    <e v="#N/A"/>
    <s v="Fume Control"/>
    <e v="#N/A"/>
    <x v="1"/>
    <x v="3"/>
    <x v="4"/>
  </r>
  <r>
    <s v="10.12.0.1"/>
    <x v="299"/>
    <s v="10.11.9.28"/>
    <x v="107"/>
    <n v="2"/>
    <x v="48"/>
    <n v="2"/>
    <n v="124"/>
    <n v="0"/>
    <n v="0"/>
    <n v="324.448306"/>
    <n v="2.9735840000000202"/>
    <n v="333.604162519032"/>
    <n v="0"/>
    <x v="19"/>
    <x v="20"/>
    <s v="PPPCFC1"/>
    <s v="EGX100"/>
    <s v="Fume Control"/>
    <s v="Miscellaneous"/>
    <x v="1"/>
    <x v="0"/>
    <x v="3"/>
  </r>
  <r>
    <s v="10.12.0.1"/>
    <x v="300"/>
    <s v="95.101.113.33"/>
    <x v="116"/>
    <n v="3"/>
    <x v="0"/>
    <n v="3"/>
    <n v="186"/>
    <n v="0"/>
    <n v="0"/>
    <n v="325.61137500000001"/>
    <n v="9.1540529999999798"/>
    <n v="162.550948743688"/>
    <n v="0"/>
    <x v="19"/>
    <x v="27"/>
    <s v="PPPCFC1"/>
    <e v="#N/A"/>
    <s v="Fume Control"/>
    <e v="#N/A"/>
    <x v="1"/>
    <x v="3"/>
    <x v="4"/>
  </r>
  <r>
    <s v="10.12.0.1"/>
    <x v="301"/>
    <s v="10.11.9.28"/>
    <x v="107"/>
    <n v="1"/>
    <x v="1"/>
    <n v="1"/>
    <n v="62"/>
    <n v="0"/>
    <n v="0"/>
    <n v="326.91149799999999"/>
    <n v="0"/>
    <n v="0"/>
    <n v="0"/>
    <x v="19"/>
    <x v="20"/>
    <s v="PPPCFC1"/>
    <s v="EGX100"/>
    <s v="Fume Control"/>
    <s v="Miscellaneous"/>
    <x v="1"/>
    <x v="0"/>
    <x v="3"/>
  </r>
  <r>
    <s v="10.12.0.1"/>
    <x v="302"/>
    <s v="10.11.9.28"/>
    <x v="107"/>
    <n v="1"/>
    <x v="1"/>
    <n v="1"/>
    <n v="62"/>
    <n v="0"/>
    <n v="0"/>
    <n v="327.45436599999999"/>
    <n v="0"/>
    <n v="0"/>
    <n v="0"/>
    <x v="19"/>
    <x v="20"/>
    <s v="PPPCFC1"/>
    <s v="EGX100"/>
    <s v="Fume Control"/>
    <s v="Miscellaneous"/>
    <x v="1"/>
    <x v="0"/>
    <x v="3"/>
  </r>
  <r>
    <s v="10.12.0.1"/>
    <x v="303"/>
    <s v="10.11.9.28"/>
    <x v="107"/>
    <n v="2"/>
    <x v="48"/>
    <n v="2"/>
    <n v="124"/>
    <n v="0"/>
    <n v="0"/>
    <n v="327.88439399999999"/>
    <n v="2.9577950000000302"/>
    <n v="335.38497427982298"/>
    <n v="0"/>
    <x v="19"/>
    <x v="20"/>
    <s v="PPPCFC1"/>
    <s v="EGX100"/>
    <s v="Fume Control"/>
    <s v="Miscellaneous"/>
    <x v="1"/>
    <x v="0"/>
    <x v="3"/>
  </r>
  <r>
    <s v="10.12.0.1"/>
    <x v="304"/>
    <s v="10.11.9.28"/>
    <x v="107"/>
    <n v="1"/>
    <x v="1"/>
    <n v="1"/>
    <n v="62"/>
    <n v="0"/>
    <n v="0"/>
    <n v="328.50522000000001"/>
    <n v="0"/>
    <n v="0"/>
    <n v="0"/>
    <x v="19"/>
    <x v="20"/>
    <s v="PPPCFC1"/>
    <s v="EGX100"/>
    <s v="Fume Control"/>
    <s v="Miscellaneous"/>
    <x v="1"/>
    <x v="0"/>
    <x v="3"/>
  </r>
  <r>
    <s v="10.12.0.1"/>
    <x v="305"/>
    <s v="10.11.9.28"/>
    <x v="107"/>
    <n v="1"/>
    <x v="1"/>
    <n v="1"/>
    <n v="62"/>
    <n v="0"/>
    <n v="0"/>
    <n v="329.923585"/>
    <n v="0"/>
    <n v="0"/>
    <n v="0"/>
    <x v="19"/>
    <x v="20"/>
    <s v="PPPCFC1"/>
    <s v="EGX100"/>
    <s v="Fume Control"/>
    <s v="Miscellaneous"/>
    <x v="1"/>
    <x v="0"/>
    <x v="3"/>
  </r>
  <r>
    <s v="10.12.0.1"/>
    <x v="306"/>
    <s v="10.11.9.28"/>
    <x v="107"/>
    <n v="1"/>
    <x v="1"/>
    <n v="1"/>
    <n v="62"/>
    <n v="0"/>
    <n v="0"/>
    <n v="330.89249100000001"/>
    <n v="0"/>
    <n v="0"/>
    <n v="0"/>
    <x v="19"/>
    <x v="20"/>
    <s v="PPPCFC1"/>
    <s v="EGX100"/>
    <s v="Fume Control"/>
    <s v="Miscellaneous"/>
    <x v="1"/>
    <x v="0"/>
    <x v="3"/>
  </r>
  <r>
    <s v="10.12.0.1"/>
    <x v="307"/>
    <s v="10.11.9.28"/>
    <x v="107"/>
    <n v="2"/>
    <x v="48"/>
    <n v="2"/>
    <n v="124"/>
    <n v="0"/>
    <n v="0"/>
    <n v="330.95698299999998"/>
    <n v="3.00377900000001"/>
    <n v="330.25066091746299"/>
    <n v="0"/>
    <x v="19"/>
    <x v="20"/>
    <s v="PPPCFC1"/>
    <s v="EGX100"/>
    <s v="Fume Control"/>
    <s v="Miscellaneous"/>
    <x v="1"/>
    <x v="0"/>
    <x v="3"/>
  </r>
  <r>
    <s v="10.12.0.1"/>
    <x v="308"/>
    <s v="10.11.9.28"/>
    <x v="107"/>
    <n v="1"/>
    <x v="1"/>
    <n v="1"/>
    <n v="62"/>
    <n v="0"/>
    <n v="0"/>
    <n v="331.51783399999999"/>
    <n v="0"/>
    <n v="0"/>
    <n v="0"/>
    <x v="19"/>
    <x v="20"/>
    <s v="PPPCFC1"/>
    <s v="EGX100"/>
    <s v="Fume Control"/>
    <s v="Miscellaneous"/>
    <x v="1"/>
    <x v="0"/>
    <x v="3"/>
  </r>
  <r>
    <s v="10.12.0.1"/>
    <x v="309"/>
    <s v="10.11.9.28"/>
    <x v="107"/>
    <n v="1"/>
    <x v="1"/>
    <n v="1"/>
    <n v="62"/>
    <n v="0"/>
    <n v="0"/>
    <n v="333.97099700000001"/>
    <n v="0"/>
    <n v="0"/>
    <n v="0"/>
    <x v="19"/>
    <x v="20"/>
    <s v="PPPCFC1"/>
    <s v="EGX100"/>
    <s v="Fume Control"/>
    <s v="Miscellaneous"/>
    <x v="1"/>
    <x v="0"/>
    <x v="3"/>
  </r>
  <r>
    <s v="10.12.0.1"/>
    <x v="310"/>
    <s v="95.101.113.26"/>
    <x v="116"/>
    <n v="3"/>
    <x v="0"/>
    <n v="3"/>
    <n v="186"/>
    <n v="0"/>
    <n v="0"/>
    <n v="346.73733600000003"/>
    <n v="9.0533229999999794"/>
    <n v="164.35953958563101"/>
    <n v="0"/>
    <x v="19"/>
    <x v="28"/>
    <s v="PPPCFC1"/>
    <e v="#N/A"/>
    <s v="Fume Control"/>
    <e v="#N/A"/>
    <x v="1"/>
    <x v="3"/>
    <x v="4"/>
  </r>
  <r>
    <s v="10.12.0.1"/>
    <x v="311"/>
    <s v="10.11.9.28"/>
    <x v="107"/>
    <n v="2"/>
    <x v="48"/>
    <n v="2"/>
    <n v="124"/>
    <n v="0"/>
    <n v="0"/>
    <n v="357.46425299999999"/>
    <n v="2.8534250000000201"/>
    <n v="347.65238266293801"/>
    <n v="0"/>
    <x v="19"/>
    <x v="20"/>
    <s v="PPPCFC1"/>
    <s v="EGX100"/>
    <s v="Fume Control"/>
    <s v="Miscellaneous"/>
    <x v="1"/>
    <x v="0"/>
    <x v="3"/>
  </r>
  <r>
    <s v="10.12.0.1"/>
    <x v="312"/>
    <s v="10.11.9.28"/>
    <x v="107"/>
    <n v="1"/>
    <x v="1"/>
    <n v="1"/>
    <n v="62"/>
    <n v="0"/>
    <n v="0"/>
    <n v="359.93132500000002"/>
    <n v="0"/>
    <n v="0"/>
    <n v="0"/>
    <x v="19"/>
    <x v="20"/>
    <s v="PPPCFC1"/>
    <s v="EGX100"/>
    <s v="Fume Control"/>
    <s v="Miscellaneous"/>
    <x v="1"/>
    <x v="0"/>
    <x v="3"/>
  </r>
  <r>
    <s v="10.12.0.1"/>
    <x v="313"/>
    <s v="10.11.9.28"/>
    <x v="107"/>
    <n v="1"/>
    <x v="1"/>
    <n v="1"/>
    <n v="62"/>
    <n v="0"/>
    <n v="0"/>
    <n v="360.47430200000002"/>
    <n v="0"/>
    <n v="0"/>
    <n v="0"/>
    <x v="19"/>
    <x v="20"/>
    <s v="PPPCFC1"/>
    <s v="EGX100"/>
    <s v="Fume Control"/>
    <s v="Miscellaneous"/>
    <x v="1"/>
    <x v="0"/>
    <x v="3"/>
  </r>
  <r>
    <s v="10.12.0.1"/>
    <x v="314"/>
    <s v="10.11.9.28"/>
    <x v="107"/>
    <n v="2"/>
    <x v="48"/>
    <n v="2"/>
    <n v="124"/>
    <n v="0"/>
    <n v="0"/>
    <n v="360.90425299999998"/>
    <n v="2.9343279999999901"/>
    <n v="338.06718267351198"/>
    <n v="0"/>
    <x v="19"/>
    <x v="20"/>
    <s v="PPPCFC1"/>
    <s v="EGX100"/>
    <s v="Fume Control"/>
    <s v="Miscellaneous"/>
    <x v="1"/>
    <x v="0"/>
    <x v="3"/>
  </r>
  <r>
    <s v="10.12.0.1"/>
    <x v="315"/>
    <s v="10.11.9.28"/>
    <x v="107"/>
    <n v="2"/>
    <x v="48"/>
    <n v="2"/>
    <n v="124"/>
    <n v="0"/>
    <n v="0"/>
    <n v="361.52315399999998"/>
    <n v="2.918971"/>
    <n v="339.84578812191"/>
    <n v="0"/>
    <x v="19"/>
    <x v="20"/>
    <s v="PPPCFC1"/>
    <s v="EGX100"/>
    <s v="Fume Control"/>
    <s v="Miscellaneous"/>
    <x v="1"/>
    <x v="0"/>
    <x v="3"/>
  </r>
  <r>
    <s v="10.12.0.1"/>
    <x v="316"/>
    <s v="10.11.9.28"/>
    <x v="107"/>
    <n v="1"/>
    <x v="1"/>
    <n v="1"/>
    <n v="62"/>
    <n v="0"/>
    <n v="0"/>
    <n v="362.94336199999998"/>
    <n v="0"/>
    <n v="0"/>
    <n v="0"/>
    <x v="19"/>
    <x v="20"/>
    <s v="PPPCFC1"/>
    <s v="EGX100"/>
    <s v="Fume Control"/>
    <s v="Miscellaneous"/>
    <x v="1"/>
    <x v="0"/>
    <x v="3"/>
  </r>
  <r>
    <s v="10.12.0.1"/>
    <x v="317"/>
    <s v="10.11.9.28"/>
    <x v="107"/>
    <n v="1"/>
    <x v="1"/>
    <n v="1"/>
    <n v="62"/>
    <n v="0"/>
    <n v="0"/>
    <n v="363.91238299999998"/>
    <n v="0"/>
    <n v="0"/>
    <n v="0"/>
    <x v="19"/>
    <x v="20"/>
    <s v="PPPCFC1"/>
    <s v="EGX100"/>
    <s v="Fume Control"/>
    <s v="Miscellaneous"/>
    <x v="1"/>
    <x v="0"/>
    <x v="3"/>
  </r>
  <r>
    <s v="10.12.0.1"/>
    <x v="318"/>
    <s v="10.11.9.28"/>
    <x v="107"/>
    <n v="2"/>
    <x v="48"/>
    <n v="2"/>
    <n v="124"/>
    <n v="0"/>
    <n v="0"/>
    <n v="363.97882099999998"/>
    <n v="2.9782460000000102"/>
    <n v="333.08195494932102"/>
    <n v="0"/>
    <x v="19"/>
    <x v="20"/>
    <s v="PPPCFC1"/>
    <s v="EGX100"/>
    <s v="Fume Control"/>
    <s v="Miscellaneous"/>
    <x v="1"/>
    <x v="0"/>
    <x v="3"/>
  </r>
  <r>
    <s v="10.12.0.1"/>
    <x v="319"/>
    <s v="10.11.9.28"/>
    <x v="107"/>
    <n v="1"/>
    <x v="1"/>
    <n v="1"/>
    <n v="62"/>
    <n v="0"/>
    <n v="0"/>
    <n v="364.53774199999998"/>
    <n v="0"/>
    <n v="0"/>
    <n v="0"/>
    <x v="19"/>
    <x v="20"/>
    <s v="PPPCFC1"/>
    <s v="EGX100"/>
    <s v="Fume Control"/>
    <s v="Miscellaneous"/>
    <x v="1"/>
    <x v="0"/>
    <x v="3"/>
  </r>
  <r>
    <s v="10.12.0.1"/>
    <x v="320"/>
    <s v="10.11.9.28"/>
    <x v="107"/>
    <n v="1"/>
    <x v="1"/>
    <n v="1"/>
    <n v="62"/>
    <n v="0"/>
    <n v="0"/>
    <n v="366.99066399999998"/>
    <n v="0"/>
    <n v="0"/>
    <n v="0"/>
    <x v="19"/>
    <x v="20"/>
    <s v="PPPCFC1"/>
    <s v="EGX100"/>
    <s v="Fume Control"/>
    <s v="Miscellaneous"/>
    <x v="1"/>
    <x v="0"/>
    <x v="3"/>
  </r>
  <r>
    <s v="10.12.0.1"/>
    <x v="321"/>
    <s v="95.101.113.40"/>
    <x v="116"/>
    <n v="3"/>
    <x v="0"/>
    <n v="3"/>
    <n v="186"/>
    <n v="0"/>
    <n v="0"/>
    <n v="367.76250599999997"/>
    <n v="9.0532650000000103"/>
    <n v="164.36059255970099"/>
    <n v="0"/>
    <x v="19"/>
    <x v="29"/>
    <s v="PPPCFC1"/>
    <e v="#N/A"/>
    <s v="Fume Control"/>
    <e v="#N/A"/>
    <x v="1"/>
    <x v="3"/>
    <x v="4"/>
  </r>
  <r>
    <s v="10.12.0.1"/>
    <x v="322"/>
    <s v="10.11.9.28"/>
    <x v="107"/>
    <n v="2"/>
    <x v="48"/>
    <n v="2"/>
    <n v="124"/>
    <n v="0"/>
    <n v="0"/>
    <n v="390.48209500000002"/>
    <n v="2.9325239999999999"/>
    <n v="338.27515137131002"/>
    <n v="0"/>
    <x v="19"/>
    <x v="20"/>
    <s v="PPPCFC1"/>
    <s v="EGX100"/>
    <s v="Fume Control"/>
    <s v="Miscellaneous"/>
    <x v="1"/>
    <x v="0"/>
    <x v="3"/>
  </r>
  <r>
    <s v="10.12.0.1"/>
    <x v="323"/>
    <s v="10.11.9.28"/>
    <x v="107"/>
    <n v="2"/>
    <x v="48"/>
    <n v="2"/>
    <n v="124"/>
    <n v="0"/>
    <n v="0"/>
    <n v="392.95013699999998"/>
    <n v="2.8787930000000301"/>
    <n v="344.58886067876"/>
    <n v="0"/>
    <x v="19"/>
    <x v="20"/>
    <s v="PPPCFC1"/>
    <s v="EGX100"/>
    <s v="Fume Control"/>
    <s v="Miscellaneous"/>
    <x v="1"/>
    <x v="0"/>
    <x v="3"/>
  </r>
  <r>
    <s v="10.12.0.1"/>
    <x v="324"/>
    <s v="10.11.9.28"/>
    <x v="107"/>
    <n v="1"/>
    <x v="1"/>
    <n v="1"/>
    <n v="62"/>
    <n v="0"/>
    <n v="0"/>
    <n v="393.49421799999999"/>
    <n v="0"/>
    <n v="0"/>
    <n v="0"/>
    <x v="19"/>
    <x v="20"/>
    <s v="PPPCFC1"/>
    <s v="EGX100"/>
    <s v="Fume Control"/>
    <s v="Miscellaneous"/>
    <x v="1"/>
    <x v="0"/>
    <x v="3"/>
  </r>
  <r>
    <s v="10.12.0.1"/>
    <x v="325"/>
    <s v="10.11.9.28"/>
    <x v="107"/>
    <n v="2"/>
    <x v="48"/>
    <n v="2"/>
    <n v="124"/>
    <n v="0"/>
    <n v="0"/>
    <n v="393.92405400000001"/>
    <n v="2.910866"/>
    <n v="340.79205294919097"/>
    <n v="0"/>
    <x v="19"/>
    <x v="20"/>
    <s v="PPPCFC1"/>
    <s v="EGX100"/>
    <s v="Fume Control"/>
    <s v="Miscellaneous"/>
    <x v="1"/>
    <x v="0"/>
    <x v="3"/>
  </r>
  <r>
    <s v="10.12.0.1"/>
    <x v="326"/>
    <s v="10.11.9.28"/>
    <x v="107"/>
    <n v="2"/>
    <x v="48"/>
    <n v="2"/>
    <n v="124"/>
    <n v="0"/>
    <n v="0"/>
    <n v="394.54954700000002"/>
    <n v="2.9896289999999799"/>
    <n v="331.81374678932002"/>
    <n v="0"/>
    <x v="19"/>
    <x v="20"/>
    <s v="PPPCFC1"/>
    <s v="EGX100"/>
    <s v="Fume Control"/>
    <s v="Miscellaneous"/>
    <x v="1"/>
    <x v="0"/>
    <x v="3"/>
  </r>
  <r>
    <s v="10.12.0.1"/>
    <x v="327"/>
    <s v="10.11.9.28"/>
    <x v="107"/>
    <n v="1"/>
    <x v="1"/>
    <n v="1"/>
    <n v="62"/>
    <n v="0"/>
    <n v="0"/>
    <n v="395.96310799999998"/>
    <n v="0"/>
    <n v="0"/>
    <n v="0"/>
    <x v="19"/>
    <x v="20"/>
    <s v="PPPCFC1"/>
    <s v="EGX100"/>
    <s v="Fume Control"/>
    <s v="Miscellaneous"/>
    <x v="1"/>
    <x v="0"/>
    <x v="3"/>
  </r>
  <r>
    <s v="10.12.0.1"/>
    <x v="328"/>
    <s v="10.11.9.28"/>
    <x v="107"/>
    <n v="1"/>
    <x v="1"/>
    <n v="1"/>
    <n v="62"/>
    <n v="0"/>
    <n v="0"/>
    <n v="396.93208800000002"/>
    <n v="0"/>
    <n v="0"/>
    <n v="0"/>
    <x v="19"/>
    <x v="20"/>
    <s v="PPPCFC1"/>
    <s v="EGX100"/>
    <s v="Fume Control"/>
    <s v="Miscellaneous"/>
    <x v="1"/>
    <x v="0"/>
    <x v="3"/>
  </r>
  <r>
    <s v="10.12.0.1"/>
    <x v="329"/>
    <s v="10.11.9.28"/>
    <x v="107"/>
    <n v="1"/>
    <x v="1"/>
    <n v="1"/>
    <n v="62"/>
    <n v="0"/>
    <n v="0"/>
    <n v="396.99769700000002"/>
    <n v="0"/>
    <n v="0"/>
    <n v="0"/>
    <x v="19"/>
    <x v="20"/>
    <s v="PPPCFC1"/>
    <s v="EGX100"/>
    <s v="Fume Control"/>
    <s v="Miscellaneous"/>
    <x v="1"/>
    <x v="0"/>
    <x v="3"/>
  </r>
  <r>
    <s v="10.12.0.1"/>
    <x v="330"/>
    <s v="10.11.9.28"/>
    <x v="107"/>
    <n v="1"/>
    <x v="1"/>
    <n v="1"/>
    <n v="62"/>
    <n v="0"/>
    <n v="0"/>
    <n v="397.55751500000002"/>
    <n v="0"/>
    <n v="0"/>
    <n v="0"/>
    <x v="19"/>
    <x v="20"/>
    <s v="PPPCFC1"/>
    <s v="EGX100"/>
    <s v="Fume Control"/>
    <s v="Miscellaneous"/>
    <x v="1"/>
    <x v="0"/>
    <x v="3"/>
  </r>
  <r>
    <s v="10.12.0.1"/>
    <x v="331"/>
    <s v="10.11.9.28"/>
    <x v="107"/>
    <n v="1"/>
    <x v="1"/>
    <n v="1"/>
    <n v="62"/>
    <n v="0"/>
    <n v="0"/>
    <n v="400.01052499999997"/>
    <n v="0"/>
    <n v="0"/>
    <n v="0"/>
    <x v="19"/>
    <x v="20"/>
    <s v="PPPCFC1"/>
    <s v="EGX100"/>
    <s v="Fume Control"/>
    <s v="Miscellaneous"/>
    <x v="1"/>
    <x v="0"/>
    <x v="3"/>
  </r>
  <r>
    <s v="10.12.0.1"/>
    <x v="11"/>
    <s v="10.11.9.28"/>
    <x v="107"/>
    <n v="2"/>
    <x v="48"/>
    <n v="2"/>
    <n v="124"/>
    <n v="0"/>
    <n v="0"/>
    <n v="423.50103799999999"/>
    <n v="3.0105740000000201"/>
    <n v="329.505270423512"/>
    <n v="0"/>
    <x v="19"/>
    <x v="20"/>
    <s v="PPPCFC1"/>
    <s v="EGX100"/>
    <s v="Fume Control"/>
    <s v="Miscellaneous"/>
    <x v="1"/>
    <x v="0"/>
    <x v="3"/>
  </r>
  <r>
    <s v="10.12.0.1"/>
    <x v="12"/>
    <s v="10.11.9.28"/>
    <x v="107"/>
    <n v="2"/>
    <x v="48"/>
    <n v="2"/>
    <n v="124"/>
    <n v="0"/>
    <n v="0"/>
    <n v="425.97000800000001"/>
    <n v="2.8552569999999902"/>
    <n v="347.42932072314397"/>
    <n v="0"/>
    <x v="19"/>
    <x v="20"/>
    <s v="PPPCFC1"/>
    <s v="EGX100"/>
    <s v="Fume Control"/>
    <s v="Miscellaneous"/>
    <x v="1"/>
    <x v="0"/>
    <x v="3"/>
  </r>
  <r>
    <s v="10.12.0.1"/>
    <x v="13"/>
    <s v="10.11.9.28"/>
    <x v="107"/>
    <n v="1"/>
    <x v="1"/>
    <n v="1"/>
    <n v="62"/>
    <n v="0"/>
    <n v="0"/>
    <n v="426.51395300000001"/>
    <n v="0"/>
    <n v="0"/>
    <n v="0"/>
    <x v="19"/>
    <x v="20"/>
    <s v="PPPCFC1"/>
    <s v="EGX100"/>
    <s v="Fume Control"/>
    <s v="Miscellaneous"/>
    <x v="1"/>
    <x v="0"/>
    <x v="3"/>
  </r>
  <r>
    <s v="10.12.0.1"/>
    <x v="14"/>
    <s v="10.11.9.28"/>
    <x v="107"/>
    <n v="2"/>
    <x v="48"/>
    <n v="2"/>
    <n v="124"/>
    <n v="0"/>
    <n v="0"/>
    <n v="426.94482699999998"/>
    <n v="2.88641700000005"/>
    <n v="343.67868537358999"/>
    <n v="0"/>
    <x v="19"/>
    <x v="20"/>
    <s v="PPPCFC1"/>
    <s v="EGX100"/>
    <s v="Fume Control"/>
    <s v="Miscellaneous"/>
    <x v="1"/>
    <x v="0"/>
    <x v="3"/>
  </r>
  <r>
    <s v="10.12.0.1"/>
    <x v="16"/>
    <s v="10.11.9.28"/>
    <x v="107"/>
    <n v="2"/>
    <x v="48"/>
    <n v="2"/>
    <n v="124"/>
    <n v="0"/>
    <n v="0"/>
    <n v="427.568601"/>
    <n v="2.9669460000000099"/>
    <n v="334.35054092659499"/>
    <n v="0"/>
    <x v="19"/>
    <x v="20"/>
    <s v="PPPCFC1"/>
    <s v="EGX100"/>
    <s v="Fume Control"/>
    <s v="Miscellaneous"/>
    <x v="1"/>
    <x v="0"/>
    <x v="3"/>
  </r>
  <r>
    <s v="10.12.0.1"/>
    <x v="332"/>
    <s v="10.11.9.28"/>
    <x v="107"/>
    <n v="1"/>
    <x v="1"/>
    <n v="1"/>
    <n v="62"/>
    <n v="0"/>
    <n v="0"/>
    <n v="428.98298899999998"/>
    <n v="0"/>
    <n v="0"/>
    <n v="0"/>
    <x v="19"/>
    <x v="20"/>
    <s v="PPPCFC1"/>
    <s v="EGX100"/>
    <s v="Fume Control"/>
    <s v="Miscellaneous"/>
    <x v="1"/>
    <x v="0"/>
    <x v="3"/>
  </r>
  <r>
    <s v="10.12.0.1"/>
    <x v="333"/>
    <s v="10.11.9.28"/>
    <x v="107"/>
    <n v="1"/>
    <x v="1"/>
    <n v="1"/>
    <n v="62"/>
    <n v="0"/>
    <n v="0"/>
    <n v="429.95180199999999"/>
    <n v="0"/>
    <n v="0"/>
    <n v="0"/>
    <x v="19"/>
    <x v="20"/>
    <s v="PPPCFC1"/>
    <s v="EGX100"/>
    <s v="Fume Control"/>
    <s v="Miscellaneous"/>
    <x v="1"/>
    <x v="0"/>
    <x v="3"/>
  </r>
  <r>
    <s v="10.12.0.1"/>
    <x v="334"/>
    <s v="10.11.9.28"/>
    <x v="107"/>
    <n v="1"/>
    <x v="1"/>
    <n v="1"/>
    <n v="62"/>
    <n v="0"/>
    <n v="0"/>
    <n v="430.01783599999999"/>
    <n v="0"/>
    <n v="0"/>
    <n v="0"/>
    <x v="19"/>
    <x v="20"/>
    <s v="PPPCFC1"/>
    <s v="EGX100"/>
    <s v="Fume Control"/>
    <s v="Miscellaneous"/>
    <x v="1"/>
    <x v="0"/>
    <x v="3"/>
  </r>
  <r>
    <s v="10.12.0.1"/>
    <x v="335"/>
    <s v="10.11.9.28"/>
    <x v="107"/>
    <n v="1"/>
    <x v="1"/>
    <n v="1"/>
    <n v="62"/>
    <n v="0"/>
    <n v="0"/>
    <n v="430.577271"/>
    <n v="0"/>
    <n v="0"/>
    <n v="0"/>
    <x v="19"/>
    <x v="20"/>
    <s v="PPPCFC1"/>
    <s v="EGX100"/>
    <s v="Fume Control"/>
    <s v="Miscellaneous"/>
    <x v="1"/>
    <x v="0"/>
    <x v="3"/>
  </r>
  <r>
    <s v="10.12.0.1"/>
    <x v="336"/>
    <s v="10.11.9.28"/>
    <x v="107"/>
    <n v="1"/>
    <x v="1"/>
    <n v="1"/>
    <n v="62"/>
    <n v="0"/>
    <n v="0"/>
    <n v="433.03052200000002"/>
    <n v="0"/>
    <n v="0"/>
    <n v="0"/>
    <x v="19"/>
    <x v="20"/>
    <s v="PPPCFC1"/>
    <s v="EGX100"/>
    <s v="Fume Control"/>
    <s v="Miscellaneous"/>
    <x v="1"/>
    <x v="0"/>
    <x v="3"/>
  </r>
  <r>
    <s v="10.12.0.1"/>
    <x v="337"/>
    <s v="10.11.9.28"/>
    <x v="107"/>
    <n v="2"/>
    <x v="48"/>
    <n v="2"/>
    <n v="124"/>
    <n v="0"/>
    <n v="0"/>
    <n v="456.5249"/>
    <n v="2.9830700000000001"/>
    <n v="332.543319466188"/>
    <n v="0"/>
    <x v="19"/>
    <x v="20"/>
    <s v="PPPCFC1"/>
    <s v="EGX100"/>
    <s v="Fume Control"/>
    <s v="Miscellaneous"/>
    <x v="1"/>
    <x v="0"/>
    <x v="3"/>
  </r>
  <r>
    <s v="10.12.0.1"/>
    <x v="338"/>
    <s v="10.11.9.28"/>
    <x v="107"/>
    <n v="2"/>
    <x v="48"/>
    <n v="2"/>
    <n v="124"/>
    <n v="0"/>
    <n v="0"/>
    <n v="458.99471299999999"/>
    <n v="2.9276219999999902"/>
    <n v="338.84155809732403"/>
    <n v="0"/>
    <x v="19"/>
    <x v="20"/>
    <s v="PPPCFC1"/>
    <s v="EGX100"/>
    <s v="Fume Control"/>
    <s v="Miscellaneous"/>
    <x v="1"/>
    <x v="0"/>
    <x v="3"/>
  </r>
  <r>
    <s v="10.12.0.1"/>
    <x v="339"/>
    <s v="10.11.9.28"/>
    <x v="107"/>
    <n v="1"/>
    <x v="1"/>
    <n v="1"/>
    <n v="62"/>
    <n v="0"/>
    <n v="0"/>
    <n v="459.53382499999998"/>
    <n v="0"/>
    <n v="0"/>
    <n v="0"/>
    <x v="19"/>
    <x v="20"/>
    <s v="PPPCFC1"/>
    <s v="EGX100"/>
    <s v="Fume Control"/>
    <s v="Miscellaneous"/>
    <x v="1"/>
    <x v="0"/>
    <x v="3"/>
  </r>
  <r>
    <s v="10.12.0.1"/>
    <x v="340"/>
    <s v="10.11.9.28"/>
    <x v="107"/>
    <n v="2"/>
    <x v="48"/>
    <n v="2"/>
    <n v="124"/>
    <n v="0"/>
    <n v="0"/>
    <n v="459.96373299999999"/>
    <n v="2.9646539999999999"/>
    <n v="334.60903026120502"/>
    <n v="0"/>
    <x v="19"/>
    <x v="20"/>
    <s v="PPPCFC1"/>
    <s v="EGX100"/>
    <s v="Fume Control"/>
    <s v="Miscellaneous"/>
    <x v="1"/>
    <x v="0"/>
    <x v="3"/>
  </r>
  <r>
    <s v="10.12.0.1"/>
    <x v="341"/>
    <s v="10.11.9.28"/>
    <x v="107"/>
    <n v="2"/>
    <x v="48"/>
    <n v="2"/>
    <n v="124"/>
    <n v="0"/>
    <n v="0"/>
    <n v="460.58723700000002"/>
    <n v="2.94464499999998"/>
    <n v="336.88271421512798"/>
    <n v="0"/>
    <x v="19"/>
    <x v="20"/>
    <s v="PPPCFC1"/>
    <s v="EGX100"/>
    <s v="Fume Control"/>
    <s v="Miscellaneous"/>
    <x v="1"/>
    <x v="0"/>
    <x v="3"/>
  </r>
  <r>
    <s v="10.12.0.1"/>
    <x v="342"/>
    <s v="10.11.9.28"/>
    <x v="107"/>
    <n v="1"/>
    <x v="1"/>
    <n v="1"/>
    <n v="62"/>
    <n v="0"/>
    <n v="0"/>
    <n v="462.00289299999997"/>
    <n v="0"/>
    <n v="0"/>
    <n v="0"/>
    <x v="19"/>
    <x v="20"/>
    <s v="PPPCFC1"/>
    <s v="EGX100"/>
    <s v="Fume Control"/>
    <s v="Miscellaneous"/>
    <x v="1"/>
    <x v="0"/>
    <x v="3"/>
  </r>
  <r>
    <s v="10.12.0.1"/>
    <x v="343"/>
    <s v="10.11.9.28"/>
    <x v="107"/>
    <n v="1"/>
    <x v="1"/>
    <n v="1"/>
    <n v="62"/>
    <n v="0"/>
    <n v="0"/>
    <n v="462.971609"/>
    <n v="0"/>
    <n v="0"/>
    <n v="0"/>
    <x v="19"/>
    <x v="20"/>
    <s v="PPPCFC1"/>
    <s v="EGX100"/>
    <s v="Fume Control"/>
    <s v="Miscellaneous"/>
    <x v="1"/>
    <x v="0"/>
    <x v="3"/>
  </r>
  <r>
    <s v="10.12.0.1"/>
    <x v="344"/>
    <s v="10.11.9.28"/>
    <x v="107"/>
    <n v="2"/>
    <x v="48"/>
    <n v="2"/>
    <n v="124"/>
    <n v="0"/>
    <n v="0"/>
    <n v="463.036452"/>
    <n v="3.0114399999999901"/>
    <n v="329.41051457110302"/>
    <n v="0"/>
    <x v="19"/>
    <x v="20"/>
    <s v="PPPCFC1"/>
    <s v="EGX100"/>
    <s v="Fume Control"/>
    <s v="Miscellaneous"/>
    <x v="1"/>
    <x v="0"/>
    <x v="3"/>
  </r>
  <r>
    <s v="10.12.0.1"/>
    <x v="345"/>
    <s v="10.11.9.28"/>
    <x v="107"/>
    <n v="1"/>
    <x v="1"/>
    <n v="1"/>
    <n v="62"/>
    <n v="0"/>
    <n v="0"/>
    <n v="463.59708599999999"/>
    <n v="0"/>
    <n v="0"/>
    <n v="0"/>
    <x v="19"/>
    <x v="20"/>
    <s v="PPPCFC1"/>
    <s v="EGX100"/>
    <s v="Fume Control"/>
    <s v="Miscellaneous"/>
    <x v="1"/>
    <x v="0"/>
    <x v="3"/>
  </r>
  <r>
    <s v="10.12.0.1"/>
    <x v="346"/>
    <s v="10.11.9.28"/>
    <x v="107"/>
    <n v="1"/>
    <x v="1"/>
    <n v="1"/>
    <n v="62"/>
    <n v="0"/>
    <n v="0"/>
    <n v="466.05033800000001"/>
    <n v="0"/>
    <n v="0"/>
    <n v="0"/>
    <x v="19"/>
    <x v="20"/>
    <s v="PPPCFC1"/>
    <s v="EGX100"/>
    <s v="Fume Control"/>
    <s v="Miscellaneous"/>
    <x v="1"/>
    <x v="0"/>
    <x v="3"/>
  </r>
  <r>
    <s v="10.12.0.1"/>
    <x v="347"/>
    <s v="10.11.9.28"/>
    <x v="107"/>
    <n v="2"/>
    <x v="48"/>
    <n v="2"/>
    <n v="124"/>
    <n v="0"/>
    <n v="0"/>
    <n v="489.54554200000001"/>
    <n v="2.9589019999999699"/>
    <n v="335.25949828686799"/>
    <n v="0"/>
    <x v="19"/>
    <x v="20"/>
    <s v="PPPCFC1"/>
    <s v="EGX100"/>
    <s v="Fume Control"/>
    <s v="Miscellaneous"/>
    <x v="1"/>
    <x v="0"/>
    <x v="3"/>
  </r>
  <r>
    <s v="10.12.0.1"/>
    <x v="348"/>
    <s v="10.11.9.28"/>
    <x v="107"/>
    <n v="1"/>
    <x v="1"/>
    <n v="1"/>
    <n v="62"/>
    <n v="0"/>
    <n v="0"/>
    <n v="492.01081799999997"/>
    <n v="0"/>
    <n v="0"/>
    <n v="0"/>
    <x v="19"/>
    <x v="20"/>
    <s v="PPPCFC1"/>
    <s v="EGX100"/>
    <s v="Fume Control"/>
    <s v="Miscellaneous"/>
    <x v="1"/>
    <x v="0"/>
    <x v="3"/>
  </r>
  <r>
    <s v="10.12.0.1"/>
    <x v="349"/>
    <s v="10.11.9.28"/>
    <x v="107"/>
    <n v="1"/>
    <x v="1"/>
    <n v="1"/>
    <n v="62"/>
    <n v="0"/>
    <n v="0"/>
    <n v="492.55394200000001"/>
    <n v="0"/>
    <n v="0"/>
    <n v="0"/>
    <x v="19"/>
    <x v="20"/>
    <s v="PPPCFC1"/>
    <s v="EGX100"/>
    <s v="Fume Control"/>
    <s v="Miscellaneous"/>
    <x v="1"/>
    <x v="0"/>
    <x v="3"/>
  </r>
  <r>
    <s v="10.12.0.1"/>
    <x v="350"/>
    <s v="10.11.9.28"/>
    <x v="107"/>
    <n v="1"/>
    <x v="1"/>
    <n v="1"/>
    <n v="62"/>
    <n v="0"/>
    <n v="0"/>
    <n v="492.984668"/>
    <n v="0"/>
    <n v="0"/>
    <n v="0"/>
    <x v="19"/>
    <x v="20"/>
    <s v="PPPCFC1"/>
    <s v="EGX100"/>
    <s v="Fume Control"/>
    <s v="Miscellaneous"/>
    <x v="1"/>
    <x v="0"/>
    <x v="3"/>
  </r>
  <r>
    <s v="10.12.0.1"/>
    <x v="351"/>
    <s v="10.11.9.28"/>
    <x v="107"/>
    <n v="1"/>
    <x v="1"/>
    <n v="1"/>
    <n v="62"/>
    <n v="0"/>
    <n v="0"/>
    <n v="493.60933299999999"/>
    <n v="0"/>
    <n v="0"/>
    <n v="0"/>
    <x v="19"/>
    <x v="20"/>
    <s v="PPPCFC1"/>
    <s v="EGX100"/>
    <s v="Fume Control"/>
    <s v="Miscellaneous"/>
    <x v="1"/>
    <x v="0"/>
    <x v="3"/>
  </r>
  <r>
    <s v="10.12.0.1"/>
    <x v="352"/>
    <s v="10.11.9.28"/>
    <x v="107"/>
    <n v="1"/>
    <x v="1"/>
    <n v="1"/>
    <n v="62"/>
    <n v="0"/>
    <n v="0"/>
    <n v="495.022717"/>
    <n v="0"/>
    <n v="0"/>
    <n v="0"/>
    <x v="19"/>
    <x v="20"/>
    <s v="PPPCFC1"/>
    <s v="EGX100"/>
    <s v="Fume Control"/>
    <s v="Miscellaneous"/>
    <x v="1"/>
    <x v="0"/>
    <x v="3"/>
  </r>
  <r>
    <s v="10.12.0.1"/>
    <x v="353"/>
    <s v="10.11.9.28"/>
    <x v="107"/>
    <n v="1"/>
    <x v="1"/>
    <n v="1"/>
    <n v="62"/>
    <n v="0"/>
    <n v="0"/>
    <n v="495.991421"/>
    <n v="0"/>
    <n v="0"/>
    <n v="0"/>
    <x v="19"/>
    <x v="20"/>
    <s v="PPPCFC1"/>
    <s v="EGX100"/>
    <s v="Fume Control"/>
    <s v="Miscellaneous"/>
    <x v="1"/>
    <x v="0"/>
    <x v="3"/>
  </r>
  <r>
    <s v="10.12.0.1"/>
    <x v="354"/>
    <s v="10.11.9.28"/>
    <x v="107"/>
    <n v="2"/>
    <x v="48"/>
    <n v="2"/>
    <n v="124"/>
    <n v="0"/>
    <n v="0"/>
    <n v="496.05919299999999"/>
    <n v="2.8834929999999899"/>
    <n v="344.02719202023502"/>
    <n v="0"/>
    <x v="19"/>
    <x v="20"/>
    <s v="PPPCFC1"/>
    <s v="EGX100"/>
    <s v="Fume Control"/>
    <s v="Miscellaneous"/>
    <x v="1"/>
    <x v="0"/>
    <x v="3"/>
  </r>
  <r>
    <s v="10.12.0.1"/>
    <x v="355"/>
    <s v="10.11.9.28"/>
    <x v="107"/>
    <n v="1"/>
    <x v="1"/>
    <n v="1"/>
    <n v="62"/>
    <n v="0"/>
    <n v="0"/>
    <n v="496.616961"/>
    <n v="0"/>
    <n v="0"/>
    <n v="0"/>
    <x v="19"/>
    <x v="20"/>
    <s v="PPPCFC1"/>
    <s v="EGX100"/>
    <s v="Fume Control"/>
    <s v="Miscellaneous"/>
    <x v="1"/>
    <x v="0"/>
    <x v="3"/>
  </r>
  <r>
    <s v="10.12.0.1"/>
    <x v="356"/>
    <s v="10.11.9.28"/>
    <x v="107"/>
    <n v="1"/>
    <x v="1"/>
    <n v="1"/>
    <n v="62"/>
    <n v="0"/>
    <n v="0"/>
    <n v="499.07011299999999"/>
    <n v="0"/>
    <n v="0"/>
    <n v="0"/>
    <x v="19"/>
    <x v="20"/>
    <s v="PPPCFC1"/>
    <s v="EGX100"/>
    <s v="Fume Control"/>
    <s v="Miscellaneous"/>
    <x v="1"/>
    <x v="0"/>
    <x v="3"/>
  </r>
  <r>
    <s v="10.12.0.1"/>
    <x v="357"/>
    <s v="10.11.9.28"/>
    <x v="107"/>
    <n v="2"/>
    <x v="48"/>
    <n v="2"/>
    <n v="124"/>
    <n v="0"/>
    <n v="0"/>
    <n v="522.56143799999995"/>
    <n v="2.9392900000000299"/>
    <n v="337.49647023600602"/>
    <n v="0"/>
    <x v="19"/>
    <x v="20"/>
    <s v="PPPCFC1"/>
    <s v="EGX100"/>
    <s v="Fume Control"/>
    <s v="Miscellaneous"/>
    <x v="1"/>
    <x v="0"/>
    <x v="3"/>
  </r>
  <r>
    <s v="10.12.0.1"/>
    <x v="358"/>
    <s v="10.11.9.28"/>
    <x v="107"/>
    <n v="2"/>
    <x v="48"/>
    <n v="2"/>
    <n v="124"/>
    <n v="0"/>
    <n v="0"/>
    <n v="525.03267800000003"/>
    <n v="2.9830190000000099"/>
    <n v="332.54900488397698"/>
    <n v="0"/>
    <x v="19"/>
    <x v="20"/>
    <s v="PPPCFC1"/>
    <s v="EGX100"/>
    <s v="Fume Control"/>
    <s v="Miscellaneous"/>
    <x v="1"/>
    <x v="0"/>
    <x v="3"/>
  </r>
  <r>
    <s v="10.12.0.1"/>
    <x v="359"/>
    <s v="10.11.9.28"/>
    <x v="107"/>
    <n v="1"/>
    <x v="1"/>
    <n v="1"/>
    <n v="62"/>
    <n v="0"/>
    <n v="0"/>
    <n v="525.57344499999999"/>
    <n v="0"/>
    <n v="0"/>
    <n v="0"/>
    <x v="19"/>
    <x v="20"/>
    <s v="PPPCFC1"/>
    <s v="EGX100"/>
    <s v="Fume Control"/>
    <s v="Miscellaneous"/>
    <x v="1"/>
    <x v="0"/>
    <x v="3"/>
  </r>
  <r>
    <s v="10.12.0.1"/>
    <x v="360"/>
    <s v="10.11.9.28"/>
    <x v="107"/>
    <n v="2"/>
    <x v="48"/>
    <n v="2"/>
    <n v="124"/>
    <n v="0"/>
    <n v="0"/>
    <n v="526.00347999999997"/>
    <n v="2.9176019999999898"/>
    <n v="340.005250887545"/>
    <n v="0"/>
    <x v="19"/>
    <x v="20"/>
    <s v="PPPCFC1"/>
    <s v="EGX100"/>
    <s v="Fume Control"/>
    <s v="Miscellaneous"/>
    <x v="1"/>
    <x v="0"/>
    <x v="3"/>
  </r>
  <r>
    <s v="10.12.0.1"/>
    <x v="361"/>
    <s v="10.11.9.28"/>
    <x v="107"/>
    <n v="2"/>
    <x v="48"/>
    <n v="2"/>
    <n v="124"/>
    <n v="0"/>
    <n v="0"/>
    <n v="526.62785599999995"/>
    <n v="2.9975180000000101"/>
    <n v="330.94046474449698"/>
    <n v="0"/>
    <x v="19"/>
    <x v="20"/>
    <s v="PPPCFC1"/>
    <s v="EGX100"/>
    <s v="Fume Control"/>
    <s v="Miscellaneous"/>
    <x v="1"/>
    <x v="0"/>
    <x v="3"/>
  </r>
  <r>
    <s v="10.12.0.1"/>
    <x v="362"/>
    <s v="10.11.9.28"/>
    <x v="107"/>
    <n v="1"/>
    <x v="1"/>
    <n v="1"/>
    <n v="62"/>
    <n v="0"/>
    <n v="0"/>
    <n v="528.04247199999998"/>
    <n v="0"/>
    <n v="0"/>
    <n v="0"/>
    <x v="19"/>
    <x v="20"/>
    <s v="PPPCFC1"/>
    <s v="EGX100"/>
    <s v="Fume Control"/>
    <s v="Miscellaneous"/>
    <x v="1"/>
    <x v="0"/>
    <x v="3"/>
  </r>
  <r>
    <s v="10.12.0.1"/>
    <x v="363"/>
    <s v="10.11.9.28"/>
    <x v="107"/>
    <n v="1"/>
    <x v="1"/>
    <n v="1"/>
    <n v="62"/>
    <n v="0"/>
    <n v="0"/>
    <n v="529.01132700000005"/>
    <n v="0"/>
    <n v="0"/>
    <n v="0"/>
    <x v="19"/>
    <x v="20"/>
    <s v="PPPCFC1"/>
    <s v="EGX100"/>
    <s v="Fume Control"/>
    <s v="Miscellaneous"/>
    <x v="1"/>
    <x v="0"/>
    <x v="3"/>
  </r>
  <r>
    <s v="10.12.0.1"/>
    <x v="364"/>
    <s v="10.11.9.28"/>
    <x v="107"/>
    <n v="2"/>
    <x v="48"/>
    <n v="2"/>
    <n v="124"/>
    <n v="0"/>
    <n v="0"/>
    <n v="529.07636000000002"/>
    <n v="2.8626699999999801"/>
    <n v="346.52963841449002"/>
    <n v="0"/>
    <x v="19"/>
    <x v="20"/>
    <s v="PPPCFC1"/>
    <s v="EGX100"/>
    <s v="Fume Control"/>
    <s v="Miscellaneous"/>
    <x v="1"/>
    <x v="0"/>
    <x v="3"/>
  </r>
  <r>
    <s v="10.12.0.1"/>
    <x v="19"/>
    <s v="10.11.9.28"/>
    <x v="107"/>
    <n v="1"/>
    <x v="1"/>
    <n v="1"/>
    <n v="62"/>
    <n v="0"/>
    <n v="0"/>
    <n v="529.63682600000004"/>
    <n v="0"/>
    <n v="0"/>
    <n v="0"/>
    <x v="19"/>
    <x v="20"/>
    <s v="PPPCFC1"/>
    <s v="EGX100"/>
    <s v="Fume Control"/>
    <s v="Miscellaneous"/>
    <x v="1"/>
    <x v="0"/>
    <x v="3"/>
  </r>
  <r>
    <s v="10.12.0.1"/>
    <x v="22"/>
    <s v="10.11.9.28"/>
    <x v="107"/>
    <n v="1"/>
    <x v="1"/>
    <n v="1"/>
    <n v="62"/>
    <n v="0"/>
    <n v="0"/>
    <n v="532.08983699999999"/>
    <n v="0"/>
    <n v="0"/>
    <n v="0"/>
    <x v="19"/>
    <x v="20"/>
    <s v="PPPCFC1"/>
    <s v="EGX100"/>
    <s v="Fume Control"/>
    <s v="Miscellaneous"/>
    <x v="1"/>
    <x v="0"/>
    <x v="3"/>
  </r>
  <r>
    <s v="10.12.0.1"/>
    <x v="26"/>
    <s v="10.11.9.28"/>
    <x v="107"/>
    <n v="1"/>
    <x v="1"/>
    <n v="1"/>
    <n v="62"/>
    <n v="0"/>
    <n v="0"/>
    <n v="555.58620599999995"/>
    <n v="0"/>
    <n v="0"/>
    <n v="0"/>
    <x v="19"/>
    <x v="20"/>
    <s v="PPPCFC1"/>
    <s v="EGX100"/>
    <s v="Fume Control"/>
    <s v="Miscellaneous"/>
    <x v="1"/>
    <x v="0"/>
    <x v="3"/>
  </r>
  <r>
    <s v="10.12.0.1"/>
    <x v="27"/>
    <s v="10.11.9.28"/>
    <x v="107"/>
    <n v="2"/>
    <x v="48"/>
    <n v="2"/>
    <n v="124"/>
    <n v="0"/>
    <n v="0"/>
    <n v="558.05237799999998"/>
    <n v="2.9597630000000699"/>
    <n v="335.16197073886599"/>
    <n v="0"/>
    <x v="19"/>
    <x v="20"/>
    <s v="PPPCFC1"/>
    <s v="EGX100"/>
    <s v="Fume Control"/>
    <s v="Miscellaneous"/>
    <x v="1"/>
    <x v="0"/>
    <x v="3"/>
  </r>
  <r>
    <s v="10.12.0.1"/>
    <x v="365"/>
    <s v="10.11.9.28"/>
    <x v="107"/>
    <n v="1"/>
    <x v="1"/>
    <n v="1"/>
    <n v="62"/>
    <n v="0"/>
    <n v="0"/>
    <n v="558.59324400000003"/>
    <n v="0"/>
    <n v="0"/>
    <n v="0"/>
    <x v="19"/>
    <x v="20"/>
    <s v="PPPCFC1"/>
    <s v="EGX100"/>
    <s v="Fume Control"/>
    <s v="Miscellaneous"/>
    <x v="1"/>
    <x v="0"/>
    <x v="3"/>
  </r>
  <r>
    <s v="10.12.0.1"/>
    <x v="366"/>
    <s v="10.11.9.28"/>
    <x v="107"/>
    <n v="1"/>
    <x v="1"/>
    <n v="1"/>
    <n v="62"/>
    <n v="0"/>
    <n v="0"/>
    <n v="559.02307299999995"/>
    <n v="0"/>
    <n v="0"/>
    <n v="0"/>
    <x v="19"/>
    <x v="20"/>
    <s v="PPPCFC1"/>
    <s v="EGX100"/>
    <s v="Fume Control"/>
    <s v="Miscellaneous"/>
    <x v="1"/>
    <x v="0"/>
    <x v="3"/>
  </r>
  <r>
    <s v="10.12.0.1"/>
    <x v="367"/>
    <s v="10.11.9.28"/>
    <x v="107"/>
    <n v="2"/>
    <x v="48"/>
    <n v="2"/>
    <n v="124"/>
    <n v="0"/>
    <n v="0"/>
    <n v="559.64882"/>
    <n v="2.9728830000000199"/>
    <n v="333.68282572842298"/>
    <n v="0"/>
    <x v="19"/>
    <x v="20"/>
    <s v="PPPCFC1"/>
    <s v="EGX100"/>
    <s v="Fume Control"/>
    <s v="Miscellaneous"/>
    <x v="1"/>
    <x v="0"/>
    <x v="3"/>
  </r>
  <r>
    <s v="10.12.0.1"/>
    <x v="368"/>
    <s v="10.11.9.28"/>
    <x v="107"/>
    <n v="1"/>
    <x v="1"/>
    <n v="1"/>
    <n v="62"/>
    <n v="0"/>
    <n v="0"/>
    <n v="561.06241"/>
    <n v="0"/>
    <n v="0"/>
    <n v="0"/>
    <x v="19"/>
    <x v="20"/>
    <s v="PPPCFC1"/>
    <s v="EGX100"/>
    <s v="Fume Control"/>
    <s v="Miscellaneous"/>
    <x v="1"/>
    <x v="0"/>
    <x v="3"/>
  </r>
  <r>
    <s v="10.12.0.1"/>
    <x v="369"/>
    <s v="10.11.9.28"/>
    <x v="107"/>
    <n v="1"/>
    <x v="1"/>
    <n v="1"/>
    <n v="62"/>
    <n v="0"/>
    <n v="0"/>
    <n v="562.03143899999998"/>
    <n v="0"/>
    <n v="0"/>
    <n v="0"/>
    <x v="19"/>
    <x v="20"/>
    <s v="PPPCFC1"/>
    <s v="EGX100"/>
    <s v="Fume Control"/>
    <s v="Miscellaneous"/>
    <x v="1"/>
    <x v="0"/>
    <x v="3"/>
  </r>
  <r>
    <s v="10.12.0.1"/>
    <x v="370"/>
    <s v="10.11.9.28"/>
    <x v="107"/>
    <n v="2"/>
    <x v="48"/>
    <n v="2"/>
    <n v="124"/>
    <n v="0"/>
    <n v="0"/>
    <n v="562.09993999999995"/>
    <n v="2.9362270000000299"/>
    <n v="337.84853827718001"/>
    <n v="0"/>
    <x v="19"/>
    <x v="20"/>
    <s v="PPPCFC1"/>
    <s v="EGX100"/>
    <s v="Fume Control"/>
    <s v="Miscellaneous"/>
    <x v="1"/>
    <x v="0"/>
    <x v="3"/>
  </r>
  <r>
    <s v="10.12.0.1"/>
    <x v="371"/>
    <s v="10.11.9.28"/>
    <x v="107"/>
    <n v="1"/>
    <x v="1"/>
    <n v="1"/>
    <n v="62"/>
    <n v="0"/>
    <n v="0"/>
    <n v="562.65655100000004"/>
    <n v="0"/>
    <n v="0"/>
    <n v="0"/>
    <x v="19"/>
    <x v="20"/>
    <s v="PPPCFC1"/>
    <s v="EGX100"/>
    <s v="Fume Control"/>
    <s v="Miscellaneous"/>
    <x v="1"/>
    <x v="0"/>
    <x v="3"/>
  </r>
  <r>
    <s v="10.12.0.1"/>
    <x v="372"/>
    <s v="10.11.9.28"/>
    <x v="107"/>
    <n v="1"/>
    <x v="1"/>
    <n v="1"/>
    <n v="62"/>
    <n v="0"/>
    <n v="0"/>
    <n v="565.10967000000005"/>
    <n v="0"/>
    <n v="0"/>
    <n v="0"/>
    <x v="19"/>
    <x v="20"/>
    <s v="PPPCFC1"/>
    <s v="EGX100"/>
    <s v="Fume Control"/>
    <s v="Miscellaneous"/>
    <x v="1"/>
    <x v="0"/>
    <x v="3"/>
  </r>
  <r>
    <s v="10.12.0.1"/>
    <x v="373"/>
    <s v="10.11.9.28"/>
    <x v="107"/>
    <n v="2"/>
    <x v="48"/>
    <n v="2"/>
    <n v="124"/>
    <n v="0"/>
    <n v="0"/>
    <n v="588.59930299999996"/>
    <n v="2.9948450000000499"/>
    <n v="331.23584025216098"/>
    <n v="0"/>
    <x v="19"/>
    <x v="20"/>
    <s v="PPPCFC1"/>
    <s v="EGX100"/>
    <s v="Fume Control"/>
    <s v="Miscellaneous"/>
    <x v="1"/>
    <x v="0"/>
    <x v="3"/>
  </r>
  <r>
    <s v="10.12.0.1"/>
    <x v="374"/>
    <s v="10.11.9.28"/>
    <x v="107"/>
    <n v="2"/>
    <x v="48"/>
    <n v="2"/>
    <n v="124"/>
    <n v="0"/>
    <n v="0"/>
    <n v="591.07310900000004"/>
    <n v="2.9354209999999101"/>
    <n v="337.94130381980398"/>
    <n v="0"/>
    <x v="19"/>
    <x v="20"/>
    <s v="PPPCFC1"/>
    <s v="EGX100"/>
    <s v="Fume Control"/>
    <s v="Miscellaneous"/>
    <x v="1"/>
    <x v="0"/>
    <x v="3"/>
  </r>
  <r>
    <s v="10.12.0.1"/>
    <x v="375"/>
    <s v="10.11.9.28"/>
    <x v="107"/>
    <n v="1"/>
    <x v="1"/>
    <n v="1"/>
    <n v="62"/>
    <n v="0"/>
    <n v="0"/>
    <n v="591.613024"/>
    <n v="0"/>
    <n v="0"/>
    <n v="0"/>
    <x v="19"/>
    <x v="20"/>
    <s v="PPPCFC1"/>
    <s v="EGX100"/>
    <s v="Fume Control"/>
    <s v="Miscellaneous"/>
    <x v="1"/>
    <x v="0"/>
    <x v="3"/>
  </r>
  <r>
    <s v="10.12.0.1"/>
    <x v="376"/>
    <s v="10.11.9.28"/>
    <x v="107"/>
    <n v="2"/>
    <x v="48"/>
    <n v="2"/>
    <n v="124"/>
    <n v="0"/>
    <n v="0"/>
    <n v="592.04307200000005"/>
    <n v="2.9714909999999"/>
    <n v="333.83914001423301"/>
    <n v="0"/>
    <x v="19"/>
    <x v="20"/>
    <s v="PPPCFC1"/>
    <s v="EGX100"/>
    <s v="Fume Control"/>
    <s v="Miscellaneous"/>
    <x v="1"/>
    <x v="0"/>
    <x v="3"/>
  </r>
  <r>
    <s v="10.12.0.1"/>
    <x v="377"/>
    <s v="10.11.9.28"/>
    <x v="107"/>
    <n v="2"/>
    <x v="48"/>
    <n v="2"/>
    <n v="124"/>
    <n v="0"/>
    <n v="0"/>
    <n v="592.66702599999996"/>
    <n v="2.95101499999998"/>
    <n v="336.15552614947899"/>
    <n v="0"/>
    <x v="19"/>
    <x v="20"/>
    <s v="PPPCFC1"/>
    <s v="EGX100"/>
    <s v="Fume Control"/>
    <s v="Miscellaneous"/>
    <x v="1"/>
    <x v="0"/>
    <x v="3"/>
  </r>
  <r>
    <s v="10.12.0.1"/>
    <x v="378"/>
    <s v="10.11.9.28"/>
    <x v="107"/>
    <n v="1"/>
    <x v="1"/>
    <n v="1"/>
    <n v="62"/>
    <n v="0"/>
    <n v="0"/>
    <n v="594.08232399999997"/>
    <n v="0"/>
    <n v="0"/>
    <n v="0"/>
    <x v="19"/>
    <x v="20"/>
    <s v="PPPCFC1"/>
    <s v="EGX100"/>
    <s v="Fume Control"/>
    <s v="Miscellaneous"/>
    <x v="1"/>
    <x v="0"/>
    <x v="3"/>
  </r>
  <r>
    <s v="10.12.0.1"/>
    <x v="379"/>
    <s v="10.11.9.28"/>
    <x v="107"/>
    <n v="1"/>
    <x v="1"/>
    <n v="1"/>
    <n v="62"/>
    <n v="0"/>
    <n v="0"/>
    <n v="595.05124999999998"/>
    <n v="0"/>
    <n v="0"/>
    <n v="0"/>
    <x v="19"/>
    <x v="20"/>
    <s v="PPPCFC1"/>
    <s v="EGX100"/>
    <s v="Fume Control"/>
    <s v="Miscellaneous"/>
    <x v="1"/>
    <x v="0"/>
    <x v="3"/>
  </r>
  <r>
    <s v="10.12.0.1"/>
    <x v="380"/>
    <s v="10.11.9.28"/>
    <x v="107"/>
    <n v="1"/>
    <x v="1"/>
    <n v="1"/>
    <n v="62"/>
    <n v="0"/>
    <n v="0"/>
    <n v="595.11672499999997"/>
    <n v="0"/>
    <n v="0"/>
    <n v="0"/>
    <x v="19"/>
    <x v="20"/>
    <s v="PPPCFC1"/>
    <s v="EGX100"/>
    <s v="Fume Control"/>
    <s v="Miscellaneous"/>
    <x v="1"/>
    <x v="0"/>
    <x v="3"/>
  </r>
  <r>
    <s v="10.12.0.1"/>
    <x v="381"/>
    <s v="10.11.9.28"/>
    <x v="107"/>
    <n v="1"/>
    <x v="1"/>
    <n v="1"/>
    <n v="62"/>
    <n v="0"/>
    <n v="0"/>
    <n v="595.67645500000003"/>
    <n v="0"/>
    <n v="0"/>
    <n v="0"/>
    <x v="19"/>
    <x v="20"/>
    <s v="PPPCFC1"/>
    <s v="EGX100"/>
    <s v="Fume Control"/>
    <s v="Miscellaneous"/>
    <x v="1"/>
    <x v="0"/>
    <x v="3"/>
  </r>
  <r>
    <s v="10.12.0.1"/>
    <x v="382"/>
    <s v="10.11.9.28"/>
    <x v="107"/>
    <n v="1"/>
    <x v="1"/>
    <n v="1"/>
    <n v="62"/>
    <n v="0"/>
    <n v="0"/>
    <n v="598.12967500000002"/>
    <n v="0"/>
    <n v="0"/>
    <n v="0"/>
    <x v="19"/>
    <x v="20"/>
    <s v="PPPCFC1"/>
    <s v="EGX100"/>
    <s v="Fume Control"/>
    <s v="Miscellaneous"/>
    <x v="1"/>
    <x v="0"/>
    <x v="3"/>
  </r>
  <r>
    <s v="10.12.0.1"/>
    <x v="383"/>
    <s v="10.11.9.28"/>
    <x v="107"/>
    <n v="2"/>
    <x v="48"/>
    <n v="2"/>
    <n v="124"/>
    <n v="0"/>
    <n v="0"/>
    <n v="621.62012300000004"/>
    <n v="2.9704439999999299"/>
    <n v="333.95680915042402"/>
    <n v="0"/>
    <x v="19"/>
    <x v="20"/>
    <s v="PPPCFC1"/>
    <s v="EGX100"/>
    <s v="Fume Control"/>
    <s v="Miscellaneous"/>
    <x v="1"/>
    <x v="0"/>
    <x v="3"/>
  </r>
  <r>
    <s v="10.12.0.1"/>
    <x v="384"/>
    <s v="10.11.9.28"/>
    <x v="107"/>
    <n v="1"/>
    <x v="1"/>
    <n v="1"/>
    <n v="62"/>
    <n v="0"/>
    <n v="0"/>
    <n v="624.09116800000004"/>
    <n v="0"/>
    <n v="0"/>
    <n v="0"/>
    <x v="19"/>
    <x v="20"/>
    <s v="PPPCFC1"/>
    <s v="EGX100"/>
    <s v="Fume Control"/>
    <s v="Miscellaneous"/>
    <x v="1"/>
    <x v="0"/>
    <x v="3"/>
  </r>
  <r>
    <s v="10.12.0.1"/>
    <x v="385"/>
    <s v="10.11.9.28"/>
    <x v="107"/>
    <n v="1"/>
    <x v="1"/>
    <n v="1"/>
    <n v="62"/>
    <n v="0"/>
    <n v="0"/>
    <n v="624.63288899999998"/>
    <n v="0"/>
    <n v="0"/>
    <n v="0"/>
    <x v="19"/>
    <x v="20"/>
    <s v="PPPCFC1"/>
    <s v="EGX100"/>
    <s v="Fume Control"/>
    <s v="Miscellaneous"/>
    <x v="1"/>
    <x v="0"/>
    <x v="3"/>
  </r>
  <r>
    <s v="10.12.0.1"/>
    <x v="386"/>
    <s v="10.11.9.28"/>
    <x v="107"/>
    <n v="2"/>
    <x v="48"/>
    <n v="2"/>
    <n v="124"/>
    <n v="0"/>
    <n v="0"/>
    <n v="625.05503799999997"/>
    <n v="2.9558260000000001"/>
    <n v="335.608388315144"/>
    <n v="0"/>
    <x v="19"/>
    <x v="20"/>
    <s v="PPPCFC1"/>
    <s v="EGX100"/>
    <s v="Fume Control"/>
    <s v="Miscellaneous"/>
    <x v="1"/>
    <x v="0"/>
    <x v="3"/>
  </r>
  <r>
    <s v="10.12.0.1"/>
    <x v="387"/>
    <s v="10.11.9.28"/>
    <x v="107"/>
    <n v="2"/>
    <x v="48"/>
    <n v="2"/>
    <n v="124"/>
    <n v="0"/>
    <n v="0"/>
    <n v="625.682545"/>
    <n v="2.9319199999999901"/>
    <n v="338.34483887691403"/>
    <n v="0"/>
    <x v="19"/>
    <x v="20"/>
    <s v="PPPCFC1"/>
    <s v="EGX100"/>
    <s v="Fume Control"/>
    <s v="Miscellaneous"/>
    <x v="1"/>
    <x v="0"/>
    <x v="3"/>
  </r>
  <r>
    <s v="10.12.0.1"/>
    <x v="388"/>
    <s v="10.11.9.28"/>
    <x v="107"/>
    <n v="1"/>
    <x v="1"/>
    <n v="1"/>
    <n v="62"/>
    <n v="0"/>
    <n v="0"/>
    <n v="627.10191599999996"/>
    <n v="0"/>
    <n v="0"/>
    <n v="0"/>
    <x v="19"/>
    <x v="20"/>
    <s v="PPPCFC1"/>
    <s v="EGX100"/>
    <s v="Fume Control"/>
    <s v="Miscellaneous"/>
    <x v="1"/>
    <x v="0"/>
    <x v="3"/>
  </r>
  <r>
    <s v="10.12.0.1"/>
    <x v="389"/>
    <s v="10.11.9.28"/>
    <x v="107"/>
    <n v="1"/>
    <x v="1"/>
    <n v="1"/>
    <n v="62"/>
    <n v="0"/>
    <n v="0"/>
    <n v="628.07092799999998"/>
    <n v="0"/>
    <n v="0"/>
    <n v="0"/>
    <x v="19"/>
    <x v="20"/>
    <s v="PPPCFC1"/>
    <s v="EGX100"/>
    <s v="Fume Control"/>
    <s v="Miscellaneous"/>
    <x v="1"/>
    <x v="0"/>
    <x v="3"/>
  </r>
  <r>
    <s v="10.12.0.1"/>
    <x v="390"/>
    <s v="10.11.9.28"/>
    <x v="107"/>
    <n v="2"/>
    <x v="48"/>
    <n v="2"/>
    <n v="124"/>
    <n v="0"/>
    <n v="0"/>
    <n v="628.13653499999998"/>
    <n v="2.9929580000000402"/>
    <n v="331.444677807034"/>
    <n v="0"/>
    <x v="19"/>
    <x v="20"/>
    <s v="PPPCFC1"/>
    <s v="EGX100"/>
    <s v="Fume Control"/>
    <s v="Miscellaneous"/>
    <x v="1"/>
    <x v="0"/>
    <x v="3"/>
  </r>
  <r>
    <s v="10.12.0.1"/>
    <x v="391"/>
    <s v="10.11.9.28"/>
    <x v="107"/>
    <n v="1"/>
    <x v="1"/>
    <n v="1"/>
    <n v="62"/>
    <n v="0"/>
    <n v="0"/>
    <n v="628.69619"/>
    <n v="0"/>
    <n v="0"/>
    <n v="0"/>
    <x v="19"/>
    <x v="20"/>
    <s v="PPPCFC1"/>
    <s v="EGX100"/>
    <s v="Fume Control"/>
    <s v="Miscellaneous"/>
    <x v="1"/>
    <x v="0"/>
    <x v="3"/>
  </r>
  <r>
    <s v="10.12.0.1"/>
    <x v="392"/>
    <s v="10.11.9.28"/>
    <x v="107"/>
    <n v="1"/>
    <x v="1"/>
    <n v="1"/>
    <n v="62"/>
    <n v="0"/>
    <n v="0"/>
    <n v="631.149722"/>
    <n v="0"/>
    <n v="0"/>
    <n v="0"/>
    <x v="19"/>
    <x v="20"/>
    <s v="PPPCFC1"/>
    <s v="EGX100"/>
    <s v="Fume Control"/>
    <s v="Miscellaneous"/>
    <x v="1"/>
    <x v="0"/>
    <x v="3"/>
  </r>
  <r>
    <s v="10.12.0.1"/>
    <x v="393"/>
    <s v="10.11.9.28"/>
    <x v="107"/>
    <n v="2"/>
    <x v="48"/>
    <n v="2"/>
    <n v="124"/>
    <n v="0"/>
    <n v="0"/>
    <n v="654.63696300000004"/>
    <n v="2.9500299999999702"/>
    <n v="336.26776676847697"/>
    <n v="0"/>
    <x v="19"/>
    <x v="20"/>
    <s v="PPPCFC1"/>
    <s v="EGX100"/>
    <s v="Fume Control"/>
    <s v="Miscellaneous"/>
    <x v="1"/>
    <x v="0"/>
    <x v="3"/>
  </r>
  <r>
    <s v="10.12.0.1"/>
    <x v="394"/>
    <s v="10.11.9.28"/>
    <x v="107"/>
    <n v="2"/>
    <x v="48"/>
    <n v="2"/>
    <n v="124"/>
    <n v="0"/>
    <n v="0"/>
    <n v="657.11073999999996"/>
    <n v="2.9911300000000001"/>
    <n v="331.64723699738897"/>
    <n v="0"/>
    <x v="19"/>
    <x v="20"/>
    <s v="PPPCFC1"/>
    <s v="EGX100"/>
    <s v="Fume Control"/>
    <s v="Miscellaneous"/>
    <x v="1"/>
    <x v="0"/>
    <x v="3"/>
  </r>
  <r>
    <s v="10.12.0.1"/>
    <x v="395"/>
    <s v="10.11.9.28"/>
    <x v="107"/>
    <n v="1"/>
    <x v="1"/>
    <n v="1"/>
    <n v="62"/>
    <n v="0"/>
    <n v="0"/>
    <n v="657.65268900000001"/>
    <n v="0"/>
    <n v="0"/>
    <n v="0"/>
    <x v="19"/>
    <x v="20"/>
    <s v="PPPCFC1"/>
    <s v="EGX100"/>
    <s v="Fume Control"/>
    <s v="Miscellaneous"/>
    <x v="1"/>
    <x v="0"/>
    <x v="3"/>
  </r>
  <r>
    <s v="10.12.0.1"/>
    <x v="396"/>
    <s v="10.11.9.28"/>
    <x v="107"/>
    <n v="2"/>
    <x v="48"/>
    <n v="2"/>
    <n v="124"/>
    <n v="0"/>
    <n v="0"/>
    <n v="658.08264199999996"/>
    <n v="2.9245809999999901"/>
    <n v="339.19388794497502"/>
    <n v="0"/>
    <x v="19"/>
    <x v="20"/>
    <s v="PPPCFC1"/>
    <s v="EGX100"/>
    <s v="Fume Control"/>
    <s v="Miscellaneous"/>
    <x v="1"/>
    <x v="0"/>
    <x v="3"/>
  </r>
  <r>
    <s v="10.12.0.1"/>
    <x v="397"/>
    <s v="10.11.9.28"/>
    <x v="107"/>
    <n v="2"/>
    <x v="48"/>
    <n v="2"/>
    <n v="124"/>
    <n v="0"/>
    <n v="0"/>
    <n v="658.71010899999999"/>
    <n v="3.00132400000007"/>
    <n v="330.52079682166197"/>
    <n v="0"/>
    <x v="19"/>
    <x v="20"/>
    <s v="PPPCFC1"/>
    <s v="EGX100"/>
    <s v="Fume Control"/>
    <s v="Miscellaneous"/>
    <x v="1"/>
    <x v="0"/>
    <x v="3"/>
  </r>
  <r>
    <s v="10.12.0.1"/>
    <x v="398"/>
    <s v="10.11.9.28"/>
    <x v="107"/>
    <n v="1"/>
    <x v="1"/>
    <n v="1"/>
    <n v="62"/>
    <n v="0"/>
    <n v="0"/>
    <n v="660.12186099999997"/>
    <n v="0"/>
    <n v="0"/>
    <n v="0"/>
    <x v="19"/>
    <x v="20"/>
    <s v="PPPCFC1"/>
    <s v="EGX100"/>
    <s v="Fume Control"/>
    <s v="Miscellaneous"/>
    <x v="1"/>
    <x v="0"/>
    <x v="3"/>
  </r>
  <r>
    <s v="10.12.0.1"/>
    <x v="28"/>
    <s v="10.11.9.28"/>
    <x v="107"/>
    <n v="1"/>
    <x v="1"/>
    <n v="1"/>
    <n v="62"/>
    <n v="0"/>
    <n v="0"/>
    <n v="661.09091699999999"/>
    <n v="0"/>
    <n v="0"/>
    <n v="0"/>
    <x v="19"/>
    <x v="20"/>
    <s v="PPPCFC1"/>
    <s v="EGX100"/>
    <s v="Fume Control"/>
    <s v="Miscellaneous"/>
    <x v="1"/>
    <x v="0"/>
    <x v="3"/>
  </r>
  <r>
    <s v="10.12.0.1"/>
    <x v="29"/>
    <s v="10.11.9.28"/>
    <x v="107"/>
    <n v="2"/>
    <x v="48"/>
    <n v="2"/>
    <n v="124"/>
    <n v="0"/>
    <n v="0"/>
    <n v="661.15630399999998"/>
    <n v="2.9695310000000701"/>
    <n v="334.05948616127398"/>
    <n v="0"/>
    <x v="19"/>
    <x v="20"/>
    <s v="PPPCFC1"/>
    <s v="EGX100"/>
    <s v="Fume Control"/>
    <s v="Miscellaneous"/>
    <x v="1"/>
    <x v="0"/>
    <x v="3"/>
  </r>
  <r>
    <s v="10.12.0.1"/>
    <x v="31"/>
    <s v="10.11.9.28"/>
    <x v="107"/>
    <n v="1"/>
    <x v="1"/>
    <n v="1"/>
    <n v="62"/>
    <n v="0"/>
    <n v="0"/>
    <n v="661.71603000000005"/>
    <n v="0"/>
    <n v="0"/>
    <n v="0"/>
    <x v="19"/>
    <x v="20"/>
    <s v="PPPCFC1"/>
    <s v="EGX100"/>
    <s v="Fume Control"/>
    <s v="Miscellaneous"/>
    <x v="1"/>
    <x v="0"/>
    <x v="3"/>
  </r>
  <r>
    <s v="10.12.0.1"/>
    <x v="399"/>
    <s v="10.11.9.28"/>
    <x v="107"/>
    <n v="1"/>
    <x v="1"/>
    <n v="1"/>
    <n v="62"/>
    <n v="0"/>
    <n v="0"/>
    <n v="664.16916900000001"/>
    <n v="0"/>
    <n v="0"/>
    <n v="0"/>
    <x v="19"/>
    <x v="20"/>
    <s v="PPPCFC1"/>
    <s v="EGX100"/>
    <s v="Fume Control"/>
    <s v="Miscellaneous"/>
    <x v="1"/>
    <x v="0"/>
    <x v="3"/>
  </r>
  <r>
    <s v="10.12.0.1"/>
    <x v="400"/>
    <s v="10.11.9.28"/>
    <x v="107"/>
    <n v="2"/>
    <x v="48"/>
    <n v="2"/>
    <n v="124"/>
    <n v="0"/>
    <n v="0"/>
    <n v="687.65680099999997"/>
    <n v="2.9264130000000299"/>
    <n v="338.98154498356598"/>
    <n v="0"/>
    <x v="19"/>
    <x v="20"/>
    <s v="PPPCFC1"/>
    <s v="EGX100"/>
    <s v="Fume Control"/>
    <s v="Miscellaneous"/>
    <x v="1"/>
    <x v="0"/>
    <x v="3"/>
  </r>
  <r>
    <s v="10.12.0.1"/>
    <x v="401"/>
    <s v="10.11.9.28"/>
    <x v="107"/>
    <n v="2"/>
    <x v="48"/>
    <n v="2"/>
    <n v="124"/>
    <n v="0"/>
    <n v="0"/>
    <n v="690.12961199999995"/>
    <n v="2.9686710000000902"/>
    <n v="334.15626049500599"/>
    <n v="0"/>
    <x v="19"/>
    <x v="20"/>
    <s v="PPPCFC1"/>
    <s v="EGX100"/>
    <s v="Fume Control"/>
    <s v="Miscellaneous"/>
    <x v="1"/>
    <x v="0"/>
    <x v="3"/>
  </r>
  <r>
    <s v="10.12.0.1"/>
    <x v="402"/>
    <s v="10.11.9.28"/>
    <x v="107"/>
    <n v="1"/>
    <x v="1"/>
    <n v="1"/>
    <n v="62"/>
    <n v="0"/>
    <n v="0"/>
    <n v="690.67252800000006"/>
    <n v="0"/>
    <n v="0"/>
    <n v="0"/>
    <x v="19"/>
    <x v="20"/>
    <s v="PPPCFC1"/>
    <s v="EGX100"/>
    <s v="Fume Control"/>
    <s v="Miscellaneous"/>
    <x v="1"/>
    <x v="0"/>
    <x v="3"/>
  </r>
  <r>
    <s v="10.12.0.1"/>
    <x v="403"/>
    <s v="10.11.9.28"/>
    <x v="107"/>
    <n v="1"/>
    <x v="1"/>
    <n v="1"/>
    <n v="62"/>
    <n v="0"/>
    <n v="0"/>
    <n v="691.10308499999996"/>
    <n v="0"/>
    <n v="0"/>
    <n v="0"/>
    <x v="19"/>
    <x v="20"/>
    <s v="PPPCFC1"/>
    <s v="EGX100"/>
    <s v="Fume Control"/>
    <s v="Miscellaneous"/>
    <x v="1"/>
    <x v="0"/>
    <x v="3"/>
  </r>
  <r>
    <s v="10.12.0.1"/>
    <x v="404"/>
    <s v="10.11.9.28"/>
    <x v="107"/>
    <n v="2"/>
    <x v="48"/>
    <n v="2"/>
    <n v="124"/>
    <n v="0"/>
    <n v="0"/>
    <n v="691.72903599999995"/>
    <n v="2.9798550000000401"/>
    <n v="332.90210429701602"/>
    <n v="0"/>
    <x v="19"/>
    <x v="20"/>
    <s v="PPPCFC1"/>
    <s v="EGX100"/>
    <s v="Fume Control"/>
    <s v="Miscellaneous"/>
    <x v="1"/>
    <x v="0"/>
    <x v="3"/>
  </r>
  <r>
    <s v="10.12.0.1"/>
    <x v="405"/>
    <s v="10.11.9.28"/>
    <x v="107"/>
    <n v="1"/>
    <x v="1"/>
    <n v="1"/>
    <n v="62"/>
    <n v="0"/>
    <n v="0"/>
    <n v="693.14156700000001"/>
    <n v="0"/>
    <n v="0"/>
    <n v="0"/>
    <x v="19"/>
    <x v="20"/>
    <s v="PPPCFC1"/>
    <s v="EGX100"/>
    <s v="Fume Control"/>
    <s v="Miscellaneous"/>
    <x v="1"/>
    <x v="0"/>
    <x v="3"/>
  </r>
  <r>
    <s v="10.12.0.1"/>
    <x v="406"/>
    <s v="10.11.9.28"/>
    <x v="107"/>
    <n v="1"/>
    <x v="1"/>
    <n v="1"/>
    <n v="62"/>
    <n v="0"/>
    <n v="0"/>
    <n v="694.11048400000004"/>
    <n v="0"/>
    <n v="0"/>
    <n v="0"/>
    <x v="19"/>
    <x v="20"/>
    <s v="PPPCFC1"/>
    <s v="EGX100"/>
    <s v="Fume Control"/>
    <s v="Miscellaneous"/>
    <x v="1"/>
    <x v="0"/>
    <x v="3"/>
  </r>
  <r>
    <s v="10.12.0.1"/>
    <x v="407"/>
    <s v="10.11.9.28"/>
    <x v="107"/>
    <n v="2"/>
    <x v="48"/>
    <n v="2"/>
    <n v="124"/>
    <n v="0"/>
    <n v="0"/>
    <n v="694.17522099999996"/>
    <n v="2.94697300000007"/>
    <n v="336.61658929348101"/>
    <n v="0"/>
    <x v="19"/>
    <x v="20"/>
    <s v="PPPCFC1"/>
    <s v="EGX100"/>
    <s v="Fume Control"/>
    <s v="Miscellaneous"/>
    <x v="1"/>
    <x v="0"/>
    <x v="3"/>
  </r>
  <r>
    <s v="10.12.0.1"/>
    <x v="408"/>
    <s v="10.11.9.28"/>
    <x v="107"/>
    <n v="1"/>
    <x v="1"/>
    <n v="1"/>
    <n v="62"/>
    <n v="0"/>
    <n v="0"/>
    <n v="694.735952"/>
    <n v="0"/>
    <n v="0"/>
    <n v="0"/>
    <x v="19"/>
    <x v="20"/>
    <s v="PPPCFC1"/>
    <s v="EGX100"/>
    <s v="Fume Control"/>
    <s v="Miscellaneous"/>
    <x v="1"/>
    <x v="0"/>
    <x v="3"/>
  </r>
  <r>
    <s v="10.12.0.1"/>
    <x v="409"/>
    <s v="10.11.9.28"/>
    <x v="107"/>
    <n v="1"/>
    <x v="1"/>
    <n v="1"/>
    <n v="62"/>
    <n v="0"/>
    <n v="0"/>
    <n v="697.18901600000004"/>
    <n v="0"/>
    <n v="0"/>
    <n v="0"/>
    <x v="19"/>
    <x v="20"/>
    <s v="PPPCFC1"/>
    <s v="EGX100"/>
    <s v="Fume Control"/>
    <s v="Miscellaneous"/>
    <x v="1"/>
    <x v="0"/>
    <x v="3"/>
  </r>
  <r>
    <s v="10.12.0.1"/>
    <x v="410"/>
    <s v="10.11.9.28"/>
    <x v="107"/>
    <n v="2"/>
    <x v="48"/>
    <n v="2"/>
    <n v="124"/>
    <n v="0"/>
    <n v="0"/>
    <n v="720.67663500000003"/>
    <n v="3.0035940000000201"/>
    <n v="330.27100200626103"/>
    <n v="0"/>
    <x v="19"/>
    <x v="20"/>
    <s v="PPPCFC1"/>
    <s v="EGX100"/>
    <s v="Fume Control"/>
    <s v="Miscellaneous"/>
    <x v="1"/>
    <x v="0"/>
    <x v="3"/>
  </r>
  <r>
    <s v="10.12.0.1"/>
    <x v="411"/>
    <s v="10.11.9.28"/>
    <x v="107"/>
    <n v="1"/>
    <x v="1"/>
    <n v="1"/>
    <n v="62"/>
    <n v="0"/>
    <n v="0"/>
    <n v="723.15567999999996"/>
    <n v="0"/>
    <n v="0"/>
    <n v="0"/>
    <x v="19"/>
    <x v="20"/>
    <s v="PPPCFC1"/>
    <s v="EGX100"/>
    <s v="Fume Control"/>
    <s v="Miscellaneous"/>
    <x v="1"/>
    <x v="0"/>
    <x v="3"/>
  </r>
  <r>
    <s v="10.12.0.1"/>
    <x v="412"/>
    <s v="10.11.9.28"/>
    <x v="107"/>
    <n v="1"/>
    <x v="1"/>
    <n v="1"/>
    <n v="62"/>
    <n v="0"/>
    <n v="0"/>
    <n v="723.69231100000002"/>
    <n v="0"/>
    <n v="0"/>
    <n v="0"/>
    <x v="19"/>
    <x v="20"/>
    <s v="PPPCFC1"/>
    <s v="EGX100"/>
    <s v="Fume Control"/>
    <s v="Miscellaneous"/>
    <x v="1"/>
    <x v="0"/>
    <x v="3"/>
  </r>
  <r>
    <s v="10.12.0.1"/>
    <x v="413"/>
    <s v="10.11.9.28"/>
    <x v="107"/>
    <n v="2"/>
    <x v="48"/>
    <n v="2"/>
    <n v="124"/>
    <n v="0"/>
    <n v="0"/>
    <n v="724.12238100000002"/>
    <n v="2.9782549999999901"/>
    <n v="333.08094840771003"/>
    <n v="0"/>
    <x v="19"/>
    <x v="20"/>
    <s v="PPPCFC1"/>
    <s v="EGX100"/>
    <s v="Fume Control"/>
    <s v="Miscellaneous"/>
    <x v="1"/>
    <x v="0"/>
    <x v="3"/>
  </r>
  <r>
    <s v="10.12.0.1"/>
    <x v="414"/>
    <s v="10.11.9.28"/>
    <x v="107"/>
    <n v="2"/>
    <x v="48"/>
    <n v="2"/>
    <n v="124"/>
    <n v="0"/>
    <n v="0"/>
    <n v="724.74778700000002"/>
    <n v="2.9564430000000401"/>
    <n v="335.53834794040898"/>
    <n v="0"/>
    <x v="19"/>
    <x v="20"/>
    <s v="PPPCFC1"/>
    <s v="EGX100"/>
    <s v="Fume Control"/>
    <s v="Miscellaneous"/>
    <x v="1"/>
    <x v="0"/>
    <x v="3"/>
  </r>
  <r>
    <s v="10.12.0.1"/>
    <x v="415"/>
    <s v="10.11.9.28"/>
    <x v="107"/>
    <n v="1"/>
    <x v="1"/>
    <n v="1"/>
    <n v="62"/>
    <n v="0"/>
    <n v="0"/>
    <n v="726.16145400000005"/>
    <n v="0"/>
    <n v="0"/>
    <n v="0"/>
    <x v="19"/>
    <x v="20"/>
    <s v="PPPCFC1"/>
    <s v="EGX100"/>
    <s v="Fume Control"/>
    <s v="Miscellaneous"/>
    <x v="1"/>
    <x v="0"/>
    <x v="3"/>
  </r>
  <r>
    <s v="10.12.0.1"/>
    <x v="416"/>
    <s v="10.11.9.28"/>
    <x v="107"/>
    <n v="1"/>
    <x v="1"/>
    <n v="1"/>
    <n v="62"/>
    <n v="0"/>
    <n v="0"/>
    <n v="727.13052200000004"/>
    <n v="0"/>
    <n v="0"/>
    <n v="0"/>
    <x v="19"/>
    <x v="20"/>
    <s v="PPPCFC1"/>
    <s v="EGX100"/>
    <s v="Fume Control"/>
    <s v="Miscellaneous"/>
    <x v="1"/>
    <x v="0"/>
    <x v="3"/>
  </r>
  <r>
    <s v="10.12.0.1"/>
    <x v="417"/>
    <s v="10.11.9.28"/>
    <x v="107"/>
    <n v="2"/>
    <x v="48"/>
    <n v="2"/>
    <n v="124"/>
    <n v="0"/>
    <n v="0"/>
    <n v="727.19600600000001"/>
    <n v="2.9225589999999801"/>
    <n v="339.42856243449899"/>
    <n v="0"/>
    <x v="19"/>
    <x v="20"/>
    <s v="PPPCFC1"/>
    <s v="EGX100"/>
    <s v="Fume Control"/>
    <s v="Miscellaneous"/>
    <x v="1"/>
    <x v="0"/>
    <x v="3"/>
  </r>
  <r>
    <s v="10.12.0.1"/>
    <x v="418"/>
    <s v="10.11.9.28"/>
    <x v="107"/>
    <n v="1"/>
    <x v="1"/>
    <n v="1"/>
    <n v="62"/>
    <n v="0"/>
    <n v="0"/>
    <n v="727.75581399999999"/>
    <n v="0"/>
    <n v="0"/>
    <n v="0"/>
    <x v="19"/>
    <x v="20"/>
    <s v="PPPCFC1"/>
    <s v="EGX100"/>
    <s v="Fume Control"/>
    <s v="Miscellaneous"/>
    <x v="1"/>
    <x v="0"/>
    <x v="3"/>
  </r>
  <r>
    <s v="10.12.0.1"/>
    <x v="419"/>
    <s v="10.11.9.28"/>
    <x v="107"/>
    <n v="1"/>
    <x v="1"/>
    <n v="1"/>
    <n v="62"/>
    <n v="0"/>
    <n v="0"/>
    <n v="730.20882400000005"/>
    <n v="0"/>
    <n v="0"/>
    <n v="0"/>
    <x v="19"/>
    <x v="20"/>
    <s v="PPPCFC1"/>
    <s v="EGX100"/>
    <s v="Fume Control"/>
    <s v="Miscellaneous"/>
    <x v="1"/>
    <x v="0"/>
    <x v="3"/>
  </r>
  <r>
    <s v="10.12.0.1"/>
    <x v="420"/>
    <s v="10.11.9.28"/>
    <x v="107"/>
    <n v="2"/>
    <x v="48"/>
    <n v="2"/>
    <n v="124"/>
    <n v="0"/>
    <n v="0"/>
    <n v="753.70120299999996"/>
    <n v="2.8749270000000702"/>
    <n v="345.05223958729198"/>
    <n v="0"/>
    <x v="19"/>
    <x v="20"/>
    <s v="PPPCFC1"/>
    <s v="EGX100"/>
    <s v="Fume Control"/>
    <s v="Miscellaneous"/>
    <x v="1"/>
    <x v="0"/>
    <x v="3"/>
  </r>
  <r>
    <s v="10.12.0.1"/>
    <x v="421"/>
    <s v="10.11.9.28"/>
    <x v="107"/>
    <n v="1"/>
    <x v="1"/>
    <n v="1"/>
    <n v="62"/>
    <n v="0"/>
    <n v="0"/>
    <n v="756.171243"/>
    <n v="0"/>
    <n v="0"/>
    <n v="0"/>
    <x v="19"/>
    <x v="20"/>
    <s v="PPPCFC1"/>
    <s v="EGX100"/>
    <s v="Fume Control"/>
    <s v="Miscellaneous"/>
    <x v="1"/>
    <x v="0"/>
    <x v="3"/>
  </r>
  <r>
    <s v="10.12.0.1"/>
    <x v="422"/>
    <s v="10.11.9.28"/>
    <x v="107"/>
    <n v="1"/>
    <x v="1"/>
    <n v="1"/>
    <n v="62"/>
    <n v="0"/>
    <n v="0"/>
    <n v="756.71213599999999"/>
    <n v="0"/>
    <n v="0"/>
    <n v="0"/>
    <x v="19"/>
    <x v="20"/>
    <s v="PPPCFC1"/>
    <s v="EGX100"/>
    <s v="Fume Control"/>
    <s v="Miscellaneous"/>
    <x v="1"/>
    <x v="0"/>
    <x v="3"/>
  </r>
  <r>
    <s v="10.12.0.1"/>
    <x v="423"/>
    <s v="10.11.9.28"/>
    <x v="107"/>
    <n v="2"/>
    <x v="48"/>
    <n v="2"/>
    <n v="124"/>
    <n v="0"/>
    <n v="0"/>
    <n v="757.14210600000001"/>
    <n v="2.9548539999999499"/>
    <n v="335.71878678270201"/>
    <n v="0"/>
    <x v="19"/>
    <x v="20"/>
    <s v="PPPCFC1"/>
    <s v="EGX100"/>
    <s v="Fume Control"/>
    <s v="Miscellaneous"/>
    <x v="1"/>
    <x v="0"/>
    <x v="3"/>
  </r>
  <r>
    <s v="10.12.0.1"/>
    <x v="424"/>
    <s v="10.11.9.28"/>
    <x v="107"/>
    <n v="1"/>
    <x v="1"/>
    <n v="1"/>
    <n v="62"/>
    <n v="0"/>
    <n v="0"/>
    <n v="757.76965600000005"/>
    <n v="0"/>
    <n v="0"/>
    <n v="0"/>
    <x v="19"/>
    <x v="20"/>
    <s v="PPPCFC1"/>
    <s v="EGX100"/>
    <s v="Fume Control"/>
    <s v="Miscellaneous"/>
    <x v="1"/>
    <x v="0"/>
    <x v="3"/>
  </r>
  <r>
    <s v="10.12.0.1"/>
    <x v="425"/>
    <s v="10.11.9.28"/>
    <x v="107"/>
    <n v="1"/>
    <x v="1"/>
    <n v="1"/>
    <n v="62"/>
    <n v="0"/>
    <n v="0"/>
    <n v="759.18128400000001"/>
    <n v="0"/>
    <n v="0"/>
    <n v="0"/>
    <x v="19"/>
    <x v="20"/>
    <s v="PPPCFC1"/>
    <s v="EGX100"/>
    <s v="Fume Control"/>
    <s v="Miscellaneous"/>
    <x v="1"/>
    <x v="0"/>
    <x v="3"/>
  </r>
  <r>
    <s v="10.12.0.1"/>
    <x v="426"/>
    <s v="10.11.9.28"/>
    <x v="107"/>
    <n v="1"/>
    <x v="1"/>
    <n v="1"/>
    <n v="62"/>
    <n v="0"/>
    <n v="0"/>
    <n v="760.15012999999999"/>
    <n v="0"/>
    <n v="0"/>
    <n v="0"/>
    <x v="19"/>
    <x v="20"/>
    <s v="PPPCFC1"/>
    <s v="EGX100"/>
    <s v="Fume Control"/>
    <s v="Miscellaneous"/>
    <x v="1"/>
    <x v="0"/>
    <x v="3"/>
  </r>
  <r>
    <s v="10.12.0.1"/>
    <x v="427"/>
    <s v="10.11.9.28"/>
    <x v="107"/>
    <n v="2"/>
    <x v="48"/>
    <n v="2"/>
    <n v="124"/>
    <n v="0"/>
    <n v="0"/>
    <n v="760.21590900000001"/>
    <n v="2.9996999999999598"/>
    <n v="330.699736640335"/>
    <n v="0"/>
    <x v="19"/>
    <x v="20"/>
    <s v="PPPCFC1"/>
    <s v="EGX100"/>
    <s v="Fume Control"/>
    <s v="Miscellaneous"/>
    <x v="1"/>
    <x v="0"/>
    <x v="3"/>
  </r>
  <r>
    <s v="10.12.0.1"/>
    <x v="428"/>
    <s v="10.11.9.28"/>
    <x v="107"/>
    <n v="1"/>
    <x v="1"/>
    <n v="1"/>
    <n v="62"/>
    <n v="0"/>
    <n v="0"/>
    <n v="760.77567399999998"/>
    <n v="0"/>
    <n v="0"/>
    <n v="0"/>
    <x v="19"/>
    <x v="20"/>
    <s v="PPPCFC1"/>
    <s v="EGX100"/>
    <s v="Fume Control"/>
    <s v="Miscellaneous"/>
    <x v="1"/>
    <x v="0"/>
    <x v="3"/>
  </r>
  <r>
    <s v="10.12.0.1"/>
    <x v="429"/>
    <s v="10.11.9.28"/>
    <x v="107"/>
    <n v="1"/>
    <x v="1"/>
    <n v="1"/>
    <n v="62"/>
    <n v="0"/>
    <n v="0"/>
    <n v="763.22879399999999"/>
    <n v="0"/>
    <n v="0"/>
    <n v="0"/>
    <x v="19"/>
    <x v="20"/>
    <s v="PPPCFC1"/>
    <s v="EGX100"/>
    <s v="Fume Control"/>
    <s v="Miscellaneous"/>
    <x v="1"/>
    <x v="0"/>
    <x v="3"/>
  </r>
  <r>
    <s v="10.12.0.1"/>
    <x v="34"/>
    <s v="10.11.9.28"/>
    <x v="107"/>
    <n v="2"/>
    <x v="48"/>
    <n v="2"/>
    <n v="124"/>
    <n v="0"/>
    <n v="0"/>
    <n v="786.716183"/>
    <n v="2.8563799999999402"/>
    <n v="347.29272715815802"/>
    <n v="0"/>
    <x v="19"/>
    <x v="20"/>
    <s v="PPPCFC1"/>
    <s v="EGX100"/>
    <s v="Fume Control"/>
    <s v="Miscellaneous"/>
    <x v="1"/>
    <x v="0"/>
    <x v="3"/>
  </r>
  <r>
    <s v="10.12.0.1"/>
    <x v="36"/>
    <s v="10.11.9.28"/>
    <x v="107"/>
    <n v="1"/>
    <x v="1"/>
    <n v="1"/>
    <n v="62"/>
    <n v="0"/>
    <n v="0"/>
    <n v="789.193038"/>
    <n v="0"/>
    <n v="0"/>
    <n v="0"/>
    <x v="19"/>
    <x v="20"/>
    <s v="PPPCFC1"/>
    <s v="EGX100"/>
    <s v="Fume Control"/>
    <s v="Miscellaneous"/>
    <x v="1"/>
    <x v="0"/>
    <x v="3"/>
  </r>
  <r>
    <s v="10.12.0.1"/>
    <x v="37"/>
    <s v="10.11.9.28"/>
    <x v="107"/>
    <n v="1"/>
    <x v="1"/>
    <n v="1"/>
    <n v="62"/>
    <n v="0"/>
    <n v="0"/>
    <n v="789.73200499999996"/>
    <n v="0"/>
    <n v="0"/>
    <n v="0"/>
    <x v="19"/>
    <x v="20"/>
    <s v="PPPCFC1"/>
    <s v="EGX100"/>
    <s v="Fume Control"/>
    <s v="Miscellaneous"/>
    <x v="1"/>
    <x v="0"/>
    <x v="3"/>
  </r>
  <r>
    <s v="10.12.0.1"/>
    <x v="39"/>
    <s v="10.11.9.28"/>
    <x v="107"/>
    <n v="2"/>
    <x v="48"/>
    <n v="2"/>
    <n v="124"/>
    <n v="0"/>
    <n v="0"/>
    <n v="790.16386899999998"/>
    <n v="2.92953799999998"/>
    <n v="338.61994621677798"/>
    <n v="0"/>
    <x v="19"/>
    <x v="20"/>
    <s v="PPPCFC1"/>
    <s v="EGX100"/>
    <s v="Fume Control"/>
    <s v="Miscellaneous"/>
    <x v="1"/>
    <x v="0"/>
    <x v="3"/>
  </r>
  <r>
    <s v="10.12.0.1"/>
    <x v="430"/>
    <s v="10.11.9.28"/>
    <x v="107"/>
    <n v="1"/>
    <x v="1"/>
    <n v="1"/>
    <n v="62"/>
    <n v="0"/>
    <n v="0"/>
    <n v="790.78966100000002"/>
    <n v="0"/>
    <n v="0"/>
    <n v="0"/>
    <x v="19"/>
    <x v="20"/>
    <s v="PPPCFC1"/>
    <s v="EGX100"/>
    <s v="Fume Control"/>
    <s v="Miscellaneous"/>
    <x v="1"/>
    <x v="0"/>
    <x v="3"/>
  </r>
  <r>
    <s v="10.12.0.1"/>
    <x v="431"/>
    <s v="10.11.9.28"/>
    <x v="107"/>
    <n v="1"/>
    <x v="1"/>
    <n v="1"/>
    <n v="62"/>
    <n v="0"/>
    <n v="0"/>
    <n v="792.20106499999997"/>
    <n v="0"/>
    <n v="0"/>
    <n v="0"/>
    <x v="19"/>
    <x v="20"/>
    <s v="PPPCFC1"/>
    <s v="EGX100"/>
    <s v="Fume Control"/>
    <s v="Miscellaneous"/>
    <x v="1"/>
    <x v="0"/>
    <x v="3"/>
  </r>
  <r>
    <s v="10.12.0.1"/>
    <x v="432"/>
    <s v="10.11.9.28"/>
    <x v="107"/>
    <n v="1"/>
    <x v="1"/>
    <n v="1"/>
    <n v="62"/>
    <n v="0"/>
    <n v="0"/>
    <n v="793.16999499999997"/>
    <n v="0"/>
    <n v="0"/>
    <n v="0"/>
    <x v="19"/>
    <x v="20"/>
    <s v="PPPCFC1"/>
    <s v="EGX100"/>
    <s v="Fume Control"/>
    <s v="Miscellaneous"/>
    <x v="1"/>
    <x v="0"/>
    <x v="3"/>
  </r>
  <r>
    <s v="10.12.0.1"/>
    <x v="433"/>
    <s v="10.11.9.28"/>
    <x v="107"/>
    <n v="2"/>
    <x v="48"/>
    <n v="2"/>
    <n v="124"/>
    <n v="0"/>
    <n v="0"/>
    <n v="793.23850800000002"/>
    <n v="2.9735049999999301"/>
    <n v="333.61302570536202"/>
    <n v="0"/>
    <x v="19"/>
    <x v="20"/>
    <s v="PPPCFC1"/>
    <s v="EGX100"/>
    <s v="Fume Control"/>
    <s v="Miscellaneous"/>
    <x v="1"/>
    <x v="0"/>
    <x v="3"/>
  </r>
  <r>
    <s v="10.12.0.1"/>
    <x v="434"/>
    <s v="10.11.9.28"/>
    <x v="107"/>
    <n v="1"/>
    <x v="1"/>
    <n v="1"/>
    <n v="62"/>
    <n v="0"/>
    <n v="0"/>
    <n v="793.79545399999995"/>
    <n v="0"/>
    <n v="0"/>
    <n v="0"/>
    <x v="19"/>
    <x v="20"/>
    <s v="PPPCFC1"/>
    <s v="EGX100"/>
    <s v="Fume Control"/>
    <s v="Miscellaneous"/>
    <x v="1"/>
    <x v="0"/>
    <x v="3"/>
  </r>
  <r>
    <s v="10.12.0.1"/>
    <x v="435"/>
    <s v="10.11.9.28"/>
    <x v="107"/>
    <n v="1"/>
    <x v="1"/>
    <n v="1"/>
    <n v="62"/>
    <n v="0"/>
    <n v="0"/>
    <n v="796.24854700000003"/>
    <n v="0"/>
    <n v="0"/>
    <n v="0"/>
    <x v="19"/>
    <x v="20"/>
    <s v="PPPCFC1"/>
    <s v="EGX100"/>
    <s v="Fume Control"/>
    <s v="Miscellaneous"/>
    <x v="1"/>
    <x v="0"/>
    <x v="3"/>
  </r>
  <r>
    <s v="10.12.0.1"/>
    <x v="436"/>
    <s v="10.11.9.28"/>
    <x v="107"/>
    <n v="1"/>
    <x v="1"/>
    <n v="1"/>
    <n v="62"/>
    <n v="0"/>
    <n v="0"/>
    <n v="819.74393599999996"/>
    <n v="0"/>
    <n v="0"/>
    <n v="0"/>
    <x v="19"/>
    <x v="20"/>
    <s v="PPPCFC1"/>
    <s v="EGX100"/>
    <s v="Fume Control"/>
    <s v="Miscellaneous"/>
    <x v="1"/>
    <x v="0"/>
    <x v="3"/>
  </r>
  <r>
    <s v="10.12.0.1"/>
    <x v="437"/>
    <s v="10.11.9.28"/>
    <x v="107"/>
    <n v="2"/>
    <x v="48"/>
    <n v="2"/>
    <n v="124"/>
    <n v="0"/>
    <n v="0"/>
    <n v="822.21499200000005"/>
    <n v="2.8688799999999901"/>
    <n v="345.77953765929698"/>
    <n v="0"/>
    <x v="19"/>
    <x v="20"/>
    <s v="PPPCFC1"/>
    <s v="EGX100"/>
    <s v="Fume Control"/>
    <s v="Miscellaneous"/>
    <x v="1"/>
    <x v="0"/>
    <x v="3"/>
  </r>
  <r>
    <s v="10.12.0.1"/>
    <x v="438"/>
    <s v="10.11.9.28"/>
    <x v="107"/>
    <n v="1"/>
    <x v="1"/>
    <n v="1"/>
    <n v="62"/>
    <n v="0"/>
    <n v="0"/>
    <n v="822.75197100000003"/>
    <n v="0"/>
    <n v="0"/>
    <n v="0"/>
    <x v="19"/>
    <x v="20"/>
    <s v="PPPCFC1"/>
    <s v="EGX100"/>
    <s v="Fume Control"/>
    <s v="Miscellaneous"/>
    <x v="1"/>
    <x v="0"/>
    <x v="3"/>
  </r>
  <r>
    <s v="10.12.0.1"/>
    <x v="439"/>
    <s v="10.11.9.28"/>
    <x v="107"/>
    <n v="2"/>
    <x v="48"/>
    <n v="2"/>
    <n v="124"/>
    <n v="0"/>
    <n v="0"/>
    <n v="823.18181500000003"/>
    <n v="2.9079849999999401"/>
    <n v="341.12968258090098"/>
    <n v="0"/>
    <x v="19"/>
    <x v="20"/>
    <s v="PPPCFC1"/>
    <s v="EGX100"/>
    <s v="Fume Control"/>
    <s v="Miscellaneous"/>
    <x v="1"/>
    <x v="0"/>
    <x v="3"/>
  </r>
  <r>
    <s v="10.12.0.1"/>
    <x v="440"/>
    <s v="10.11.9.28"/>
    <x v="107"/>
    <n v="2"/>
    <x v="48"/>
    <n v="2"/>
    <n v="124"/>
    <n v="0"/>
    <n v="0"/>
    <n v="823.80630699999995"/>
    <n v="2.9876619999999998"/>
    <n v="332.03220444615198"/>
    <n v="0"/>
    <x v="19"/>
    <x v="20"/>
    <s v="PPPCFC1"/>
    <s v="EGX100"/>
    <s v="Fume Control"/>
    <s v="Miscellaneous"/>
    <x v="1"/>
    <x v="0"/>
    <x v="3"/>
  </r>
  <r>
    <s v="10.12.0.1"/>
    <x v="441"/>
    <s v="10.11.9.28"/>
    <x v="107"/>
    <n v="1"/>
    <x v="1"/>
    <n v="1"/>
    <n v="62"/>
    <n v="0"/>
    <n v="0"/>
    <n v="825.22101999999995"/>
    <n v="0"/>
    <n v="0"/>
    <n v="0"/>
    <x v="19"/>
    <x v="20"/>
    <s v="PPPCFC1"/>
    <s v="EGX100"/>
    <s v="Fume Control"/>
    <s v="Miscellaneous"/>
    <x v="1"/>
    <x v="0"/>
    <x v="3"/>
  </r>
  <r>
    <s v="10.12.0.1"/>
    <x v="442"/>
    <s v="10.11.9.28"/>
    <x v="107"/>
    <n v="1"/>
    <x v="1"/>
    <n v="1"/>
    <n v="62"/>
    <n v="0"/>
    <n v="0"/>
    <n v="826.19020799999998"/>
    <n v="0"/>
    <n v="0"/>
    <n v="0"/>
    <x v="19"/>
    <x v="20"/>
    <s v="PPPCFC1"/>
    <s v="EGX100"/>
    <s v="Fume Control"/>
    <s v="Miscellaneous"/>
    <x v="1"/>
    <x v="0"/>
    <x v="3"/>
  </r>
  <r>
    <s v="10.12.0.1"/>
    <x v="443"/>
    <s v="10.11.9.28"/>
    <x v="107"/>
    <n v="1"/>
    <x v="1"/>
    <n v="1"/>
    <n v="62"/>
    <n v="0"/>
    <n v="0"/>
    <n v="826.25643700000001"/>
    <n v="0"/>
    <n v="0"/>
    <n v="0"/>
    <x v="19"/>
    <x v="20"/>
    <s v="PPPCFC1"/>
    <s v="EGX100"/>
    <s v="Fume Control"/>
    <s v="Miscellaneous"/>
    <x v="1"/>
    <x v="0"/>
    <x v="3"/>
  </r>
  <r>
    <s v="10.12.0.1"/>
    <x v="444"/>
    <s v="10.11.9.28"/>
    <x v="107"/>
    <n v="1"/>
    <x v="1"/>
    <n v="1"/>
    <n v="62"/>
    <n v="0"/>
    <n v="0"/>
    <n v="826.81527900000003"/>
    <n v="0"/>
    <n v="0"/>
    <n v="0"/>
    <x v="19"/>
    <x v="20"/>
    <s v="PPPCFC1"/>
    <s v="EGX100"/>
    <s v="Fume Control"/>
    <s v="Miscellaneous"/>
    <x v="1"/>
    <x v="0"/>
    <x v="3"/>
  </r>
  <r>
    <s v="10.12.0.1"/>
    <x v="445"/>
    <s v="10.11.9.28"/>
    <x v="107"/>
    <n v="1"/>
    <x v="1"/>
    <n v="1"/>
    <n v="62"/>
    <n v="0"/>
    <n v="0"/>
    <n v="829.26836200000002"/>
    <n v="0"/>
    <n v="0"/>
    <n v="0"/>
    <x v="19"/>
    <x v="20"/>
    <s v="PPPCFC1"/>
    <s v="EGX100"/>
    <s v="Fume Control"/>
    <s v="Miscellaneous"/>
    <x v="1"/>
    <x v="0"/>
    <x v="3"/>
  </r>
  <r>
    <s v="10.12.0.1"/>
    <x v="446"/>
    <s v="10.11.9.28"/>
    <x v="107"/>
    <n v="2"/>
    <x v="48"/>
    <n v="2"/>
    <n v="124"/>
    <n v="0"/>
    <n v="0"/>
    <n v="852.76071899999999"/>
    <n v="3.0056750000000001"/>
    <n v="330.04233657997003"/>
    <n v="0"/>
    <x v="19"/>
    <x v="20"/>
    <s v="PPPCFC1"/>
    <s v="EGX100"/>
    <s v="Fume Control"/>
    <s v="Miscellaneous"/>
    <x v="1"/>
    <x v="0"/>
    <x v="3"/>
  </r>
  <r>
    <s v="10.12.0.1"/>
    <x v="447"/>
    <s v="10.11.9.28"/>
    <x v="107"/>
    <n v="2"/>
    <x v="48"/>
    <n v="2"/>
    <n v="124"/>
    <n v="0"/>
    <n v="0"/>
    <n v="855.22791299999994"/>
    <n v="2.85230800000011"/>
    <n v="347.78852774664"/>
    <n v="0"/>
    <x v="19"/>
    <x v="20"/>
    <s v="PPPCFC1"/>
    <s v="EGX100"/>
    <s v="Fume Control"/>
    <s v="Miscellaneous"/>
    <x v="1"/>
    <x v="0"/>
    <x v="3"/>
  </r>
  <r>
    <s v="10.12.0.1"/>
    <x v="448"/>
    <s v="10.11.9.28"/>
    <x v="107"/>
    <n v="1"/>
    <x v="1"/>
    <n v="1"/>
    <n v="62"/>
    <n v="0"/>
    <n v="0"/>
    <n v="855.77160500000002"/>
    <n v="0"/>
    <n v="0"/>
    <n v="0"/>
    <x v="19"/>
    <x v="20"/>
    <s v="PPPCFC1"/>
    <s v="EGX100"/>
    <s v="Fume Control"/>
    <s v="Miscellaneous"/>
    <x v="1"/>
    <x v="0"/>
    <x v="3"/>
  </r>
  <r>
    <s v="10.12.0.1"/>
    <x v="449"/>
    <s v="10.11.9.28"/>
    <x v="107"/>
    <n v="2"/>
    <x v="48"/>
    <n v="2"/>
    <n v="124"/>
    <n v="0"/>
    <n v="0"/>
    <n v="856.20281"/>
    <n v="2.8833980000000601"/>
    <n v="344.03852676598302"/>
    <n v="0"/>
    <x v="19"/>
    <x v="20"/>
    <s v="PPPCFC1"/>
    <s v="EGX100"/>
    <s v="Fume Control"/>
    <s v="Miscellaneous"/>
    <x v="1"/>
    <x v="0"/>
    <x v="3"/>
  </r>
  <r>
    <s v="10.12.0.1"/>
    <x v="450"/>
    <s v="10.11.9.28"/>
    <x v="107"/>
    <n v="2"/>
    <x v="48"/>
    <n v="2"/>
    <n v="124"/>
    <n v="0"/>
    <n v="0"/>
    <n v="856.82846800000004"/>
    <n v="2.8613039999999001"/>
    <n v="346.69507329526402"/>
    <n v="0"/>
    <x v="19"/>
    <x v="20"/>
    <s v="PPPCFC1"/>
    <s v="EGX100"/>
    <s v="Fume Control"/>
    <s v="Miscellaneous"/>
    <x v="1"/>
    <x v="0"/>
    <x v="3"/>
  </r>
  <r>
    <s v="10.12.0.1"/>
    <x v="451"/>
    <s v="10.11.9.28"/>
    <x v="107"/>
    <n v="1"/>
    <x v="1"/>
    <n v="1"/>
    <n v="62"/>
    <n v="0"/>
    <n v="0"/>
    <n v="858.24093600000003"/>
    <n v="0"/>
    <n v="0"/>
    <n v="0"/>
    <x v="19"/>
    <x v="20"/>
    <s v="PPPCFC1"/>
    <s v="EGX100"/>
    <s v="Fume Control"/>
    <s v="Miscellaneous"/>
    <x v="1"/>
    <x v="0"/>
    <x v="3"/>
  </r>
  <r>
    <s v="10.12.0.1"/>
    <x v="452"/>
    <s v="10.11.9.28"/>
    <x v="107"/>
    <n v="1"/>
    <x v="1"/>
    <n v="1"/>
    <n v="62"/>
    <n v="0"/>
    <n v="0"/>
    <n v="859.20965100000001"/>
    <n v="0"/>
    <n v="0"/>
    <n v="0"/>
    <x v="19"/>
    <x v="20"/>
    <s v="PPPCFC1"/>
    <s v="EGX100"/>
    <s v="Fume Control"/>
    <s v="Miscellaneous"/>
    <x v="1"/>
    <x v="0"/>
    <x v="3"/>
  </r>
  <r>
    <s v="10.12.0.1"/>
    <x v="453"/>
    <s v="10.11.9.28"/>
    <x v="107"/>
    <n v="1"/>
    <x v="1"/>
    <n v="1"/>
    <n v="62"/>
    <n v="0"/>
    <n v="0"/>
    <n v="859.27634799999998"/>
    <n v="0"/>
    <n v="0"/>
    <n v="0"/>
    <x v="19"/>
    <x v="20"/>
    <s v="PPPCFC1"/>
    <s v="EGX100"/>
    <s v="Fume Control"/>
    <s v="Miscellaneous"/>
    <x v="1"/>
    <x v="0"/>
    <x v="3"/>
  </r>
  <r>
    <s v="10.12.0.1"/>
    <x v="454"/>
    <s v="10.11.9.28"/>
    <x v="107"/>
    <n v="1"/>
    <x v="1"/>
    <n v="1"/>
    <n v="62"/>
    <n v="0"/>
    <n v="0"/>
    <n v="859.83503599999995"/>
    <n v="0"/>
    <n v="0"/>
    <n v="0"/>
    <x v="19"/>
    <x v="20"/>
    <s v="PPPCFC1"/>
    <s v="EGX100"/>
    <s v="Fume Control"/>
    <s v="Miscellaneous"/>
    <x v="1"/>
    <x v="0"/>
    <x v="3"/>
  </r>
  <r>
    <s v="10.12.0.1"/>
    <x v="455"/>
    <s v="10.11.9.28"/>
    <x v="107"/>
    <n v="1"/>
    <x v="1"/>
    <n v="1"/>
    <n v="62"/>
    <n v="0"/>
    <n v="0"/>
    <n v="862.28811499999995"/>
    <n v="0"/>
    <n v="0"/>
    <n v="0"/>
    <x v="19"/>
    <x v="20"/>
    <s v="PPPCFC1"/>
    <s v="EGX100"/>
    <s v="Fume Control"/>
    <s v="Miscellaneous"/>
    <x v="1"/>
    <x v="0"/>
    <x v="3"/>
  </r>
  <r>
    <s v="10.12.0.1"/>
    <x v="456"/>
    <s v="10.11.9.28"/>
    <x v="107"/>
    <n v="2"/>
    <x v="48"/>
    <n v="2"/>
    <n v="124"/>
    <n v="0"/>
    <n v="0"/>
    <n v="885.77855099999999"/>
    <n v="2.9842469999999799"/>
    <n v="332.41216293423599"/>
    <n v="0"/>
    <x v="19"/>
    <x v="20"/>
    <s v="PPPCFC1"/>
    <s v="EGX100"/>
    <s v="Fume Control"/>
    <s v="Miscellaneous"/>
    <x v="1"/>
    <x v="0"/>
    <x v="3"/>
  </r>
  <r>
    <s v="10.12.0.1"/>
    <x v="457"/>
    <s v="10.11.9.28"/>
    <x v="107"/>
    <n v="2"/>
    <x v="48"/>
    <n v="2"/>
    <n v="124"/>
    <n v="0"/>
    <n v="0"/>
    <n v="888.25365199999999"/>
    <n v="2.9234840000000299"/>
    <n v="339.32116611549401"/>
    <n v="0"/>
    <x v="19"/>
    <x v="20"/>
    <s v="PPPCFC1"/>
    <s v="EGX100"/>
    <s v="Fume Control"/>
    <s v="Miscellaneous"/>
    <x v="1"/>
    <x v="0"/>
    <x v="3"/>
  </r>
  <r>
    <s v="10.12.0.1"/>
    <x v="458"/>
    <s v="10.11.9.28"/>
    <x v="107"/>
    <n v="1"/>
    <x v="1"/>
    <n v="1"/>
    <n v="62"/>
    <n v="0"/>
    <n v="0"/>
    <n v="888.79152599999998"/>
    <n v="0"/>
    <n v="0"/>
    <n v="0"/>
    <x v="19"/>
    <x v="20"/>
    <s v="PPPCFC1"/>
    <s v="EGX100"/>
    <s v="Fume Control"/>
    <s v="Miscellaneous"/>
    <x v="1"/>
    <x v="0"/>
    <x v="3"/>
  </r>
  <r>
    <s v="10.12.0.1"/>
    <x v="459"/>
    <s v="10.11.9.28"/>
    <x v="107"/>
    <n v="2"/>
    <x v="48"/>
    <n v="2"/>
    <n v="124"/>
    <n v="0"/>
    <n v="0"/>
    <n v="889.216542"/>
    <n v="2.86603100000002"/>
    <n v="346.123262449008"/>
    <n v="0"/>
    <x v="19"/>
    <x v="20"/>
    <s v="PPPCFC1"/>
    <s v="EGX100"/>
    <s v="Fume Control"/>
    <s v="Miscellaneous"/>
    <x v="1"/>
    <x v="0"/>
    <x v="3"/>
  </r>
  <r>
    <s v="10.12.0.1"/>
    <x v="460"/>
    <s v="10.11.9.28"/>
    <x v="107"/>
    <n v="2"/>
    <x v="48"/>
    <n v="2"/>
    <n v="124"/>
    <n v="0"/>
    <n v="0"/>
    <n v="889.84427500000004"/>
    <n v="2.9424020000000199"/>
    <n v="337.13952070451103"/>
    <n v="0"/>
    <x v="19"/>
    <x v="20"/>
    <s v="PPPCFC1"/>
    <s v="EGX100"/>
    <s v="Fume Control"/>
    <s v="Miscellaneous"/>
    <x v="1"/>
    <x v="0"/>
    <x v="3"/>
  </r>
  <r>
    <s v="10.12.0.1"/>
    <x v="41"/>
    <s v="10.11.9.28"/>
    <x v="107"/>
    <n v="1"/>
    <x v="1"/>
    <n v="1"/>
    <n v="62"/>
    <n v="0"/>
    <n v="0"/>
    <n v="891.26060500000006"/>
    <n v="0"/>
    <n v="0"/>
    <n v="0"/>
    <x v="19"/>
    <x v="20"/>
    <s v="PPPCFC1"/>
    <s v="EGX100"/>
    <s v="Fume Control"/>
    <s v="Miscellaneous"/>
    <x v="1"/>
    <x v="0"/>
    <x v="3"/>
  </r>
  <r>
    <s v="10.12.0.1"/>
    <x v="42"/>
    <s v="10.11.9.28"/>
    <x v="107"/>
    <n v="1"/>
    <x v="1"/>
    <n v="1"/>
    <n v="62"/>
    <n v="0"/>
    <n v="0"/>
    <n v="892.22942999999998"/>
    <n v="0"/>
    <n v="0"/>
    <n v="0"/>
    <x v="19"/>
    <x v="20"/>
    <s v="PPPCFC1"/>
    <s v="EGX100"/>
    <s v="Fume Control"/>
    <s v="Miscellaneous"/>
    <x v="1"/>
    <x v="0"/>
    <x v="3"/>
  </r>
  <r>
    <s v="10.12.0.1"/>
    <x v="43"/>
    <s v="10.11.9.28"/>
    <x v="107"/>
    <n v="2"/>
    <x v="48"/>
    <n v="2"/>
    <n v="124"/>
    <n v="0"/>
    <n v="0"/>
    <n v="892.29512"/>
    <n v="3.0065220000000199"/>
    <n v="329.94935676505702"/>
    <n v="0"/>
    <x v="19"/>
    <x v="20"/>
    <s v="PPPCFC1"/>
    <s v="EGX100"/>
    <s v="Fume Control"/>
    <s v="Miscellaneous"/>
    <x v="1"/>
    <x v="0"/>
    <x v="3"/>
  </r>
  <r>
    <s v="10.12.0.1"/>
    <x v="45"/>
    <s v="10.11.9.28"/>
    <x v="107"/>
    <n v="1"/>
    <x v="1"/>
    <n v="1"/>
    <n v="62"/>
    <n v="0"/>
    <n v="0"/>
    <n v="892.85484599999995"/>
    <n v="0"/>
    <n v="0"/>
    <n v="0"/>
    <x v="19"/>
    <x v="20"/>
    <s v="PPPCFC1"/>
    <s v="EGX100"/>
    <s v="Fume Control"/>
    <s v="Miscellaneous"/>
    <x v="1"/>
    <x v="0"/>
    <x v="3"/>
  </r>
  <r>
    <s v="10.12.0.1"/>
    <x v="461"/>
    <s v="10.11.9.28"/>
    <x v="107"/>
    <n v="1"/>
    <x v="1"/>
    <n v="1"/>
    <n v="62"/>
    <n v="0"/>
    <n v="0"/>
    <n v="895.30801699999995"/>
    <n v="0"/>
    <n v="0"/>
    <n v="0"/>
    <x v="19"/>
    <x v="20"/>
    <s v="PPPCFC1"/>
    <s v="EGX100"/>
    <s v="Fume Control"/>
    <s v="Miscellaneous"/>
    <x v="1"/>
    <x v="0"/>
    <x v="3"/>
  </r>
  <r>
    <s v="10.12.0.2"/>
    <x v="462"/>
    <s v="10.11.9.28"/>
    <x v="107"/>
    <n v="2"/>
    <x v="48"/>
    <n v="2"/>
    <n v="124"/>
    <n v="0"/>
    <n v="0"/>
    <n v="0.37428299999999998"/>
    <n v="2.918164"/>
    <n v="339.939770348754"/>
    <n v="0"/>
    <x v="20"/>
    <x v="20"/>
    <s v="PPPCFC2"/>
    <s v="EGX100"/>
    <s v="Fume Control"/>
    <s v="Miscellaneous"/>
    <x v="1"/>
    <x v="0"/>
    <x v="3"/>
  </r>
  <r>
    <s v="10.12.0.2"/>
    <x v="463"/>
    <s v="10.11.9.28"/>
    <x v="107"/>
    <n v="1"/>
    <x v="1"/>
    <n v="1"/>
    <n v="62"/>
    <n v="0"/>
    <n v="0"/>
    <n v="1.4818309999999999"/>
    <n v="0"/>
    <n v="0"/>
    <n v="0"/>
    <x v="20"/>
    <x v="20"/>
    <s v="PPPCFC2"/>
    <s v="EGX100"/>
    <s v="Fume Control"/>
    <s v="Miscellaneous"/>
    <x v="1"/>
    <x v="0"/>
    <x v="3"/>
  </r>
  <r>
    <s v="10.12.0.2"/>
    <x v="464"/>
    <s v="10.11.9.28"/>
    <x v="107"/>
    <n v="1"/>
    <x v="1"/>
    <n v="1"/>
    <n v="62"/>
    <n v="0"/>
    <n v="0"/>
    <n v="1.5663830000000001"/>
    <n v="0"/>
    <n v="0"/>
    <n v="0"/>
    <x v="20"/>
    <x v="20"/>
    <s v="PPPCFC2"/>
    <s v="EGX100"/>
    <s v="Fume Control"/>
    <s v="Miscellaneous"/>
    <x v="1"/>
    <x v="0"/>
    <x v="3"/>
  </r>
  <r>
    <s v="10.12.0.2"/>
    <x v="465"/>
    <s v="10.11.9.28"/>
    <x v="107"/>
    <n v="2"/>
    <x v="48"/>
    <n v="2"/>
    <n v="124"/>
    <n v="0"/>
    <n v="0"/>
    <n v="1.936928"/>
    <n v="2.9648910000000002"/>
    <n v="334.582283126091"/>
    <n v="0"/>
    <x v="20"/>
    <x v="20"/>
    <s v="PPPCFC2"/>
    <s v="EGX100"/>
    <s v="Fume Control"/>
    <s v="Miscellaneous"/>
    <x v="1"/>
    <x v="0"/>
    <x v="3"/>
  </r>
  <r>
    <s v="10.12.0.2"/>
    <x v="466"/>
    <s v="10.11.9.28"/>
    <x v="107"/>
    <n v="1"/>
    <x v="1"/>
    <n v="1"/>
    <n v="62"/>
    <n v="0"/>
    <n v="0"/>
    <n v="2.6889069999999999"/>
    <n v="0"/>
    <n v="0"/>
    <n v="0"/>
    <x v="20"/>
    <x v="20"/>
    <s v="PPPCFC2"/>
    <s v="EGX100"/>
    <s v="Fume Control"/>
    <s v="Miscellaneous"/>
    <x v="1"/>
    <x v="0"/>
    <x v="3"/>
  </r>
  <r>
    <s v="10.12.0.2"/>
    <x v="467"/>
    <s v="10.11.9.28"/>
    <x v="107"/>
    <n v="1"/>
    <x v="1"/>
    <n v="1"/>
    <n v="62"/>
    <n v="0"/>
    <n v="0"/>
    <n v="2.7261289999999998"/>
    <n v="0"/>
    <n v="0"/>
    <n v="0"/>
    <x v="20"/>
    <x v="20"/>
    <s v="PPPCFC2"/>
    <s v="EGX100"/>
    <s v="Fume Control"/>
    <s v="Miscellaneous"/>
    <x v="1"/>
    <x v="0"/>
    <x v="3"/>
  </r>
  <r>
    <s v="10.12.0.2"/>
    <x v="468"/>
    <s v="10.11.9.28"/>
    <x v="107"/>
    <n v="1"/>
    <x v="1"/>
    <n v="1"/>
    <n v="62"/>
    <n v="0"/>
    <n v="0"/>
    <n v="2.789504"/>
    <n v="0"/>
    <n v="0"/>
    <n v="0"/>
    <x v="20"/>
    <x v="20"/>
    <s v="PPPCFC2"/>
    <s v="EGX100"/>
    <s v="Fume Control"/>
    <s v="Miscellaneous"/>
    <x v="1"/>
    <x v="0"/>
    <x v="3"/>
  </r>
  <r>
    <s v="10.12.0.2"/>
    <x v="469"/>
    <s v="10.11.9.28"/>
    <x v="107"/>
    <n v="1"/>
    <x v="1"/>
    <n v="1"/>
    <n v="62"/>
    <n v="0"/>
    <n v="0"/>
    <n v="2.8632900000000001"/>
    <n v="0"/>
    <n v="0"/>
    <n v="0"/>
    <x v="20"/>
    <x v="20"/>
    <s v="PPPCFC2"/>
    <s v="EGX100"/>
    <s v="Fume Control"/>
    <s v="Miscellaneous"/>
    <x v="1"/>
    <x v="0"/>
    <x v="3"/>
  </r>
  <r>
    <s v="10.12.0.2"/>
    <x v="470"/>
    <s v="10.11.9.28"/>
    <x v="107"/>
    <n v="1"/>
    <x v="1"/>
    <n v="1"/>
    <n v="62"/>
    <n v="0"/>
    <n v="0"/>
    <n v="3.3789129999999998"/>
    <n v="0"/>
    <n v="0"/>
    <n v="0"/>
    <x v="20"/>
    <x v="20"/>
    <s v="PPPCFC2"/>
    <s v="EGX100"/>
    <s v="Fume Control"/>
    <s v="Miscellaneous"/>
    <x v="1"/>
    <x v="0"/>
    <x v="3"/>
  </r>
  <r>
    <s v="10.12.0.2"/>
    <x v="471"/>
    <s v="10.11.9.28"/>
    <x v="107"/>
    <n v="1"/>
    <x v="1"/>
    <n v="1"/>
    <n v="62"/>
    <n v="0"/>
    <n v="0"/>
    <n v="4.9414709999999999"/>
    <n v="0"/>
    <n v="0"/>
    <n v="0"/>
    <x v="20"/>
    <x v="20"/>
    <s v="PPPCFC2"/>
    <s v="EGX100"/>
    <s v="Fume Control"/>
    <s v="Miscellaneous"/>
    <x v="1"/>
    <x v="0"/>
    <x v="3"/>
  </r>
  <r>
    <s v="10.12.0.2"/>
    <x v="472"/>
    <s v="10.11.9.28"/>
    <x v="107"/>
    <n v="2"/>
    <x v="48"/>
    <n v="2"/>
    <n v="124"/>
    <n v="0"/>
    <n v="0"/>
    <n v="31.572572000000001"/>
    <n v="3.0023460000000002"/>
    <n v="330.40828738593098"/>
    <n v="0"/>
    <x v="20"/>
    <x v="20"/>
    <s v="PPPCFC2"/>
    <s v="EGX100"/>
    <s v="Fume Control"/>
    <s v="Miscellaneous"/>
    <x v="1"/>
    <x v="0"/>
    <x v="3"/>
  </r>
  <r>
    <s v="10.12.0.2"/>
    <x v="473"/>
    <s v="10.11.9.28"/>
    <x v="107"/>
    <n v="2"/>
    <x v="48"/>
    <n v="2"/>
    <n v="124"/>
    <n v="0"/>
    <n v="0"/>
    <n v="32.738097000000003"/>
    <n v="2.9432429999999998"/>
    <n v="337.04318671614999"/>
    <n v="0"/>
    <x v="20"/>
    <x v="20"/>
    <s v="PPPCFC2"/>
    <s v="EGX100"/>
    <s v="Fume Control"/>
    <s v="Miscellaneous"/>
    <x v="1"/>
    <x v="0"/>
    <x v="3"/>
  </r>
  <r>
    <s v="10.12.0.2"/>
    <x v="474"/>
    <s v="10.11.9.28"/>
    <x v="107"/>
    <n v="1"/>
    <x v="1"/>
    <n v="1"/>
    <n v="62"/>
    <n v="0"/>
    <n v="0"/>
    <n v="32.872978000000003"/>
    <n v="0"/>
    <n v="0"/>
    <n v="0"/>
    <x v="20"/>
    <x v="20"/>
    <s v="PPPCFC2"/>
    <s v="EGX100"/>
    <s v="Fume Control"/>
    <s v="Miscellaneous"/>
    <x v="1"/>
    <x v="0"/>
    <x v="3"/>
  </r>
  <r>
    <s v="10.12.0.2"/>
    <x v="475"/>
    <s v="10.11.9.28"/>
    <x v="107"/>
    <n v="2"/>
    <x v="48"/>
    <n v="2"/>
    <n v="124"/>
    <n v="0"/>
    <n v="0"/>
    <n v="33.387597999999997"/>
    <n v="2.9978140000000102"/>
    <n v="330.90778814162502"/>
    <n v="0"/>
    <x v="20"/>
    <x v="20"/>
    <s v="PPPCFC2"/>
    <s v="EGX100"/>
    <s v="Fume Control"/>
    <s v="Miscellaneous"/>
    <x v="1"/>
    <x v="0"/>
    <x v="3"/>
  </r>
  <r>
    <s v="10.12.0.2"/>
    <x v="476"/>
    <s v="10.11.9.28"/>
    <x v="107"/>
    <n v="1"/>
    <x v="1"/>
    <n v="1"/>
    <n v="62"/>
    <n v="0"/>
    <n v="0"/>
    <n v="34.582340000000002"/>
    <n v="0"/>
    <n v="0"/>
    <n v="0"/>
    <x v="20"/>
    <x v="20"/>
    <s v="PPPCFC2"/>
    <s v="EGX100"/>
    <s v="Fume Control"/>
    <s v="Miscellaneous"/>
    <x v="1"/>
    <x v="0"/>
    <x v="3"/>
  </r>
  <r>
    <s v="10.12.0.2"/>
    <x v="477"/>
    <s v="10.11.9.28"/>
    <x v="107"/>
    <n v="1"/>
    <x v="1"/>
    <n v="1"/>
    <n v="62"/>
    <n v="0"/>
    <n v="0"/>
    <n v="34.944389000000001"/>
    <n v="0"/>
    <n v="0"/>
    <n v="0"/>
    <x v="20"/>
    <x v="20"/>
    <s v="PPPCFC2"/>
    <s v="EGX100"/>
    <s v="Fume Control"/>
    <s v="Miscellaneous"/>
    <x v="1"/>
    <x v="0"/>
    <x v="3"/>
  </r>
  <r>
    <s v="10.12.0.2"/>
    <x v="478"/>
    <s v="10.11.9.28"/>
    <x v="107"/>
    <n v="1"/>
    <x v="1"/>
    <n v="1"/>
    <n v="62"/>
    <n v="0"/>
    <n v="0"/>
    <n v="35.738532999999997"/>
    <n v="0"/>
    <n v="0"/>
    <n v="0"/>
    <x v="20"/>
    <x v="20"/>
    <s v="PPPCFC2"/>
    <s v="EGX100"/>
    <s v="Fume Control"/>
    <s v="Miscellaneous"/>
    <x v="1"/>
    <x v="0"/>
    <x v="3"/>
  </r>
  <r>
    <s v="10.12.0.2"/>
    <x v="479"/>
    <s v="10.11.9.28"/>
    <x v="107"/>
    <n v="1"/>
    <x v="1"/>
    <n v="1"/>
    <n v="62"/>
    <n v="0"/>
    <n v="0"/>
    <n v="35.879116000000003"/>
    <n v="0"/>
    <n v="0"/>
    <n v="0"/>
    <x v="20"/>
    <x v="20"/>
    <s v="PPPCFC2"/>
    <s v="EGX100"/>
    <s v="Fume Control"/>
    <s v="Miscellaneous"/>
    <x v="1"/>
    <x v="0"/>
    <x v="3"/>
  </r>
  <r>
    <s v="10.12.0.2"/>
    <x v="480"/>
    <s v="10.11.9.28"/>
    <x v="107"/>
    <n v="1"/>
    <x v="1"/>
    <n v="1"/>
    <n v="62"/>
    <n v="0"/>
    <n v="0"/>
    <n v="36.394770999999999"/>
    <n v="0"/>
    <n v="0"/>
    <n v="0"/>
    <x v="20"/>
    <x v="20"/>
    <s v="PPPCFC2"/>
    <s v="EGX100"/>
    <s v="Fume Control"/>
    <s v="Miscellaneous"/>
    <x v="1"/>
    <x v="0"/>
    <x v="3"/>
  </r>
  <r>
    <s v="10.12.0.2"/>
    <x v="481"/>
    <s v="10.11.9.28"/>
    <x v="107"/>
    <n v="1"/>
    <x v="1"/>
    <n v="1"/>
    <n v="62"/>
    <n v="0"/>
    <n v="0"/>
    <n v="37.957348000000003"/>
    <n v="0"/>
    <n v="0"/>
    <n v="0"/>
    <x v="20"/>
    <x v="20"/>
    <s v="PPPCFC2"/>
    <s v="EGX100"/>
    <s v="Fume Control"/>
    <s v="Miscellaneous"/>
    <x v="1"/>
    <x v="0"/>
    <x v="3"/>
  </r>
  <r>
    <s v="10.12.0.2"/>
    <x v="482"/>
    <s v="10.11.9.28"/>
    <x v="107"/>
    <n v="2"/>
    <x v="48"/>
    <n v="2"/>
    <n v="124"/>
    <n v="0"/>
    <n v="0"/>
    <n v="64.587325000000007"/>
    <n v="2.9800229999999899"/>
    <n v="332.88333680646201"/>
    <n v="0"/>
    <x v="20"/>
    <x v="20"/>
    <s v="PPPCFC2"/>
    <s v="EGX100"/>
    <s v="Fume Control"/>
    <s v="Miscellaneous"/>
    <x v="1"/>
    <x v="0"/>
    <x v="3"/>
  </r>
  <r>
    <s v="10.12.0.2"/>
    <x v="483"/>
    <s v="10.11.9.28"/>
    <x v="107"/>
    <n v="2"/>
    <x v="48"/>
    <n v="2"/>
    <n v="124"/>
    <n v="0"/>
    <n v="0"/>
    <n v="65.740176000000005"/>
    <n v="2.9335200000000001"/>
    <n v="338.16029889007001"/>
    <n v="0"/>
    <x v="20"/>
    <x v="20"/>
    <s v="PPPCFC2"/>
    <s v="EGX100"/>
    <s v="Fume Control"/>
    <s v="Miscellaneous"/>
    <x v="1"/>
    <x v="0"/>
    <x v="3"/>
  </r>
  <r>
    <s v="10.12.0.2"/>
    <x v="484"/>
    <s v="10.11.9.28"/>
    <x v="107"/>
    <n v="2"/>
    <x v="48"/>
    <n v="2"/>
    <n v="124"/>
    <n v="0"/>
    <n v="0"/>
    <n v="65.883737999999994"/>
    <n v="2.9911640000000101"/>
    <n v="331.64346722546702"/>
    <n v="0"/>
    <x v="20"/>
    <x v="20"/>
    <s v="PPPCFC2"/>
    <s v="EGX100"/>
    <s v="Fume Control"/>
    <s v="Miscellaneous"/>
    <x v="1"/>
    <x v="0"/>
    <x v="3"/>
  </r>
  <r>
    <s v="10.12.0.2"/>
    <x v="485"/>
    <s v="10.11.9.28"/>
    <x v="107"/>
    <n v="2"/>
    <x v="48"/>
    <n v="2"/>
    <n v="124"/>
    <n v="0"/>
    <n v="0"/>
    <n v="66.401632000000006"/>
    <n v="2.9762080000000002"/>
    <n v="333.31003747049903"/>
    <n v="0"/>
    <x v="20"/>
    <x v="20"/>
    <s v="PPPCFC2"/>
    <s v="EGX100"/>
    <s v="Fume Control"/>
    <s v="Miscellaneous"/>
    <x v="1"/>
    <x v="0"/>
    <x v="3"/>
  </r>
  <r>
    <s v="10.12.0.2"/>
    <x v="486"/>
    <s v="10.11.9.28"/>
    <x v="107"/>
    <n v="1"/>
    <x v="1"/>
    <n v="1"/>
    <n v="62"/>
    <n v="0"/>
    <n v="0"/>
    <n v="67.59787"/>
    <n v="0"/>
    <n v="0"/>
    <n v="0"/>
    <x v="20"/>
    <x v="20"/>
    <s v="PPPCFC2"/>
    <s v="EGX100"/>
    <s v="Fume Control"/>
    <s v="Miscellaneous"/>
    <x v="1"/>
    <x v="0"/>
    <x v="3"/>
  </r>
  <r>
    <s v="10.12.0.2"/>
    <x v="487"/>
    <s v="10.11.9.28"/>
    <x v="107"/>
    <n v="1"/>
    <x v="1"/>
    <n v="1"/>
    <n v="62"/>
    <n v="0"/>
    <n v="0"/>
    <n v="67.970194000000006"/>
    <n v="0"/>
    <n v="0"/>
    <n v="0"/>
    <x v="20"/>
    <x v="20"/>
    <s v="PPPCFC2"/>
    <s v="EGX100"/>
    <s v="Fume Control"/>
    <s v="Miscellaneous"/>
    <x v="1"/>
    <x v="0"/>
    <x v="3"/>
  </r>
  <r>
    <s v="10.12.0.2"/>
    <x v="488"/>
    <s v="10.11.9.28"/>
    <x v="107"/>
    <n v="1"/>
    <x v="1"/>
    <n v="1"/>
    <n v="62"/>
    <n v="0"/>
    <n v="0"/>
    <n v="68.754236000000006"/>
    <n v="0"/>
    <n v="0"/>
    <n v="0"/>
    <x v="20"/>
    <x v="20"/>
    <s v="PPPCFC2"/>
    <s v="EGX100"/>
    <s v="Fume Control"/>
    <s v="Miscellaneous"/>
    <x v="1"/>
    <x v="0"/>
    <x v="3"/>
  </r>
  <r>
    <s v="10.12.0.2"/>
    <x v="489"/>
    <s v="10.11.9.28"/>
    <x v="107"/>
    <n v="1"/>
    <x v="1"/>
    <n v="1"/>
    <n v="62"/>
    <n v="0"/>
    <n v="0"/>
    <n v="68.894802999999996"/>
    <n v="0"/>
    <n v="0"/>
    <n v="0"/>
    <x v="20"/>
    <x v="20"/>
    <s v="PPPCFC2"/>
    <s v="EGX100"/>
    <s v="Fume Control"/>
    <s v="Miscellaneous"/>
    <x v="1"/>
    <x v="0"/>
    <x v="3"/>
  </r>
  <r>
    <s v="10.12.0.2"/>
    <x v="490"/>
    <s v="10.11.9.28"/>
    <x v="107"/>
    <n v="1"/>
    <x v="1"/>
    <n v="1"/>
    <n v="62"/>
    <n v="0"/>
    <n v="0"/>
    <n v="69.410449"/>
    <n v="0"/>
    <n v="0"/>
    <n v="0"/>
    <x v="20"/>
    <x v="20"/>
    <s v="PPPCFC2"/>
    <s v="EGX100"/>
    <s v="Fume Control"/>
    <s v="Miscellaneous"/>
    <x v="1"/>
    <x v="0"/>
    <x v="3"/>
  </r>
  <r>
    <s v="10.12.0.2"/>
    <x v="491"/>
    <s v="10.11.9.28"/>
    <x v="107"/>
    <n v="1"/>
    <x v="1"/>
    <n v="1"/>
    <n v="62"/>
    <n v="0"/>
    <n v="0"/>
    <n v="70.972920000000002"/>
    <n v="0"/>
    <n v="0"/>
    <n v="0"/>
    <x v="20"/>
    <x v="20"/>
    <s v="PPPCFC2"/>
    <s v="EGX100"/>
    <s v="Fume Control"/>
    <s v="Miscellaneous"/>
    <x v="1"/>
    <x v="0"/>
    <x v="3"/>
  </r>
  <r>
    <s v="10.12.0.2"/>
    <x v="492"/>
    <s v="10.11.9.28"/>
    <x v="107"/>
    <n v="2"/>
    <x v="48"/>
    <n v="2"/>
    <n v="124"/>
    <n v="0"/>
    <n v="0"/>
    <n v="97.603853999999998"/>
    <n v="2.955851"/>
    <n v="335.60554980613102"/>
    <n v="0"/>
    <x v="20"/>
    <x v="20"/>
    <s v="PPPCFC2"/>
    <s v="EGX100"/>
    <s v="Fume Control"/>
    <s v="Miscellaneous"/>
    <x v="1"/>
    <x v="0"/>
    <x v="3"/>
  </r>
  <r>
    <s v="10.12.0.2"/>
    <x v="493"/>
    <s v="10.11.9.28"/>
    <x v="107"/>
    <n v="2"/>
    <x v="48"/>
    <n v="2"/>
    <n v="124"/>
    <n v="0"/>
    <n v="0"/>
    <n v="98.755930000000006"/>
    <n v="3.0107460000000001"/>
    <n v="329.48644621632002"/>
    <n v="0"/>
    <x v="20"/>
    <x v="20"/>
    <s v="PPPCFC2"/>
    <s v="EGX100"/>
    <s v="Fume Control"/>
    <s v="Miscellaneous"/>
    <x v="1"/>
    <x v="0"/>
    <x v="3"/>
  </r>
  <r>
    <s v="10.12.0.2"/>
    <x v="494"/>
    <s v="10.11.9.28"/>
    <x v="107"/>
    <n v="2"/>
    <x v="48"/>
    <n v="2"/>
    <n v="124"/>
    <n v="0"/>
    <n v="0"/>
    <n v="98.897544999999994"/>
    <n v="2.9698050000000098"/>
    <n v="334.02866518171999"/>
    <n v="0"/>
    <x v="20"/>
    <x v="20"/>
    <s v="PPPCFC2"/>
    <s v="EGX100"/>
    <s v="Fume Control"/>
    <s v="Miscellaneous"/>
    <x v="1"/>
    <x v="0"/>
    <x v="3"/>
  </r>
  <r>
    <s v="10.12.0.2"/>
    <x v="495"/>
    <s v="10.11.9.28"/>
    <x v="107"/>
    <n v="2"/>
    <x v="48"/>
    <n v="2"/>
    <n v="124"/>
    <n v="0"/>
    <n v="0"/>
    <n v="99.417214000000001"/>
    <n v="2.953033"/>
    <n v="335.925809159599"/>
    <n v="0"/>
    <x v="20"/>
    <x v="20"/>
    <s v="PPPCFC2"/>
    <s v="EGX100"/>
    <s v="Fume Control"/>
    <s v="Miscellaneous"/>
    <x v="1"/>
    <x v="0"/>
    <x v="3"/>
  </r>
  <r>
    <s v="10.12.0.2"/>
    <x v="496"/>
    <s v="10.11.9.28"/>
    <x v="107"/>
    <n v="1"/>
    <x v="1"/>
    <n v="1"/>
    <n v="62"/>
    <n v="0"/>
    <n v="0"/>
    <n v="100.613756"/>
    <n v="0"/>
    <n v="0"/>
    <n v="0"/>
    <x v="20"/>
    <x v="20"/>
    <s v="PPPCFC2"/>
    <s v="EGX100"/>
    <s v="Fume Control"/>
    <s v="Miscellaneous"/>
    <x v="1"/>
    <x v="0"/>
    <x v="3"/>
  </r>
  <r>
    <s v="10.12.0.2"/>
    <x v="497"/>
    <s v="10.11.9.28"/>
    <x v="107"/>
    <n v="2"/>
    <x v="48"/>
    <n v="2"/>
    <n v="124"/>
    <n v="0"/>
    <n v="0"/>
    <n v="100.97504000000001"/>
    <n v="3.004588"/>
    <n v="330.16173931334401"/>
    <n v="0"/>
    <x v="20"/>
    <x v="20"/>
    <s v="PPPCFC2"/>
    <s v="EGX100"/>
    <s v="Fume Control"/>
    <s v="Miscellaneous"/>
    <x v="1"/>
    <x v="0"/>
    <x v="3"/>
  </r>
  <r>
    <s v="10.12.0.2"/>
    <x v="498"/>
    <s v="10.11.9.28"/>
    <x v="107"/>
    <n v="1"/>
    <x v="1"/>
    <n v="1"/>
    <n v="62"/>
    <n v="0"/>
    <n v="0"/>
    <n v="101.76997299999999"/>
    <n v="0"/>
    <n v="0"/>
    <n v="0"/>
    <x v="20"/>
    <x v="20"/>
    <s v="PPPCFC2"/>
    <s v="EGX100"/>
    <s v="Fume Control"/>
    <s v="Miscellaneous"/>
    <x v="1"/>
    <x v="0"/>
    <x v="3"/>
  </r>
  <r>
    <s v="10.12.0.2"/>
    <x v="499"/>
    <s v="10.11.9.28"/>
    <x v="107"/>
    <n v="1"/>
    <x v="1"/>
    <n v="1"/>
    <n v="62"/>
    <n v="0"/>
    <n v="0"/>
    <n v="101.910599"/>
    <n v="0"/>
    <n v="0"/>
    <n v="0"/>
    <x v="20"/>
    <x v="20"/>
    <s v="PPPCFC2"/>
    <s v="EGX100"/>
    <s v="Fume Control"/>
    <s v="Miscellaneous"/>
    <x v="1"/>
    <x v="0"/>
    <x v="3"/>
  </r>
  <r>
    <s v="10.12.0.2"/>
    <x v="500"/>
    <s v="10.11.9.28"/>
    <x v="107"/>
    <n v="1"/>
    <x v="1"/>
    <n v="1"/>
    <n v="62"/>
    <n v="0"/>
    <n v="0"/>
    <n v="102.426278"/>
    <n v="0"/>
    <n v="0"/>
    <n v="0"/>
    <x v="20"/>
    <x v="20"/>
    <s v="PPPCFC2"/>
    <s v="EGX100"/>
    <s v="Fume Control"/>
    <s v="Miscellaneous"/>
    <x v="1"/>
    <x v="0"/>
    <x v="3"/>
  </r>
  <r>
    <s v="10.12.0.2"/>
    <x v="501"/>
    <s v="10.11.9.28"/>
    <x v="107"/>
    <n v="1"/>
    <x v="1"/>
    <n v="1"/>
    <n v="62"/>
    <n v="0"/>
    <n v="0"/>
    <n v="103.988902"/>
    <n v="0"/>
    <n v="0"/>
    <n v="0"/>
    <x v="20"/>
    <x v="20"/>
    <s v="PPPCFC2"/>
    <s v="EGX100"/>
    <s v="Fume Control"/>
    <s v="Miscellaneous"/>
    <x v="1"/>
    <x v="0"/>
    <x v="3"/>
  </r>
  <r>
    <s v="10.12.0.2"/>
    <x v="502"/>
    <s v="10.11.9.28"/>
    <x v="107"/>
    <n v="2"/>
    <x v="48"/>
    <n v="2"/>
    <n v="124"/>
    <n v="0"/>
    <n v="0"/>
    <n v="130.61956000000001"/>
    <n v="2.9324770000000102"/>
    <n v="338.280573044562"/>
    <n v="0"/>
    <x v="20"/>
    <x v="20"/>
    <s v="PPPCFC2"/>
    <s v="EGX100"/>
    <s v="Fume Control"/>
    <s v="Miscellaneous"/>
    <x v="1"/>
    <x v="0"/>
    <x v="3"/>
  </r>
  <r>
    <s v="10.12.0.2"/>
    <x v="503"/>
    <s v="10.11.9.28"/>
    <x v="107"/>
    <n v="2"/>
    <x v="48"/>
    <n v="2"/>
    <n v="124"/>
    <n v="0"/>
    <n v="0"/>
    <n v="131.77686600000001"/>
    <n v="2.9822119999999801"/>
    <n v="332.63899414260601"/>
    <n v="0"/>
    <x v="20"/>
    <x v="20"/>
    <s v="PPPCFC2"/>
    <s v="EGX100"/>
    <s v="Fume Control"/>
    <s v="Miscellaneous"/>
    <x v="1"/>
    <x v="0"/>
    <x v="3"/>
  </r>
  <r>
    <s v="10.12.0.2"/>
    <x v="197"/>
    <s v="10.11.9.28"/>
    <x v="107"/>
    <n v="2"/>
    <x v="48"/>
    <n v="2"/>
    <n v="124"/>
    <n v="0"/>
    <n v="0"/>
    <n v="131.91840500000001"/>
    <n v="2.9412289999999901"/>
    <n v="337.27397628678398"/>
    <n v="0"/>
    <x v="20"/>
    <x v="20"/>
    <s v="PPPCFC2"/>
    <s v="EGX100"/>
    <s v="Fume Control"/>
    <s v="Miscellaneous"/>
    <x v="1"/>
    <x v="0"/>
    <x v="3"/>
  </r>
  <r>
    <s v="10.12.0.2"/>
    <x v="504"/>
    <s v="10.11.9.28"/>
    <x v="107"/>
    <n v="2"/>
    <x v="48"/>
    <n v="2"/>
    <n v="124"/>
    <n v="0"/>
    <n v="0"/>
    <n v="132.438187"/>
    <n v="2.92448200000001"/>
    <n v="339.20537038695898"/>
    <n v="0"/>
    <x v="20"/>
    <x v="20"/>
    <s v="PPPCFC2"/>
    <s v="EGX100"/>
    <s v="Fume Control"/>
    <s v="Miscellaneous"/>
    <x v="1"/>
    <x v="0"/>
    <x v="3"/>
  </r>
  <r>
    <s v="10.12.0.2"/>
    <x v="200"/>
    <s v="10.11.9.28"/>
    <x v="107"/>
    <n v="1"/>
    <x v="1"/>
    <n v="1"/>
    <n v="62"/>
    <n v="0"/>
    <n v="0"/>
    <n v="133.629839"/>
    <n v="0"/>
    <n v="0"/>
    <n v="0"/>
    <x v="20"/>
    <x v="20"/>
    <s v="PPPCFC2"/>
    <s v="EGX100"/>
    <s v="Fume Control"/>
    <s v="Miscellaneous"/>
    <x v="1"/>
    <x v="0"/>
    <x v="3"/>
  </r>
  <r>
    <s v="10.12.0.2"/>
    <x v="505"/>
    <s v="10.11.9.28"/>
    <x v="107"/>
    <n v="2"/>
    <x v="48"/>
    <n v="2"/>
    <n v="124"/>
    <n v="0"/>
    <n v="0"/>
    <n v="133.99937700000001"/>
    <n v="2.9726749999999802"/>
    <n v="333.70617373241498"/>
    <n v="0"/>
    <x v="20"/>
    <x v="20"/>
    <s v="PPPCFC2"/>
    <s v="EGX100"/>
    <s v="Fume Control"/>
    <s v="Miscellaneous"/>
    <x v="1"/>
    <x v="0"/>
    <x v="3"/>
  </r>
  <r>
    <s v="10.12.0.2"/>
    <x v="506"/>
    <s v="10.11.9.28"/>
    <x v="107"/>
    <n v="1"/>
    <x v="1"/>
    <n v="1"/>
    <n v="62"/>
    <n v="0"/>
    <n v="0"/>
    <n v="134.78594799999999"/>
    <n v="0"/>
    <n v="0"/>
    <n v="0"/>
    <x v="20"/>
    <x v="20"/>
    <s v="PPPCFC2"/>
    <s v="EGX100"/>
    <s v="Fume Control"/>
    <s v="Miscellaneous"/>
    <x v="1"/>
    <x v="0"/>
    <x v="3"/>
  </r>
  <r>
    <s v="10.12.0.2"/>
    <x v="507"/>
    <s v="10.11.9.28"/>
    <x v="107"/>
    <n v="1"/>
    <x v="1"/>
    <n v="1"/>
    <n v="62"/>
    <n v="0"/>
    <n v="0"/>
    <n v="134.92655600000001"/>
    <n v="0"/>
    <n v="0"/>
    <n v="0"/>
    <x v="20"/>
    <x v="20"/>
    <s v="PPPCFC2"/>
    <s v="EGX100"/>
    <s v="Fume Control"/>
    <s v="Miscellaneous"/>
    <x v="1"/>
    <x v="0"/>
    <x v="3"/>
  </r>
  <r>
    <s v="10.12.0.2"/>
    <x v="198"/>
    <s v="10.11.9.28"/>
    <x v="107"/>
    <n v="1"/>
    <x v="1"/>
    <n v="1"/>
    <n v="62"/>
    <n v="0"/>
    <n v="0"/>
    <n v="135.44206700000001"/>
    <n v="0"/>
    <n v="0"/>
    <n v="0"/>
    <x v="20"/>
    <x v="20"/>
    <s v="PPPCFC2"/>
    <s v="EGX100"/>
    <s v="Fume Control"/>
    <s v="Miscellaneous"/>
    <x v="1"/>
    <x v="0"/>
    <x v="3"/>
  </r>
  <r>
    <s v="10.12.0.2"/>
    <x v="199"/>
    <s v="10.11.9.28"/>
    <x v="107"/>
    <n v="1"/>
    <x v="1"/>
    <n v="1"/>
    <n v="62"/>
    <n v="0"/>
    <n v="0"/>
    <n v="137.00461300000001"/>
    <n v="0"/>
    <n v="0"/>
    <n v="0"/>
    <x v="20"/>
    <x v="20"/>
    <s v="PPPCFC2"/>
    <s v="EGX100"/>
    <s v="Fume Control"/>
    <s v="Miscellaneous"/>
    <x v="1"/>
    <x v="0"/>
    <x v="3"/>
  </r>
  <r>
    <s v="10.12.0.2"/>
    <x v="508"/>
    <s v="10.11.9.28"/>
    <x v="107"/>
    <n v="2"/>
    <x v="48"/>
    <n v="2"/>
    <n v="124"/>
    <n v="0"/>
    <n v="0"/>
    <n v="163.634049"/>
    <n v="3.011056"/>
    <n v="329.452524297124"/>
    <n v="0"/>
    <x v="20"/>
    <x v="20"/>
    <s v="PPPCFC2"/>
    <s v="EGX100"/>
    <s v="Fume Control"/>
    <s v="Miscellaneous"/>
    <x v="1"/>
    <x v="0"/>
    <x v="3"/>
  </r>
  <r>
    <s v="10.12.0.2"/>
    <x v="509"/>
    <s v="10.11.9.28"/>
    <x v="107"/>
    <n v="2"/>
    <x v="48"/>
    <n v="2"/>
    <n v="124"/>
    <n v="0"/>
    <n v="0"/>
    <n v="164.787927"/>
    <n v="2.9636759999999902"/>
    <n v="334.719449764415"/>
    <n v="0"/>
    <x v="20"/>
    <x v="20"/>
    <s v="PPPCFC2"/>
    <s v="EGX100"/>
    <s v="Fume Control"/>
    <s v="Miscellaneous"/>
    <x v="1"/>
    <x v="0"/>
    <x v="3"/>
  </r>
  <r>
    <s v="10.12.0.2"/>
    <x v="510"/>
    <s v="10.11.9.28"/>
    <x v="107"/>
    <n v="2"/>
    <x v="48"/>
    <n v="2"/>
    <n v="124"/>
    <n v="0"/>
    <n v="0"/>
    <n v="164.93117100000001"/>
    <n v="2.9209830000000099"/>
    <n v="339.61169921221602"/>
    <n v="0"/>
    <x v="20"/>
    <x v="20"/>
    <s v="PPPCFC2"/>
    <s v="EGX100"/>
    <s v="Fume Control"/>
    <s v="Miscellaneous"/>
    <x v="1"/>
    <x v="0"/>
    <x v="3"/>
  </r>
  <r>
    <s v="10.12.0.2"/>
    <x v="203"/>
    <s v="10.11.9.28"/>
    <x v="107"/>
    <n v="2"/>
    <x v="48"/>
    <n v="2"/>
    <n v="124"/>
    <n v="0"/>
    <n v="0"/>
    <n v="165.45073600000001"/>
    <n v="3.004864"/>
    <n v="330.13141360141401"/>
    <n v="0"/>
    <x v="20"/>
    <x v="20"/>
    <s v="PPPCFC2"/>
    <s v="EGX100"/>
    <s v="Fume Control"/>
    <s v="Miscellaneous"/>
    <x v="1"/>
    <x v="0"/>
    <x v="3"/>
  </r>
  <r>
    <s v="10.12.0.2"/>
    <x v="204"/>
    <s v="10.11.9.28"/>
    <x v="107"/>
    <n v="1"/>
    <x v="1"/>
    <n v="1"/>
    <n v="62"/>
    <n v="0"/>
    <n v="0"/>
    <n v="166.645535"/>
    <n v="0"/>
    <n v="0"/>
    <n v="0"/>
    <x v="20"/>
    <x v="20"/>
    <s v="PPPCFC2"/>
    <s v="EGX100"/>
    <s v="Fume Control"/>
    <s v="Miscellaneous"/>
    <x v="1"/>
    <x v="0"/>
    <x v="3"/>
  </r>
  <r>
    <s v="10.12.0.2"/>
    <x v="511"/>
    <s v="10.11.9.28"/>
    <x v="107"/>
    <n v="2"/>
    <x v="48"/>
    <n v="2"/>
    <n v="124"/>
    <n v="0"/>
    <n v="0"/>
    <n v="167.015322"/>
    <n v="2.94914600000001"/>
    <n v="336.36856228887802"/>
    <n v="0"/>
    <x v="20"/>
    <x v="20"/>
    <s v="PPPCFC2"/>
    <s v="EGX100"/>
    <s v="Fume Control"/>
    <s v="Miscellaneous"/>
    <x v="1"/>
    <x v="0"/>
    <x v="3"/>
  </r>
  <r>
    <s v="10.12.0.2"/>
    <x v="205"/>
    <s v="10.11.9.28"/>
    <x v="107"/>
    <n v="1"/>
    <x v="1"/>
    <n v="1"/>
    <n v="62"/>
    <n v="0"/>
    <n v="0"/>
    <n v="167.80169699999999"/>
    <n v="0"/>
    <n v="0"/>
    <n v="0"/>
    <x v="20"/>
    <x v="20"/>
    <s v="PPPCFC2"/>
    <s v="EGX100"/>
    <s v="Fume Control"/>
    <s v="Miscellaneous"/>
    <x v="1"/>
    <x v="0"/>
    <x v="3"/>
  </r>
  <r>
    <s v="10.12.0.2"/>
    <x v="206"/>
    <s v="10.11.9.28"/>
    <x v="107"/>
    <n v="1"/>
    <x v="1"/>
    <n v="1"/>
    <n v="62"/>
    <n v="0"/>
    <n v="0"/>
    <n v="167.942432"/>
    <n v="0"/>
    <n v="0"/>
    <n v="0"/>
    <x v="20"/>
    <x v="20"/>
    <s v="PPPCFC2"/>
    <s v="EGX100"/>
    <s v="Fume Control"/>
    <s v="Miscellaneous"/>
    <x v="1"/>
    <x v="0"/>
    <x v="3"/>
  </r>
  <r>
    <s v="10.12.0.2"/>
    <x v="512"/>
    <s v="10.11.9.28"/>
    <x v="107"/>
    <n v="1"/>
    <x v="1"/>
    <n v="1"/>
    <n v="62"/>
    <n v="0"/>
    <n v="0"/>
    <n v="168.45793699999999"/>
    <n v="0"/>
    <n v="0"/>
    <n v="0"/>
    <x v="20"/>
    <x v="20"/>
    <s v="PPPCFC2"/>
    <s v="EGX100"/>
    <s v="Fume Control"/>
    <s v="Miscellaneous"/>
    <x v="1"/>
    <x v="0"/>
    <x v="3"/>
  </r>
  <r>
    <s v="10.12.0.2"/>
    <x v="207"/>
    <s v="10.11.9.28"/>
    <x v="107"/>
    <n v="1"/>
    <x v="1"/>
    <n v="1"/>
    <n v="62"/>
    <n v="0"/>
    <n v="0"/>
    <n v="170.020601"/>
    <n v="0"/>
    <n v="0"/>
    <n v="0"/>
    <x v="20"/>
    <x v="20"/>
    <s v="PPPCFC2"/>
    <s v="EGX100"/>
    <s v="Fume Control"/>
    <s v="Miscellaneous"/>
    <x v="1"/>
    <x v="0"/>
    <x v="3"/>
  </r>
  <r>
    <s v="10.12.0.2"/>
    <x v="211"/>
    <s v="10.11.9.28"/>
    <x v="107"/>
    <n v="2"/>
    <x v="48"/>
    <n v="2"/>
    <n v="124"/>
    <n v="0"/>
    <n v="0"/>
    <n v="196.65332100000001"/>
    <n v="2.8835220000000001"/>
    <n v="344.023732088744"/>
    <n v="0"/>
    <x v="20"/>
    <x v="20"/>
    <s v="PPPCFC2"/>
    <s v="EGX100"/>
    <s v="Fume Control"/>
    <s v="Miscellaneous"/>
    <x v="1"/>
    <x v="0"/>
    <x v="3"/>
  </r>
  <r>
    <s v="10.12.0.2"/>
    <x v="513"/>
    <s v="10.11.9.28"/>
    <x v="107"/>
    <n v="2"/>
    <x v="48"/>
    <n v="2"/>
    <n v="124"/>
    <n v="0"/>
    <n v="0"/>
    <n v="197.80939499999999"/>
    <n v="2.9346169999999998"/>
    <n v="338.03388994202601"/>
    <n v="0"/>
    <x v="20"/>
    <x v="20"/>
    <s v="PPPCFC2"/>
    <s v="EGX100"/>
    <s v="Fume Control"/>
    <s v="Miscellaneous"/>
    <x v="1"/>
    <x v="0"/>
    <x v="3"/>
  </r>
  <r>
    <s v="10.12.0.2"/>
    <x v="212"/>
    <s v="10.11.9.28"/>
    <x v="107"/>
    <n v="2"/>
    <x v="48"/>
    <n v="2"/>
    <n v="124"/>
    <n v="0"/>
    <n v="0"/>
    <n v="197.95099200000001"/>
    <n v="2.9941179999999901"/>
    <n v="331.31626742833902"/>
    <n v="0"/>
    <x v="20"/>
    <x v="20"/>
    <s v="PPPCFC2"/>
    <s v="EGX100"/>
    <s v="Fume Control"/>
    <s v="Miscellaneous"/>
    <x v="1"/>
    <x v="0"/>
    <x v="3"/>
  </r>
  <r>
    <s v="10.12.0.2"/>
    <x v="514"/>
    <s v="10.11.9.28"/>
    <x v="107"/>
    <n v="2"/>
    <x v="48"/>
    <n v="2"/>
    <n v="124"/>
    <n v="0"/>
    <n v="0"/>
    <n v="198.45985400000001"/>
    <n v="2.9882369999999998"/>
    <n v="331.968314427537"/>
    <n v="0"/>
    <x v="20"/>
    <x v="20"/>
    <s v="PPPCFC2"/>
    <s v="EGX100"/>
    <s v="Fume Control"/>
    <s v="Miscellaneous"/>
    <x v="1"/>
    <x v="0"/>
    <x v="3"/>
  </r>
  <r>
    <s v="10.12.0.2"/>
    <x v="515"/>
    <s v="10.11.9.28"/>
    <x v="107"/>
    <n v="1"/>
    <x v="1"/>
    <n v="1"/>
    <n v="62"/>
    <n v="0"/>
    <n v="0"/>
    <n v="199.66138799999999"/>
    <n v="0"/>
    <n v="0"/>
    <n v="0"/>
    <x v="20"/>
    <x v="20"/>
    <s v="PPPCFC2"/>
    <s v="EGX100"/>
    <s v="Fume Control"/>
    <s v="Miscellaneous"/>
    <x v="1"/>
    <x v="0"/>
    <x v="3"/>
  </r>
  <r>
    <s v="10.12.0.2"/>
    <x v="516"/>
    <s v="10.11.9.28"/>
    <x v="107"/>
    <n v="2"/>
    <x v="48"/>
    <n v="2"/>
    <n v="124"/>
    <n v="0"/>
    <n v="0"/>
    <n v="200.03142399999999"/>
    <n v="2.9254400000000098"/>
    <n v="339.09429008969499"/>
    <n v="0"/>
    <x v="20"/>
    <x v="20"/>
    <s v="PPPCFC2"/>
    <s v="EGX100"/>
    <s v="Fume Control"/>
    <s v="Miscellaneous"/>
    <x v="1"/>
    <x v="0"/>
    <x v="3"/>
  </r>
  <r>
    <s v="10.12.0.2"/>
    <x v="517"/>
    <s v="10.11.9.28"/>
    <x v="107"/>
    <n v="1"/>
    <x v="1"/>
    <n v="1"/>
    <n v="62"/>
    <n v="0"/>
    <n v="0"/>
    <n v="200.817657"/>
    <n v="0"/>
    <n v="0"/>
    <n v="0"/>
    <x v="20"/>
    <x v="20"/>
    <s v="PPPCFC2"/>
    <s v="EGX100"/>
    <s v="Fume Control"/>
    <s v="Miscellaneous"/>
    <x v="1"/>
    <x v="0"/>
    <x v="3"/>
  </r>
  <r>
    <s v="10.12.0.2"/>
    <x v="518"/>
    <s v="10.11.9.28"/>
    <x v="107"/>
    <n v="1"/>
    <x v="1"/>
    <n v="1"/>
    <n v="62"/>
    <n v="0"/>
    <n v="0"/>
    <n v="200.95862600000001"/>
    <n v="0"/>
    <n v="0"/>
    <n v="0"/>
    <x v="20"/>
    <x v="20"/>
    <s v="PPPCFC2"/>
    <s v="EGX100"/>
    <s v="Fume Control"/>
    <s v="Miscellaneous"/>
    <x v="1"/>
    <x v="0"/>
    <x v="3"/>
  </r>
  <r>
    <s v="10.12.0.2"/>
    <x v="519"/>
    <s v="10.11.9.28"/>
    <x v="107"/>
    <n v="1"/>
    <x v="1"/>
    <n v="1"/>
    <n v="62"/>
    <n v="0"/>
    <n v="0"/>
    <n v="201.47396000000001"/>
    <n v="0"/>
    <n v="0"/>
    <n v="0"/>
    <x v="20"/>
    <x v="20"/>
    <s v="PPPCFC2"/>
    <s v="EGX100"/>
    <s v="Fume Control"/>
    <s v="Miscellaneous"/>
    <x v="1"/>
    <x v="0"/>
    <x v="3"/>
  </r>
  <r>
    <s v="10.12.0.2"/>
    <x v="213"/>
    <s v="10.11.9.28"/>
    <x v="107"/>
    <n v="1"/>
    <x v="1"/>
    <n v="1"/>
    <n v="62"/>
    <n v="0"/>
    <n v="0"/>
    <n v="203.03640100000001"/>
    <n v="0"/>
    <n v="0"/>
    <n v="0"/>
    <x v="20"/>
    <x v="20"/>
    <s v="PPPCFC2"/>
    <s v="EGX100"/>
    <s v="Fume Control"/>
    <s v="Miscellaneous"/>
    <x v="1"/>
    <x v="0"/>
    <x v="3"/>
  </r>
  <r>
    <s v="10.12.0.2"/>
    <x v="217"/>
    <s v="10.11.9.28"/>
    <x v="107"/>
    <n v="2"/>
    <x v="48"/>
    <n v="2"/>
    <n v="124"/>
    <n v="0"/>
    <n v="0"/>
    <n v="229.67213599999999"/>
    <n v="2.9578710000000101"/>
    <n v="335.376356845852"/>
    <n v="0"/>
    <x v="20"/>
    <x v="20"/>
    <s v="PPPCFC2"/>
    <s v="EGX100"/>
    <s v="Fume Control"/>
    <s v="Miscellaneous"/>
    <x v="1"/>
    <x v="0"/>
    <x v="3"/>
  </r>
  <r>
    <s v="10.12.0.2"/>
    <x v="520"/>
    <s v="10.11.9.28"/>
    <x v="107"/>
    <n v="2"/>
    <x v="48"/>
    <n v="2"/>
    <n v="124"/>
    <n v="0"/>
    <n v="0"/>
    <n v="230.819951"/>
    <n v="2.9164020000000099"/>
    <n v="340.14515145717201"/>
    <n v="0"/>
    <x v="20"/>
    <x v="20"/>
    <s v="PPPCFC2"/>
    <s v="EGX100"/>
    <s v="Fume Control"/>
    <s v="Miscellaneous"/>
    <x v="1"/>
    <x v="0"/>
    <x v="3"/>
  </r>
  <r>
    <s v="10.12.0.2"/>
    <x v="218"/>
    <s v="10.11.9.28"/>
    <x v="107"/>
    <n v="2"/>
    <x v="48"/>
    <n v="2"/>
    <n v="124"/>
    <n v="0"/>
    <n v="0"/>
    <n v="230.962076"/>
    <n v="2.87486799999999"/>
    <n v="345.05932098447698"/>
    <n v="0"/>
    <x v="20"/>
    <x v="20"/>
    <s v="PPPCFC2"/>
    <s v="EGX100"/>
    <s v="Fume Control"/>
    <s v="Miscellaneous"/>
    <x v="1"/>
    <x v="0"/>
    <x v="3"/>
  </r>
  <r>
    <s v="10.12.0.2"/>
    <x v="219"/>
    <s v="10.11.9.28"/>
    <x v="107"/>
    <n v="2"/>
    <x v="48"/>
    <n v="2"/>
    <n v="124"/>
    <n v="0"/>
    <n v="0"/>
    <n v="231.48109199999999"/>
    <n v="2.9593760000000202"/>
    <n v="335.20580014164898"/>
    <n v="0"/>
    <x v="20"/>
    <x v="20"/>
    <s v="PPPCFC2"/>
    <s v="EGX100"/>
    <s v="Fume Control"/>
    <s v="Miscellaneous"/>
    <x v="1"/>
    <x v="0"/>
    <x v="3"/>
  </r>
  <r>
    <s v="10.12.0.2"/>
    <x v="220"/>
    <s v="10.11.9.28"/>
    <x v="107"/>
    <n v="1"/>
    <x v="1"/>
    <n v="1"/>
    <n v="62"/>
    <n v="0"/>
    <n v="0"/>
    <n v="232.67898299999999"/>
    <n v="0"/>
    <n v="0"/>
    <n v="0"/>
    <x v="20"/>
    <x v="20"/>
    <s v="PPPCFC2"/>
    <s v="EGX100"/>
    <s v="Fume Control"/>
    <s v="Miscellaneous"/>
    <x v="1"/>
    <x v="0"/>
    <x v="3"/>
  </r>
  <r>
    <s v="10.12.0.2"/>
    <x v="521"/>
    <s v="10.11.9.28"/>
    <x v="107"/>
    <n v="2"/>
    <x v="48"/>
    <n v="2"/>
    <n v="124"/>
    <n v="0"/>
    <n v="0"/>
    <n v="233.041066"/>
    <n v="3.0089030000000001"/>
    <n v="329.68826180172601"/>
    <n v="0"/>
    <x v="20"/>
    <x v="20"/>
    <s v="PPPCFC2"/>
    <s v="EGX100"/>
    <s v="Fume Control"/>
    <s v="Miscellaneous"/>
    <x v="1"/>
    <x v="0"/>
    <x v="3"/>
  </r>
  <r>
    <s v="10.12.0.2"/>
    <x v="221"/>
    <s v="10.11.9.28"/>
    <x v="107"/>
    <n v="1"/>
    <x v="1"/>
    <n v="1"/>
    <n v="62"/>
    <n v="0"/>
    <n v="0"/>
    <n v="233.83342500000001"/>
    <n v="0"/>
    <n v="0"/>
    <n v="0"/>
    <x v="20"/>
    <x v="20"/>
    <s v="PPPCFC2"/>
    <s v="EGX100"/>
    <s v="Fume Control"/>
    <s v="Miscellaneous"/>
    <x v="1"/>
    <x v="0"/>
    <x v="3"/>
  </r>
  <r>
    <s v="10.12.0.2"/>
    <x v="522"/>
    <s v="10.11.9.28"/>
    <x v="107"/>
    <n v="1"/>
    <x v="1"/>
    <n v="1"/>
    <n v="62"/>
    <n v="0"/>
    <n v="0"/>
    <n v="233.974096"/>
    <n v="0"/>
    <n v="0"/>
    <n v="0"/>
    <x v="20"/>
    <x v="20"/>
    <s v="PPPCFC2"/>
    <s v="EGX100"/>
    <s v="Fume Control"/>
    <s v="Miscellaneous"/>
    <x v="1"/>
    <x v="0"/>
    <x v="3"/>
  </r>
  <r>
    <s v="10.12.0.2"/>
    <x v="222"/>
    <s v="10.11.9.28"/>
    <x v="107"/>
    <n v="1"/>
    <x v="1"/>
    <n v="1"/>
    <n v="62"/>
    <n v="0"/>
    <n v="0"/>
    <n v="234.489654"/>
    <n v="0"/>
    <n v="0"/>
    <n v="0"/>
    <x v="20"/>
    <x v="20"/>
    <s v="PPPCFC2"/>
    <s v="EGX100"/>
    <s v="Fume Control"/>
    <s v="Miscellaneous"/>
    <x v="1"/>
    <x v="0"/>
    <x v="3"/>
  </r>
  <r>
    <s v="10.12.0.2"/>
    <x v="523"/>
    <s v="10.11.9.28"/>
    <x v="107"/>
    <n v="1"/>
    <x v="1"/>
    <n v="1"/>
    <n v="62"/>
    <n v="0"/>
    <n v="0"/>
    <n v="236.052289"/>
    <n v="0"/>
    <n v="0"/>
    <n v="0"/>
    <x v="20"/>
    <x v="20"/>
    <s v="PPPCFC2"/>
    <s v="EGX100"/>
    <s v="Fume Control"/>
    <s v="Miscellaneous"/>
    <x v="1"/>
    <x v="0"/>
    <x v="3"/>
  </r>
  <r>
    <s v="10.12.0.2"/>
    <x v="225"/>
    <s v="10.11.9.28"/>
    <x v="107"/>
    <n v="2"/>
    <x v="48"/>
    <n v="2"/>
    <n v="124"/>
    <n v="0"/>
    <n v="0"/>
    <n v="262.682209"/>
    <n v="2.9401520000000101"/>
    <n v="337.39752230496799"/>
    <n v="0"/>
    <x v="20"/>
    <x v="20"/>
    <s v="PPPCFC2"/>
    <s v="EGX100"/>
    <s v="Fume Control"/>
    <s v="Miscellaneous"/>
    <x v="1"/>
    <x v="0"/>
    <x v="3"/>
  </r>
  <r>
    <s v="10.12.0.2"/>
    <x v="524"/>
    <s v="10.11.9.28"/>
    <x v="107"/>
    <n v="2"/>
    <x v="48"/>
    <n v="2"/>
    <n v="124"/>
    <n v="0"/>
    <n v="0"/>
    <n v="263.844311"/>
    <n v="2.9850880000000202"/>
    <n v="332.31851121306801"/>
    <n v="0"/>
    <x v="20"/>
    <x v="20"/>
    <s v="PPPCFC2"/>
    <s v="EGX100"/>
    <s v="Fume Control"/>
    <s v="Miscellaneous"/>
    <x v="1"/>
    <x v="0"/>
    <x v="3"/>
  </r>
  <r>
    <s v="10.12.0.2"/>
    <x v="226"/>
    <s v="10.11.9.28"/>
    <x v="107"/>
    <n v="2"/>
    <x v="48"/>
    <n v="2"/>
    <n v="124"/>
    <n v="0"/>
    <n v="0"/>
    <n v="263.98589900000002"/>
    <n v="2.8434959999999601"/>
    <n v="348.86632511528597"/>
    <n v="0"/>
    <x v="20"/>
    <x v="20"/>
    <s v="PPPCFC2"/>
    <s v="EGX100"/>
    <s v="Fume Control"/>
    <s v="Miscellaneous"/>
    <x v="1"/>
    <x v="0"/>
    <x v="3"/>
  </r>
  <r>
    <s v="10.12.0.2"/>
    <x v="525"/>
    <s v="10.11.9.28"/>
    <x v="107"/>
    <n v="2"/>
    <x v="48"/>
    <n v="2"/>
    <n v="124"/>
    <n v="0"/>
    <n v="0"/>
    <n v="264.49390299999999"/>
    <n v="2.8383830000000199"/>
    <n v="349.494765153255"/>
    <n v="0"/>
    <x v="20"/>
    <x v="20"/>
    <s v="PPPCFC2"/>
    <s v="EGX100"/>
    <s v="Fume Control"/>
    <s v="Miscellaneous"/>
    <x v="1"/>
    <x v="0"/>
    <x v="3"/>
  </r>
  <r>
    <s v="10.12.0.2"/>
    <x v="227"/>
    <s v="10.11.9.28"/>
    <x v="107"/>
    <n v="1"/>
    <x v="1"/>
    <n v="1"/>
    <n v="62"/>
    <n v="0"/>
    <n v="0"/>
    <n v="265.69302499999998"/>
    <n v="0"/>
    <n v="0"/>
    <n v="0"/>
    <x v="20"/>
    <x v="20"/>
    <s v="PPPCFC2"/>
    <s v="EGX100"/>
    <s v="Fume Control"/>
    <s v="Miscellaneous"/>
    <x v="1"/>
    <x v="0"/>
    <x v="3"/>
  </r>
  <r>
    <s v="10.12.0.2"/>
    <x v="526"/>
    <s v="10.11.9.28"/>
    <x v="107"/>
    <n v="2"/>
    <x v="48"/>
    <n v="2"/>
    <n v="124"/>
    <n v="0"/>
    <n v="0"/>
    <n v="266.06188400000002"/>
    <n v="2.9804759999999502"/>
    <n v="332.83274215260099"/>
    <n v="0"/>
    <x v="20"/>
    <x v="20"/>
    <s v="PPPCFC2"/>
    <s v="EGX100"/>
    <s v="Fume Control"/>
    <s v="Miscellaneous"/>
    <x v="1"/>
    <x v="0"/>
    <x v="3"/>
  </r>
  <r>
    <s v="10.12.0.2"/>
    <x v="228"/>
    <s v="10.11.9.28"/>
    <x v="107"/>
    <n v="1"/>
    <x v="1"/>
    <n v="1"/>
    <n v="62"/>
    <n v="0"/>
    <n v="0"/>
    <n v="266.84935100000001"/>
    <n v="0"/>
    <n v="0"/>
    <n v="0"/>
    <x v="20"/>
    <x v="20"/>
    <s v="PPPCFC2"/>
    <s v="EGX100"/>
    <s v="Fume Control"/>
    <s v="Miscellaneous"/>
    <x v="1"/>
    <x v="0"/>
    <x v="3"/>
  </r>
  <r>
    <s v="10.12.0.2"/>
    <x v="229"/>
    <s v="10.11.9.28"/>
    <x v="107"/>
    <n v="1"/>
    <x v="1"/>
    <n v="1"/>
    <n v="62"/>
    <n v="0"/>
    <n v="0"/>
    <n v="266.99017400000002"/>
    <n v="0"/>
    <n v="0"/>
    <n v="0"/>
    <x v="20"/>
    <x v="20"/>
    <s v="PPPCFC2"/>
    <s v="EGX100"/>
    <s v="Fume Control"/>
    <s v="Miscellaneous"/>
    <x v="1"/>
    <x v="0"/>
    <x v="3"/>
  </r>
  <r>
    <s v="10.12.0.2"/>
    <x v="230"/>
    <s v="10.11.9.28"/>
    <x v="107"/>
    <n v="1"/>
    <x v="1"/>
    <n v="1"/>
    <n v="62"/>
    <n v="0"/>
    <n v="0"/>
    <n v="267.50559700000002"/>
    <n v="0"/>
    <n v="0"/>
    <n v="0"/>
    <x v="20"/>
    <x v="20"/>
    <s v="PPPCFC2"/>
    <s v="EGX100"/>
    <s v="Fume Control"/>
    <s v="Miscellaneous"/>
    <x v="1"/>
    <x v="0"/>
    <x v="3"/>
  </r>
  <r>
    <s v="10.12.0.2"/>
    <x v="527"/>
    <s v="10.11.9.28"/>
    <x v="107"/>
    <n v="1"/>
    <x v="1"/>
    <n v="1"/>
    <n v="62"/>
    <n v="0"/>
    <n v="0"/>
    <n v="269.06809099999998"/>
    <n v="0"/>
    <n v="0"/>
    <n v="0"/>
    <x v="20"/>
    <x v="20"/>
    <s v="PPPCFC2"/>
    <s v="EGX100"/>
    <s v="Fume Control"/>
    <s v="Miscellaneous"/>
    <x v="1"/>
    <x v="0"/>
    <x v="3"/>
  </r>
  <r>
    <s v="10.12.0.2"/>
    <x v="528"/>
    <s v="10.11.9.28"/>
    <x v="107"/>
    <n v="2"/>
    <x v="48"/>
    <n v="2"/>
    <n v="124"/>
    <n v="0"/>
    <n v="0"/>
    <n v="295.69601899999998"/>
    <n v="2.9188360000000002"/>
    <n v="339.861506436127"/>
    <n v="0"/>
    <x v="20"/>
    <x v="20"/>
    <s v="PPPCFC2"/>
    <s v="EGX100"/>
    <s v="Fume Control"/>
    <s v="Miscellaneous"/>
    <x v="1"/>
    <x v="0"/>
    <x v="3"/>
  </r>
  <r>
    <s v="10.12.0.2"/>
    <x v="529"/>
    <s v="10.11.9.28"/>
    <x v="107"/>
    <n v="2"/>
    <x v="48"/>
    <n v="2"/>
    <n v="124"/>
    <n v="0"/>
    <n v="0"/>
    <n v="296.85306300000002"/>
    <n v="2.8680709999999898"/>
    <n v="345.877072080853"/>
    <n v="0"/>
    <x v="20"/>
    <x v="20"/>
    <s v="PPPCFC2"/>
    <s v="EGX100"/>
    <s v="Fume Control"/>
    <s v="Miscellaneous"/>
    <x v="1"/>
    <x v="0"/>
    <x v="3"/>
  </r>
  <r>
    <s v="10.12.0.2"/>
    <x v="233"/>
    <s v="10.11.9.28"/>
    <x v="107"/>
    <n v="2"/>
    <x v="48"/>
    <n v="2"/>
    <n v="124"/>
    <n v="0"/>
    <n v="0"/>
    <n v="296.99509499999999"/>
    <n v="2.8266770000000201"/>
    <n v="350.942113301235"/>
    <n v="0"/>
    <x v="20"/>
    <x v="20"/>
    <s v="PPPCFC2"/>
    <s v="EGX100"/>
    <s v="Fume Control"/>
    <s v="Miscellaneous"/>
    <x v="1"/>
    <x v="0"/>
    <x v="3"/>
  </r>
  <r>
    <s v="10.12.0.2"/>
    <x v="530"/>
    <s v="10.11.9.28"/>
    <x v="107"/>
    <n v="2"/>
    <x v="48"/>
    <n v="2"/>
    <n v="124"/>
    <n v="0"/>
    <n v="0"/>
    <n v="297.51631900000001"/>
    <n v="2.9090289999999799"/>
    <n v="341.00725706069198"/>
    <n v="0"/>
    <x v="20"/>
    <x v="20"/>
    <s v="PPPCFC2"/>
    <s v="EGX100"/>
    <s v="Fume Control"/>
    <s v="Miscellaneous"/>
    <x v="1"/>
    <x v="0"/>
    <x v="3"/>
  </r>
  <r>
    <s v="10.12.0.2"/>
    <x v="234"/>
    <s v="10.11.9.28"/>
    <x v="107"/>
    <n v="1"/>
    <x v="1"/>
    <n v="1"/>
    <n v="62"/>
    <n v="0"/>
    <n v="0"/>
    <n v="298.70885900000002"/>
    <n v="0"/>
    <n v="0"/>
    <n v="0"/>
    <x v="20"/>
    <x v="20"/>
    <s v="PPPCFC2"/>
    <s v="EGX100"/>
    <s v="Fume Control"/>
    <s v="Miscellaneous"/>
    <x v="1"/>
    <x v="0"/>
    <x v="3"/>
  </r>
  <r>
    <s v="10.12.0.2"/>
    <x v="531"/>
    <s v="10.11.9.28"/>
    <x v="107"/>
    <n v="2"/>
    <x v="48"/>
    <n v="2"/>
    <n v="124"/>
    <n v="0"/>
    <n v="0"/>
    <n v="299.07048300000002"/>
    <n v="2.8637059999999801"/>
    <n v="346.40427474049602"/>
    <n v="0"/>
    <x v="20"/>
    <x v="20"/>
    <s v="PPPCFC2"/>
    <s v="EGX100"/>
    <s v="Fume Control"/>
    <s v="Miscellaneous"/>
    <x v="1"/>
    <x v="0"/>
    <x v="3"/>
  </r>
  <r>
    <s v="10.12.0.2"/>
    <x v="235"/>
    <s v="10.11.9.28"/>
    <x v="107"/>
    <n v="1"/>
    <x v="1"/>
    <n v="1"/>
    <n v="62"/>
    <n v="0"/>
    <n v="0"/>
    <n v="299.86523199999999"/>
    <n v="0"/>
    <n v="0"/>
    <n v="0"/>
    <x v="20"/>
    <x v="20"/>
    <s v="PPPCFC2"/>
    <s v="EGX100"/>
    <s v="Fume Control"/>
    <s v="Miscellaneous"/>
    <x v="1"/>
    <x v="0"/>
    <x v="3"/>
  </r>
  <r>
    <s v="10.12.0.2"/>
    <x v="236"/>
    <s v="10.11.9.28"/>
    <x v="107"/>
    <n v="1"/>
    <x v="1"/>
    <n v="1"/>
    <n v="62"/>
    <n v="0"/>
    <n v="0"/>
    <n v="300.00584400000002"/>
    <n v="0"/>
    <n v="0"/>
    <n v="0"/>
    <x v="20"/>
    <x v="20"/>
    <s v="PPPCFC2"/>
    <s v="EGX100"/>
    <s v="Fume Control"/>
    <s v="Miscellaneous"/>
    <x v="1"/>
    <x v="0"/>
    <x v="3"/>
  </r>
  <r>
    <s v="10.12.0.2"/>
    <x v="532"/>
    <s v="10.11.9.28"/>
    <x v="107"/>
    <n v="1"/>
    <x v="1"/>
    <n v="1"/>
    <n v="62"/>
    <n v="0"/>
    <n v="0"/>
    <n v="300.52142600000002"/>
    <n v="0"/>
    <n v="0"/>
    <n v="0"/>
    <x v="20"/>
    <x v="20"/>
    <s v="PPPCFC2"/>
    <s v="EGX100"/>
    <s v="Fume Control"/>
    <s v="Miscellaneous"/>
    <x v="1"/>
    <x v="0"/>
    <x v="3"/>
  </r>
  <r>
    <s v="10.12.0.2"/>
    <x v="533"/>
    <s v="10.11.9.28"/>
    <x v="107"/>
    <n v="1"/>
    <x v="1"/>
    <n v="1"/>
    <n v="62"/>
    <n v="0"/>
    <n v="0"/>
    <n v="302.08390900000001"/>
    <n v="0"/>
    <n v="0"/>
    <n v="0"/>
    <x v="20"/>
    <x v="20"/>
    <s v="PPPCFC2"/>
    <s v="EGX100"/>
    <s v="Fume Control"/>
    <s v="Miscellaneous"/>
    <x v="1"/>
    <x v="0"/>
    <x v="3"/>
  </r>
  <r>
    <s v="10.12.0.2"/>
    <x v="534"/>
    <s v="10.11.9.28"/>
    <x v="107"/>
    <n v="1"/>
    <x v="1"/>
    <n v="1"/>
    <n v="62"/>
    <n v="0"/>
    <n v="0"/>
    <n v="328.71789699999999"/>
    <n v="0"/>
    <n v="0"/>
    <n v="0"/>
    <x v="20"/>
    <x v="20"/>
    <s v="PPPCFC2"/>
    <s v="EGX100"/>
    <s v="Fume Control"/>
    <s v="Miscellaneous"/>
    <x v="1"/>
    <x v="0"/>
    <x v="3"/>
  </r>
  <r>
    <s v="10.12.0.2"/>
    <x v="241"/>
    <s v="10.11.9.28"/>
    <x v="107"/>
    <n v="1"/>
    <x v="1"/>
    <n v="1"/>
    <n v="62"/>
    <n v="0"/>
    <n v="0"/>
    <n v="329.87015400000001"/>
    <n v="0"/>
    <n v="0"/>
    <n v="0"/>
    <x v="20"/>
    <x v="20"/>
    <s v="PPPCFC2"/>
    <s v="EGX100"/>
    <s v="Fume Control"/>
    <s v="Miscellaneous"/>
    <x v="1"/>
    <x v="0"/>
    <x v="3"/>
  </r>
  <r>
    <s v="10.12.0.2"/>
    <x v="535"/>
    <s v="10.11.9.28"/>
    <x v="107"/>
    <n v="2"/>
    <x v="48"/>
    <n v="2"/>
    <n v="124"/>
    <n v="0"/>
    <n v="0"/>
    <n v="330.011796"/>
    <n v="3.0035780000000001"/>
    <n v="330.27276135329203"/>
    <n v="0"/>
    <x v="20"/>
    <x v="20"/>
    <s v="PPPCFC2"/>
    <s v="EGX100"/>
    <s v="Fume Control"/>
    <s v="Miscellaneous"/>
    <x v="1"/>
    <x v="0"/>
    <x v="3"/>
  </r>
  <r>
    <s v="10.12.0.2"/>
    <x v="242"/>
    <s v="10.11.9.28"/>
    <x v="107"/>
    <n v="2"/>
    <x v="48"/>
    <n v="2"/>
    <n v="124"/>
    <n v="0"/>
    <n v="0"/>
    <n v="330.53144600000002"/>
    <n v="2.9869049999999802"/>
    <n v="332.11635455429899"/>
    <n v="0"/>
    <x v="20"/>
    <x v="20"/>
    <s v="PPPCFC2"/>
    <s v="EGX100"/>
    <s v="Fume Control"/>
    <s v="Miscellaneous"/>
    <x v="1"/>
    <x v="0"/>
    <x v="3"/>
  </r>
  <r>
    <s v="10.12.0.2"/>
    <x v="536"/>
    <s v="10.11.9.28"/>
    <x v="107"/>
    <n v="1"/>
    <x v="1"/>
    <n v="1"/>
    <n v="62"/>
    <n v="0"/>
    <n v="0"/>
    <n v="331.72471100000001"/>
    <n v="0"/>
    <n v="0"/>
    <n v="0"/>
    <x v="20"/>
    <x v="20"/>
    <s v="PPPCFC2"/>
    <s v="EGX100"/>
    <s v="Fume Control"/>
    <s v="Miscellaneous"/>
    <x v="1"/>
    <x v="0"/>
    <x v="3"/>
  </r>
  <r>
    <s v="10.12.0.2"/>
    <x v="537"/>
    <s v="10.11.9.28"/>
    <x v="107"/>
    <n v="2"/>
    <x v="48"/>
    <n v="2"/>
    <n v="124"/>
    <n v="0"/>
    <n v="0"/>
    <n v="332.08573000000001"/>
    <n v="2.8408430000000102"/>
    <n v="349.19212360556298"/>
    <n v="0"/>
    <x v="20"/>
    <x v="20"/>
    <s v="PPPCFC2"/>
    <s v="EGX100"/>
    <s v="Fume Control"/>
    <s v="Miscellaneous"/>
    <x v="1"/>
    <x v="0"/>
    <x v="3"/>
  </r>
  <r>
    <s v="10.12.0.2"/>
    <x v="538"/>
    <s v="10.11.9.28"/>
    <x v="107"/>
    <n v="1"/>
    <x v="1"/>
    <n v="1"/>
    <n v="62"/>
    <n v="0"/>
    <n v="0"/>
    <n v="332.881055"/>
    <n v="0"/>
    <n v="0"/>
    <n v="0"/>
    <x v="20"/>
    <x v="20"/>
    <s v="PPPCFC2"/>
    <s v="EGX100"/>
    <s v="Fume Control"/>
    <s v="Miscellaneous"/>
    <x v="1"/>
    <x v="0"/>
    <x v="3"/>
  </r>
  <r>
    <s v="10.12.0.2"/>
    <x v="539"/>
    <s v="10.11.9.28"/>
    <x v="107"/>
    <n v="1"/>
    <x v="1"/>
    <n v="1"/>
    <n v="62"/>
    <n v="0"/>
    <n v="0"/>
    <n v="333.02167800000001"/>
    <n v="0"/>
    <n v="0"/>
    <n v="0"/>
    <x v="20"/>
    <x v="20"/>
    <s v="PPPCFC2"/>
    <s v="EGX100"/>
    <s v="Fume Control"/>
    <s v="Miscellaneous"/>
    <x v="1"/>
    <x v="0"/>
    <x v="3"/>
  </r>
  <r>
    <s v="10.12.0.2"/>
    <x v="243"/>
    <s v="10.11.9.28"/>
    <x v="107"/>
    <n v="1"/>
    <x v="1"/>
    <n v="1"/>
    <n v="62"/>
    <n v="0"/>
    <n v="0"/>
    <n v="333.53740499999998"/>
    <n v="0"/>
    <n v="0"/>
    <n v="0"/>
    <x v="20"/>
    <x v="20"/>
    <s v="PPPCFC2"/>
    <s v="EGX100"/>
    <s v="Fume Control"/>
    <s v="Miscellaneous"/>
    <x v="1"/>
    <x v="0"/>
    <x v="3"/>
  </r>
  <r>
    <s v="10.12.0.2"/>
    <x v="540"/>
    <s v="10.11.9.28"/>
    <x v="107"/>
    <n v="1"/>
    <x v="1"/>
    <n v="1"/>
    <n v="62"/>
    <n v="0"/>
    <n v="0"/>
    <n v="335.09983"/>
    <n v="0"/>
    <n v="0"/>
    <n v="0"/>
    <x v="20"/>
    <x v="20"/>
    <s v="PPPCFC2"/>
    <s v="EGX100"/>
    <s v="Fume Control"/>
    <s v="Miscellaneous"/>
    <x v="1"/>
    <x v="0"/>
    <x v="3"/>
  </r>
  <r>
    <s v="10.12.0.2"/>
    <x v="541"/>
    <s v="10.11.9.28"/>
    <x v="107"/>
    <n v="2"/>
    <x v="48"/>
    <n v="2"/>
    <n v="124"/>
    <n v="0"/>
    <n v="0"/>
    <n v="361.72863699999999"/>
    <n v="2.9715719999999801"/>
    <n v="333.830040126911"/>
    <n v="0"/>
    <x v="20"/>
    <x v="20"/>
    <s v="PPPCFC2"/>
    <s v="EGX100"/>
    <s v="Fume Control"/>
    <s v="Miscellaneous"/>
    <x v="1"/>
    <x v="0"/>
    <x v="3"/>
  </r>
  <r>
    <s v="10.12.0.2"/>
    <x v="248"/>
    <s v="10.11.9.28"/>
    <x v="107"/>
    <n v="2"/>
    <x v="48"/>
    <n v="2"/>
    <n v="124"/>
    <n v="0"/>
    <n v="0"/>
    <n v="362.88330000000002"/>
    <n v="2.9233759999999598"/>
    <n v="339.33370185703501"/>
    <n v="0"/>
    <x v="20"/>
    <x v="20"/>
    <s v="PPPCFC2"/>
    <s v="EGX100"/>
    <s v="Fume Control"/>
    <s v="Miscellaneous"/>
    <x v="1"/>
    <x v="0"/>
    <x v="3"/>
  </r>
  <r>
    <s v="10.12.0.2"/>
    <x v="249"/>
    <s v="10.11.9.28"/>
    <x v="107"/>
    <n v="2"/>
    <x v="48"/>
    <n v="2"/>
    <n v="124"/>
    <n v="0"/>
    <n v="0"/>
    <n v="363.02666299999999"/>
    <n v="2.9811770000000002"/>
    <n v="332.754479187247"/>
    <n v="0"/>
    <x v="20"/>
    <x v="20"/>
    <s v="PPPCFC2"/>
    <s v="EGX100"/>
    <s v="Fume Control"/>
    <s v="Miscellaneous"/>
    <x v="1"/>
    <x v="0"/>
    <x v="3"/>
  </r>
  <r>
    <s v="10.12.0.2"/>
    <x v="250"/>
    <s v="10.11.9.28"/>
    <x v="107"/>
    <n v="2"/>
    <x v="48"/>
    <n v="2"/>
    <n v="124"/>
    <n v="0"/>
    <n v="0"/>
    <n v="363.54601500000001"/>
    <n v="2.9647549999999701"/>
    <n v="334.597631170201"/>
    <n v="0"/>
    <x v="20"/>
    <x v="20"/>
    <s v="PPPCFC2"/>
    <s v="EGX100"/>
    <s v="Fume Control"/>
    <s v="Miscellaneous"/>
    <x v="1"/>
    <x v="0"/>
    <x v="3"/>
  </r>
  <r>
    <s v="10.12.0.2"/>
    <x v="542"/>
    <s v="10.11.9.28"/>
    <x v="107"/>
    <n v="1"/>
    <x v="1"/>
    <n v="1"/>
    <n v="62"/>
    <n v="0"/>
    <n v="0"/>
    <n v="364.74058100000002"/>
    <n v="0"/>
    <n v="0"/>
    <n v="0"/>
    <x v="20"/>
    <x v="20"/>
    <s v="PPPCFC2"/>
    <s v="EGX100"/>
    <s v="Fume Control"/>
    <s v="Miscellaneous"/>
    <x v="1"/>
    <x v="0"/>
    <x v="3"/>
  </r>
  <r>
    <s v="10.12.0.2"/>
    <x v="251"/>
    <s v="10.11.9.28"/>
    <x v="107"/>
    <n v="1"/>
    <x v="1"/>
    <n v="1"/>
    <n v="62"/>
    <n v="0"/>
    <n v="0"/>
    <n v="365.11040600000001"/>
    <n v="0"/>
    <n v="0"/>
    <n v="0"/>
    <x v="20"/>
    <x v="20"/>
    <s v="PPPCFC2"/>
    <s v="EGX100"/>
    <s v="Fume Control"/>
    <s v="Miscellaneous"/>
    <x v="1"/>
    <x v="0"/>
    <x v="3"/>
  </r>
  <r>
    <s v="10.12.0.2"/>
    <x v="543"/>
    <s v="10.11.9.28"/>
    <x v="107"/>
    <n v="1"/>
    <x v="1"/>
    <n v="1"/>
    <n v="62"/>
    <n v="0"/>
    <n v="0"/>
    <n v="365.89694600000001"/>
    <n v="0"/>
    <n v="0"/>
    <n v="0"/>
    <x v="20"/>
    <x v="20"/>
    <s v="PPPCFC2"/>
    <s v="EGX100"/>
    <s v="Fume Control"/>
    <s v="Miscellaneous"/>
    <x v="1"/>
    <x v="0"/>
    <x v="3"/>
  </r>
  <r>
    <s v="10.12.0.2"/>
    <x v="252"/>
    <s v="10.11.9.28"/>
    <x v="107"/>
    <n v="1"/>
    <x v="1"/>
    <n v="1"/>
    <n v="62"/>
    <n v="0"/>
    <n v="0"/>
    <n v="366.03751599999998"/>
    <n v="0"/>
    <n v="0"/>
    <n v="0"/>
    <x v="20"/>
    <x v="20"/>
    <s v="PPPCFC2"/>
    <s v="EGX100"/>
    <s v="Fume Control"/>
    <s v="Miscellaneous"/>
    <x v="1"/>
    <x v="0"/>
    <x v="3"/>
  </r>
  <r>
    <s v="10.12.0.2"/>
    <x v="544"/>
    <s v="10.11.9.28"/>
    <x v="107"/>
    <n v="1"/>
    <x v="1"/>
    <n v="1"/>
    <n v="62"/>
    <n v="0"/>
    <n v="0"/>
    <n v="366.553269"/>
    <n v="0"/>
    <n v="0"/>
    <n v="0"/>
    <x v="20"/>
    <x v="20"/>
    <s v="PPPCFC2"/>
    <s v="EGX100"/>
    <s v="Fume Control"/>
    <s v="Miscellaneous"/>
    <x v="1"/>
    <x v="0"/>
    <x v="3"/>
  </r>
  <r>
    <s v="10.12.0.2"/>
    <x v="545"/>
    <s v="10.11.9.28"/>
    <x v="107"/>
    <n v="1"/>
    <x v="1"/>
    <n v="1"/>
    <n v="62"/>
    <n v="0"/>
    <n v="0"/>
    <n v="368.11562400000003"/>
    <n v="0"/>
    <n v="0"/>
    <n v="0"/>
    <x v="20"/>
    <x v="20"/>
    <s v="PPPCFC2"/>
    <s v="EGX100"/>
    <s v="Fume Control"/>
    <s v="Miscellaneous"/>
    <x v="1"/>
    <x v="0"/>
    <x v="3"/>
  </r>
  <r>
    <s v="10.12.0.2"/>
    <x v="255"/>
    <s v="10.11.9.28"/>
    <x v="107"/>
    <n v="2"/>
    <x v="48"/>
    <n v="2"/>
    <n v="124"/>
    <n v="0"/>
    <n v="0"/>
    <n v="394.749257"/>
    <n v="2.9432980000000302"/>
    <n v="337.03688855154701"/>
    <n v="0"/>
    <x v="20"/>
    <x v="20"/>
    <s v="PPPCFC2"/>
    <s v="EGX100"/>
    <s v="Fume Control"/>
    <s v="Miscellaneous"/>
    <x v="1"/>
    <x v="0"/>
    <x v="3"/>
  </r>
  <r>
    <s v="10.12.0.2"/>
    <x v="256"/>
    <s v="10.11.9.28"/>
    <x v="107"/>
    <n v="2"/>
    <x v="48"/>
    <n v="2"/>
    <n v="124"/>
    <n v="0"/>
    <n v="0"/>
    <n v="395.90350899999999"/>
    <n v="2.9962360000000099"/>
    <n v="331.08206429667001"/>
    <n v="0"/>
    <x v="20"/>
    <x v="20"/>
    <s v="PPPCFC2"/>
    <s v="EGX100"/>
    <s v="Fume Control"/>
    <s v="Miscellaneous"/>
    <x v="1"/>
    <x v="0"/>
    <x v="3"/>
  </r>
  <r>
    <s v="10.12.0.2"/>
    <x v="546"/>
    <s v="10.11.9.28"/>
    <x v="107"/>
    <n v="1"/>
    <x v="1"/>
    <n v="1"/>
    <n v="62"/>
    <n v="0"/>
    <n v="0"/>
    <n v="396.04615699999999"/>
    <n v="0"/>
    <n v="0"/>
    <n v="0"/>
    <x v="20"/>
    <x v="20"/>
    <s v="PPPCFC2"/>
    <s v="EGX100"/>
    <s v="Fume Control"/>
    <s v="Miscellaneous"/>
    <x v="1"/>
    <x v="0"/>
    <x v="3"/>
  </r>
  <r>
    <s v="10.12.0.2"/>
    <x v="257"/>
    <s v="10.11.9.28"/>
    <x v="107"/>
    <n v="1"/>
    <x v="1"/>
    <n v="1"/>
    <n v="62"/>
    <n v="0"/>
    <n v="0"/>
    <n v="396.55514899999997"/>
    <n v="0"/>
    <n v="0"/>
    <n v="0"/>
    <x v="20"/>
    <x v="20"/>
    <s v="PPPCFC2"/>
    <s v="EGX100"/>
    <s v="Fume Control"/>
    <s v="Miscellaneous"/>
    <x v="1"/>
    <x v="0"/>
    <x v="3"/>
  </r>
  <r>
    <s v="10.12.0.2"/>
    <x v="547"/>
    <s v="10.11.9.28"/>
    <x v="107"/>
    <n v="1"/>
    <x v="1"/>
    <n v="1"/>
    <n v="62"/>
    <n v="0"/>
    <n v="0"/>
    <n v="397.756462"/>
    <n v="0"/>
    <n v="0"/>
    <n v="0"/>
    <x v="20"/>
    <x v="20"/>
    <s v="PPPCFC2"/>
    <s v="EGX100"/>
    <s v="Fume Control"/>
    <s v="Miscellaneous"/>
    <x v="1"/>
    <x v="0"/>
    <x v="3"/>
  </r>
  <r>
    <s v="10.12.0.2"/>
    <x v="258"/>
    <s v="10.11.9.28"/>
    <x v="107"/>
    <n v="2"/>
    <x v="48"/>
    <n v="2"/>
    <n v="124"/>
    <n v="0"/>
    <n v="0"/>
    <n v="398.12349699999999"/>
    <n v="2.98897700000003"/>
    <n v="331.886126925697"/>
    <n v="0"/>
    <x v="20"/>
    <x v="20"/>
    <s v="PPPCFC2"/>
    <s v="EGX100"/>
    <s v="Fume Control"/>
    <s v="Miscellaneous"/>
    <x v="1"/>
    <x v="0"/>
    <x v="3"/>
  </r>
  <r>
    <s v="10.12.0.2"/>
    <x v="260"/>
    <s v="10.11.9.28"/>
    <x v="107"/>
    <n v="1"/>
    <x v="1"/>
    <n v="1"/>
    <n v="62"/>
    <n v="0"/>
    <n v="0"/>
    <n v="398.912645"/>
    <n v="0"/>
    <n v="0"/>
    <n v="0"/>
    <x v="20"/>
    <x v="20"/>
    <s v="PPPCFC2"/>
    <s v="EGX100"/>
    <s v="Fume Control"/>
    <s v="Miscellaneous"/>
    <x v="1"/>
    <x v="0"/>
    <x v="3"/>
  </r>
  <r>
    <s v="10.12.0.2"/>
    <x v="548"/>
    <s v="10.11.9.28"/>
    <x v="107"/>
    <n v="1"/>
    <x v="1"/>
    <n v="1"/>
    <n v="62"/>
    <n v="0"/>
    <n v="0"/>
    <n v="399.05338499999999"/>
    <n v="0"/>
    <n v="0"/>
    <n v="0"/>
    <x v="20"/>
    <x v="20"/>
    <s v="PPPCFC2"/>
    <s v="EGX100"/>
    <s v="Fume Control"/>
    <s v="Miscellaneous"/>
    <x v="1"/>
    <x v="0"/>
    <x v="3"/>
  </r>
  <r>
    <s v="10.12.0.2"/>
    <x v="261"/>
    <s v="10.11.9.28"/>
    <x v="107"/>
    <n v="1"/>
    <x v="1"/>
    <n v="1"/>
    <n v="62"/>
    <n v="0"/>
    <n v="0"/>
    <n v="399.56896499999999"/>
    <n v="0"/>
    <n v="0"/>
    <n v="0"/>
    <x v="20"/>
    <x v="20"/>
    <s v="PPPCFC2"/>
    <s v="EGX100"/>
    <s v="Fume Control"/>
    <s v="Miscellaneous"/>
    <x v="1"/>
    <x v="0"/>
    <x v="3"/>
  </r>
  <r>
    <s v="10.12.0.2"/>
    <x v="549"/>
    <s v="10.11.9.28"/>
    <x v="107"/>
    <n v="1"/>
    <x v="1"/>
    <n v="1"/>
    <n v="62"/>
    <n v="0"/>
    <n v="0"/>
    <n v="401.13151399999998"/>
    <n v="0"/>
    <n v="0"/>
    <n v="0"/>
    <x v="20"/>
    <x v="20"/>
    <s v="PPPCFC2"/>
    <s v="EGX100"/>
    <s v="Fume Control"/>
    <s v="Miscellaneous"/>
    <x v="1"/>
    <x v="0"/>
    <x v="3"/>
  </r>
  <r>
    <s v="10.12.0.2"/>
    <x v="550"/>
    <s v="10.11.9.28"/>
    <x v="107"/>
    <n v="2"/>
    <x v="48"/>
    <n v="2"/>
    <n v="124"/>
    <n v="0"/>
    <n v="0"/>
    <n v="427.76225699999998"/>
    <n v="2.9227380000000398"/>
    <n v="339.40777449090098"/>
    <n v="0"/>
    <x v="20"/>
    <x v="20"/>
    <s v="PPPCFC2"/>
    <s v="EGX100"/>
    <s v="Fume Control"/>
    <s v="Miscellaneous"/>
    <x v="1"/>
    <x v="0"/>
    <x v="3"/>
  </r>
  <r>
    <s v="10.12.0.2"/>
    <x v="264"/>
    <s v="10.11.9.28"/>
    <x v="107"/>
    <n v="2"/>
    <x v="48"/>
    <n v="2"/>
    <n v="124"/>
    <n v="0"/>
    <n v="0"/>
    <n v="428.91569600000003"/>
    <n v="2.9762779999999802"/>
    <n v="333.30219824895602"/>
    <n v="0"/>
    <x v="20"/>
    <x v="20"/>
    <s v="PPPCFC2"/>
    <s v="EGX100"/>
    <s v="Fume Control"/>
    <s v="Miscellaneous"/>
    <x v="1"/>
    <x v="0"/>
    <x v="3"/>
  </r>
  <r>
    <s v="10.12.0.2"/>
    <x v="265"/>
    <s v="10.11.9.28"/>
    <x v="107"/>
    <n v="1"/>
    <x v="1"/>
    <n v="1"/>
    <n v="62"/>
    <n v="0"/>
    <n v="0"/>
    <n v="429.05717499999997"/>
    <n v="0"/>
    <n v="0"/>
    <n v="0"/>
    <x v="20"/>
    <x v="20"/>
    <s v="PPPCFC2"/>
    <s v="EGX100"/>
    <s v="Fume Control"/>
    <s v="Miscellaneous"/>
    <x v="1"/>
    <x v="0"/>
    <x v="3"/>
  </r>
  <r>
    <s v="10.12.0.2"/>
    <x v="266"/>
    <s v="10.11.9.28"/>
    <x v="107"/>
    <n v="1"/>
    <x v="1"/>
    <n v="1"/>
    <n v="62"/>
    <n v="0"/>
    <n v="0"/>
    <n v="429.57500499999998"/>
    <n v="0"/>
    <n v="0"/>
    <n v="0"/>
    <x v="20"/>
    <x v="20"/>
    <s v="PPPCFC2"/>
    <s v="EGX100"/>
    <s v="Fume Control"/>
    <s v="Miscellaneous"/>
    <x v="1"/>
    <x v="0"/>
    <x v="3"/>
  </r>
  <r>
    <s v="10.12.0.2"/>
    <x v="267"/>
    <s v="10.11.9.28"/>
    <x v="107"/>
    <n v="1"/>
    <x v="1"/>
    <n v="1"/>
    <n v="62"/>
    <n v="0"/>
    <n v="0"/>
    <n v="430.77243299999998"/>
    <n v="0"/>
    <n v="0"/>
    <n v="0"/>
    <x v="20"/>
    <x v="20"/>
    <s v="PPPCFC2"/>
    <s v="EGX100"/>
    <s v="Fume Control"/>
    <s v="Miscellaneous"/>
    <x v="1"/>
    <x v="0"/>
    <x v="3"/>
  </r>
  <r>
    <s v="10.12.0.2"/>
    <x v="268"/>
    <s v="10.11.9.28"/>
    <x v="107"/>
    <n v="2"/>
    <x v="48"/>
    <n v="2"/>
    <n v="124"/>
    <n v="0"/>
    <n v="0"/>
    <n v="431.143101"/>
    <n v="2.96175699999998"/>
    <n v="334.93632327027802"/>
    <n v="0"/>
    <x v="20"/>
    <x v="20"/>
    <s v="PPPCFC2"/>
    <s v="EGX100"/>
    <s v="Fume Control"/>
    <s v="Miscellaneous"/>
    <x v="1"/>
    <x v="0"/>
    <x v="3"/>
  </r>
  <r>
    <s v="10.12.0.2"/>
    <x v="551"/>
    <s v="10.11.9.28"/>
    <x v="107"/>
    <n v="1"/>
    <x v="1"/>
    <n v="1"/>
    <n v="62"/>
    <n v="0"/>
    <n v="0"/>
    <n v="431.92856"/>
    <n v="0"/>
    <n v="0"/>
    <n v="0"/>
    <x v="20"/>
    <x v="20"/>
    <s v="PPPCFC2"/>
    <s v="EGX100"/>
    <s v="Fume Control"/>
    <s v="Miscellaneous"/>
    <x v="1"/>
    <x v="0"/>
    <x v="3"/>
  </r>
  <r>
    <s v="10.12.0.2"/>
    <x v="269"/>
    <s v="10.11.9.28"/>
    <x v="107"/>
    <n v="1"/>
    <x v="1"/>
    <n v="1"/>
    <n v="62"/>
    <n v="0"/>
    <n v="0"/>
    <n v="432.06923599999999"/>
    <n v="0"/>
    <n v="0"/>
    <n v="0"/>
    <x v="20"/>
    <x v="20"/>
    <s v="PPPCFC2"/>
    <s v="EGX100"/>
    <s v="Fume Control"/>
    <s v="Miscellaneous"/>
    <x v="1"/>
    <x v="0"/>
    <x v="3"/>
  </r>
  <r>
    <s v="10.12.0.2"/>
    <x v="552"/>
    <s v="10.11.9.28"/>
    <x v="107"/>
    <n v="1"/>
    <x v="1"/>
    <n v="1"/>
    <n v="62"/>
    <n v="0"/>
    <n v="0"/>
    <n v="432.58500900000001"/>
    <n v="0"/>
    <n v="0"/>
    <n v="0"/>
    <x v="20"/>
    <x v="20"/>
    <s v="PPPCFC2"/>
    <s v="EGX100"/>
    <s v="Fume Control"/>
    <s v="Miscellaneous"/>
    <x v="1"/>
    <x v="0"/>
    <x v="3"/>
  </r>
  <r>
    <s v="10.12.0.2"/>
    <x v="553"/>
    <s v="10.11.9.28"/>
    <x v="107"/>
    <n v="1"/>
    <x v="1"/>
    <n v="1"/>
    <n v="62"/>
    <n v="0"/>
    <n v="0"/>
    <n v="434.14749699999999"/>
    <n v="0"/>
    <n v="0"/>
    <n v="0"/>
    <x v="20"/>
    <x v="20"/>
    <s v="PPPCFC2"/>
    <s v="EGX100"/>
    <s v="Fume Control"/>
    <s v="Miscellaneous"/>
    <x v="1"/>
    <x v="0"/>
    <x v="3"/>
  </r>
  <r>
    <s v="10.12.0.2"/>
    <x v="554"/>
    <s v="10.11.9.28"/>
    <x v="107"/>
    <n v="2"/>
    <x v="48"/>
    <n v="2"/>
    <n v="124"/>
    <n v="0"/>
    <n v="0"/>
    <n v="460.78007400000001"/>
    <n v="2.9979279999999999"/>
    <n v="330.89520495488898"/>
    <n v="0"/>
    <x v="20"/>
    <x v="20"/>
    <s v="PPPCFC2"/>
    <s v="EGX100"/>
    <s v="Fume Control"/>
    <s v="Miscellaneous"/>
    <x v="1"/>
    <x v="0"/>
    <x v="3"/>
  </r>
  <r>
    <s v="10.12.0.2"/>
    <x v="274"/>
    <s v="10.11.9.28"/>
    <x v="107"/>
    <n v="1"/>
    <x v="1"/>
    <n v="1"/>
    <n v="62"/>
    <n v="0"/>
    <n v="0"/>
    <n v="461.93368600000002"/>
    <n v="0"/>
    <n v="0"/>
    <n v="0"/>
    <x v="20"/>
    <x v="20"/>
    <s v="PPPCFC2"/>
    <s v="EGX100"/>
    <s v="Fume Control"/>
    <s v="Miscellaneous"/>
    <x v="1"/>
    <x v="0"/>
    <x v="3"/>
  </r>
  <r>
    <s v="10.12.0.2"/>
    <x v="555"/>
    <s v="10.11.9.28"/>
    <x v="107"/>
    <n v="1"/>
    <x v="1"/>
    <n v="1"/>
    <n v="62"/>
    <n v="0"/>
    <n v="0"/>
    <n v="462.07486899999998"/>
    <n v="0"/>
    <n v="0"/>
    <n v="0"/>
    <x v="20"/>
    <x v="20"/>
    <s v="PPPCFC2"/>
    <s v="EGX100"/>
    <s v="Fume Control"/>
    <s v="Miscellaneous"/>
    <x v="1"/>
    <x v="0"/>
    <x v="3"/>
  </r>
  <r>
    <s v="10.12.0.2"/>
    <x v="275"/>
    <s v="10.11.9.28"/>
    <x v="107"/>
    <n v="2"/>
    <x v="48"/>
    <n v="2"/>
    <n v="124"/>
    <n v="0"/>
    <n v="0"/>
    <n v="462.59452700000003"/>
    <n v="2.99417599999998"/>
    <n v="331.30984952120599"/>
    <n v="0"/>
    <x v="20"/>
    <x v="20"/>
    <s v="PPPCFC2"/>
    <s v="EGX100"/>
    <s v="Fume Control"/>
    <s v="Miscellaneous"/>
    <x v="1"/>
    <x v="0"/>
    <x v="3"/>
  </r>
  <r>
    <s v="10.12.0.2"/>
    <x v="556"/>
    <s v="10.11.9.28"/>
    <x v="107"/>
    <n v="1"/>
    <x v="1"/>
    <n v="1"/>
    <n v="62"/>
    <n v="0"/>
    <n v="0"/>
    <n v="463.788319"/>
    <n v="0"/>
    <n v="0"/>
    <n v="0"/>
    <x v="20"/>
    <x v="20"/>
    <s v="PPPCFC2"/>
    <s v="EGX100"/>
    <s v="Fume Control"/>
    <s v="Miscellaneous"/>
    <x v="1"/>
    <x v="0"/>
    <x v="3"/>
  </r>
  <r>
    <s v="10.12.0.2"/>
    <x v="557"/>
    <s v="10.11.9.28"/>
    <x v="107"/>
    <n v="2"/>
    <x v="48"/>
    <n v="2"/>
    <n v="124"/>
    <n v="0"/>
    <n v="0"/>
    <n v="464.15708100000001"/>
    <n v="2.94015000000002"/>
    <n v="337.39775181538198"/>
    <n v="0"/>
    <x v="20"/>
    <x v="20"/>
    <s v="PPPCFC2"/>
    <s v="EGX100"/>
    <s v="Fume Control"/>
    <s v="Miscellaneous"/>
    <x v="1"/>
    <x v="0"/>
    <x v="3"/>
  </r>
  <r>
    <s v="10.12.0.2"/>
    <x v="276"/>
    <s v="10.11.9.28"/>
    <x v="107"/>
    <n v="1"/>
    <x v="1"/>
    <n v="1"/>
    <n v="62"/>
    <n v="0"/>
    <n v="0"/>
    <n v="464.94433099999998"/>
    <n v="0"/>
    <n v="0"/>
    <n v="0"/>
    <x v="20"/>
    <x v="20"/>
    <s v="PPPCFC2"/>
    <s v="EGX100"/>
    <s v="Fume Control"/>
    <s v="Miscellaneous"/>
    <x v="1"/>
    <x v="0"/>
    <x v="3"/>
  </r>
  <r>
    <s v="10.12.0.2"/>
    <x v="558"/>
    <s v="10.11.9.28"/>
    <x v="107"/>
    <n v="1"/>
    <x v="1"/>
    <n v="1"/>
    <n v="62"/>
    <n v="0"/>
    <n v="0"/>
    <n v="465.085104"/>
    <n v="0"/>
    <n v="0"/>
    <n v="0"/>
    <x v="20"/>
    <x v="20"/>
    <s v="PPPCFC2"/>
    <s v="EGX100"/>
    <s v="Fume Control"/>
    <s v="Miscellaneous"/>
    <x v="1"/>
    <x v="0"/>
    <x v="3"/>
  </r>
  <r>
    <s v="10.12.0.2"/>
    <x v="277"/>
    <s v="10.11.9.28"/>
    <x v="107"/>
    <n v="1"/>
    <x v="1"/>
    <n v="1"/>
    <n v="62"/>
    <n v="0"/>
    <n v="0"/>
    <n v="465.60076900000001"/>
    <n v="0"/>
    <n v="0"/>
    <n v="0"/>
    <x v="20"/>
    <x v="20"/>
    <s v="PPPCFC2"/>
    <s v="EGX100"/>
    <s v="Fume Control"/>
    <s v="Miscellaneous"/>
    <x v="1"/>
    <x v="0"/>
    <x v="3"/>
  </r>
  <r>
    <s v="10.12.0.2"/>
    <x v="278"/>
    <s v="10.11.9.28"/>
    <x v="107"/>
    <n v="1"/>
    <x v="1"/>
    <n v="1"/>
    <n v="62"/>
    <n v="0"/>
    <n v="0"/>
    <n v="467.163115"/>
    <n v="0"/>
    <n v="0"/>
    <n v="0"/>
    <x v="20"/>
    <x v="20"/>
    <s v="PPPCFC2"/>
    <s v="EGX100"/>
    <s v="Fume Control"/>
    <s v="Miscellaneous"/>
    <x v="1"/>
    <x v="0"/>
    <x v="3"/>
  </r>
  <r>
    <s v="10.12.0.2"/>
    <x v="282"/>
    <s v="10.11.9.28"/>
    <x v="107"/>
    <n v="2"/>
    <x v="48"/>
    <n v="2"/>
    <n v="124"/>
    <n v="0"/>
    <n v="0"/>
    <n v="493.79599300000001"/>
    <n v="2.9743599999999901"/>
    <n v="333.51712637340597"/>
    <n v="0"/>
    <x v="20"/>
    <x v="20"/>
    <s v="PPPCFC2"/>
    <s v="EGX100"/>
    <s v="Fume Control"/>
    <s v="Miscellaneous"/>
    <x v="1"/>
    <x v="0"/>
    <x v="3"/>
  </r>
  <r>
    <s v="10.12.0.2"/>
    <x v="283"/>
    <s v="10.11.9.28"/>
    <x v="107"/>
    <n v="2"/>
    <x v="48"/>
    <n v="2"/>
    <n v="124"/>
    <n v="0"/>
    <n v="0"/>
    <n v="494.95139"/>
    <n v="2.92536200000001"/>
    <n v="339.10333148512802"/>
    <n v="0"/>
    <x v="20"/>
    <x v="20"/>
    <s v="PPPCFC2"/>
    <s v="EGX100"/>
    <s v="Fume Control"/>
    <s v="Miscellaneous"/>
    <x v="1"/>
    <x v="0"/>
    <x v="3"/>
  </r>
  <r>
    <s v="10.12.0.2"/>
    <x v="284"/>
    <s v="10.11.9.28"/>
    <x v="107"/>
    <n v="2"/>
    <x v="48"/>
    <n v="2"/>
    <n v="124"/>
    <n v="0"/>
    <n v="0"/>
    <n v="495.09454799999997"/>
    <n v="2.9833780000000201"/>
    <n v="332.50898813358401"/>
    <n v="0"/>
    <x v="20"/>
    <x v="20"/>
    <s v="PPPCFC2"/>
    <s v="EGX100"/>
    <s v="Fume Control"/>
    <s v="Miscellaneous"/>
    <x v="1"/>
    <x v="0"/>
    <x v="3"/>
  </r>
  <r>
    <s v="10.12.0.2"/>
    <x v="559"/>
    <s v="10.11.9.28"/>
    <x v="107"/>
    <n v="2"/>
    <x v="48"/>
    <n v="2"/>
    <n v="124"/>
    <n v="0"/>
    <n v="0"/>
    <n v="495.60399799999999"/>
    <n v="2.9807789999999801"/>
    <n v="332.79890927841501"/>
    <n v="0"/>
    <x v="20"/>
    <x v="20"/>
    <s v="PPPCFC2"/>
    <s v="EGX100"/>
    <s v="Fume Control"/>
    <s v="Miscellaneous"/>
    <x v="1"/>
    <x v="0"/>
    <x v="3"/>
  </r>
  <r>
    <s v="10.12.0.2"/>
    <x v="285"/>
    <s v="10.11.9.28"/>
    <x v="107"/>
    <n v="1"/>
    <x v="1"/>
    <n v="1"/>
    <n v="62"/>
    <n v="0"/>
    <n v="0"/>
    <n v="496.80392599999999"/>
    <n v="0"/>
    <n v="0"/>
    <n v="0"/>
    <x v="20"/>
    <x v="20"/>
    <s v="PPPCFC2"/>
    <s v="EGX100"/>
    <s v="Fume Control"/>
    <s v="Miscellaneous"/>
    <x v="1"/>
    <x v="0"/>
    <x v="3"/>
  </r>
  <r>
    <s v="10.12.0.2"/>
    <x v="560"/>
    <s v="10.11.9.28"/>
    <x v="107"/>
    <n v="1"/>
    <x v="1"/>
    <n v="1"/>
    <n v="62"/>
    <n v="0"/>
    <n v="0"/>
    <n v="497.17384800000002"/>
    <n v="0"/>
    <n v="0"/>
    <n v="0"/>
    <x v="20"/>
    <x v="20"/>
    <s v="PPPCFC2"/>
    <s v="EGX100"/>
    <s v="Fume Control"/>
    <s v="Miscellaneous"/>
    <x v="1"/>
    <x v="0"/>
    <x v="3"/>
  </r>
  <r>
    <s v="10.12.0.2"/>
    <x v="286"/>
    <s v="10.11.9.28"/>
    <x v="107"/>
    <n v="1"/>
    <x v="1"/>
    <n v="1"/>
    <n v="62"/>
    <n v="0"/>
    <n v="0"/>
    <n v="497.96035499999999"/>
    <n v="0"/>
    <n v="0"/>
    <n v="0"/>
    <x v="20"/>
    <x v="20"/>
    <s v="PPPCFC2"/>
    <s v="EGX100"/>
    <s v="Fume Control"/>
    <s v="Miscellaneous"/>
    <x v="1"/>
    <x v="0"/>
    <x v="3"/>
  </r>
  <r>
    <s v="10.12.0.2"/>
    <x v="561"/>
    <s v="10.11.9.28"/>
    <x v="107"/>
    <n v="1"/>
    <x v="1"/>
    <n v="1"/>
    <n v="62"/>
    <n v="0"/>
    <n v="0"/>
    <n v="498.10078700000003"/>
    <n v="0"/>
    <n v="0"/>
    <n v="0"/>
    <x v="20"/>
    <x v="20"/>
    <s v="PPPCFC2"/>
    <s v="EGX100"/>
    <s v="Fume Control"/>
    <s v="Miscellaneous"/>
    <x v="1"/>
    <x v="0"/>
    <x v="3"/>
  </r>
  <r>
    <s v="10.12.0.2"/>
    <x v="562"/>
    <s v="10.11.9.28"/>
    <x v="107"/>
    <n v="1"/>
    <x v="1"/>
    <n v="1"/>
    <n v="62"/>
    <n v="0"/>
    <n v="0"/>
    <n v="498.61637899999999"/>
    <n v="0"/>
    <n v="0"/>
    <n v="0"/>
    <x v="20"/>
    <x v="20"/>
    <s v="PPPCFC2"/>
    <s v="EGX100"/>
    <s v="Fume Control"/>
    <s v="Miscellaneous"/>
    <x v="1"/>
    <x v="0"/>
    <x v="3"/>
  </r>
  <r>
    <s v="10.12.0.2"/>
    <x v="563"/>
    <s v="10.11.9.28"/>
    <x v="107"/>
    <n v="1"/>
    <x v="1"/>
    <n v="1"/>
    <n v="62"/>
    <n v="0"/>
    <n v="0"/>
    <n v="500.17888199999999"/>
    <n v="0"/>
    <n v="0"/>
    <n v="0"/>
    <x v="20"/>
    <x v="20"/>
    <s v="PPPCFC2"/>
    <s v="EGX100"/>
    <s v="Fume Control"/>
    <s v="Miscellaneous"/>
    <x v="1"/>
    <x v="0"/>
    <x v="3"/>
  </r>
  <r>
    <s v="10.12.0.2"/>
    <x v="290"/>
    <s v="10.11.9.28"/>
    <x v="107"/>
    <n v="2"/>
    <x v="48"/>
    <n v="2"/>
    <n v="124"/>
    <n v="0"/>
    <n v="0"/>
    <n v="526.81379100000004"/>
    <n v="2.9489209999999302"/>
    <n v="336.39422690537498"/>
    <n v="0"/>
    <x v="20"/>
    <x v="20"/>
    <s v="PPPCFC2"/>
    <s v="EGX100"/>
    <s v="Fume Control"/>
    <s v="Miscellaneous"/>
    <x v="1"/>
    <x v="0"/>
    <x v="3"/>
  </r>
  <r>
    <s v="10.12.0.2"/>
    <x v="291"/>
    <s v="10.11.9.28"/>
    <x v="107"/>
    <n v="2"/>
    <x v="48"/>
    <n v="2"/>
    <n v="124"/>
    <n v="0"/>
    <n v="0"/>
    <n v="527.96530600000006"/>
    <n v="3.0043529999999201"/>
    <n v="330.18756451056998"/>
    <n v="0"/>
    <x v="20"/>
    <x v="20"/>
    <s v="PPPCFC2"/>
    <s v="EGX100"/>
    <s v="Fume Control"/>
    <s v="Miscellaneous"/>
    <x v="1"/>
    <x v="0"/>
    <x v="3"/>
  </r>
  <r>
    <s v="10.12.0.2"/>
    <x v="564"/>
    <s v="10.11.9.28"/>
    <x v="107"/>
    <n v="1"/>
    <x v="1"/>
    <n v="1"/>
    <n v="62"/>
    <n v="0"/>
    <n v="0"/>
    <n v="528.10664499999996"/>
    <n v="0"/>
    <n v="0"/>
    <n v="0"/>
    <x v="20"/>
    <x v="20"/>
    <s v="PPPCFC2"/>
    <s v="EGX100"/>
    <s v="Fume Control"/>
    <s v="Miscellaneous"/>
    <x v="1"/>
    <x v="0"/>
    <x v="3"/>
  </r>
  <r>
    <s v="10.12.0.2"/>
    <x v="292"/>
    <s v="10.11.9.28"/>
    <x v="107"/>
    <n v="1"/>
    <x v="1"/>
    <n v="1"/>
    <n v="62"/>
    <n v="0"/>
    <n v="0"/>
    <n v="528.62623900000006"/>
    <n v="0"/>
    <n v="0"/>
    <n v="0"/>
    <x v="20"/>
    <x v="20"/>
    <s v="PPPCFC2"/>
    <s v="EGX100"/>
    <s v="Fume Control"/>
    <s v="Miscellaneous"/>
    <x v="1"/>
    <x v="0"/>
    <x v="3"/>
  </r>
  <r>
    <s v="10.12.0.2"/>
    <x v="565"/>
    <s v="10.11.9.28"/>
    <x v="107"/>
    <n v="1"/>
    <x v="1"/>
    <n v="1"/>
    <n v="62"/>
    <n v="0"/>
    <n v="0"/>
    <n v="529.81969500000002"/>
    <n v="0"/>
    <n v="0"/>
    <n v="0"/>
    <x v="20"/>
    <x v="20"/>
    <s v="PPPCFC2"/>
    <s v="EGX100"/>
    <s v="Fume Control"/>
    <s v="Miscellaneous"/>
    <x v="1"/>
    <x v="0"/>
    <x v="3"/>
  </r>
  <r>
    <s v="10.12.0.2"/>
    <x v="293"/>
    <s v="10.11.9.28"/>
    <x v="107"/>
    <n v="2"/>
    <x v="48"/>
    <n v="2"/>
    <n v="124"/>
    <n v="0"/>
    <n v="0"/>
    <n v="530.18769699999996"/>
    <n v="2.9949080000000099"/>
    <n v="331.22887247287599"/>
    <n v="0"/>
    <x v="20"/>
    <x v="20"/>
    <s v="PPPCFC2"/>
    <s v="EGX100"/>
    <s v="Fume Control"/>
    <s v="Miscellaneous"/>
    <x v="1"/>
    <x v="0"/>
    <x v="3"/>
  </r>
  <r>
    <s v="10.12.0.2"/>
    <x v="294"/>
    <s v="10.11.9.28"/>
    <x v="107"/>
    <n v="1"/>
    <x v="1"/>
    <n v="1"/>
    <n v="62"/>
    <n v="0"/>
    <n v="0"/>
    <n v="530.97605699999997"/>
    <n v="0"/>
    <n v="0"/>
    <n v="0"/>
    <x v="20"/>
    <x v="20"/>
    <s v="PPPCFC2"/>
    <s v="EGX100"/>
    <s v="Fume Control"/>
    <s v="Miscellaneous"/>
    <x v="1"/>
    <x v="0"/>
    <x v="3"/>
  </r>
  <r>
    <s v="10.12.0.2"/>
    <x v="295"/>
    <s v="10.11.9.28"/>
    <x v="107"/>
    <n v="1"/>
    <x v="1"/>
    <n v="1"/>
    <n v="62"/>
    <n v="0"/>
    <n v="0"/>
    <n v="531.11660099999995"/>
    <n v="0"/>
    <n v="0"/>
    <n v="0"/>
    <x v="20"/>
    <x v="20"/>
    <s v="PPPCFC2"/>
    <s v="EGX100"/>
    <s v="Fume Control"/>
    <s v="Miscellaneous"/>
    <x v="1"/>
    <x v="0"/>
    <x v="3"/>
  </r>
  <r>
    <s v="10.12.0.2"/>
    <x v="566"/>
    <s v="10.11.9.28"/>
    <x v="107"/>
    <n v="1"/>
    <x v="1"/>
    <n v="1"/>
    <n v="62"/>
    <n v="0"/>
    <n v="0"/>
    <n v="531.63231299999995"/>
    <n v="0"/>
    <n v="0"/>
    <n v="0"/>
    <x v="20"/>
    <x v="20"/>
    <s v="PPPCFC2"/>
    <s v="EGX100"/>
    <s v="Fume Control"/>
    <s v="Miscellaneous"/>
    <x v="1"/>
    <x v="0"/>
    <x v="3"/>
  </r>
  <r>
    <s v="10.12.0.2"/>
    <x v="296"/>
    <s v="10.11.9.28"/>
    <x v="107"/>
    <n v="1"/>
    <x v="1"/>
    <n v="1"/>
    <n v="62"/>
    <n v="0"/>
    <n v="0"/>
    <n v="533.19553499999995"/>
    <n v="0"/>
    <n v="0"/>
    <n v="0"/>
    <x v="20"/>
    <x v="20"/>
    <s v="PPPCFC2"/>
    <s v="EGX100"/>
    <s v="Fume Control"/>
    <s v="Miscellaneous"/>
    <x v="1"/>
    <x v="0"/>
    <x v="3"/>
  </r>
  <r>
    <s v="10.12.0.2"/>
    <x v="567"/>
    <s v="10.11.9.28"/>
    <x v="107"/>
    <n v="2"/>
    <x v="48"/>
    <n v="2"/>
    <n v="124"/>
    <n v="0"/>
    <n v="0"/>
    <n v="559.82152799999994"/>
    <n v="2.93349300000011"/>
    <n v="338.16341133248397"/>
    <n v="0"/>
    <x v="20"/>
    <x v="20"/>
    <s v="PPPCFC2"/>
    <s v="EGX100"/>
    <s v="Fume Control"/>
    <s v="Miscellaneous"/>
    <x v="1"/>
    <x v="0"/>
    <x v="3"/>
  </r>
  <r>
    <s v="10.12.0.2"/>
    <x v="568"/>
    <s v="10.11.9.28"/>
    <x v="107"/>
    <n v="2"/>
    <x v="48"/>
    <n v="2"/>
    <n v="124"/>
    <n v="0"/>
    <n v="0"/>
    <n v="560.98674000000005"/>
    <n v="2.9752919999999698"/>
    <n v="333.41265327907701"/>
    <n v="0"/>
    <x v="20"/>
    <x v="20"/>
    <s v="PPPCFC2"/>
    <s v="EGX100"/>
    <s v="Fume Control"/>
    <s v="Miscellaneous"/>
    <x v="1"/>
    <x v="0"/>
    <x v="3"/>
  </r>
  <r>
    <s v="10.12.0.2"/>
    <x v="299"/>
    <s v="10.11.9.28"/>
    <x v="107"/>
    <n v="1"/>
    <x v="1"/>
    <n v="1"/>
    <n v="62"/>
    <n v="0"/>
    <n v="0"/>
    <n v="561.11937499999999"/>
    <n v="0"/>
    <n v="0"/>
    <n v="0"/>
    <x v="20"/>
    <x v="20"/>
    <s v="PPPCFC2"/>
    <s v="EGX100"/>
    <s v="Fume Control"/>
    <s v="Miscellaneous"/>
    <x v="1"/>
    <x v="0"/>
    <x v="3"/>
  </r>
  <r>
    <s v="10.12.0.2"/>
    <x v="300"/>
    <s v="10.11.9.28"/>
    <x v="107"/>
    <n v="2"/>
    <x v="48"/>
    <n v="2"/>
    <n v="124"/>
    <n v="0"/>
    <n v="0"/>
    <n v="561.64016700000002"/>
    <n v="2.9254899999999702"/>
    <n v="339.08849457698102"/>
    <n v="0"/>
    <x v="20"/>
    <x v="20"/>
    <s v="PPPCFC2"/>
    <s v="EGX100"/>
    <s v="Fume Control"/>
    <s v="Miscellaneous"/>
    <x v="1"/>
    <x v="0"/>
    <x v="3"/>
  </r>
  <r>
    <s v="10.12.0.2"/>
    <x v="301"/>
    <s v="10.11.9.28"/>
    <x v="107"/>
    <n v="1"/>
    <x v="1"/>
    <n v="1"/>
    <n v="62"/>
    <n v="0"/>
    <n v="0"/>
    <n v="562.83554400000003"/>
    <n v="0"/>
    <n v="0"/>
    <n v="0"/>
    <x v="20"/>
    <x v="20"/>
    <s v="PPPCFC2"/>
    <s v="EGX100"/>
    <s v="Fume Control"/>
    <s v="Miscellaneous"/>
    <x v="1"/>
    <x v="0"/>
    <x v="3"/>
  </r>
  <r>
    <s v="10.12.0.2"/>
    <x v="302"/>
    <s v="10.11.9.28"/>
    <x v="107"/>
    <n v="1"/>
    <x v="1"/>
    <n v="1"/>
    <n v="62"/>
    <n v="0"/>
    <n v="0"/>
    <n v="563.20536400000003"/>
    <n v="0"/>
    <n v="0"/>
    <n v="0"/>
    <x v="20"/>
    <x v="20"/>
    <s v="PPPCFC2"/>
    <s v="EGX100"/>
    <s v="Fume Control"/>
    <s v="Miscellaneous"/>
    <x v="1"/>
    <x v="0"/>
    <x v="3"/>
  </r>
  <r>
    <s v="10.12.0.2"/>
    <x v="303"/>
    <s v="10.11.9.28"/>
    <x v="107"/>
    <n v="1"/>
    <x v="1"/>
    <n v="1"/>
    <n v="62"/>
    <n v="0"/>
    <n v="0"/>
    <n v="563.991806"/>
    <n v="0"/>
    <n v="0"/>
    <n v="0"/>
    <x v="20"/>
    <x v="20"/>
    <s v="PPPCFC2"/>
    <s v="EGX100"/>
    <s v="Fume Control"/>
    <s v="Miscellaneous"/>
    <x v="1"/>
    <x v="0"/>
    <x v="3"/>
  </r>
  <r>
    <s v="10.12.0.2"/>
    <x v="569"/>
    <s v="10.11.9.28"/>
    <x v="107"/>
    <n v="1"/>
    <x v="1"/>
    <n v="1"/>
    <n v="62"/>
    <n v="0"/>
    <n v="0"/>
    <n v="564.132428"/>
    <n v="0"/>
    <n v="0"/>
    <n v="0"/>
    <x v="20"/>
    <x v="20"/>
    <s v="PPPCFC2"/>
    <s v="EGX100"/>
    <s v="Fume Control"/>
    <s v="Miscellaneous"/>
    <x v="1"/>
    <x v="0"/>
    <x v="3"/>
  </r>
  <r>
    <s v="10.12.0.2"/>
    <x v="304"/>
    <s v="10.11.9.28"/>
    <x v="107"/>
    <n v="1"/>
    <x v="1"/>
    <n v="1"/>
    <n v="62"/>
    <n v="0"/>
    <n v="0"/>
    <n v="564.64807599999995"/>
    <n v="0"/>
    <n v="0"/>
    <n v="0"/>
    <x v="20"/>
    <x v="20"/>
    <s v="PPPCFC2"/>
    <s v="EGX100"/>
    <s v="Fume Control"/>
    <s v="Miscellaneous"/>
    <x v="1"/>
    <x v="0"/>
    <x v="3"/>
  </r>
  <r>
    <s v="10.12.0.2"/>
    <x v="570"/>
    <s v="10.11.9.28"/>
    <x v="107"/>
    <n v="1"/>
    <x v="1"/>
    <n v="1"/>
    <n v="62"/>
    <n v="0"/>
    <n v="0"/>
    <n v="566.21059000000002"/>
    <n v="0"/>
    <n v="0"/>
    <n v="0"/>
    <x v="20"/>
    <x v="20"/>
    <s v="PPPCFC2"/>
    <s v="EGX100"/>
    <s v="Fume Control"/>
    <s v="Miscellaneous"/>
    <x v="1"/>
    <x v="0"/>
    <x v="3"/>
  </r>
  <r>
    <s v="10.12.0.2"/>
    <x v="308"/>
    <s v="10.11.9.28"/>
    <x v="107"/>
    <n v="2"/>
    <x v="48"/>
    <n v="2"/>
    <n v="124"/>
    <n v="0"/>
    <n v="0"/>
    <n v="592.83752000000004"/>
    <n v="3.0104259999999399"/>
    <n v="329.52146971891"/>
    <n v="0"/>
    <x v="20"/>
    <x v="20"/>
    <s v="PPPCFC2"/>
    <s v="EGX100"/>
    <s v="Fume Control"/>
    <s v="Miscellaneous"/>
    <x v="1"/>
    <x v="0"/>
    <x v="3"/>
  </r>
  <r>
    <s v="10.12.0.2"/>
    <x v="571"/>
    <s v="10.11.9.28"/>
    <x v="107"/>
    <n v="2"/>
    <x v="48"/>
    <n v="2"/>
    <n v="124"/>
    <n v="0"/>
    <n v="0"/>
    <n v="594.00239499999998"/>
    <n v="2.9521409999999801"/>
    <n v="336.02731034866099"/>
    <n v="0"/>
    <x v="20"/>
    <x v="20"/>
    <s v="PPPCFC2"/>
    <s v="EGX100"/>
    <s v="Fume Control"/>
    <s v="Miscellaneous"/>
    <x v="1"/>
    <x v="0"/>
    <x v="3"/>
  </r>
  <r>
    <s v="10.12.0.2"/>
    <x v="309"/>
    <s v="10.11.9.28"/>
    <x v="107"/>
    <n v="1"/>
    <x v="1"/>
    <n v="1"/>
    <n v="62"/>
    <n v="0"/>
    <n v="0"/>
    <n v="594.14490999999998"/>
    <n v="0"/>
    <n v="0"/>
    <n v="0"/>
    <x v="20"/>
    <x v="20"/>
    <s v="PPPCFC2"/>
    <s v="EGX100"/>
    <s v="Fume Control"/>
    <s v="Miscellaneous"/>
    <x v="1"/>
    <x v="0"/>
    <x v="3"/>
  </r>
  <r>
    <s v="10.12.0.2"/>
    <x v="572"/>
    <s v="10.11.9.28"/>
    <x v="107"/>
    <n v="1"/>
    <x v="1"/>
    <n v="1"/>
    <n v="62"/>
    <n v="0"/>
    <n v="0"/>
    <n v="594.65392599999996"/>
    <n v="0"/>
    <n v="0"/>
    <n v="0"/>
    <x v="20"/>
    <x v="20"/>
    <s v="PPPCFC2"/>
    <s v="EGX100"/>
    <s v="Fume Control"/>
    <s v="Miscellaneous"/>
    <x v="1"/>
    <x v="0"/>
    <x v="3"/>
  </r>
  <r>
    <s v="10.12.0.2"/>
    <x v="310"/>
    <s v="10.11.9.28"/>
    <x v="107"/>
    <n v="1"/>
    <x v="1"/>
    <n v="1"/>
    <n v="62"/>
    <n v="0"/>
    <n v="0"/>
    <n v="595.85134800000003"/>
    <n v="0"/>
    <n v="0"/>
    <n v="0"/>
    <x v="20"/>
    <x v="20"/>
    <s v="PPPCFC2"/>
    <s v="EGX100"/>
    <s v="Fume Control"/>
    <s v="Miscellaneous"/>
    <x v="1"/>
    <x v="0"/>
    <x v="3"/>
  </r>
  <r>
    <s v="10.12.0.2"/>
    <x v="573"/>
    <s v="10.11.9.28"/>
    <x v="107"/>
    <n v="1"/>
    <x v="1"/>
    <n v="1"/>
    <n v="62"/>
    <n v="0"/>
    <n v="0"/>
    <n v="596.22114099999999"/>
    <n v="0"/>
    <n v="0"/>
    <n v="0"/>
    <x v="20"/>
    <x v="20"/>
    <s v="PPPCFC2"/>
    <s v="EGX100"/>
    <s v="Fume Control"/>
    <s v="Miscellaneous"/>
    <x v="1"/>
    <x v="0"/>
    <x v="3"/>
  </r>
  <r>
    <s v="10.12.0.2"/>
    <x v="574"/>
    <s v="10.11.9.28"/>
    <x v="107"/>
    <n v="1"/>
    <x v="1"/>
    <n v="1"/>
    <n v="62"/>
    <n v="0"/>
    <n v="0"/>
    <n v="597.00775799999997"/>
    <n v="0"/>
    <n v="0"/>
    <n v="0"/>
    <x v="20"/>
    <x v="20"/>
    <s v="PPPCFC2"/>
    <s v="EGX100"/>
    <s v="Fume Control"/>
    <s v="Miscellaneous"/>
    <x v="1"/>
    <x v="0"/>
    <x v="3"/>
  </r>
  <r>
    <s v="10.12.0.2"/>
    <x v="311"/>
    <s v="10.11.9.28"/>
    <x v="107"/>
    <n v="1"/>
    <x v="1"/>
    <n v="1"/>
    <n v="62"/>
    <n v="0"/>
    <n v="0"/>
    <n v="597.14826100000005"/>
    <n v="0"/>
    <n v="0"/>
    <n v="0"/>
    <x v="20"/>
    <x v="20"/>
    <s v="PPPCFC2"/>
    <s v="EGX100"/>
    <s v="Fume Control"/>
    <s v="Miscellaneous"/>
    <x v="1"/>
    <x v="0"/>
    <x v="3"/>
  </r>
  <r>
    <s v="10.12.0.2"/>
    <x v="312"/>
    <s v="10.11.9.28"/>
    <x v="107"/>
    <n v="1"/>
    <x v="1"/>
    <n v="1"/>
    <n v="62"/>
    <n v="0"/>
    <n v="0"/>
    <n v="597.66404399999999"/>
    <n v="0"/>
    <n v="0"/>
    <n v="0"/>
    <x v="20"/>
    <x v="20"/>
    <s v="PPPCFC2"/>
    <s v="EGX100"/>
    <s v="Fume Control"/>
    <s v="Miscellaneous"/>
    <x v="1"/>
    <x v="0"/>
    <x v="3"/>
  </r>
  <r>
    <s v="10.12.0.2"/>
    <x v="575"/>
    <s v="10.11.9.28"/>
    <x v="107"/>
    <n v="1"/>
    <x v="1"/>
    <n v="1"/>
    <n v="62"/>
    <n v="0"/>
    <n v="0"/>
    <n v="599.22636199999999"/>
    <n v="0"/>
    <n v="0"/>
    <n v="0"/>
    <x v="20"/>
    <x v="20"/>
    <s v="PPPCFC2"/>
    <s v="EGX100"/>
    <s v="Fume Control"/>
    <s v="Miscellaneous"/>
    <x v="1"/>
    <x v="0"/>
    <x v="3"/>
  </r>
  <r>
    <s v="10.12.0.2"/>
    <x v="316"/>
    <s v="10.11.9.28"/>
    <x v="107"/>
    <n v="2"/>
    <x v="48"/>
    <n v="2"/>
    <n v="124"/>
    <n v="0"/>
    <n v="0"/>
    <n v="625.85407999999995"/>
    <n v="2.8857649999999899"/>
    <n v="343.75633497530202"/>
    <n v="0"/>
    <x v="20"/>
    <x v="20"/>
    <s v="PPPCFC2"/>
    <s v="EGX100"/>
    <s v="Fume Control"/>
    <s v="Miscellaneous"/>
    <x v="1"/>
    <x v="0"/>
    <x v="3"/>
  </r>
  <r>
    <s v="10.12.0.2"/>
    <x v="317"/>
    <s v="10.11.9.28"/>
    <x v="107"/>
    <n v="2"/>
    <x v="48"/>
    <n v="2"/>
    <n v="124"/>
    <n v="0"/>
    <n v="0"/>
    <n v="627.01232300000004"/>
    <n v="2.9345279999999998"/>
    <n v="338.04414202215798"/>
    <n v="0"/>
    <x v="20"/>
    <x v="20"/>
    <s v="PPPCFC2"/>
    <s v="EGX100"/>
    <s v="Fume Control"/>
    <s v="Miscellaneous"/>
    <x v="1"/>
    <x v="0"/>
    <x v="3"/>
  </r>
  <r>
    <s v="10.12.0.2"/>
    <x v="318"/>
    <s v="10.11.9.28"/>
    <x v="107"/>
    <n v="2"/>
    <x v="48"/>
    <n v="2"/>
    <n v="124"/>
    <n v="0"/>
    <n v="0"/>
    <n v="627.15381300000001"/>
    <n v="2.99416799999995"/>
    <n v="331.31073473499799"/>
    <n v="0"/>
    <x v="20"/>
    <x v="20"/>
    <s v="PPPCFC2"/>
    <s v="EGX100"/>
    <s v="Fume Control"/>
    <s v="Miscellaneous"/>
    <x v="1"/>
    <x v="0"/>
    <x v="3"/>
  </r>
  <r>
    <s v="10.12.0.2"/>
    <x v="576"/>
    <s v="10.11.9.28"/>
    <x v="107"/>
    <n v="2"/>
    <x v="48"/>
    <n v="2"/>
    <n v="124"/>
    <n v="0"/>
    <n v="0"/>
    <n v="627.67444399999999"/>
    <n v="2.97655099999997"/>
    <n v="333.27162880797601"/>
    <n v="0"/>
    <x v="20"/>
    <x v="20"/>
    <s v="PPPCFC2"/>
    <s v="EGX100"/>
    <s v="Fume Control"/>
    <s v="Miscellaneous"/>
    <x v="1"/>
    <x v="0"/>
    <x v="3"/>
  </r>
  <r>
    <s v="10.12.0.2"/>
    <x v="319"/>
    <s v="10.11.9.28"/>
    <x v="107"/>
    <n v="1"/>
    <x v="1"/>
    <n v="1"/>
    <n v="62"/>
    <n v="0"/>
    <n v="0"/>
    <n v="628.867257"/>
    <n v="0"/>
    <n v="0"/>
    <n v="0"/>
    <x v="20"/>
    <x v="20"/>
    <s v="PPPCFC2"/>
    <s v="EGX100"/>
    <s v="Fume Control"/>
    <s v="Miscellaneous"/>
    <x v="1"/>
    <x v="0"/>
    <x v="3"/>
  </r>
  <r>
    <s v="10.12.0.2"/>
    <x v="577"/>
    <s v="10.11.9.28"/>
    <x v="107"/>
    <n v="2"/>
    <x v="48"/>
    <n v="2"/>
    <n v="124"/>
    <n v="0"/>
    <n v="0"/>
    <n v="629.23737300000005"/>
    <n v="2.9223059999999399"/>
    <n v="339.45794862003601"/>
    <n v="0"/>
    <x v="20"/>
    <x v="20"/>
    <s v="PPPCFC2"/>
    <s v="EGX100"/>
    <s v="Fume Control"/>
    <s v="Miscellaneous"/>
    <x v="1"/>
    <x v="0"/>
    <x v="3"/>
  </r>
  <r>
    <s v="10.12.0.2"/>
    <x v="320"/>
    <s v="10.11.9.28"/>
    <x v="107"/>
    <n v="1"/>
    <x v="1"/>
    <n v="1"/>
    <n v="62"/>
    <n v="0"/>
    <n v="0"/>
    <n v="630.02338799999995"/>
    <n v="0"/>
    <n v="0"/>
    <n v="0"/>
    <x v="20"/>
    <x v="20"/>
    <s v="PPPCFC2"/>
    <s v="EGX100"/>
    <s v="Fume Control"/>
    <s v="Miscellaneous"/>
    <x v="1"/>
    <x v="0"/>
    <x v="3"/>
  </r>
  <r>
    <s v="10.12.0.2"/>
    <x v="321"/>
    <s v="10.11.9.28"/>
    <x v="107"/>
    <n v="1"/>
    <x v="1"/>
    <n v="1"/>
    <n v="62"/>
    <n v="0"/>
    <n v="0"/>
    <n v="630.16399899999999"/>
    <n v="0"/>
    <n v="0"/>
    <n v="0"/>
    <x v="20"/>
    <x v="20"/>
    <s v="PPPCFC2"/>
    <s v="EGX100"/>
    <s v="Fume Control"/>
    <s v="Miscellaneous"/>
    <x v="1"/>
    <x v="0"/>
    <x v="3"/>
  </r>
  <r>
    <s v="10.12.0.2"/>
    <x v="578"/>
    <s v="10.11.9.28"/>
    <x v="107"/>
    <n v="1"/>
    <x v="1"/>
    <n v="1"/>
    <n v="62"/>
    <n v="0"/>
    <n v="0"/>
    <n v="630.67979800000001"/>
    <n v="0"/>
    <n v="0"/>
    <n v="0"/>
    <x v="20"/>
    <x v="20"/>
    <s v="PPPCFC2"/>
    <s v="EGX100"/>
    <s v="Fume Control"/>
    <s v="Miscellaneous"/>
    <x v="1"/>
    <x v="0"/>
    <x v="3"/>
  </r>
  <r>
    <s v="10.12.0.2"/>
    <x v="579"/>
    <s v="10.11.9.28"/>
    <x v="107"/>
    <n v="1"/>
    <x v="1"/>
    <n v="1"/>
    <n v="62"/>
    <n v="0"/>
    <n v="0"/>
    <n v="632.24220100000002"/>
    <n v="0"/>
    <n v="0"/>
    <n v="0"/>
    <x v="20"/>
    <x v="20"/>
    <s v="PPPCFC2"/>
    <s v="EGX100"/>
    <s v="Fume Control"/>
    <s v="Miscellaneous"/>
    <x v="1"/>
    <x v="0"/>
    <x v="3"/>
  </r>
  <r>
    <s v="10.12.0.2"/>
    <x v="324"/>
    <s v="10.11.9.28"/>
    <x v="107"/>
    <n v="2"/>
    <x v="48"/>
    <n v="2"/>
    <n v="124"/>
    <n v="0"/>
    <n v="0"/>
    <n v="658.873152"/>
    <n v="2.8589580000000301"/>
    <n v="346.97956388306102"/>
    <n v="0"/>
    <x v="20"/>
    <x v="20"/>
    <s v="PPPCFC2"/>
    <s v="EGX100"/>
    <s v="Fume Control"/>
    <s v="Miscellaneous"/>
    <x v="1"/>
    <x v="0"/>
    <x v="3"/>
  </r>
  <r>
    <s v="10.12.0.2"/>
    <x v="325"/>
    <s v="10.11.9.28"/>
    <x v="107"/>
    <n v="2"/>
    <x v="48"/>
    <n v="2"/>
    <n v="124"/>
    <n v="0"/>
    <n v="0"/>
    <n v="660.03500099999997"/>
    <n v="2.9040969999999802"/>
    <n v="341.58638640513999"/>
    <n v="0"/>
    <x v="20"/>
    <x v="20"/>
    <s v="PPPCFC2"/>
    <s v="EGX100"/>
    <s v="Fume Control"/>
    <s v="Miscellaneous"/>
    <x v="1"/>
    <x v="0"/>
    <x v="3"/>
  </r>
  <r>
    <s v="10.12.0.2"/>
    <x v="580"/>
    <s v="10.11.9.28"/>
    <x v="107"/>
    <n v="2"/>
    <x v="48"/>
    <n v="2"/>
    <n v="124"/>
    <n v="0"/>
    <n v="0"/>
    <n v="660.16679499999998"/>
    <n v="2.87296200000003"/>
    <n v="345.28824258726399"/>
    <n v="0"/>
    <x v="20"/>
    <x v="20"/>
    <s v="PPPCFC2"/>
    <s v="EGX100"/>
    <s v="Fume Control"/>
    <s v="Miscellaneous"/>
    <x v="1"/>
    <x v="0"/>
    <x v="3"/>
  </r>
  <r>
    <s v="10.12.0.2"/>
    <x v="326"/>
    <s v="10.11.9.28"/>
    <x v="107"/>
    <n v="2"/>
    <x v="48"/>
    <n v="2"/>
    <n v="124"/>
    <n v="0"/>
    <n v="0"/>
    <n v="660.68578500000001"/>
    <n v="2.9575989999999601"/>
    <n v="335.40720023235502"/>
    <n v="0"/>
    <x v="20"/>
    <x v="20"/>
    <s v="PPPCFC2"/>
    <s v="EGX100"/>
    <s v="Fume Control"/>
    <s v="Miscellaneous"/>
    <x v="1"/>
    <x v="0"/>
    <x v="3"/>
  </r>
  <r>
    <s v="10.12.0.2"/>
    <x v="581"/>
    <s v="10.11.9.28"/>
    <x v="107"/>
    <n v="1"/>
    <x v="1"/>
    <n v="1"/>
    <n v="62"/>
    <n v="0"/>
    <n v="0"/>
    <n v="661.88288499999999"/>
    <n v="0"/>
    <n v="0"/>
    <n v="0"/>
    <x v="20"/>
    <x v="20"/>
    <s v="PPPCFC2"/>
    <s v="EGX100"/>
    <s v="Fume Control"/>
    <s v="Miscellaneous"/>
    <x v="1"/>
    <x v="0"/>
    <x v="3"/>
  </r>
  <r>
    <s v="10.12.0.2"/>
    <x v="327"/>
    <s v="10.11.9.28"/>
    <x v="107"/>
    <n v="1"/>
    <x v="1"/>
    <n v="1"/>
    <n v="62"/>
    <n v="0"/>
    <n v="0"/>
    <n v="662.24972200000002"/>
    <n v="0"/>
    <n v="0"/>
    <n v="0"/>
    <x v="20"/>
    <x v="20"/>
    <s v="PPPCFC2"/>
    <s v="EGX100"/>
    <s v="Fume Control"/>
    <s v="Miscellaneous"/>
    <x v="1"/>
    <x v="0"/>
    <x v="3"/>
  </r>
  <r>
    <s v="10.12.0.2"/>
    <x v="328"/>
    <s v="10.11.9.28"/>
    <x v="107"/>
    <n v="1"/>
    <x v="1"/>
    <n v="1"/>
    <n v="62"/>
    <n v="0"/>
    <n v="0"/>
    <n v="663.03921800000001"/>
    <n v="0"/>
    <n v="0"/>
    <n v="0"/>
    <x v="20"/>
    <x v="20"/>
    <s v="PPPCFC2"/>
    <s v="EGX100"/>
    <s v="Fume Control"/>
    <s v="Miscellaneous"/>
    <x v="1"/>
    <x v="0"/>
    <x v="3"/>
  </r>
  <r>
    <s v="10.12.0.2"/>
    <x v="329"/>
    <s v="10.11.9.28"/>
    <x v="107"/>
    <n v="1"/>
    <x v="1"/>
    <n v="1"/>
    <n v="62"/>
    <n v="0"/>
    <n v="0"/>
    <n v="663.18005600000004"/>
    <n v="0"/>
    <n v="0"/>
    <n v="0"/>
    <x v="20"/>
    <x v="20"/>
    <s v="PPPCFC2"/>
    <s v="EGX100"/>
    <s v="Fume Control"/>
    <s v="Miscellaneous"/>
    <x v="1"/>
    <x v="0"/>
    <x v="3"/>
  </r>
  <r>
    <s v="10.12.0.2"/>
    <x v="582"/>
    <s v="10.11.9.28"/>
    <x v="107"/>
    <n v="1"/>
    <x v="1"/>
    <n v="1"/>
    <n v="62"/>
    <n v="0"/>
    <n v="0"/>
    <n v="663.69554100000005"/>
    <n v="0"/>
    <n v="0"/>
    <n v="0"/>
    <x v="20"/>
    <x v="20"/>
    <s v="PPPCFC2"/>
    <s v="EGX100"/>
    <s v="Fume Control"/>
    <s v="Miscellaneous"/>
    <x v="1"/>
    <x v="0"/>
    <x v="3"/>
  </r>
  <r>
    <s v="10.12.0.2"/>
    <x v="330"/>
    <s v="10.11.9.28"/>
    <x v="107"/>
    <n v="1"/>
    <x v="1"/>
    <n v="1"/>
    <n v="62"/>
    <n v="0"/>
    <n v="0"/>
    <n v="665.25807099999997"/>
    <n v="0"/>
    <n v="0"/>
    <n v="0"/>
    <x v="20"/>
    <x v="20"/>
    <s v="PPPCFC2"/>
    <s v="EGX100"/>
    <s v="Fume Control"/>
    <s v="Miscellaneous"/>
    <x v="1"/>
    <x v="0"/>
    <x v="3"/>
  </r>
  <r>
    <s v="10.12.0.2"/>
    <x v="10"/>
    <s v="10.11.9.28"/>
    <x v="107"/>
    <n v="2"/>
    <x v="48"/>
    <n v="2"/>
    <n v="124"/>
    <n v="0"/>
    <n v="0"/>
    <n v="691.89272100000005"/>
    <n v="2.8316889999999799"/>
    <n v="350.32095685649301"/>
    <n v="0"/>
    <x v="20"/>
    <x v="20"/>
    <s v="PPPCFC2"/>
    <s v="EGX100"/>
    <s v="Fume Control"/>
    <s v="Miscellaneous"/>
    <x v="1"/>
    <x v="0"/>
    <x v="3"/>
  </r>
  <r>
    <s v="10.12.0.2"/>
    <x v="11"/>
    <s v="10.11.9.28"/>
    <x v="107"/>
    <n v="2"/>
    <x v="48"/>
    <n v="2"/>
    <n v="124"/>
    <n v="0"/>
    <n v="0"/>
    <n v="693.047999"/>
    <n v="2.8834769999999699"/>
    <n v="344.02910097774702"/>
    <n v="0"/>
    <x v="20"/>
    <x v="20"/>
    <s v="PPPCFC2"/>
    <s v="EGX100"/>
    <s v="Fume Control"/>
    <s v="Miscellaneous"/>
    <x v="1"/>
    <x v="0"/>
    <x v="3"/>
  </r>
  <r>
    <s v="10.12.0.2"/>
    <x v="12"/>
    <s v="10.11.9.28"/>
    <x v="107"/>
    <n v="2"/>
    <x v="48"/>
    <n v="2"/>
    <n v="124"/>
    <n v="0"/>
    <n v="0"/>
    <n v="693.18957499999999"/>
    <n v="2.8425799999999999"/>
    <n v="348.97874466154002"/>
    <n v="0"/>
    <x v="20"/>
    <x v="20"/>
    <s v="PPPCFC2"/>
    <s v="EGX100"/>
    <s v="Fume Control"/>
    <s v="Miscellaneous"/>
    <x v="1"/>
    <x v="0"/>
    <x v="3"/>
  </r>
  <r>
    <s v="10.12.0.2"/>
    <x v="13"/>
    <s v="10.11.9.28"/>
    <x v="107"/>
    <n v="2"/>
    <x v="48"/>
    <n v="2"/>
    <n v="124"/>
    <n v="0"/>
    <n v="0"/>
    <n v="693.69919200000004"/>
    <n v="2.8358379999999701"/>
    <n v="349.80841641871302"/>
    <n v="0"/>
    <x v="20"/>
    <x v="20"/>
    <s v="PPPCFC2"/>
    <s v="EGX100"/>
    <s v="Fume Control"/>
    <s v="Miscellaneous"/>
    <x v="1"/>
    <x v="0"/>
    <x v="3"/>
  </r>
  <r>
    <s v="10.12.0.2"/>
    <x v="14"/>
    <s v="10.11.9.28"/>
    <x v="107"/>
    <n v="1"/>
    <x v="1"/>
    <n v="1"/>
    <n v="62"/>
    <n v="0"/>
    <n v="0"/>
    <n v="694.89867200000003"/>
    <n v="0"/>
    <n v="0"/>
    <n v="0"/>
    <x v="20"/>
    <x v="20"/>
    <s v="PPPCFC2"/>
    <s v="EGX100"/>
    <s v="Fume Control"/>
    <s v="Miscellaneous"/>
    <x v="1"/>
    <x v="0"/>
    <x v="3"/>
  </r>
  <r>
    <s v="10.12.0.2"/>
    <x v="15"/>
    <s v="10.11.9.28"/>
    <x v="107"/>
    <n v="2"/>
    <x v="48"/>
    <n v="2"/>
    <n v="124"/>
    <n v="0"/>
    <n v="0"/>
    <n v="695.26550599999996"/>
    <n v="2.9794810000000802"/>
    <n v="332.94389190599799"/>
    <n v="0"/>
    <x v="20"/>
    <x v="20"/>
    <s v="PPPCFC2"/>
    <s v="EGX100"/>
    <s v="Fume Control"/>
    <s v="Miscellaneous"/>
    <x v="1"/>
    <x v="0"/>
    <x v="3"/>
  </r>
  <r>
    <s v="10.12.0.2"/>
    <x v="16"/>
    <s v="10.11.9.28"/>
    <x v="107"/>
    <n v="1"/>
    <x v="1"/>
    <n v="1"/>
    <n v="62"/>
    <n v="0"/>
    <n v="0"/>
    <n v="696.05499399999997"/>
    <n v="0"/>
    <n v="0"/>
    <n v="0"/>
    <x v="20"/>
    <x v="20"/>
    <s v="PPPCFC2"/>
    <s v="EGX100"/>
    <s v="Fume Control"/>
    <s v="Miscellaneous"/>
    <x v="1"/>
    <x v="0"/>
    <x v="3"/>
  </r>
  <r>
    <s v="10.12.0.2"/>
    <x v="17"/>
    <s v="10.11.9.28"/>
    <x v="107"/>
    <n v="1"/>
    <x v="1"/>
    <n v="1"/>
    <n v="62"/>
    <n v="0"/>
    <n v="0"/>
    <n v="696.19557099999997"/>
    <n v="0"/>
    <n v="0"/>
    <n v="0"/>
    <x v="20"/>
    <x v="20"/>
    <s v="PPPCFC2"/>
    <s v="EGX100"/>
    <s v="Fume Control"/>
    <s v="Miscellaneous"/>
    <x v="1"/>
    <x v="0"/>
    <x v="3"/>
  </r>
  <r>
    <s v="10.12.0.2"/>
    <x v="332"/>
    <s v="10.11.9.28"/>
    <x v="107"/>
    <n v="1"/>
    <x v="1"/>
    <n v="1"/>
    <n v="62"/>
    <n v="0"/>
    <n v="0"/>
    <n v="696.71131100000002"/>
    <n v="0"/>
    <n v="0"/>
    <n v="0"/>
    <x v="20"/>
    <x v="20"/>
    <s v="PPPCFC2"/>
    <s v="EGX100"/>
    <s v="Fume Control"/>
    <s v="Miscellaneous"/>
    <x v="1"/>
    <x v="0"/>
    <x v="3"/>
  </r>
  <r>
    <s v="10.12.0.2"/>
    <x v="583"/>
    <s v="10.11.9.28"/>
    <x v="107"/>
    <n v="1"/>
    <x v="1"/>
    <n v="1"/>
    <n v="62"/>
    <n v="0"/>
    <n v="0"/>
    <n v="698.27371200000005"/>
    <n v="0"/>
    <n v="0"/>
    <n v="0"/>
    <x v="20"/>
    <x v="20"/>
    <s v="PPPCFC2"/>
    <s v="EGX100"/>
    <s v="Fume Control"/>
    <s v="Miscellaneous"/>
    <x v="1"/>
    <x v="0"/>
    <x v="3"/>
  </r>
  <r>
    <s v="10.12.0.2"/>
    <x v="336"/>
    <s v="10.11.9.28"/>
    <x v="107"/>
    <n v="1"/>
    <x v="1"/>
    <n v="1"/>
    <n v="62"/>
    <n v="0"/>
    <n v="0"/>
    <n v="724.90678000000003"/>
    <n v="0"/>
    <n v="0"/>
    <n v="0"/>
    <x v="20"/>
    <x v="20"/>
    <s v="PPPCFC2"/>
    <s v="EGX100"/>
    <s v="Fume Control"/>
    <s v="Miscellaneous"/>
    <x v="1"/>
    <x v="0"/>
    <x v="3"/>
  </r>
  <r>
    <s v="10.12.0.2"/>
    <x v="584"/>
    <s v="10.11.9.28"/>
    <x v="107"/>
    <n v="2"/>
    <x v="48"/>
    <n v="2"/>
    <n v="124"/>
    <n v="0"/>
    <n v="0"/>
    <n v="726.06293900000003"/>
    <n v="2.9614879999999202"/>
    <n v="334.96674644639"/>
    <n v="0"/>
    <x v="20"/>
    <x v="20"/>
    <s v="PPPCFC2"/>
    <s v="EGX100"/>
    <s v="Fume Control"/>
    <s v="Miscellaneous"/>
    <x v="1"/>
    <x v="0"/>
    <x v="3"/>
  </r>
  <r>
    <s v="10.12.0.2"/>
    <x v="585"/>
    <s v="10.11.9.28"/>
    <x v="107"/>
    <n v="2"/>
    <x v="48"/>
    <n v="2"/>
    <n v="124"/>
    <n v="0"/>
    <n v="0"/>
    <n v="726.20429300000001"/>
    <n v="2.82013399999994"/>
    <n v="351.756334982672"/>
    <n v="0"/>
    <x v="20"/>
    <x v="20"/>
    <s v="PPPCFC2"/>
    <s v="EGX100"/>
    <s v="Fume Control"/>
    <s v="Miscellaneous"/>
    <x v="1"/>
    <x v="0"/>
    <x v="3"/>
  </r>
  <r>
    <s v="10.12.0.2"/>
    <x v="337"/>
    <s v="10.11.9.28"/>
    <x v="107"/>
    <n v="2"/>
    <x v="48"/>
    <n v="2"/>
    <n v="124"/>
    <n v="0"/>
    <n v="0"/>
    <n v="726.71438699999999"/>
    <n v="2.9135200000000601"/>
    <n v="340.48161673850802"/>
    <n v="0"/>
    <x v="20"/>
    <x v="20"/>
    <s v="PPPCFC2"/>
    <s v="EGX100"/>
    <s v="Fume Control"/>
    <s v="Miscellaneous"/>
    <x v="1"/>
    <x v="0"/>
    <x v="3"/>
  </r>
  <r>
    <s v="10.12.0.2"/>
    <x v="586"/>
    <s v="10.11.9.28"/>
    <x v="107"/>
    <n v="1"/>
    <x v="1"/>
    <n v="1"/>
    <n v="62"/>
    <n v="0"/>
    <n v="0"/>
    <n v="727.91442300000006"/>
    <n v="0"/>
    <n v="0"/>
    <n v="0"/>
    <x v="20"/>
    <x v="20"/>
    <s v="PPPCFC2"/>
    <s v="EGX100"/>
    <s v="Fume Control"/>
    <s v="Miscellaneous"/>
    <x v="1"/>
    <x v="0"/>
    <x v="3"/>
  </r>
  <r>
    <s v="10.12.0.2"/>
    <x v="338"/>
    <s v="10.11.9.28"/>
    <x v="107"/>
    <n v="2"/>
    <x v="48"/>
    <n v="2"/>
    <n v="124"/>
    <n v="0"/>
    <n v="0"/>
    <n v="728.28223800000001"/>
    <n v="2.8544990000000299"/>
    <n v="347.52157909320999"/>
    <n v="0"/>
    <x v="20"/>
    <x v="20"/>
    <s v="PPPCFC2"/>
    <s v="EGX100"/>
    <s v="Fume Control"/>
    <s v="Miscellaneous"/>
    <x v="1"/>
    <x v="0"/>
    <x v="3"/>
  </r>
  <r>
    <s v="10.12.0.2"/>
    <x v="587"/>
    <s v="10.11.9.28"/>
    <x v="107"/>
    <n v="1"/>
    <x v="1"/>
    <n v="1"/>
    <n v="62"/>
    <n v="0"/>
    <n v="0"/>
    <n v="729.07071699999995"/>
    <n v="0"/>
    <n v="0"/>
    <n v="0"/>
    <x v="20"/>
    <x v="20"/>
    <s v="PPPCFC2"/>
    <s v="EGX100"/>
    <s v="Fume Control"/>
    <s v="Miscellaneous"/>
    <x v="1"/>
    <x v="0"/>
    <x v="3"/>
  </r>
  <r>
    <s v="10.12.0.2"/>
    <x v="340"/>
    <s v="10.11.9.28"/>
    <x v="107"/>
    <n v="1"/>
    <x v="1"/>
    <n v="1"/>
    <n v="62"/>
    <n v="0"/>
    <n v="0"/>
    <n v="729.21137799999997"/>
    <n v="0"/>
    <n v="0"/>
    <n v="0"/>
    <x v="20"/>
    <x v="20"/>
    <s v="PPPCFC2"/>
    <s v="EGX100"/>
    <s v="Fume Control"/>
    <s v="Miscellaneous"/>
    <x v="1"/>
    <x v="0"/>
    <x v="3"/>
  </r>
  <r>
    <s v="10.12.0.2"/>
    <x v="588"/>
    <s v="10.11.9.28"/>
    <x v="107"/>
    <n v="1"/>
    <x v="1"/>
    <n v="1"/>
    <n v="62"/>
    <n v="0"/>
    <n v="0"/>
    <n v="729.72695899999997"/>
    <n v="0"/>
    <n v="0"/>
    <n v="0"/>
    <x v="20"/>
    <x v="20"/>
    <s v="PPPCFC2"/>
    <s v="EGX100"/>
    <s v="Fume Control"/>
    <s v="Miscellaneous"/>
    <x v="1"/>
    <x v="0"/>
    <x v="3"/>
  </r>
  <r>
    <s v="10.12.0.2"/>
    <x v="341"/>
    <s v="10.11.9.28"/>
    <x v="107"/>
    <n v="1"/>
    <x v="1"/>
    <n v="1"/>
    <n v="62"/>
    <n v="0"/>
    <n v="0"/>
    <n v="731.28949299999999"/>
    <n v="0"/>
    <n v="0"/>
    <n v="0"/>
    <x v="20"/>
    <x v="20"/>
    <s v="PPPCFC2"/>
    <s v="EGX100"/>
    <s v="Fume Control"/>
    <s v="Miscellaneous"/>
    <x v="1"/>
    <x v="0"/>
    <x v="3"/>
  </r>
  <r>
    <s v="10.12.0.2"/>
    <x v="589"/>
    <s v="10.11.9.28"/>
    <x v="107"/>
    <n v="2"/>
    <x v="48"/>
    <n v="2"/>
    <n v="124"/>
    <n v="0"/>
    <n v="0"/>
    <n v="757.925476"/>
    <n v="2.98483699999997"/>
    <n v="332.34645643966797"/>
    <n v="0"/>
    <x v="20"/>
    <x v="20"/>
    <s v="PPPCFC2"/>
    <s v="EGX100"/>
    <s v="Fume Control"/>
    <s v="Miscellaneous"/>
    <x v="1"/>
    <x v="0"/>
    <x v="3"/>
  </r>
  <r>
    <s v="10.12.0.2"/>
    <x v="590"/>
    <s v="10.11.9.28"/>
    <x v="107"/>
    <n v="2"/>
    <x v="48"/>
    <n v="2"/>
    <n v="124"/>
    <n v="0"/>
    <n v="0"/>
    <n v="759.07965200000001"/>
    <n v="2.9372089999999398"/>
    <n v="337.735585040091"/>
    <n v="0"/>
    <x v="20"/>
    <x v="20"/>
    <s v="PPPCFC2"/>
    <s v="EGX100"/>
    <s v="Fume Control"/>
    <s v="Miscellaneous"/>
    <x v="1"/>
    <x v="0"/>
    <x v="3"/>
  </r>
  <r>
    <s v="10.12.0.2"/>
    <x v="346"/>
    <s v="10.11.9.28"/>
    <x v="107"/>
    <n v="2"/>
    <x v="48"/>
    <n v="2"/>
    <n v="124"/>
    <n v="0"/>
    <n v="0"/>
    <n v="759.22103200000004"/>
    <n v="2.9968850000000198"/>
    <n v="331.01036576311498"/>
    <n v="0"/>
    <x v="20"/>
    <x v="20"/>
    <s v="PPPCFC2"/>
    <s v="EGX100"/>
    <s v="Fume Control"/>
    <s v="Miscellaneous"/>
    <x v="1"/>
    <x v="0"/>
    <x v="3"/>
  </r>
  <r>
    <s v="10.12.0.2"/>
    <x v="591"/>
    <s v="10.11.9.28"/>
    <x v="107"/>
    <n v="2"/>
    <x v="48"/>
    <n v="2"/>
    <n v="124"/>
    <n v="0"/>
    <n v="0"/>
    <n v="759.72915499999999"/>
    <n v="2.99169200000006"/>
    <n v="331.58493588243101"/>
    <n v="0"/>
    <x v="20"/>
    <x v="20"/>
    <s v="PPPCFC2"/>
    <s v="EGX100"/>
    <s v="Fume Control"/>
    <s v="Miscellaneous"/>
    <x v="1"/>
    <x v="0"/>
    <x v="3"/>
  </r>
  <r>
    <s v="10.12.0.2"/>
    <x v="592"/>
    <s v="10.11.9.28"/>
    <x v="107"/>
    <n v="1"/>
    <x v="1"/>
    <n v="1"/>
    <n v="62"/>
    <n v="0"/>
    <n v="0"/>
    <n v="760.93022800000006"/>
    <n v="0"/>
    <n v="0"/>
    <n v="0"/>
    <x v="20"/>
    <x v="20"/>
    <s v="PPPCFC2"/>
    <s v="EGX100"/>
    <s v="Fume Control"/>
    <s v="Miscellaneous"/>
    <x v="1"/>
    <x v="0"/>
    <x v="3"/>
  </r>
  <r>
    <s v="10.12.0.2"/>
    <x v="593"/>
    <s v="10.11.9.28"/>
    <x v="107"/>
    <n v="2"/>
    <x v="48"/>
    <n v="2"/>
    <n v="124"/>
    <n v="0"/>
    <n v="0"/>
    <n v="761.29843400000004"/>
    <n v="2.8307009999999799"/>
    <n v="350.44322943327802"/>
    <n v="0"/>
    <x v="20"/>
    <x v="20"/>
    <s v="PPPCFC2"/>
    <s v="EGX100"/>
    <s v="Fume Control"/>
    <s v="Miscellaneous"/>
    <x v="1"/>
    <x v="0"/>
    <x v="3"/>
  </r>
  <r>
    <s v="10.12.0.2"/>
    <x v="347"/>
    <s v="10.11.9.28"/>
    <x v="107"/>
    <n v="1"/>
    <x v="1"/>
    <n v="1"/>
    <n v="62"/>
    <n v="0"/>
    <n v="0"/>
    <n v="762.08661500000005"/>
    <n v="0"/>
    <n v="0"/>
    <n v="0"/>
    <x v="20"/>
    <x v="20"/>
    <s v="PPPCFC2"/>
    <s v="EGX100"/>
    <s v="Fume Control"/>
    <s v="Miscellaneous"/>
    <x v="1"/>
    <x v="0"/>
    <x v="3"/>
  </r>
  <r>
    <s v="10.12.0.2"/>
    <x v="594"/>
    <s v="10.11.9.28"/>
    <x v="107"/>
    <n v="1"/>
    <x v="1"/>
    <n v="1"/>
    <n v="62"/>
    <n v="0"/>
    <n v="0"/>
    <n v="762.22715500000004"/>
    <n v="0"/>
    <n v="0"/>
    <n v="0"/>
    <x v="20"/>
    <x v="20"/>
    <s v="PPPCFC2"/>
    <s v="EGX100"/>
    <s v="Fume Control"/>
    <s v="Miscellaneous"/>
    <x v="1"/>
    <x v="0"/>
    <x v="3"/>
  </r>
  <r>
    <s v="10.12.0.2"/>
    <x v="348"/>
    <s v="10.11.9.28"/>
    <x v="107"/>
    <n v="1"/>
    <x v="1"/>
    <n v="1"/>
    <n v="62"/>
    <n v="0"/>
    <n v="0"/>
    <n v="762.74284299999999"/>
    <n v="0"/>
    <n v="0"/>
    <n v="0"/>
    <x v="20"/>
    <x v="20"/>
    <s v="PPPCFC2"/>
    <s v="EGX100"/>
    <s v="Fume Control"/>
    <s v="Miscellaneous"/>
    <x v="1"/>
    <x v="0"/>
    <x v="3"/>
  </r>
  <r>
    <s v="10.12.0.2"/>
    <x v="349"/>
    <s v="10.11.9.28"/>
    <x v="107"/>
    <n v="1"/>
    <x v="1"/>
    <n v="1"/>
    <n v="62"/>
    <n v="0"/>
    <n v="0"/>
    <n v="764.30534"/>
    <n v="0"/>
    <n v="0"/>
    <n v="0"/>
    <x v="20"/>
    <x v="20"/>
    <s v="PPPCFC2"/>
    <s v="EGX100"/>
    <s v="Fume Control"/>
    <s v="Miscellaneous"/>
    <x v="1"/>
    <x v="0"/>
    <x v="3"/>
  </r>
  <r>
    <s v="10.12.0.2"/>
    <x v="353"/>
    <s v="10.11.9.28"/>
    <x v="107"/>
    <n v="2"/>
    <x v="48"/>
    <n v="2"/>
    <n v="124"/>
    <n v="0"/>
    <n v="0"/>
    <n v="790.93273999999997"/>
    <n v="2.9698789999999899"/>
    <n v="334.02034224290003"/>
    <n v="0"/>
    <x v="20"/>
    <x v="20"/>
    <s v="PPPCFC2"/>
    <s v="EGX100"/>
    <s v="Fume Control"/>
    <s v="Miscellaneous"/>
    <x v="1"/>
    <x v="0"/>
    <x v="3"/>
  </r>
  <r>
    <s v="10.12.0.2"/>
    <x v="354"/>
    <s v="10.11.9.28"/>
    <x v="107"/>
    <n v="2"/>
    <x v="48"/>
    <n v="2"/>
    <n v="124"/>
    <n v="0"/>
    <n v="0"/>
    <n v="792.08951300000001"/>
    <n v="2.9195449999999701"/>
    <n v="339.77897240837501"/>
    <n v="0"/>
    <x v="20"/>
    <x v="20"/>
    <s v="PPPCFC2"/>
    <s v="EGX100"/>
    <s v="Fume Control"/>
    <s v="Miscellaneous"/>
    <x v="1"/>
    <x v="0"/>
    <x v="3"/>
  </r>
  <r>
    <s v="10.12.0.2"/>
    <x v="595"/>
    <s v="10.11.9.28"/>
    <x v="107"/>
    <n v="2"/>
    <x v="48"/>
    <n v="2"/>
    <n v="124"/>
    <n v="0"/>
    <n v="0"/>
    <n v="792.230951"/>
    <n v="2.9793079999999499"/>
    <n v="332.96322501735898"/>
    <n v="0"/>
    <x v="20"/>
    <x v="20"/>
    <s v="PPPCFC2"/>
    <s v="EGX100"/>
    <s v="Fume Control"/>
    <s v="Miscellaneous"/>
    <x v="1"/>
    <x v="0"/>
    <x v="3"/>
  </r>
  <r>
    <s v="10.12.0.2"/>
    <x v="355"/>
    <s v="10.11.9.28"/>
    <x v="107"/>
    <n v="2"/>
    <x v="48"/>
    <n v="2"/>
    <n v="124"/>
    <n v="0"/>
    <n v="0"/>
    <n v="792.75176099999999"/>
    <n v="2.9614159999999901"/>
    <n v="334.97489039027403"/>
    <n v="0"/>
    <x v="20"/>
    <x v="20"/>
    <s v="PPPCFC2"/>
    <s v="EGX100"/>
    <s v="Fume Control"/>
    <s v="Miscellaneous"/>
    <x v="1"/>
    <x v="0"/>
    <x v="3"/>
  </r>
  <r>
    <s v="10.12.0.2"/>
    <x v="596"/>
    <s v="10.11.9.28"/>
    <x v="107"/>
    <n v="1"/>
    <x v="1"/>
    <n v="1"/>
    <n v="62"/>
    <n v="0"/>
    <n v="0"/>
    <n v="793.94596799999999"/>
    <n v="0"/>
    <n v="0"/>
    <n v="0"/>
    <x v="20"/>
    <x v="20"/>
    <s v="PPPCFC2"/>
    <s v="EGX100"/>
    <s v="Fume Control"/>
    <s v="Miscellaneous"/>
    <x v="1"/>
    <x v="0"/>
    <x v="3"/>
  </r>
  <r>
    <s v="10.12.0.2"/>
    <x v="597"/>
    <s v="10.11.9.28"/>
    <x v="107"/>
    <n v="1"/>
    <x v="1"/>
    <n v="1"/>
    <n v="62"/>
    <n v="0"/>
    <n v="0"/>
    <n v="794.31290999999999"/>
    <n v="0"/>
    <n v="0"/>
    <n v="0"/>
    <x v="20"/>
    <x v="20"/>
    <s v="PPPCFC2"/>
    <s v="EGX100"/>
    <s v="Fume Control"/>
    <s v="Miscellaneous"/>
    <x v="1"/>
    <x v="0"/>
    <x v="3"/>
  </r>
  <r>
    <s v="10.12.0.2"/>
    <x v="356"/>
    <s v="10.11.9.28"/>
    <x v="107"/>
    <n v="1"/>
    <x v="1"/>
    <n v="1"/>
    <n v="62"/>
    <n v="0"/>
    <n v="0"/>
    <n v="795.10226599999999"/>
    <n v="0"/>
    <n v="0"/>
    <n v="0"/>
    <x v="20"/>
    <x v="20"/>
    <s v="PPPCFC2"/>
    <s v="EGX100"/>
    <s v="Fume Control"/>
    <s v="Miscellaneous"/>
    <x v="1"/>
    <x v="0"/>
    <x v="3"/>
  </r>
  <r>
    <s v="10.12.0.2"/>
    <x v="598"/>
    <s v="10.11.9.28"/>
    <x v="107"/>
    <n v="1"/>
    <x v="1"/>
    <n v="1"/>
    <n v="62"/>
    <n v="0"/>
    <n v="0"/>
    <n v="795.24282200000005"/>
    <n v="0"/>
    <n v="0"/>
    <n v="0"/>
    <x v="20"/>
    <x v="20"/>
    <s v="PPPCFC2"/>
    <s v="EGX100"/>
    <s v="Fume Control"/>
    <s v="Miscellaneous"/>
    <x v="1"/>
    <x v="0"/>
    <x v="3"/>
  </r>
  <r>
    <s v="10.12.0.2"/>
    <x v="599"/>
    <s v="10.11.9.28"/>
    <x v="107"/>
    <n v="1"/>
    <x v="1"/>
    <n v="1"/>
    <n v="62"/>
    <n v="0"/>
    <n v="0"/>
    <n v="795.75854000000004"/>
    <n v="0"/>
    <n v="0"/>
    <n v="0"/>
    <x v="20"/>
    <x v="20"/>
    <s v="PPPCFC2"/>
    <s v="EGX100"/>
    <s v="Fume Control"/>
    <s v="Miscellaneous"/>
    <x v="1"/>
    <x v="0"/>
    <x v="3"/>
  </r>
  <r>
    <s v="10.12.0.2"/>
    <x v="600"/>
    <s v="10.11.9.28"/>
    <x v="107"/>
    <n v="1"/>
    <x v="1"/>
    <n v="1"/>
    <n v="62"/>
    <n v="0"/>
    <n v="0"/>
    <n v="797.32104600000002"/>
    <n v="0"/>
    <n v="0"/>
    <n v="0"/>
    <x v="20"/>
    <x v="20"/>
    <s v="PPPCFC2"/>
    <s v="EGX100"/>
    <s v="Fume Control"/>
    <s v="Miscellaneous"/>
    <x v="1"/>
    <x v="0"/>
    <x v="3"/>
  </r>
  <r>
    <s v="10.12.0.2"/>
    <x v="361"/>
    <s v="10.11.9.28"/>
    <x v="107"/>
    <n v="2"/>
    <x v="48"/>
    <n v="2"/>
    <n v="124"/>
    <n v="0"/>
    <n v="0"/>
    <n v="823.95386699999995"/>
    <n v="2.9411690000000599"/>
    <n v="337.280856693369"/>
    <n v="0"/>
    <x v="20"/>
    <x v="20"/>
    <s v="PPPCFC2"/>
    <s v="EGX100"/>
    <s v="Fume Control"/>
    <s v="Miscellaneous"/>
    <x v="1"/>
    <x v="0"/>
    <x v="3"/>
  </r>
  <r>
    <s v="10.12.0.2"/>
    <x v="601"/>
    <s v="10.11.9.28"/>
    <x v="107"/>
    <n v="2"/>
    <x v="48"/>
    <n v="2"/>
    <n v="124"/>
    <n v="0"/>
    <n v="0"/>
    <n v="825.10723599999994"/>
    <n v="2.9947260000000102"/>
    <n v="331.24900241290698"/>
    <n v="0"/>
    <x v="20"/>
    <x v="20"/>
    <s v="PPPCFC2"/>
    <s v="EGX100"/>
    <s v="Fume Control"/>
    <s v="Miscellaneous"/>
    <x v="1"/>
    <x v="0"/>
    <x v="3"/>
  </r>
  <r>
    <s v="10.12.0.2"/>
    <x v="362"/>
    <s v="10.11.9.28"/>
    <x v="107"/>
    <n v="2"/>
    <x v="48"/>
    <n v="2"/>
    <n v="124"/>
    <n v="0"/>
    <n v="0"/>
    <n v="825.24853900000005"/>
    <n v="2.9540299999999902"/>
    <n v="335.812432507457"/>
    <n v="0"/>
    <x v="20"/>
    <x v="20"/>
    <s v="PPPCFC2"/>
    <s v="EGX100"/>
    <s v="Fume Control"/>
    <s v="Miscellaneous"/>
    <x v="1"/>
    <x v="0"/>
    <x v="3"/>
  </r>
  <r>
    <s v="10.12.0.2"/>
    <x v="363"/>
    <s v="10.11.9.28"/>
    <x v="107"/>
    <n v="2"/>
    <x v="48"/>
    <n v="2"/>
    <n v="124"/>
    <n v="0"/>
    <n v="0"/>
    <n v="825.76977499999998"/>
    <n v="2.93578300000001"/>
    <n v="337.899633590083"/>
    <n v="0"/>
    <x v="20"/>
    <x v="20"/>
    <s v="PPPCFC2"/>
    <s v="EGX100"/>
    <s v="Fume Control"/>
    <s v="Miscellaneous"/>
    <x v="1"/>
    <x v="0"/>
    <x v="3"/>
  </r>
  <r>
    <s v="10.12.0.2"/>
    <x v="364"/>
    <s v="10.11.9.28"/>
    <x v="107"/>
    <n v="1"/>
    <x v="1"/>
    <n v="1"/>
    <n v="62"/>
    <n v="0"/>
    <n v="0"/>
    <n v="826.96196799999996"/>
    <n v="0"/>
    <n v="0"/>
    <n v="0"/>
    <x v="20"/>
    <x v="20"/>
    <s v="PPPCFC2"/>
    <s v="EGX100"/>
    <s v="Fume Control"/>
    <s v="Miscellaneous"/>
    <x v="1"/>
    <x v="0"/>
    <x v="3"/>
  </r>
  <r>
    <s v="10.12.0.2"/>
    <x v="18"/>
    <s v="10.11.9.28"/>
    <x v="107"/>
    <n v="2"/>
    <x v="48"/>
    <n v="2"/>
    <n v="124"/>
    <n v="0"/>
    <n v="0"/>
    <n v="827.32983300000001"/>
    <n v="2.9850450000000102"/>
    <n v="332.32329830873402"/>
    <n v="0"/>
    <x v="20"/>
    <x v="20"/>
    <s v="PPPCFC2"/>
    <s v="EGX100"/>
    <s v="Fume Control"/>
    <s v="Miscellaneous"/>
    <x v="1"/>
    <x v="0"/>
    <x v="3"/>
  </r>
  <r>
    <s v="10.12.0.2"/>
    <x v="19"/>
    <s v="10.11.9.28"/>
    <x v="107"/>
    <n v="1"/>
    <x v="1"/>
    <n v="1"/>
    <n v="62"/>
    <n v="0"/>
    <n v="0"/>
    <n v="828.11823900000002"/>
    <n v="0"/>
    <n v="0"/>
    <n v="0"/>
    <x v="20"/>
    <x v="20"/>
    <s v="PPPCFC2"/>
    <s v="EGX100"/>
    <s v="Fume Control"/>
    <s v="Miscellaneous"/>
    <x v="1"/>
    <x v="0"/>
    <x v="3"/>
  </r>
  <r>
    <s v="10.12.0.2"/>
    <x v="20"/>
    <s v="10.11.9.28"/>
    <x v="107"/>
    <n v="1"/>
    <x v="1"/>
    <n v="1"/>
    <n v="62"/>
    <n v="0"/>
    <n v="0"/>
    <n v="828.25858100000005"/>
    <n v="0"/>
    <n v="0"/>
    <n v="0"/>
    <x v="20"/>
    <x v="20"/>
    <s v="PPPCFC2"/>
    <s v="EGX100"/>
    <s v="Fume Control"/>
    <s v="Miscellaneous"/>
    <x v="1"/>
    <x v="0"/>
    <x v="3"/>
  </r>
  <r>
    <s v="10.12.0.2"/>
    <x v="21"/>
    <s v="10.11.9.28"/>
    <x v="107"/>
    <n v="1"/>
    <x v="1"/>
    <n v="1"/>
    <n v="62"/>
    <n v="0"/>
    <n v="0"/>
    <n v="828.77460499999995"/>
    <n v="0"/>
    <n v="0"/>
    <n v="0"/>
    <x v="20"/>
    <x v="20"/>
    <s v="PPPCFC2"/>
    <s v="EGX100"/>
    <s v="Fume Control"/>
    <s v="Miscellaneous"/>
    <x v="1"/>
    <x v="0"/>
    <x v="3"/>
  </r>
  <r>
    <s v="10.12.0.2"/>
    <x v="22"/>
    <s v="10.11.9.28"/>
    <x v="107"/>
    <n v="1"/>
    <x v="1"/>
    <n v="1"/>
    <n v="62"/>
    <n v="0"/>
    <n v="0"/>
    <n v="830.33678799999996"/>
    <n v="0"/>
    <n v="0"/>
    <n v="0"/>
    <x v="20"/>
    <x v="20"/>
    <s v="PPPCFC2"/>
    <s v="EGX100"/>
    <s v="Fume Control"/>
    <s v="Miscellaneous"/>
    <x v="1"/>
    <x v="0"/>
    <x v="3"/>
  </r>
  <r>
    <s v="10.12.0.2"/>
    <x v="365"/>
    <s v="10.11.9.28"/>
    <x v="107"/>
    <n v="2"/>
    <x v="48"/>
    <n v="2"/>
    <n v="124"/>
    <n v="0"/>
    <n v="0"/>
    <n v="856.96668999999997"/>
    <n v="2.9205719999999902"/>
    <n v="339.65949135991298"/>
    <n v="0"/>
    <x v="20"/>
    <x v="20"/>
    <s v="PPPCFC2"/>
    <s v="EGX100"/>
    <s v="Fume Control"/>
    <s v="Miscellaneous"/>
    <x v="1"/>
    <x v="0"/>
    <x v="3"/>
  </r>
  <r>
    <s v="10.12.0.2"/>
    <x v="366"/>
    <s v="10.11.9.28"/>
    <x v="107"/>
    <n v="2"/>
    <x v="48"/>
    <n v="2"/>
    <n v="124"/>
    <n v="0"/>
    <n v="0"/>
    <n v="858.12025800000004"/>
    <n v="2.9741089999999999"/>
    <n v="333.54527355924102"/>
    <n v="0"/>
    <x v="20"/>
    <x v="20"/>
    <s v="PPPCFC2"/>
    <s v="EGX100"/>
    <s v="Fume Control"/>
    <s v="Miscellaneous"/>
    <x v="1"/>
    <x v="0"/>
    <x v="3"/>
  </r>
  <r>
    <s v="10.12.0.2"/>
    <x v="602"/>
    <s v="10.11.9.28"/>
    <x v="107"/>
    <n v="2"/>
    <x v="48"/>
    <n v="2"/>
    <n v="124"/>
    <n v="0"/>
    <n v="0"/>
    <n v="858.26182300000005"/>
    <n v="2.9331069999999499"/>
    <n v="338.20791399700602"/>
    <n v="0"/>
    <x v="20"/>
    <x v="20"/>
    <s v="PPPCFC2"/>
    <s v="EGX100"/>
    <s v="Fume Control"/>
    <s v="Miscellaneous"/>
    <x v="1"/>
    <x v="0"/>
    <x v="3"/>
  </r>
  <r>
    <s v="10.12.0.2"/>
    <x v="367"/>
    <s v="10.11.9.28"/>
    <x v="107"/>
    <n v="1"/>
    <x v="1"/>
    <n v="1"/>
    <n v="62"/>
    <n v="0"/>
    <n v="0"/>
    <n v="858.78132900000003"/>
    <n v="0"/>
    <n v="0"/>
    <n v="0"/>
    <x v="20"/>
    <x v="20"/>
    <s v="PPPCFC2"/>
    <s v="EGX100"/>
    <s v="Fume Control"/>
    <s v="Miscellaneous"/>
    <x v="1"/>
    <x v="0"/>
    <x v="3"/>
  </r>
  <r>
    <s v="10.12.0.2"/>
    <x v="603"/>
    <s v="10.11.9.28"/>
    <x v="107"/>
    <n v="1"/>
    <x v="1"/>
    <n v="1"/>
    <n v="62"/>
    <n v="0"/>
    <n v="0"/>
    <n v="859.97760800000003"/>
    <n v="0"/>
    <n v="0"/>
    <n v="0"/>
    <x v="20"/>
    <x v="20"/>
    <s v="PPPCFC2"/>
    <s v="EGX100"/>
    <s v="Fume Control"/>
    <s v="Miscellaneous"/>
    <x v="1"/>
    <x v="0"/>
    <x v="3"/>
  </r>
  <r>
    <s v="10.12.0.2"/>
    <x v="604"/>
    <s v="10.11.9.28"/>
    <x v="107"/>
    <n v="2"/>
    <x v="48"/>
    <n v="2"/>
    <n v="124"/>
    <n v="0"/>
    <n v="0"/>
    <n v="860.34537699999998"/>
    <n v="2.9618279999999699"/>
    <n v="334.92829428312899"/>
    <n v="0"/>
    <x v="20"/>
    <x v="20"/>
    <s v="PPPCFC2"/>
    <s v="EGX100"/>
    <s v="Fume Control"/>
    <s v="Miscellaneous"/>
    <x v="1"/>
    <x v="0"/>
    <x v="3"/>
  </r>
  <r>
    <s v="10.12.0.2"/>
    <x v="368"/>
    <s v="10.11.9.28"/>
    <x v="107"/>
    <n v="1"/>
    <x v="1"/>
    <n v="1"/>
    <n v="62"/>
    <n v="0"/>
    <n v="0"/>
    <n v="861.13384499999995"/>
    <n v="0"/>
    <n v="0"/>
    <n v="0"/>
    <x v="20"/>
    <x v="20"/>
    <s v="PPPCFC2"/>
    <s v="EGX100"/>
    <s v="Fume Control"/>
    <s v="Miscellaneous"/>
    <x v="1"/>
    <x v="0"/>
    <x v="3"/>
  </r>
  <r>
    <s v="10.12.0.2"/>
    <x v="369"/>
    <s v="10.11.9.28"/>
    <x v="107"/>
    <n v="1"/>
    <x v="1"/>
    <n v="1"/>
    <n v="62"/>
    <n v="0"/>
    <n v="0"/>
    <n v="861.27450499999998"/>
    <n v="0"/>
    <n v="0"/>
    <n v="0"/>
    <x v="20"/>
    <x v="20"/>
    <s v="PPPCFC2"/>
    <s v="EGX100"/>
    <s v="Fume Control"/>
    <s v="Miscellaneous"/>
    <x v="1"/>
    <x v="0"/>
    <x v="3"/>
  </r>
  <r>
    <s v="10.12.0.2"/>
    <x v="370"/>
    <s v="10.11.9.28"/>
    <x v="107"/>
    <n v="1"/>
    <x v="1"/>
    <n v="1"/>
    <n v="62"/>
    <n v="0"/>
    <n v="0"/>
    <n v="861.79006500000003"/>
    <n v="0"/>
    <n v="0"/>
    <n v="0"/>
    <x v="20"/>
    <x v="20"/>
    <s v="PPPCFC2"/>
    <s v="EGX100"/>
    <s v="Fume Control"/>
    <s v="Miscellaneous"/>
    <x v="1"/>
    <x v="0"/>
    <x v="3"/>
  </r>
  <r>
    <s v="10.12.0.2"/>
    <x v="605"/>
    <s v="10.11.9.28"/>
    <x v="107"/>
    <n v="1"/>
    <x v="1"/>
    <n v="1"/>
    <n v="62"/>
    <n v="0"/>
    <n v="0"/>
    <n v="863.35255099999995"/>
    <n v="0"/>
    <n v="0"/>
    <n v="0"/>
    <x v="20"/>
    <x v="20"/>
    <s v="PPPCFC2"/>
    <s v="EGX100"/>
    <s v="Fume Control"/>
    <s v="Miscellaneous"/>
    <x v="1"/>
    <x v="0"/>
    <x v="3"/>
  </r>
  <r>
    <s v="10.12.0.2"/>
    <x v="606"/>
    <s v="10.11.9.28"/>
    <x v="107"/>
    <n v="2"/>
    <x v="48"/>
    <n v="2"/>
    <n v="124"/>
    <n v="0"/>
    <n v="0"/>
    <n v="889.98129900000004"/>
    <n v="2.9988519999999399"/>
    <n v="330.793250217089"/>
    <n v="0"/>
    <x v="20"/>
    <x v="20"/>
    <s v="PPPCFC2"/>
    <s v="EGX100"/>
    <s v="Fume Control"/>
    <s v="Miscellaneous"/>
    <x v="1"/>
    <x v="0"/>
    <x v="3"/>
  </r>
  <r>
    <s v="10.12.0.2"/>
    <x v="607"/>
    <s v="10.11.9.28"/>
    <x v="107"/>
    <n v="1"/>
    <x v="1"/>
    <n v="1"/>
    <n v="62"/>
    <n v="0"/>
    <n v="0"/>
    <n v="891.13727600000004"/>
    <n v="0"/>
    <n v="0"/>
    <n v="0"/>
    <x v="20"/>
    <x v="20"/>
    <s v="PPPCFC2"/>
    <s v="EGX100"/>
    <s v="Fume Control"/>
    <s v="Miscellaneous"/>
    <x v="1"/>
    <x v="0"/>
    <x v="3"/>
  </r>
  <r>
    <s v="10.12.0.2"/>
    <x v="373"/>
    <s v="10.11.9.28"/>
    <x v="107"/>
    <n v="2"/>
    <x v="48"/>
    <n v="2"/>
    <n v="124"/>
    <n v="0"/>
    <n v="0"/>
    <n v="891.27851999999996"/>
    <n v="3.0093760000000902"/>
    <n v="329.636442903768"/>
    <n v="0"/>
    <x v="20"/>
    <x v="20"/>
    <s v="PPPCFC2"/>
    <s v="EGX100"/>
    <s v="Fume Control"/>
    <s v="Miscellaneous"/>
    <x v="1"/>
    <x v="0"/>
    <x v="3"/>
  </r>
  <r>
    <s v="10.12.0.2"/>
    <x v="608"/>
    <s v="10.11.9.28"/>
    <x v="107"/>
    <n v="2"/>
    <x v="48"/>
    <n v="2"/>
    <n v="124"/>
    <n v="0"/>
    <n v="0"/>
    <n v="891.79690300000004"/>
    <n v="2.99384599999996"/>
    <n v="331.34636851728902"/>
    <n v="0"/>
    <x v="20"/>
    <x v="20"/>
    <s v="PPPCFC2"/>
    <s v="EGX100"/>
    <s v="Fume Control"/>
    <s v="Miscellaneous"/>
    <x v="1"/>
    <x v="0"/>
    <x v="3"/>
  </r>
  <r>
    <s v="10.12.0.2"/>
    <x v="374"/>
    <s v="10.11.9.28"/>
    <x v="107"/>
    <n v="1"/>
    <x v="1"/>
    <n v="1"/>
    <n v="62"/>
    <n v="0"/>
    <n v="0"/>
    <n v="892.99326199999996"/>
    <n v="0"/>
    <n v="0"/>
    <n v="0"/>
    <x v="20"/>
    <x v="20"/>
    <s v="PPPCFC2"/>
    <s v="EGX100"/>
    <s v="Fume Control"/>
    <s v="Miscellaneous"/>
    <x v="1"/>
    <x v="0"/>
    <x v="3"/>
  </r>
  <r>
    <s v="10.12.0.2"/>
    <x v="375"/>
    <s v="10.11.9.28"/>
    <x v="107"/>
    <n v="2"/>
    <x v="48"/>
    <n v="2"/>
    <n v="124"/>
    <n v="0"/>
    <n v="0"/>
    <n v="893.36108100000001"/>
    <n v="2.9384569999999699"/>
    <n v="337.59214444860299"/>
    <n v="0"/>
    <x v="20"/>
    <x v="20"/>
    <s v="PPPCFC2"/>
    <s v="EGX100"/>
    <s v="Fume Control"/>
    <s v="Miscellaneous"/>
    <x v="1"/>
    <x v="0"/>
    <x v="3"/>
  </r>
  <r>
    <s v="10.12.0.2"/>
    <x v="376"/>
    <s v="10.11.9.28"/>
    <x v="107"/>
    <n v="1"/>
    <x v="1"/>
    <n v="1"/>
    <n v="62"/>
    <n v="0"/>
    <n v="0"/>
    <n v="894.14948600000002"/>
    <n v="0"/>
    <n v="0"/>
    <n v="0"/>
    <x v="20"/>
    <x v="20"/>
    <s v="PPPCFC2"/>
    <s v="EGX100"/>
    <s v="Fume Control"/>
    <s v="Miscellaneous"/>
    <x v="1"/>
    <x v="0"/>
    <x v="3"/>
  </r>
  <r>
    <s v="10.12.0.2"/>
    <x v="609"/>
    <s v="10.11.9.28"/>
    <x v="107"/>
    <n v="1"/>
    <x v="1"/>
    <n v="1"/>
    <n v="62"/>
    <n v="0"/>
    <n v="0"/>
    <n v="894.29081199999996"/>
    <n v="0"/>
    <n v="0"/>
    <n v="0"/>
    <x v="20"/>
    <x v="20"/>
    <s v="PPPCFC2"/>
    <s v="EGX100"/>
    <s v="Fume Control"/>
    <s v="Miscellaneous"/>
    <x v="1"/>
    <x v="0"/>
    <x v="3"/>
  </r>
  <r>
    <s v="10.12.0.2"/>
    <x v="377"/>
    <s v="10.11.9.28"/>
    <x v="107"/>
    <n v="1"/>
    <x v="1"/>
    <n v="1"/>
    <n v="62"/>
    <n v="0"/>
    <n v="0"/>
    <n v="894.80578600000001"/>
    <n v="0"/>
    <n v="0"/>
    <n v="0"/>
    <x v="20"/>
    <x v="20"/>
    <s v="PPPCFC2"/>
    <s v="EGX100"/>
    <s v="Fume Control"/>
    <s v="Miscellaneous"/>
    <x v="1"/>
    <x v="0"/>
    <x v="3"/>
  </r>
  <r>
    <s v="10.12.0.2"/>
    <x v="610"/>
    <s v="10.11.9.28"/>
    <x v="107"/>
    <n v="1"/>
    <x v="1"/>
    <n v="1"/>
    <n v="62"/>
    <n v="0"/>
    <n v="0"/>
    <n v="896.36845100000005"/>
    <n v="0"/>
    <n v="0"/>
    <n v="0"/>
    <x v="20"/>
    <x v="20"/>
    <s v="PPPCFC2"/>
    <s v="EGX100"/>
    <s v="Fume Control"/>
    <s v="Miscellaneous"/>
    <x v="1"/>
    <x v="0"/>
    <x v="3"/>
  </r>
  <r>
    <s v="10.12.0.7"/>
    <x v="611"/>
    <s v="10.238.200.37"/>
    <x v="116"/>
    <n v="3"/>
    <x v="0"/>
    <n v="3"/>
    <n v="186"/>
    <n v="0"/>
    <n v="0"/>
    <n v="172.24536800000001"/>
    <n v="9.1186669999999896"/>
    <n v="163.18174575296999"/>
    <n v="0"/>
    <x v="21"/>
    <x v="30"/>
    <s v="PPPCFC7"/>
    <e v="#N/A"/>
    <s v="Fume Control"/>
    <e v="#N/A"/>
    <x v="1"/>
    <x v="3"/>
    <x v="4"/>
  </r>
  <r>
    <s v="10.12.0.7"/>
    <x v="612"/>
    <s v="10.238.200.37"/>
    <x v="116"/>
    <n v="3"/>
    <x v="0"/>
    <n v="3"/>
    <n v="186"/>
    <n v="0"/>
    <n v="0"/>
    <n v="193.51004"/>
    <n v="9.0734890000000004"/>
    <n v="163.994247416843"/>
    <n v="0"/>
    <x v="21"/>
    <x v="30"/>
    <s v="PPPCFC7"/>
    <e v="#N/A"/>
    <s v="Fume Control"/>
    <e v="#N/A"/>
    <x v="1"/>
    <x v="3"/>
    <x v="4"/>
  </r>
  <r>
    <s v="10.12.0.7"/>
    <x v="613"/>
    <s v="10.238.200.37"/>
    <x v="116"/>
    <n v="3"/>
    <x v="0"/>
    <n v="3"/>
    <n v="186"/>
    <n v="0"/>
    <n v="0"/>
    <n v="216.88964200000001"/>
    <n v="8.8822480000000006"/>
    <n v="167.52515804557601"/>
    <n v="0"/>
    <x v="21"/>
    <x v="30"/>
    <s v="PPPCFC7"/>
    <e v="#N/A"/>
    <s v="Fume Control"/>
    <e v="#N/A"/>
    <x v="1"/>
    <x v="3"/>
    <x v="4"/>
  </r>
  <r>
    <s v="10.12.0.22"/>
    <x v="614"/>
    <s v="23.0.40.234"/>
    <x v="116"/>
    <n v="3"/>
    <x v="49"/>
    <n v="3"/>
    <n v="194"/>
    <n v="0"/>
    <n v="0"/>
    <n v="90.231457000000006"/>
    <n v="9.0040379999999907"/>
    <n v="172.36710906817601"/>
    <n v="0"/>
    <x v="22"/>
    <x v="31"/>
    <s v="PPPCBF2"/>
    <e v="#N/A"/>
    <s v="Blast Furnace"/>
    <e v="#N/A"/>
    <x v="1"/>
    <x v="3"/>
    <x v="4"/>
  </r>
  <r>
    <s v="10.12.0.22"/>
    <x v="615"/>
    <s v="23.0.40.234"/>
    <x v="116"/>
    <n v="3"/>
    <x v="49"/>
    <n v="3"/>
    <n v="194"/>
    <n v="0"/>
    <n v="0"/>
    <n v="411.243877"/>
    <n v="8.9998590000000096"/>
    <n v="172.44714611640001"/>
    <n v="0"/>
    <x v="22"/>
    <x v="31"/>
    <s v="PPPCBF2"/>
    <e v="#N/A"/>
    <s v="Blast Furnace"/>
    <e v="#N/A"/>
    <x v="1"/>
    <x v="3"/>
    <x v="4"/>
  </r>
  <r>
    <s v="10.12.0.22"/>
    <x v="616"/>
    <s v="23.0.40.234"/>
    <x v="116"/>
    <n v="3"/>
    <x v="49"/>
    <n v="3"/>
    <n v="194"/>
    <n v="0"/>
    <n v="0"/>
    <n v="732.26330299999995"/>
    <n v="9.0097330000001001"/>
    <n v="172.25815681774199"/>
    <n v="0"/>
    <x v="22"/>
    <x v="31"/>
    <s v="PPPCBF2"/>
    <e v="#N/A"/>
    <s v="Blast Furnace"/>
    <e v="#N/A"/>
    <x v="1"/>
    <x v="3"/>
    <x v="4"/>
  </r>
  <r>
    <s v="10.12.0.41"/>
    <x v="617"/>
    <s v="10.238.200.37"/>
    <x v="116"/>
    <n v="3"/>
    <x v="0"/>
    <n v="3"/>
    <n v="186"/>
    <n v="0"/>
    <n v="0"/>
    <n v="695.36321499999997"/>
    <n v="8.9900460000000102"/>
    <n v="165.516394465612"/>
    <n v="0"/>
    <x v="23"/>
    <x v="30"/>
    <s v="PPPCAP1"/>
    <e v="#N/A"/>
    <s v="Acid Plant"/>
    <e v="#N/A"/>
    <x v="1"/>
    <x v="3"/>
    <x v="4"/>
  </r>
  <r>
    <s v="10.12.0.41"/>
    <x v="617"/>
    <s v="10.238.200.37"/>
    <x v="116"/>
    <n v="3"/>
    <x v="0"/>
    <n v="3"/>
    <n v="186"/>
    <n v="0"/>
    <n v="0"/>
    <n v="716.32486300000005"/>
    <n v="8.9508919999999499"/>
    <n v="166.24041492177599"/>
    <n v="0"/>
    <x v="23"/>
    <x v="30"/>
    <s v="PPPCAP1"/>
    <e v="#N/A"/>
    <s v="Acid Plant"/>
    <e v="#N/A"/>
    <x v="1"/>
    <x v="3"/>
    <x v="4"/>
  </r>
  <r>
    <s v="10.12.0.42"/>
    <x v="618"/>
    <s v="10.11.9.208"/>
    <x v="107"/>
    <n v="9"/>
    <x v="50"/>
    <n v="6"/>
    <n v="368"/>
    <n v="3"/>
    <n v="191"/>
    <n v="149.18771799999999"/>
    <n v="60.046460000000003"/>
    <n v="49.028702108334102"/>
    <n v="25.446962235575601"/>
    <x v="24"/>
    <x v="32"/>
    <s v="PPPCAP2"/>
    <s v="EGX100"/>
    <s v="Acid Plant"/>
    <s v="Acid Plant"/>
    <x v="1"/>
    <x v="1"/>
    <x v="3"/>
  </r>
  <r>
    <s v="10.12.0.42"/>
    <x v="619"/>
    <s v="10.11.9.208"/>
    <x v="107"/>
    <n v="9"/>
    <x v="51"/>
    <n v="6"/>
    <n v="368"/>
    <n v="3"/>
    <n v="225"/>
    <n v="149.187986"/>
    <n v="60.155628999999998"/>
    <n v="48.939725989732402"/>
    <n v="29.922386814374399"/>
    <x v="24"/>
    <x v="32"/>
    <s v="PPPCAP2"/>
    <s v="EGX100"/>
    <s v="Acid Plant"/>
    <s v="Acid Plant"/>
    <x v="1"/>
    <x v="1"/>
    <x v="3"/>
  </r>
  <r>
    <s v="10.12.0.42"/>
    <x v="620"/>
    <s v="10.11.9.208"/>
    <x v="107"/>
    <n v="10"/>
    <x v="52"/>
    <n v="6"/>
    <n v="368"/>
    <n v="4"/>
    <n v="255"/>
    <n v="149.18828400000001"/>
    <n v="60.233305999999999"/>
    <n v="48.876613214622502"/>
    <n v="33.868305352523699"/>
    <x v="24"/>
    <x v="32"/>
    <s v="PPPCAP2"/>
    <s v="EGX100"/>
    <s v="Acid Plant"/>
    <s v="Acid Plant"/>
    <x v="1"/>
    <x v="1"/>
    <x v="3"/>
  </r>
  <r>
    <s v="10.12.0.42"/>
    <x v="621"/>
    <s v="10.11.9.208"/>
    <x v="107"/>
    <n v="10"/>
    <x v="53"/>
    <n v="6"/>
    <n v="368"/>
    <n v="4"/>
    <n v="259"/>
    <n v="149.18865299999999"/>
    <n v="60.326801000000003"/>
    <n v="48.800863815072802"/>
    <n v="34.346260130716999"/>
    <x v="24"/>
    <x v="32"/>
    <s v="PPPCAP2"/>
    <s v="EGX100"/>
    <s v="Acid Plant"/>
    <s v="Acid Plant"/>
    <x v="1"/>
    <x v="1"/>
    <x v="3"/>
  </r>
  <r>
    <s v="10.12.0.42"/>
    <x v="622"/>
    <s v="10.11.9.208"/>
    <x v="107"/>
    <n v="9"/>
    <x v="50"/>
    <n v="6"/>
    <n v="368"/>
    <n v="3"/>
    <n v="191"/>
    <n v="150.133858"/>
    <n v="60.074939999999998"/>
    <n v="49.0054588485648"/>
    <n v="25.434898478467101"/>
    <x v="24"/>
    <x v="32"/>
    <s v="PPPCAP2"/>
    <s v="EGX100"/>
    <s v="Acid Plant"/>
    <s v="Acid Plant"/>
    <x v="1"/>
    <x v="1"/>
    <x v="3"/>
  </r>
  <r>
    <s v="10.12.0.42"/>
    <x v="623"/>
    <s v="10.11.9.208"/>
    <x v="107"/>
    <n v="9"/>
    <x v="51"/>
    <n v="6"/>
    <n v="368"/>
    <n v="3"/>
    <n v="225"/>
    <n v="150.13410200000001"/>
    <n v="60.168384000000003"/>
    <n v="48.9293513350799"/>
    <n v="29.916043615198301"/>
    <x v="24"/>
    <x v="32"/>
    <s v="PPPCAP2"/>
    <s v="EGX100"/>
    <s v="Acid Plant"/>
    <s v="Acid Plant"/>
    <x v="1"/>
    <x v="1"/>
    <x v="3"/>
  </r>
  <r>
    <s v="10.12.0.42"/>
    <x v="624"/>
    <s v="10.11.9.208"/>
    <x v="107"/>
    <n v="10"/>
    <x v="52"/>
    <n v="6"/>
    <n v="368"/>
    <n v="4"/>
    <n v="255"/>
    <n v="150.134353"/>
    <n v="60.261907000000001"/>
    <n v="48.853415807103502"/>
    <n v="33.852231061987503"/>
    <x v="24"/>
    <x v="32"/>
    <s v="PPPCAP2"/>
    <s v="EGX100"/>
    <s v="Acid Plant"/>
    <s v="Acid Plant"/>
    <x v="1"/>
    <x v="1"/>
    <x v="3"/>
  </r>
  <r>
    <s v="10.12.0.42"/>
    <x v="625"/>
    <s v="10.11.9.208"/>
    <x v="107"/>
    <n v="10"/>
    <x v="53"/>
    <n v="6"/>
    <n v="368"/>
    <n v="4"/>
    <n v="259"/>
    <n v="150.13467499999999"/>
    <n v="60.339691999999999"/>
    <n v="48.7904379757192"/>
    <n v="34.338922379650199"/>
    <x v="24"/>
    <x v="32"/>
    <s v="PPPCAP2"/>
    <s v="EGX100"/>
    <s v="Acid Plant"/>
    <s v="Acid Plant"/>
    <x v="1"/>
    <x v="1"/>
    <x v="3"/>
  </r>
  <r>
    <s v="10.12.0.42"/>
    <x v="626"/>
    <s v="10.11.9.208"/>
    <x v="107"/>
    <n v="17"/>
    <x v="54"/>
    <n v="9"/>
    <n v="566"/>
    <n v="8"/>
    <n v="570"/>
    <n v="150.13496000000001"/>
    <n v="61.112029"/>
    <n v="74.093432571188202"/>
    <n v="74.617061069924503"/>
    <x v="24"/>
    <x v="32"/>
    <s v="PPPCAP2"/>
    <s v="EGX100"/>
    <s v="Acid Plant"/>
    <s v="Acid Plant"/>
    <x v="1"/>
    <x v="1"/>
    <x v="3"/>
  </r>
  <r>
    <s v="10.12.0.42"/>
    <x v="627"/>
    <s v="10.11.9.208"/>
    <x v="107"/>
    <n v="7"/>
    <x v="55"/>
    <n v="5"/>
    <n v="304"/>
    <n v="2"/>
    <n v="120"/>
    <n v="150.135233"/>
    <n v="62.877316"/>
    <n v="38.678495755130498"/>
    <n v="15.267827271762"/>
    <x v="24"/>
    <x v="32"/>
    <s v="PPPCAP2"/>
    <s v="EGX100"/>
    <s v="Acid Plant"/>
    <s v="Acid Plant"/>
    <x v="1"/>
    <x v="1"/>
    <x v="3"/>
  </r>
  <r>
    <s v="10.12.0.42"/>
    <x v="628"/>
    <s v="10.11.9.208"/>
    <x v="107"/>
    <n v="10"/>
    <x v="20"/>
    <n v="6"/>
    <n v="368"/>
    <n v="4"/>
    <n v="245"/>
    <n v="150.16724600000001"/>
    <n v="60.458579999999998"/>
    <n v="48.694494644101802"/>
    <n v="32.418889097296002"/>
    <x v="24"/>
    <x v="32"/>
    <s v="PPPCAP2"/>
    <s v="EGX100"/>
    <s v="Acid Plant"/>
    <s v="Acid Plant"/>
    <x v="1"/>
    <x v="1"/>
    <x v="3"/>
  </r>
  <r>
    <s v="10.12.0.42"/>
    <x v="629"/>
    <s v="10.11.9.208"/>
    <x v="107"/>
    <n v="10"/>
    <x v="56"/>
    <n v="6"/>
    <n v="368"/>
    <n v="4"/>
    <n v="277"/>
    <n v="150.167452"/>
    <n v="60.552073999999998"/>
    <n v="48.619309059504701"/>
    <n v="36.596599482290202"/>
    <x v="24"/>
    <x v="32"/>
    <s v="PPPCAP2"/>
    <s v="EGX100"/>
    <s v="Acid Plant"/>
    <s v="Acid Plant"/>
    <x v="1"/>
    <x v="1"/>
    <x v="3"/>
  </r>
  <r>
    <s v="10.12.0.42"/>
    <x v="630"/>
    <s v="10.11.9.208"/>
    <x v="107"/>
    <n v="10"/>
    <x v="57"/>
    <n v="6"/>
    <n v="368"/>
    <n v="4"/>
    <n v="267"/>
    <n v="150.167821"/>
    <n v="60.645435999999997"/>
    <n v="48.544460954984302"/>
    <n v="35.221117051578297"/>
    <x v="24"/>
    <x v="32"/>
    <s v="PPPCAP2"/>
    <s v="EGX100"/>
    <s v="Acid Plant"/>
    <s v="Acid Plant"/>
    <x v="1"/>
    <x v="1"/>
    <x v="3"/>
  </r>
  <r>
    <s v="10.12.0.42"/>
    <x v="631"/>
    <s v="10.11.9.208"/>
    <x v="107"/>
    <n v="10"/>
    <x v="58"/>
    <n v="6"/>
    <n v="368"/>
    <n v="4"/>
    <n v="251"/>
    <n v="150.16808499999999"/>
    <n v="60.723343999999997"/>
    <n v="48.482178451832297"/>
    <n v="33.068007585353001"/>
    <x v="24"/>
    <x v="32"/>
    <s v="PPPCAP2"/>
    <s v="EGX100"/>
    <s v="Acid Plant"/>
    <s v="Acid Plant"/>
    <x v="1"/>
    <x v="1"/>
    <x v="3"/>
  </r>
  <r>
    <s v="10.12.0.42"/>
    <x v="632"/>
    <s v="10.11.9.208"/>
    <x v="107"/>
    <n v="9"/>
    <x v="50"/>
    <n v="6"/>
    <n v="368"/>
    <n v="3"/>
    <n v="191"/>
    <n v="231.263678"/>
    <n v="60.057257"/>
    <n v="49.019887804732697"/>
    <n v="25.442387420391199"/>
    <x v="24"/>
    <x v="32"/>
    <s v="PPPCAP2"/>
    <s v="EGX100"/>
    <s v="Acid Plant"/>
    <s v="Acid Plant"/>
    <x v="1"/>
    <x v="1"/>
    <x v="3"/>
  </r>
  <r>
    <s v="10.12.0.42"/>
    <x v="633"/>
    <s v="10.11.9.208"/>
    <x v="107"/>
    <n v="9"/>
    <x v="51"/>
    <n v="6"/>
    <n v="368"/>
    <n v="3"/>
    <n v="225"/>
    <n v="231.26386099999999"/>
    <n v="60.166314"/>
    <n v="48.9310347314944"/>
    <n v="29.917072865723501"/>
    <x v="24"/>
    <x v="32"/>
    <s v="PPPCAP2"/>
    <s v="EGX100"/>
    <s v="Acid Plant"/>
    <s v="Acid Plant"/>
    <x v="1"/>
    <x v="1"/>
    <x v="3"/>
  </r>
  <r>
    <s v="10.12.0.42"/>
    <x v="634"/>
    <s v="10.11.9.208"/>
    <x v="107"/>
    <n v="10"/>
    <x v="52"/>
    <n v="6"/>
    <n v="368"/>
    <n v="4"/>
    <n v="255"/>
    <n v="231.26422400000001"/>
    <n v="60.259650000000001"/>
    <n v="48.85524559137"/>
    <n v="33.853498983150402"/>
    <x v="24"/>
    <x v="32"/>
    <s v="PPPCAP2"/>
    <s v="EGX100"/>
    <s v="Acid Plant"/>
    <s v="Acid Plant"/>
    <x v="1"/>
    <x v="1"/>
    <x v="3"/>
  </r>
  <r>
    <s v="10.12.0.42"/>
    <x v="635"/>
    <s v="10.11.9.208"/>
    <x v="107"/>
    <n v="10"/>
    <x v="53"/>
    <n v="6"/>
    <n v="368"/>
    <n v="4"/>
    <n v="259"/>
    <n v="231.26454100000001"/>
    <n v="60.337533000000001"/>
    <n v="48.792183797106802"/>
    <n v="34.3401510963334"/>
    <x v="24"/>
    <x v="32"/>
    <s v="PPPCAP2"/>
    <s v="EGX100"/>
    <s v="Acid Plant"/>
    <s v="Acid Plant"/>
    <x v="1"/>
    <x v="1"/>
    <x v="3"/>
  </r>
  <r>
    <s v="10.12.0.42"/>
    <x v="636"/>
    <s v="10.11.9.208"/>
    <x v="107"/>
    <n v="9"/>
    <x v="50"/>
    <n v="6"/>
    <n v="368"/>
    <n v="3"/>
    <n v="191"/>
    <n v="234.29480000000001"/>
    <n v="60.125782000000001"/>
    <n v="48.9640201270064"/>
    <n v="25.4133908811365"/>
    <x v="24"/>
    <x v="32"/>
    <s v="PPPCAP2"/>
    <s v="EGX100"/>
    <s v="Acid Plant"/>
    <s v="Acid Plant"/>
    <x v="1"/>
    <x v="1"/>
    <x v="3"/>
  </r>
  <r>
    <s v="10.12.0.42"/>
    <x v="637"/>
    <s v="10.11.9.208"/>
    <x v="107"/>
    <n v="10"/>
    <x v="59"/>
    <n v="6"/>
    <n v="368"/>
    <n v="4"/>
    <n v="285"/>
    <n v="234.295062"/>
    <n v="60.235304999999997"/>
    <n v="48.874991170045497"/>
    <n v="37.8515556615842"/>
    <x v="24"/>
    <x v="32"/>
    <s v="PPPCAP2"/>
    <s v="EGX100"/>
    <s v="Acid Plant"/>
    <s v="Acid Plant"/>
    <x v="1"/>
    <x v="1"/>
    <x v="3"/>
  </r>
  <r>
    <s v="10.12.0.42"/>
    <x v="638"/>
    <s v="10.11.9.208"/>
    <x v="107"/>
    <n v="10"/>
    <x v="52"/>
    <n v="6"/>
    <n v="368"/>
    <n v="4"/>
    <n v="255"/>
    <n v="234.29532800000001"/>
    <n v="60.312716000000002"/>
    <n v="48.812260419510899"/>
    <n v="33.823713062432802"/>
    <x v="24"/>
    <x v="32"/>
    <s v="PPPCAP2"/>
    <s v="EGX100"/>
    <s v="Acid Plant"/>
    <s v="Acid Plant"/>
    <x v="1"/>
    <x v="1"/>
    <x v="3"/>
  </r>
  <r>
    <s v="10.12.0.42"/>
    <x v="639"/>
    <s v="10.11.9.208"/>
    <x v="107"/>
    <n v="10"/>
    <x v="53"/>
    <n v="6"/>
    <n v="368"/>
    <n v="4"/>
    <n v="259"/>
    <n v="234.29559900000001"/>
    <n v="60.406205"/>
    <n v="48.736715044423001"/>
    <n v="34.301111947026001"/>
    <x v="24"/>
    <x v="32"/>
    <s v="PPPCAP2"/>
    <s v="EGX100"/>
    <s v="Acid Plant"/>
    <s v="Acid Plant"/>
    <x v="1"/>
    <x v="1"/>
    <x v="3"/>
  </r>
  <r>
    <s v="10.12.0.42"/>
    <x v="640"/>
    <s v="10.11.9.208"/>
    <x v="107"/>
    <n v="16"/>
    <x v="60"/>
    <n v="9"/>
    <n v="566"/>
    <n v="7"/>
    <n v="510"/>
    <n v="234.295849"/>
    <n v="61.02514"/>
    <n v="74.198928507169299"/>
    <n v="66.857691764410504"/>
    <x v="24"/>
    <x v="32"/>
    <s v="PPPCAP2"/>
    <s v="EGX100"/>
    <s v="Acid Plant"/>
    <s v="Acid Plant"/>
    <x v="1"/>
    <x v="1"/>
    <x v="3"/>
  </r>
  <r>
    <s v="10.12.0.42"/>
    <x v="641"/>
    <s v="10.11.9.208"/>
    <x v="107"/>
    <n v="9"/>
    <x v="61"/>
    <n v="6"/>
    <n v="364"/>
    <n v="3"/>
    <n v="180"/>
    <n v="234.29608200000001"/>
    <n v="63.024935999999997"/>
    <n v="46.203934265002701"/>
    <n v="22.848099361814501"/>
    <x v="24"/>
    <x v="32"/>
    <s v="PPPCAP2"/>
    <s v="EGX100"/>
    <s v="Acid Plant"/>
    <s v="Acid Plant"/>
    <x v="1"/>
    <x v="1"/>
    <x v="3"/>
  </r>
  <r>
    <s v="10.12.0.42"/>
    <x v="642"/>
    <s v="10.11.9.208"/>
    <x v="107"/>
    <n v="9"/>
    <x v="61"/>
    <n v="6"/>
    <n v="364"/>
    <n v="3"/>
    <n v="180"/>
    <n v="234.29630900000001"/>
    <n v="63.024757999999999"/>
    <n v="46.204064758170098"/>
    <n v="22.848163891402798"/>
    <x v="24"/>
    <x v="32"/>
    <s v="PPPCAP2"/>
    <s v="EGX100"/>
    <s v="Acid Plant"/>
    <s v="Acid Plant"/>
    <x v="1"/>
    <x v="1"/>
    <x v="3"/>
  </r>
  <r>
    <s v="10.12.0.42"/>
    <x v="643"/>
    <s v="10.11.9.208"/>
    <x v="107"/>
    <n v="9"/>
    <x v="61"/>
    <n v="6"/>
    <n v="364"/>
    <n v="3"/>
    <n v="180"/>
    <n v="234.29654199999999"/>
    <n v="63.024636999999998"/>
    <n v="46.204153464620497"/>
    <n v="22.8482077572299"/>
    <x v="24"/>
    <x v="32"/>
    <s v="PPPCAP2"/>
    <s v="EGX100"/>
    <s v="Acid Plant"/>
    <s v="Acid Plant"/>
    <x v="1"/>
    <x v="1"/>
    <x v="3"/>
  </r>
  <r>
    <s v="10.12.0.42"/>
    <x v="644"/>
    <s v="10.11.9.208"/>
    <x v="107"/>
    <n v="9"/>
    <x v="50"/>
    <n v="6"/>
    <n v="368"/>
    <n v="3"/>
    <n v="191"/>
    <n v="449.19766800000002"/>
    <n v="60.041576999999997"/>
    <n v="49.032689464502297"/>
    <n v="25.4490317601085"/>
    <x v="24"/>
    <x v="32"/>
    <s v="PPPCAP2"/>
    <s v="EGX100"/>
    <s v="Acid Plant"/>
    <s v="Acid Plant"/>
    <x v="1"/>
    <x v="1"/>
    <x v="3"/>
  </r>
  <r>
    <s v="10.12.0.42"/>
    <x v="645"/>
    <s v="10.11.9.208"/>
    <x v="107"/>
    <n v="9"/>
    <x v="51"/>
    <n v="6"/>
    <n v="368"/>
    <n v="3"/>
    <n v="225"/>
    <n v="449.19795800000003"/>
    <n v="60.150762999999998"/>
    <n v="48.943685053504701"/>
    <n v="29.924807437604699"/>
    <x v="24"/>
    <x v="32"/>
    <s v="PPPCAP2"/>
    <s v="EGX100"/>
    <s v="Acid Plant"/>
    <s v="Acid Plant"/>
    <x v="1"/>
    <x v="1"/>
    <x v="3"/>
  </r>
  <r>
    <s v="10.12.0.42"/>
    <x v="646"/>
    <s v="10.11.9.208"/>
    <x v="107"/>
    <n v="10"/>
    <x v="52"/>
    <n v="6"/>
    <n v="368"/>
    <n v="4"/>
    <n v="255"/>
    <n v="449.19816100000003"/>
    <n v="60.244207000000003"/>
    <n v="48.867769145006797"/>
    <n v="33.862176989067201"/>
    <x v="24"/>
    <x v="32"/>
    <s v="PPPCAP2"/>
    <s v="EGX100"/>
    <s v="Acid Plant"/>
    <s v="Acid Plant"/>
    <x v="1"/>
    <x v="1"/>
    <x v="3"/>
  </r>
  <r>
    <s v="10.12.0.42"/>
    <x v="647"/>
    <s v="10.11.9.208"/>
    <x v="107"/>
    <n v="10"/>
    <x v="53"/>
    <n v="6"/>
    <n v="368"/>
    <n v="4"/>
    <n v="259"/>
    <n v="449.19842799999998"/>
    <n v="60.337561000000001"/>
    <n v="48.792161154806998"/>
    <n v="34.340135160584303"/>
    <x v="24"/>
    <x v="32"/>
    <s v="PPPCAP2"/>
    <s v="EGX100"/>
    <s v="Acid Plant"/>
    <s v="Acid Plant"/>
    <x v="1"/>
    <x v="1"/>
    <x v="3"/>
  </r>
  <r>
    <s v="10.12.0.42"/>
    <x v="648"/>
    <s v="10.11.9.208"/>
    <x v="107"/>
    <n v="9"/>
    <x v="50"/>
    <n v="6"/>
    <n v="368"/>
    <n v="3"/>
    <n v="191"/>
    <n v="450.14381300000002"/>
    <n v="60.087572999999999"/>
    <n v="48.995155787037703"/>
    <n v="25.429550965554899"/>
    <x v="24"/>
    <x v="32"/>
    <s v="PPPCAP2"/>
    <s v="EGX100"/>
    <s v="Acid Plant"/>
    <s v="Acid Plant"/>
    <x v="1"/>
    <x v="1"/>
    <x v="3"/>
  </r>
  <r>
    <s v="10.12.0.42"/>
    <x v="649"/>
    <s v="10.11.9.208"/>
    <x v="107"/>
    <n v="9"/>
    <x v="51"/>
    <n v="6"/>
    <n v="368"/>
    <n v="3"/>
    <n v="225"/>
    <n v="450.14403399999998"/>
    <n v="60.181091000000002"/>
    <n v="48.919020095531302"/>
    <n v="29.909726960583001"/>
    <x v="24"/>
    <x v="32"/>
    <s v="PPPCAP2"/>
    <s v="EGX100"/>
    <s v="Acid Plant"/>
    <s v="Acid Plant"/>
    <x v="1"/>
    <x v="1"/>
    <x v="3"/>
  </r>
  <r>
    <s v="10.12.0.42"/>
    <x v="650"/>
    <s v="10.11.9.208"/>
    <x v="107"/>
    <n v="10"/>
    <x v="52"/>
    <n v="6"/>
    <n v="368"/>
    <n v="4"/>
    <n v="255"/>
    <n v="450.14426700000001"/>
    <n v="60.290143999999998"/>
    <n v="48.830535219819701"/>
    <n v="33.836376307211999"/>
    <x v="24"/>
    <x v="32"/>
    <s v="PPPCAP2"/>
    <s v="EGX100"/>
    <s v="Acid Plant"/>
    <s v="Acid Plant"/>
    <x v="1"/>
    <x v="1"/>
    <x v="3"/>
  </r>
  <r>
    <s v="10.12.0.42"/>
    <x v="651"/>
    <s v="10.11.9.208"/>
    <x v="107"/>
    <n v="10"/>
    <x v="53"/>
    <n v="6"/>
    <n v="368"/>
    <n v="4"/>
    <n v="259"/>
    <n v="450.14460200000002"/>
    <n v="60.367989000000001"/>
    <n v="48.767567857859298"/>
    <n v="34.322826291265102"/>
    <x v="24"/>
    <x v="32"/>
    <s v="PPPCAP2"/>
    <s v="EGX100"/>
    <s v="Acid Plant"/>
    <s v="Acid Plant"/>
    <x v="1"/>
    <x v="1"/>
    <x v="3"/>
  </r>
  <r>
    <s v="10.12.0.42"/>
    <x v="652"/>
    <s v="10.11.9.208"/>
    <x v="107"/>
    <n v="17"/>
    <x v="54"/>
    <n v="9"/>
    <n v="566"/>
    <n v="8"/>
    <n v="570"/>
    <n v="450.144901"/>
    <n v="61.06897"/>
    <n v="74.145674963897406"/>
    <n v="74.669672666822507"/>
    <x v="24"/>
    <x v="32"/>
    <s v="PPPCAP2"/>
    <s v="EGX100"/>
    <s v="Acid Plant"/>
    <s v="Acid Plant"/>
    <x v="1"/>
    <x v="1"/>
    <x v="3"/>
  </r>
  <r>
    <s v="10.12.0.42"/>
    <x v="653"/>
    <s v="10.11.9.208"/>
    <x v="107"/>
    <n v="9"/>
    <x v="61"/>
    <n v="6"/>
    <n v="364"/>
    <n v="3"/>
    <n v="180"/>
    <n v="450.145174"/>
    <n v="63.037452999999999"/>
    <n v="46.1947598041437"/>
    <n v="22.8435625405106"/>
    <x v="24"/>
    <x v="32"/>
    <s v="PPPCAP2"/>
    <s v="EGX100"/>
    <s v="Acid Plant"/>
    <s v="Acid Plant"/>
    <x v="1"/>
    <x v="1"/>
    <x v="3"/>
  </r>
  <r>
    <s v="10.12.0.42"/>
    <x v="654"/>
    <s v="10.11.9.208"/>
    <x v="107"/>
    <n v="10"/>
    <x v="20"/>
    <n v="6"/>
    <n v="368"/>
    <n v="4"/>
    <n v="245"/>
    <n v="450.177324"/>
    <n v="60.501359999999998"/>
    <n v="48.660063178745098"/>
    <n v="32.395965974979703"/>
    <x v="24"/>
    <x v="32"/>
    <s v="PPPCAP2"/>
    <s v="EGX100"/>
    <s v="Acid Plant"/>
    <s v="Acid Plant"/>
    <x v="1"/>
    <x v="1"/>
    <x v="3"/>
  </r>
  <r>
    <s v="10.12.0.42"/>
    <x v="655"/>
    <s v="10.11.9.208"/>
    <x v="107"/>
    <n v="10"/>
    <x v="56"/>
    <n v="6"/>
    <n v="368"/>
    <n v="4"/>
    <n v="277"/>
    <n v="450.17760700000002"/>
    <n v="60.594920999999999"/>
    <n v="48.584930080196003"/>
    <n v="36.570721826669299"/>
    <x v="24"/>
    <x v="32"/>
    <s v="PPPCAP2"/>
    <s v="EGX100"/>
    <s v="Acid Plant"/>
    <s v="Acid Plant"/>
    <x v="1"/>
    <x v="1"/>
    <x v="3"/>
  </r>
  <r>
    <s v="10.12.0.42"/>
    <x v="656"/>
    <s v="10.11.9.208"/>
    <x v="107"/>
    <n v="10"/>
    <x v="57"/>
    <n v="6"/>
    <n v="368"/>
    <n v="4"/>
    <n v="267"/>
    <n v="450.177978"/>
    <n v="60.688200999999999"/>
    <n v="48.510253253346598"/>
    <n v="35.196297876748702"/>
    <x v="24"/>
    <x v="32"/>
    <s v="PPPCAP2"/>
    <s v="EGX100"/>
    <s v="Acid Plant"/>
    <s v="Acid Plant"/>
    <x v="1"/>
    <x v="1"/>
    <x v="3"/>
  </r>
  <r>
    <s v="10.12.0.42"/>
    <x v="657"/>
    <s v="10.11.9.208"/>
    <x v="107"/>
    <n v="10"/>
    <x v="58"/>
    <n v="6"/>
    <n v="368"/>
    <n v="4"/>
    <n v="251"/>
    <n v="450.17826200000002"/>
    <n v="60.766069999999999"/>
    <n v="48.448089534175899"/>
    <n v="33.044756720321097"/>
    <x v="24"/>
    <x v="32"/>
    <s v="PPPCAP2"/>
    <s v="EGX100"/>
    <s v="Acid Plant"/>
    <s v="Acid Plant"/>
    <x v="1"/>
    <x v="1"/>
    <x v="3"/>
  </r>
  <r>
    <s v="10.12.0.42"/>
    <x v="658"/>
    <s v="10.11.9.208"/>
    <x v="107"/>
    <n v="9"/>
    <x v="50"/>
    <n v="6"/>
    <n v="368"/>
    <n v="3"/>
    <n v="191"/>
    <n v="531.27352199999996"/>
    <n v="60.033819999999999"/>
    <n v="49.039025002906698"/>
    <n v="25.452320042269498"/>
    <x v="24"/>
    <x v="32"/>
    <s v="PPPCAP2"/>
    <s v="EGX100"/>
    <s v="Acid Plant"/>
    <s v="Acid Plant"/>
    <x v="1"/>
    <x v="1"/>
    <x v="3"/>
  </r>
  <r>
    <s v="10.12.0.42"/>
    <x v="659"/>
    <s v="10.11.9.208"/>
    <x v="107"/>
    <n v="9"/>
    <x v="51"/>
    <n v="6"/>
    <n v="368"/>
    <n v="3"/>
    <n v="225"/>
    <n v="531.27357800000004"/>
    <n v="60.143077999999903"/>
    <n v="48.949939010437802"/>
    <n v="29.928631188447"/>
    <x v="24"/>
    <x v="32"/>
    <s v="PPPCAP2"/>
    <s v="EGX100"/>
    <s v="Acid Plant"/>
    <s v="Acid Plant"/>
    <x v="1"/>
    <x v="1"/>
    <x v="3"/>
  </r>
  <r>
    <s v="10.12.0.42"/>
    <x v="660"/>
    <s v="10.11.9.208"/>
    <x v="107"/>
    <n v="10"/>
    <x v="52"/>
    <n v="6"/>
    <n v="368"/>
    <n v="4"/>
    <n v="255"/>
    <n v="531.27380000000005"/>
    <n v="60.220958000000003"/>
    <n v="48.886635114638999"/>
    <n v="33.875249875633003"/>
    <x v="24"/>
    <x v="32"/>
    <s v="PPPCAP2"/>
    <s v="EGX100"/>
    <s v="Acid Plant"/>
    <s v="Acid Plant"/>
    <x v="1"/>
    <x v="1"/>
    <x v="3"/>
  </r>
  <r>
    <s v="10.12.0.42"/>
    <x v="661"/>
    <s v="10.11.9.208"/>
    <x v="107"/>
    <n v="10"/>
    <x v="53"/>
    <n v="6"/>
    <n v="368"/>
    <n v="4"/>
    <n v="259"/>
    <n v="531.274134"/>
    <n v="60.314387000000004"/>
    <n v="48.810908084003202"/>
    <n v="34.353329330861001"/>
    <x v="24"/>
    <x v="32"/>
    <s v="PPPCAP2"/>
    <s v="EGX100"/>
    <s v="Acid Plant"/>
    <s v="Acid Plant"/>
    <x v="1"/>
    <x v="1"/>
    <x v="3"/>
  </r>
  <r>
    <s v="10.12.0.42"/>
    <x v="662"/>
    <s v="10.11.9.208"/>
    <x v="107"/>
    <n v="9"/>
    <x v="50"/>
    <n v="6"/>
    <n v="368"/>
    <n v="3"/>
    <n v="191"/>
    <n v="534.30473800000004"/>
    <n v="60.068060999999901"/>
    <n v="49.011070958325099"/>
    <n v="25.4378112854351"/>
    <x v="24"/>
    <x v="32"/>
    <s v="PPPCAP2"/>
    <s v="EGX100"/>
    <s v="Acid Plant"/>
    <s v="Acid Plant"/>
    <x v="1"/>
    <x v="1"/>
    <x v="3"/>
  </r>
  <r>
    <s v="10.12.0.42"/>
    <x v="663"/>
    <s v="10.11.9.208"/>
    <x v="107"/>
    <n v="9"/>
    <x v="51"/>
    <n v="6"/>
    <n v="368"/>
    <n v="3"/>
    <n v="225"/>
    <n v="534.30499199999997"/>
    <n v="60.161656999999998"/>
    <n v="48.9348223902809"/>
    <n v="29.919388689709798"/>
    <x v="24"/>
    <x v="32"/>
    <s v="PPPCAP2"/>
    <s v="EGX100"/>
    <s v="Acid Plant"/>
    <s v="Acid Plant"/>
    <x v="1"/>
    <x v="1"/>
    <x v="3"/>
  </r>
  <r>
    <s v="10.12.0.42"/>
    <x v="664"/>
    <s v="10.11.9.208"/>
    <x v="107"/>
    <n v="10"/>
    <x v="52"/>
    <n v="6"/>
    <n v="368"/>
    <n v="4"/>
    <n v="255"/>
    <n v="534.30529899999999"/>
    <n v="60.239337999999996"/>
    <n v="48.871719008598703"/>
    <n v="33.8649139869366"/>
    <x v="24"/>
    <x v="32"/>
    <s v="PPPCAP2"/>
    <s v="EGX100"/>
    <s v="Acid Plant"/>
    <s v="Acid Plant"/>
    <x v="1"/>
    <x v="1"/>
    <x v="3"/>
  </r>
  <r>
    <s v="10.12.0.42"/>
    <x v="665"/>
    <s v="10.11.9.208"/>
    <x v="107"/>
    <n v="10"/>
    <x v="53"/>
    <n v="6"/>
    <n v="368"/>
    <n v="4"/>
    <n v="259"/>
    <n v="534.30558699999995"/>
    <n v="60.332779000000102"/>
    <n v="48.796028440857903"/>
    <n v="34.342856973321197"/>
    <x v="24"/>
    <x v="32"/>
    <s v="PPPCAP2"/>
    <s v="EGX100"/>
    <s v="Acid Plant"/>
    <s v="Acid Plant"/>
    <x v="1"/>
    <x v="1"/>
    <x v="3"/>
  </r>
  <r>
    <s v="10.12.0.42"/>
    <x v="666"/>
    <s v="10.11.9.208"/>
    <x v="107"/>
    <n v="16"/>
    <x v="60"/>
    <n v="9"/>
    <n v="566"/>
    <n v="7"/>
    <n v="510"/>
    <n v="534.30597299999999"/>
    <n v="60.771903000000002"/>
    <n v="74.508116028553601"/>
    <n v="67.136288294279694"/>
    <x v="24"/>
    <x v="32"/>
    <s v="PPPCAP2"/>
    <s v="EGX100"/>
    <s v="Acid Plant"/>
    <s v="Acid Plant"/>
    <x v="1"/>
    <x v="1"/>
    <x v="3"/>
  </r>
  <r>
    <s v="10.12.0.42"/>
    <x v="667"/>
    <s v="10.11.9.208"/>
    <x v="107"/>
    <n v="7"/>
    <x v="55"/>
    <n v="5"/>
    <n v="304"/>
    <n v="2"/>
    <n v="120"/>
    <n v="534.30622900000003"/>
    <n v="62.959259000000003"/>
    <n v="38.628154756395702"/>
    <n v="15.247955824893101"/>
    <x v="24"/>
    <x v="32"/>
    <s v="PPPCAP2"/>
    <s v="EGX100"/>
    <s v="Acid Plant"/>
    <s v="Acid Plant"/>
    <x v="1"/>
    <x v="1"/>
    <x v="3"/>
  </r>
  <r>
    <s v="10.12.0.42"/>
    <x v="668"/>
    <s v="10.11.9.208"/>
    <x v="107"/>
    <n v="7"/>
    <x v="55"/>
    <n v="5"/>
    <n v="304"/>
    <n v="2"/>
    <n v="120"/>
    <n v="534.30649900000003"/>
    <n v="62.958992000000002"/>
    <n v="38.628318572825997"/>
    <n v="15.248020489273401"/>
    <x v="24"/>
    <x v="32"/>
    <s v="PPPCAP2"/>
    <s v="EGX100"/>
    <s v="Acid Plant"/>
    <s v="Acid Plant"/>
    <x v="1"/>
    <x v="1"/>
    <x v="3"/>
  </r>
  <r>
    <s v="10.12.0.42"/>
    <x v="669"/>
    <s v="10.11.9.208"/>
    <x v="107"/>
    <n v="9"/>
    <x v="61"/>
    <n v="6"/>
    <n v="364"/>
    <n v="3"/>
    <n v="180"/>
    <n v="534.30677300000002"/>
    <n v="62.974248000000003"/>
    <n v="46.241123832078202"/>
    <n v="22.866489807071599"/>
    <x v="24"/>
    <x v="32"/>
    <s v="PPPCAP2"/>
    <s v="EGX100"/>
    <s v="Acid Plant"/>
    <s v="Acid Plant"/>
    <x v="1"/>
    <x v="1"/>
    <x v="3"/>
  </r>
  <r>
    <s v="10.12.0.42"/>
    <x v="670"/>
    <s v="10.11.9.208"/>
    <x v="107"/>
    <n v="9"/>
    <x v="50"/>
    <n v="6"/>
    <n v="368"/>
    <n v="3"/>
    <n v="191"/>
    <n v="749.20378000000005"/>
    <n v="60.059944999999999"/>
    <n v="49.0176939056471"/>
    <n v="25.4412487390723"/>
    <x v="24"/>
    <x v="32"/>
    <s v="PPPCAP2"/>
    <s v="EGX100"/>
    <s v="Acid Plant"/>
    <s v="Acid Plant"/>
    <x v="1"/>
    <x v="1"/>
    <x v="3"/>
  </r>
  <r>
    <s v="10.12.0.42"/>
    <x v="671"/>
    <s v="10.11.9.208"/>
    <x v="107"/>
    <n v="9"/>
    <x v="51"/>
    <n v="6"/>
    <n v="368"/>
    <n v="3"/>
    <n v="225"/>
    <n v="749.20406600000001"/>
    <n v="60.168906999999997"/>
    <n v="48.928926031513299"/>
    <n v="29.915783579050199"/>
    <x v="24"/>
    <x v="32"/>
    <s v="PPPCAP2"/>
    <s v="EGX100"/>
    <s v="Acid Plant"/>
    <s v="Acid Plant"/>
    <x v="1"/>
    <x v="1"/>
    <x v="3"/>
  </r>
  <r>
    <s v="10.12.0.42"/>
    <x v="672"/>
    <s v="10.11.9.208"/>
    <x v="107"/>
    <n v="10"/>
    <x v="52"/>
    <n v="6"/>
    <n v="368"/>
    <n v="4"/>
    <n v="255"/>
    <n v="749.20437200000003"/>
    <n v="60.246721999999998"/>
    <n v="48.8657291595052"/>
    <n v="33.860763412157098"/>
    <x v="24"/>
    <x v="32"/>
    <s v="PPPCAP2"/>
    <s v="EGX100"/>
    <s v="Acid Plant"/>
    <s v="Acid Plant"/>
    <x v="1"/>
    <x v="1"/>
    <x v="3"/>
  </r>
  <r>
    <s v="10.12.0.42"/>
    <x v="673"/>
    <s v="10.11.9.208"/>
    <x v="107"/>
    <n v="10"/>
    <x v="53"/>
    <n v="6"/>
    <n v="368"/>
    <n v="4"/>
    <n v="259"/>
    <n v="749.20458399999995"/>
    <n v="60.324705000000002"/>
    <n v="48.802559415748497"/>
    <n v="34.347453501844697"/>
    <x v="24"/>
    <x v="32"/>
    <s v="PPPCAP2"/>
    <s v="EGX100"/>
    <s v="Acid Plant"/>
    <s v="Acid Plant"/>
    <x v="1"/>
    <x v="1"/>
    <x v="3"/>
  </r>
  <r>
    <s v="10.12.0.42"/>
    <x v="674"/>
    <s v="10.11.9.208"/>
    <x v="107"/>
    <n v="9"/>
    <x v="50"/>
    <n v="6"/>
    <n v="368"/>
    <n v="3"/>
    <n v="191"/>
    <n v="750.16050600000005"/>
    <n v="60.069022999999902"/>
    <n v="49.010286050432398"/>
    <n v="25.4374039011755"/>
    <x v="24"/>
    <x v="32"/>
    <s v="PPPCAP2"/>
    <s v="EGX100"/>
    <s v="Acid Plant"/>
    <s v="Acid Plant"/>
    <x v="1"/>
    <x v="1"/>
    <x v="3"/>
  </r>
  <r>
    <s v="10.12.0.42"/>
    <x v="675"/>
    <s v="10.11.9.208"/>
    <x v="107"/>
    <n v="9"/>
    <x v="51"/>
    <n v="6"/>
    <n v="368"/>
    <n v="3"/>
    <n v="225"/>
    <n v="750.16077099999995"/>
    <n v="60.162415000000003"/>
    <n v="48.934205849283103"/>
    <n v="29.9190117285019"/>
    <x v="24"/>
    <x v="32"/>
    <s v="PPPCAP2"/>
    <s v="EGX100"/>
    <s v="Acid Plant"/>
    <s v="Acid Plant"/>
    <x v="1"/>
    <x v="1"/>
    <x v="3"/>
  </r>
  <r>
    <s v="10.12.0.42"/>
    <x v="676"/>
    <s v="10.11.9.208"/>
    <x v="107"/>
    <n v="10"/>
    <x v="52"/>
    <n v="6"/>
    <n v="368"/>
    <n v="4"/>
    <n v="255"/>
    <n v="750.16109800000004"/>
    <n v="60.255831999999899"/>
    <n v="48.858341214174999"/>
    <n v="33.855644047865802"/>
    <x v="24"/>
    <x v="32"/>
    <s v="PPPCAP2"/>
    <s v="EGX100"/>
    <s v="Acid Plant"/>
    <s v="Acid Plant"/>
    <x v="1"/>
    <x v="1"/>
    <x v="3"/>
  </r>
  <r>
    <s v="10.12.0.42"/>
    <x v="677"/>
    <s v="10.11.9.208"/>
    <x v="107"/>
    <n v="10"/>
    <x v="53"/>
    <n v="6"/>
    <n v="368"/>
    <n v="4"/>
    <n v="259"/>
    <n v="750.16128400000002"/>
    <n v="60.333869999999898"/>
    <n v="48.795146076324997"/>
    <n v="34.342235961326601"/>
    <x v="24"/>
    <x v="32"/>
    <s v="PPPCAP2"/>
    <s v="EGX100"/>
    <s v="Acid Plant"/>
    <s v="Acid Plant"/>
    <x v="1"/>
    <x v="1"/>
    <x v="3"/>
  </r>
  <r>
    <s v="10.12.0.42"/>
    <x v="678"/>
    <s v="10.11.9.208"/>
    <x v="107"/>
    <n v="17"/>
    <x v="54"/>
    <n v="9"/>
    <n v="566"/>
    <n v="8"/>
    <n v="570"/>
    <n v="750.16161099999999"/>
    <n v="61.192984000000003"/>
    <n v="73.995410977180001"/>
    <n v="74.518346743803093"/>
    <x v="24"/>
    <x v="32"/>
    <s v="PPPCAP2"/>
    <s v="EGX100"/>
    <s v="Acid Plant"/>
    <s v="Acid Plant"/>
    <x v="1"/>
    <x v="1"/>
    <x v="3"/>
  </r>
  <r>
    <s v="10.12.0.42"/>
    <x v="679"/>
    <s v="10.11.9.208"/>
    <x v="107"/>
    <n v="9"/>
    <x v="61"/>
    <n v="6"/>
    <n v="364"/>
    <n v="3"/>
    <n v="180"/>
    <n v="750.16186500000003"/>
    <n v="62.880157999999902"/>
    <n v="46.310316204994301"/>
    <n v="22.900705815656501"/>
    <x v="24"/>
    <x v="32"/>
    <s v="PPPCAP2"/>
    <s v="EGX100"/>
    <s v="Acid Plant"/>
    <s v="Acid Plant"/>
    <x v="1"/>
    <x v="1"/>
    <x v="3"/>
  </r>
  <r>
    <s v="10.12.0.42"/>
    <x v="680"/>
    <s v="10.11.9.208"/>
    <x v="107"/>
    <n v="10"/>
    <x v="20"/>
    <n v="6"/>
    <n v="368"/>
    <n v="4"/>
    <n v="245"/>
    <n v="750.19359499999996"/>
    <n v="60.467576000000001"/>
    <n v="48.687250171893801"/>
    <n v="32.414066011179301"/>
    <x v="24"/>
    <x v="32"/>
    <s v="PPPCAP2"/>
    <s v="EGX100"/>
    <s v="Acid Plant"/>
    <s v="Acid Plant"/>
    <x v="1"/>
    <x v="1"/>
    <x v="3"/>
  </r>
  <r>
    <s v="10.12.0.42"/>
    <x v="681"/>
    <s v="10.11.9.208"/>
    <x v="107"/>
    <n v="10"/>
    <x v="56"/>
    <n v="6"/>
    <n v="368"/>
    <n v="4"/>
    <n v="277"/>
    <n v="750.19383100000005"/>
    <n v="60.561070999999998"/>
    <n v="48.612086136983997"/>
    <n v="36.591162662892799"/>
    <x v="24"/>
    <x v="32"/>
    <s v="PPPCAP2"/>
    <s v="EGX100"/>
    <s v="Acid Plant"/>
    <s v="Acid Plant"/>
    <x v="1"/>
    <x v="1"/>
    <x v="3"/>
  </r>
  <r>
    <s v="10.12.0.42"/>
    <x v="682"/>
    <s v="10.11.9.208"/>
    <x v="107"/>
    <n v="10"/>
    <x v="57"/>
    <n v="6"/>
    <n v="368"/>
    <n v="4"/>
    <n v="267"/>
    <n v="750.19406300000003"/>
    <n v="60.654656999999901"/>
    <n v="48.537081002700297"/>
    <n v="35.215762575328803"/>
    <x v="24"/>
    <x v="32"/>
    <s v="PPPCAP2"/>
    <s v="EGX100"/>
    <s v="Acid Plant"/>
    <s v="Acid Plant"/>
    <x v="1"/>
    <x v="1"/>
    <x v="3"/>
  </r>
  <r>
    <s v="10.12.0.42"/>
    <x v="683"/>
    <s v="10.11.9.208"/>
    <x v="107"/>
    <n v="10"/>
    <x v="58"/>
    <n v="6"/>
    <n v="368"/>
    <n v="4"/>
    <n v="251"/>
    <n v="750.19436299999995"/>
    <n v="60.732391"/>
    <n v="48.474956304618402"/>
    <n v="33.063081609943502"/>
    <x v="24"/>
    <x v="32"/>
    <s v="PPPCAP2"/>
    <s v="EGX100"/>
    <s v="Acid Plant"/>
    <s v="Acid Plant"/>
    <x v="1"/>
    <x v="1"/>
    <x v="3"/>
  </r>
  <r>
    <s v="10.12.0.42"/>
    <x v="684"/>
    <s v="10.11.9.208"/>
    <x v="107"/>
    <n v="9"/>
    <x v="50"/>
    <n v="6"/>
    <n v="368"/>
    <n v="3"/>
    <n v="191"/>
    <n v="831.28531999999996"/>
    <n v="60.059170000000002"/>
    <n v="49.018326427088503"/>
    <n v="25.441577031450802"/>
    <x v="24"/>
    <x v="32"/>
    <s v="PPPCAP2"/>
    <s v="EGX100"/>
    <s v="Acid Plant"/>
    <s v="Acid Plant"/>
    <x v="1"/>
    <x v="1"/>
    <x v="3"/>
  </r>
  <r>
    <s v="10.12.0.42"/>
    <x v="685"/>
    <s v="10.11.9.208"/>
    <x v="107"/>
    <n v="9"/>
    <x v="51"/>
    <n v="6"/>
    <n v="368"/>
    <n v="3"/>
    <n v="225"/>
    <n v="831.28557799999999"/>
    <n v="60.168216000000001"/>
    <n v="48.929487954238098"/>
    <n v="29.916127145933601"/>
    <x v="24"/>
    <x v="32"/>
    <s v="PPPCAP2"/>
    <s v="EGX100"/>
    <s v="Acid Plant"/>
    <s v="Acid Plant"/>
    <x v="1"/>
    <x v="1"/>
    <x v="3"/>
  </r>
  <r>
    <s v="10.12.0.42"/>
    <x v="686"/>
    <s v="10.11.9.208"/>
    <x v="107"/>
    <n v="10"/>
    <x v="52"/>
    <n v="6"/>
    <n v="368"/>
    <n v="4"/>
    <n v="255"/>
    <n v="831.28586299999995"/>
    <n v="60.2459980000001"/>
    <n v="48.866316398310701"/>
    <n v="33.8611703303512"/>
    <x v="24"/>
    <x v="32"/>
    <s v="PPPCAP2"/>
    <s v="EGX100"/>
    <s v="Acid Plant"/>
    <s v="Acid Plant"/>
    <x v="1"/>
    <x v="1"/>
    <x v="3"/>
  </r>
  <r>
    <s v="10.12.0.42"/>
    <x v="687"/>
    <s v="10.11.9.208"/>
    <x v="107"/>
    <n v="10"/>
    <x v="53"/>
    <n v="6"/>
    <n v="368"/>
    <n v="4"/>
    <n v="259"/>
    <n v="831.28615000000002"/>
    <n v="60.324033999999997"/>
    <n v="48.803102259374803"/>
    <n v="34.347835557549097"/>
    <x v="24"/>
    <x v="32"/>
    <s v="PPPCAP2"/>
    <s v="EGX100"/>
    <s v="Acid Plant"/>
    <s v="Acid Plant"/>
    <x v="1"/>
    <x v="1"/>
    <x v="3"/>
  </r>
  <r>
    <s v="10.12.0.42"/>
    <x v="688"/>
    <s v="10.11.9.208"/>
    <x v="107"/>
    <n v="9"/>
    <x v="50"/>
    <n v="6"/>
    <n v="368"/>
    <n v="3"/>
    <n v="191"/>
    <n v="834.31563000000006"/>
    <n v="60.046459999999897"/>
    <n v="49.028702108334201"/>
    <n v="25.446962235575601"/>
    <x v="24"/>
    <x v="32"/>
    <s v="PPPCAP2"/>
    <s v="EGX100"/>
    <s v="Acid Plant"/>
    <s v="Acid Plant"/>
    <x v="1"/>
    <x v="1"/>
    <x v="3"/>
  </r>
  <r>
    <s v="10.12.0.42"/>
    <x v="689"/>
    <s v="10.11.9.208"/>
    <x v="107"/>
    <n v="9"/>
    <x v="51"/>
    <n v="6"/>
    <n v="368"/>
    <n v="3"/>
    <n v="225"/>
    <n v="834.31579999999997"/>
    <n v="60.155647000000002"/>
    <n v="48.9397113458026"/>
    <n v="29.922377860884801"/>
    <x v="24"/>
    <x v="32"/>
    <s v="PPPCAP2"/>
    <s v="EGX100"/>
    <s v="Acid Plant"/>
    <s v="Acid Plant"/>
    <x v="1"/>
    <x v="1"/>
    <x v="3"/>
  </r>
  <r>
    <s v="10.12.0.42"/>
    <x v="690"/>
    <s v="10.11.9.208"/>
    <x v="107"/>
    <n v="10"/>
    <x v="52"/>
    <n v="6"/>
    <n v="368"/>
    <n v="4"/>
    <n v="255"/>
    <n v="834.31607199999996"/>
    <n v="60.249141000000002"/>
    <n v="48.863767202921601"/>
    <n v="33.859403904198402"/>
    <x v="24"/>
    <x v="32"/>
    <s v="PPPCAP2"/>
    <s v="EGX100"/>
    <s v="Acid Plant"/>
    <s v="Acid Plant"/>
    <x v="1"/>
    <x v="1"/>
    <x v="3"/>
  </r>
  <r>
    <s v="10.12.0.42"/>
    <x v="691"/>
    <s v="10.11.9.208"/>
    <x v="107"/>
    <n v="10"/>
    <x v="53"/>
    <n v="6"/>
    <n v="368"/>
    <n v="4"/>
    <n v="259"/>
    <n v="834.31648299999995"/>
    <n v="60.342475"/>
    <n v="48.788187756634102"/>
    <n v="34.337338665674501"/>
    <x v="24"/>
    <x v="32"/>
    <s v="PPPCAP2"/>
    <s v="EGX100"/>
    <s v="Acid Plant"/>
    <s v="Acid Plant"/>
    <x v="1"/>
    <x v="1"/>
    <x v="3"/>
  </r>
  <r>
    <s v="10.12.0.42"/>
    <x v="692"/>
    <s v="10.11.9.208"/>
    <x v="107"/>
    <n v="16"/>
    <x v="60"/>
    <n v="9"/>
    <n v="566"/>
    <n v="7"/>
    <n v="510"/>
    <n v="834.31675900000005"/>
    <n v="60.708417999999902"/>
    <n v="74.586031874525304"/>
    <n v="67.206495151957398"/>
    <x v="24"/>
    <x v="32"/>
    <s v="PPPCAP2"/>
    <s v="EGX100"/>
    <s v="Acid Plant"/>
    <s v="Acid Plant"/>
    <x v="1"/>
    <x v="1"/>
    <x v="3"/>
  </r>
  <r>
    <s v="10.12.0.42"/>
    <x v="693"/>
    <s v="10.11.9.208"/>
    <x v="107"/>
    <n v="7"/>
    <x v="55"/>
    <n v="5"/>
    <n v="304"/>
    <n v="2"/>
    <n v="120"/>
    <n v="834.31715499999996"/>
    <n v="63.005006000000101"/>
    <n v="38.600107426384398"/>
    <n v="15.2368845104149"/>
    <x v="24"/>
    <x v="32"/>
    <s v="PPPCAP2"/>
    <s v="EGX100"/>
    <s v="Acid Plant"/>
    <s v="Acid Plant"/>
    <x v="1"/>
    <x v="1"/>
    <x v="3"/>
  </r>
  <r>
    <s v="10.12.0.42"/>
    <x v="694"/>
    <s v="10.11.9.208"/>
    <x v="107"/>
    <n v="7"/>
    <x v="55"/>
    <n v="5"/>
    <n v="304"/>
    <n v="2"/>
    <n v="120"/>
    <n v="834.31731300000001"/>
    <n v="63.004877"/>
    <n v="38.600186458581597"/>
    <n v="15.2369157073349"/>
    <x v="24"/>
    <x v="32"/>
    <s v="PPPCAP2"/>
    <s v="EGX100"/>
    <s v="Acid Plant"/>
    <s v="Acid Plant"/>
    <x v="1"/>
    <x v="1"/>
    <x v="3"/>
  </r>
  <r>
    <s v="10.12.0.42"/>
    <x v="695"/>
    <s v="10.11.9.208"/>
    <x v="107"/>
    <n v="9"/>
    <x v="61"/>
    <n v="6"/>
    <n v="364"/>
    <n v="3"/>
    <n v="180"/>
    <n v="834.31755699999997"/>
    <n v="63.020260999999998"/>
    <n v="46.207361787981199"/>
    <n v="22.849794290759899"/>
    <x v="24"/>
    <x v="32"/>
    <s v="PPPCAP2"/>
    <s v="EGX100"/>
    <s v="Acid Plant"/>
    <s v="Acid Plant"/>
    <x v="1"/>
    <x v="1"/>
    <x v="3"/>
  </r>
  <r>
    <s v="10.12.0.62"/>
    <x v="696"/>
    <s v="143.166.135.105"/>
    <x v="116"/>
    <n v="3"/>
    <x v="49"/>
    <n v="3"/>
    <n v="194"/>
    <n v="0"/>
    <n v="0"/>
    <n v="11.719708000000001"/>
    <n v="9.0017160000000001"/>
    <n v="172.41157130484899"/>
    <n v="0"/>
    <x v="25"/>
    <x v="33"/>
    <s v="PPPCPET2"/>
    <e v="#N/A"/>
    <s v="PETs Plant"/>
    <e v="#N/A"/>
    <x v="1"/>
    <x v="3"/>
    <x v="4"/>
  </r>
  <r>
    <s v="10.12.0.62"/>
    <x v="697"/>
    <s v="23.0.40.234"/>
    <x v="116"/>
    <n v="3"/>
    <x v="49"/>
    <n v="3"/>
    <n v="194"/>
    <n v="0"/>
    <n v="0"/>
    <n v="18.760673000000001"/>
    <n v="9.0063169999999992"/>
    <n v="172.323492499764"/>
    <n v="0"/>
    <x v="25"/>
    <x v="31"/>
    <s v="PPPCPET2"/>
    <e v="#N/A"/>
    <s v="PETs Plant"/>
    <e v="#N/A"/>
    <x v="1"/>
    <x v="3"/>
    <x v="4"/>
  </r>
  <r>
    <s v="10.12.0.62"/>
    <x v="698"/>
    <s v="172.217.22.68"/>
    <x v="116"/>
    <n v="3"/>
    <x v="49"/>
    <n v="3"/>
    <n v="194"/>
    <n v="0"/>
    <n v="0"/>
    <n v="39.767581999999997"/>
    <n v="8.9929170000000092"/>
    <n v="172.58026511308799"/>
    <n v="0"/>
    <x v="25"/>
    <x v="34"/>
    <s v="PPPCPET2"/>
    <e v="#N/A"/>
    <s v="PETs Plant"/>
    <e v="#N/A"/>
    <x v="1"/>
    <x v="3"/>
    <x v="4"/>
  </r>
  <r>
    <s v="10.12.0.62"/>
    <x v="699"/>
    <s v="143.166.135.105"/>
    <x v="116"/>
    <n v="3"/>
    <x v="49"/>
    <n v="3"/>
    <n v="194"/>
    <n v="0"/>
    <n v="0"/>
    <n v="44.718989000000001"/>
    <n v="8.9905989999999996"/>
    <n v="172.624760597153"/>
    <n v="0"/>
    <x v="25"/>
    <x v="33"/>
    <s v="PPPCPET2"/>
    <e v="#N/A"/>
    <s v="PETs Plant"/>
    <e v="#N/A"/>
    <x v="1"/>
    <x v="3"/>
    <x v="4"/>
  </r>
  <r>
    <s v="10.12.0.62"/>
    <x v="700"/>
    <s v="23.0.40.234"/>
    <x v="116"/>
    <n v="3"/>
    <x v="49"/>
    <n v="3"/>
    <n v="194"/>
    <n v="0"/>
    <n v="0"/>
    <n v="68.917231000000001"/>
    <n v="8.9978840000000009"/>
    <n v="172.48499758387601"/>
    <n v="0"/>
    <x v="25"/>
    <x v="31"/>
    <s v="PPPCPET2"/>
    <e v="#N/A"/>
    <s v="PETs Plant"/>
    <e v="#N/A"/>
    <x v="1"/>
    <x v="3"/>
    <x v="4"/>
  </r>
  <r>
    <s v="10.12.0.62"/>
    <x v="701"/>
    <s v="143.166.135.105"/>
    <x v="116"/>
    <n v="3"/>
    <x v="49"/>
    <n v="3"/>
    <n v="194"/>
    <n v="0"/>
    <n v="0"/>
    <n v="78.202082000000004"/>
    <n v="9.0006339999999891"/>
    <n v="172.43229754704001"/>
    <n v="0"/>
    <x v="25"/>
    <x v="33"/>
    <s v="PPPCPET2"/>
    <e v="#N/A"/>
    <s v="PETs Plant"/>
    <e v="#N/A"/>
    <x v="1"/>
    <x v="3"/>
    <x v="4"/>
  </r>
  <r>
    <s v="10.12.0.62"/>
    <x v="702"/>
    <s v="172.217.22.68"/>
    <x v="116"/>
    <n v="3"/>
    <x v="49"/>
    <n v="3"/>
    <n v="194"/>
    <n v="0"/>
    <n v="0"/>
    <n v="89.921857000000003"/>
    <n v="9.0077630000000006"/>
    <n v="172.29582971932101"/>
    <n v="0"/>
    <x v="25"/>
    <x v="34"/>
    <s v="PPPCPET2"/>
    <e v="#N/A"/>
    <s v="PETs Plant"/>
    <e v="#N/A"/>
    <x v="1"/>
    <x v="3"/>
    <x v="4"/>
  </r>
  <r>
    <s v="10.12.0.62"/>
    <x v="703"/>
    <s v="143.166.135.105"/>
    <x v="116"/>
    <n v="3"/>
    <x v="49"/>
    <n v="3"/>
    <n v="194"/>
    <n v="0"/>
    <n v="0"/>
    <n v="110.727872"/>
    <n v="9.0030180000000009"/>
    <n v="172.386637458683"/>
    <n v="0"/>
    <x v="25"/>
    <x v="33"/>
    <s v="PPPCPET2"/>
    <e v="#N/A"/>
    <s v="PETs Plant"/>
    <e v="#N/A"/>
    <x v="1"/>
    <x v="3"/>
    <x v="4"/>
  </r>
  <r>
    <s v="10.12.0.62"/>
    <x v="704"/>
    <s v="23.0.40.234"/>
    <x v="116"/>
    <n v="3"/>
    <x v="49"/>
    <n v="3"/>
    <n v="194"/>
    <n v="0"/>
    <n v="0"/>
    <n v="119.07525"/>
    <n v="9.0042840000000002"/>
    <n v="172.36239994207199"/>
    <n v="0"/>
    <x v="25"/>
    <x v="31"/>
    <s v="PPPCPET2"/>
    <e v="#N/A"/>
    <s v="PETs Plant"/>
    <e v="#N/A"/>
    <x v="1"/>
    <x v="3"/>
    <x v="4"/>
  </r>
  <r>
    <s v="10.12.0.62"/>
    <x v="705"/>
    <s v="172.217.22.68"/>
    <x v="116"/>
    <n v="3"/>
    <x v="49"/>
    <n v="3"/>
    <n v="194"/>
    <n v="0"/>
    <n v="0"/>
    <n v="140.07720399999999"/>
    <n v="8.9976220000000104"/>
    <n v="172.49002014087699"/>
    <n v="0"/>
    <x v="25"/>
    <x v="34"/>
    <s v="PPPCPET2"/>
    <e v="#N/A"/>
    <s v="PETs Plant"/>
    <e v="#N/A"/>
    <x v="1"/>
    <x v="3"/>
    <x v="4"/>
  </r>
  <r>
    <s v="10.12.0.62"/>
    <x v="706"/>
    <s v="143.166.135.105"/>
    <x v="116"/>
    <n v="3"/>
    <x v="49"/>
    <n v="3"/>
    <n v="194"/>
    <n v="0"/>
    <n v="0"/>
    <n v="143.730975"/>
    <n v="8.9941589999999998"/>
    <n v="172.556433569831"/>
    <n v="0"/>
    <x v="25"/>
    <x v="33"/>
    <s v="PPPCPET2"/>
    <e v="#N/A"/>
    <s v="PETs Plant"/>
    <e v="#N/A"/>
    <x v="1"/>
    <x v="3"/>
    <x v="4"/>
  </r>
  <r>
    <s v="10.12.0.62"/>
    <x v="707"/>
    <s v="23.0.40.234"/>
    <x v="116"/>
    <n v="3"/>
    <x v="49"/>
    <n v="3"/>
    <n v="194"/>
    <n v="0"/>
    <n v="0"/>
    <n v="169.22355300000001"/>
    <n v="9.0062539999999807"/>
    <n v="172.324697926574"/>
    <n v="0"/>
    <x v="25"/>
    <x v="31"/>
    <s v="PPPCPET2"/>
    <e v="#N/A"/>
    <s v="PETs Plant"/>
    <e v="#N/A"/>
    <x v="1"/>
    <x v="3"/>
    <x v="4"/>
  </r>
  <r>
    <s v="10.12.0.62"/>
    <x v="708"/>
    <s v="143.166.135.105"/>
    <x v="116"/>
    <n v="3"/>
    <x v="49"/>
    <n v="3"/>
    <n v="194"/>
    <n v="0"/>
    <n v="0"/>
    <n v="176.737742"/>
    <n v="9.0033779999999997"/>
    <n v="172.37974458031201"/>
    <n v="0"/>
    <x v="25"/>
    <x v="33"/>
    <s v="PPPCPET2"/>
    <e v="#N/A"/>
    <s v="PETs Plant"/>
    <e v="#N/A"/>
    <x v="1"/>
    <x v="3"/>
    <x v="4"/>
  </r>
  <r>
    <s v="10.12.0.62"/>
    <x v="709"/>
    <s v="172.217.22.68"/>
    <x v="116"/>
    <n v="3"/>
    <x v="49"/>
    <n v="3"/>
    <n v="194"/>
    <n v="0"/>
    <n v="0"/>
    <n v="190.23429100000001"/>
    <n v="8.9988630000000001"/>
    <n v="172.466232678506"/>
    <n v="0"/>
    <x v="25"/>
    <x v="34"/>
    <s v="PPPCPET2"/>
    <e v="#N/A"/>
    <s v="PETs Plant"/>
    <e v="#N/A"/>
    <x v="1"/>
    <x v="3"/>
    <x v="4"/>
  </r>
  <r>
    <s v="10.12.0.62"/>
    <x v="710"/>
    <s v="143.166.135.105"/>
    <x v="116"/>
    <n v="3"/>
    <x v="49"/>
    <n v="3"/>
    <n v="194"/>
    <n v="0"/>
    <n v="0"/>
    <n v="209.74505300000001"/>
    <n v="9.0052839999999907"/>
    <n v="172.34325980169001"/>
    <n v="0"/>
    <x v="25"/>
    <x v="33"/>
    <s v="PPPCPET2"/>
    <e v="#N/A"/>
    <s v="PETs Plant"/>
    <e v="#N/A"/>
    <x v="1"/>
    <x v="3"/>
    <x v="4"/>
  </r>
  <r>
    <s v="10.12.0.62"/>
    <x v="711"/>
    <s v="23.0.40.234"/>
    <x v="116"/>
    <n v="3"/>
    <x v="49"/>
    <n v="3"/>
    <n v="194"/>
    <n v="0"/>
    <n v="0"/>
    <n v="219.38822500000001"/>
    <n v="8.9998949999999809"/>
    <n v="172.446456319769"/>
    <n v="0"/>
    <x v="25"/>
    <x v="31"/>
    <s v="PPPCPET2"/>
    <e v="#N/A"/>
    <s v="PETs Plant"/>
    <e v="#N/A"/>
    <x v="1"/>
    <x v="3"/>
    <x v="4"/>
  </r>
  <r>
    <s v="10.12.0.62"/>
    <x v="712"/>
    <s v="172.217.22.68"/>
    <x v="116"/>
    <n v="3"/>
    <x v="49"/>
    <n v="3"/>
    <n v="194"/>
    <n v="0"/>
    <n v="0"/>
    <n v="240.38779099999999"/>
    <n v="8.9976730000000202"/>
    <n v="172.489042444641"/>
    <n v="0"/>
    <x v="25"/>
    <x v="34"/>
    <s v="PPPCPET2"/>
    <e v="#N/A"/>
    <s v="PETs Plant"/>
    <e v="#N/A"/>
    <x v="1"/>
    <x v="3"/>
    <x v="4"/>
  </r>
  <r>
    <s v="10.12.0.62"/>
    <x v="713"/>
    <s v="143.166.135.105"/>
    <x v="116"/>
    <n v="3"/>
    <x v="49"/>
    <n v="3"/>
    <n v="194"/>
    <n v="0"/>
    <n v="0"/>
    <n v="242.784144"/>
    <n v="9.0073720000000002"/>
    <n v="172.30330888965199"/>
    <n v="0"/>
    <x v="25"/>
    <x v="33"/>
    <s v="PPPCPET2"/>
    <e v="#N/A"/>
    <s v="PETs Plant"/>
    <e v="#N/A"/>
    <x v="1"/>
    <x v="3"/>
    <x v="4"/>
  </r>
  <r>
    <s v="10.12.0.62"/>
    <x v="714"/>
    <s v="23.0.40.234"/>
    <x v="116"/>
    <n v="3"/>
    <x v="49"/>
    <n v="3"/>
    <n v="194"/>
    <n v="0"/>
    <n v="0"/>
    <n v="269.53648800000002"/>
    <n v="8.9998259999999792"/>
    <n v="172.447778434828"/>
    <n v="0"/>
    <x v="25"/>
    <x v="31"/>
    <s v="PPPCPET2"/>
    <e v="#N/A"/>
    <s v="PETs Plant"/>
    <e v="#N/A"/>
    <x v="1"/>
    <x v="3"/>
    <x v="4"/>
  </r>
  <r>
    <s v="10.12.0.62"/>
    <x v="715"/>
    <s v="143.166.135.105"/>
    <x v="116"/>
    <n v="3"/>
    <x v="49"/>
    <n v="3"/>
    <n v="194"/>
    <n v="0"/>
    <n v="0"/>
    <n v="275.78622999999999"/>
    <n v="9.0005190000000006"/>
    <n v="172.43450072157"/>
    <n v="0"/>
    <x v="25"/>
    <x v="33"/>
    <s v="PPPCPET2"/>
    <e v="#N/A"/>
    <s v="PETs Plant"/>
    <e v="#N/A"/>
    <x v="1"/>
    <x v="3"/>
    <x v="4"/>
  </r>
  <r>
    <s v="10.12.0.62"/>
    <x v="716"/>
    <s v="172.217.22.68"/>
    <x v="116"/>
    <n v="3"/>
    <x v="49"/>
    <n v="3"/>
    <n v="194"/>
    <n v="0"/>
    <n v="0"/>
    <n v="290.54821299999998"/>
    <n v="9.0035660000000295"/>
    <n v="172.37614518513999"/>
    <n v="0"/>
    <x v="25"/>
    <x v="34"/>
    <s v="PPPCPET2"/>
    <e v="#N/A"/>
    <s v="PETs Plant"/>
    <e v="#N/A"/>
    <x v="1"/>
    <x v="3"/>
    <x v="4"/>
  </r>
  <r>
    <s v="10.12.0.62"/>
    <x v="717"/>
    <s v="143.166.135.105"/>
    <x v="116"/>
    <n v="3"/>
    <x v="49"/>
    <n v="3"/>
    <n v="194"/>
    <n v="0"/>
    <n v="0"/>
    <n v="308.79438099999999"/>
    <n v="8.9984450000000002"/>
    <n v="172.47424416107401"/>
    <n v="0"/>
    <x v="25"/>
    <x v="33"/>
    <s v="PPPCPET2"/>
    <e v="#N/A"/>
    <s v="PETs Plant"/>
    <e v="#N/A"/>
    <x v="1"/>
    <x v="3"/>
    <x v="4"/>
  </r>
  <r>
    <s v="10.12.0.62"/>
    <x v="718"/>
    <s v="23.0.40.234"/>
    <x v="116"/>
    <n v="3"/>
    <x v="49"/>
    <n v="3"/>
    <n v="194"/>
    <n v="0"/>
    <n v="0"/>
    <n v="319.69533000000001"/>
    <n v="8.9973969999999799"/>
    <n v="172.49433363894099"/>
    <n v="0"/>
    <x v="25"/>
    <x v="31"/>
    <s v="PPPCPET2"/>
    <e v="#N/A"/>
    <s v="PETs Plant"/>
    <e v="#N/A"/>
    <x v="1"/>
    <x v="3"/>
    <x v="4"/>
  </r>
  <r>
    <s v="10.12.0.62"/>
    <x v="719"/>
    <s v="172.217.22.68"/>
    <x v="116"/>
    <n v="3"/>
    <x v="49"/>
    <n v="3"/>
    <n v="194"/>
    <n v="0"/>
    <n v="0"/>
    <n v="340.69080100000002"/>
    <n v="8.9962049999999696"/>
    <n v="172.51718919255401"/>
    <n v="0"/>
    <x v="25"/>
    <x v="34"/>
    <s v="PPPCPET2"/>
    <e v="#N/A"/>
    <s v="PETs Plant"/>
    <e v="#N/A"/>
    <x v="1"/>
    <x v="3"/>
    <x v="4"/>
  </r>
  <r>
    <s v="10.12.0.62"/>
    <x v="720"/>
    <s v="143.166.135.105"/>
    <x v="116"/>
    <n v="3"/>
    <x v="49"/>
    <n v="3"/>
    <n v="194"/>
    <n v="0"/>
    <n v="0"/>
    <n v="341.81523700000002"/>
    <n v="8.9937880000000003"/>
    <n v="172.56355164253401"/>
    <n v="0"/>
    <x v="25"/>
    <x v="33"/>
    <s v="PPPCPET2"/>
    <e v="#N/A"/>
    <s v="PETs Plant"/>
    <e v="#N/A"/>
    <x v="1"/>
    <x v="3"/>
    <x v="4"/>
  </r>
  <r>
    <s v="10.12.0.62"/>
    <x v="721"/>
    <s v="23.0.40.234"/>
    <x v="116"/>
    <n v="3"/>
    <x v="49"/>
    <n v="3"/>
    <n v="194"/>
    <n v="0"/>
    <n v="0"/>
    <n v="369.83761199999998"/>
    <n v="9.0093560000000306"/>
    <n v="172.2653650272"/>
    <n v="0"/>
    <x v="25"/>
    <x v="31"/>
    <s v="PPPCPET2"/>
    <e v="#N/A"/>
    <s v="PETs Plant"/>
    <e v="#N/A"/>
    <x v="1"/>
    <x v="3"/>
    <x v="4"/>
  </r>
  <r>
    <s v="10.12.0.62"/>
    <x v="722"/>
    <s v="143.166.135.105"/>
    <x v="116"/>
    <n v="3"/>
    <x v="49"/>
    <n v="3"/>
    <n v="194"/>
    <n v="0"/>
    <n v="0"/>
    <n v="374.817001"/>
    <n v="9.0000789999999693"/>
    <n v="172.44293077871899"/>
    <n v="0"/>
    <x v="25"/>
    <x v="33"/>
    <s v="PPPCPET2"/>
    <e v="#N/A"/>
    <s v="PETs Plant"/>
    <e v="#N/A"/>
    <x v="1"/>
    <x v="3"/>
    <x v="4"/>
  </r>
  <r>
    <s v="10.12.0.62"/>
    <x v="723"/>
    <s v="172.217.22.68"/>
    <x v="116"/>
    <n v="3"/>
    <x v="49"/>
    <n v="3"/>
    <n v="194"/>
    <n v="0"/>
    <n v="0"/>
    <n v="390.84666499999997"/>
    <n v="8.9965670000000308"/>
    <n v="172.51024751996999"/>
    <n v="0"/>
    <x v="25"/>
    <x v="34"/>
    <s v="PPPCPET2"/>
    <e v="#N/A"/>
    <s v="PETs Plant"/>
    <e v="#N/A"/>
    <x v="1"/>
    <x v="3"/>
    <x v="4"/>
  </r>
  <r>
    <s v="10.12.0.62"/>
    <x v="724"/>
    <s v="143.166.135.105"/>
    <x v="116"/>
    <n v="3"/>
    <x v="49"/>
    <n v="3"/>
    <n v="194"/>
    <n v="0"/>
    <n v="0"/>
    <n v="407.84344800000002"/>
    <n v="8.9960119999999506"/>
    <n v="172.520890367866"/>
    <n v="0"/>
    <x v="25"/>
    <x v="33"/>
    <s v="PPPCPET2"/>
    <e v="#N/A"/>
    <s v="PETs Plant"/>
    <e v="#N/A"/>
    <x v="1"/>
    <x v="3"/>
    <x v="4"/>
  </r>
  <r>
    <s v="10.12.0.62"/>
    <x v="725"/>
    <s v="23.0.40.234"/>
    <x v="116"/>
    <n v="3"/>
    <x v="49"/>
    <n v="3"/>
    <n v="194"/>
    <n v="0"/>
    <n v="0"/>
    <n v="420.374934"/>
    <n v="8.9993769999999795"/>
    <n v="172.45638225846099"/>
    <n v="0"/>
    <x v="25"/>
    <x v="31"/>
    <s v="PPPCPET2"/>
    <e v="#N/A"/>
    <s v="PETs Plant"/>
    <e v="#N/A"/>
    <x v="1"/>
    <x v="3"/>
    <x v="4"/>
  </r>
  <r>
    <s v="10.12.0.62"/>
    <x v="726"/>
    <s v="143.166.135.105"/>
    <x v="116"/>
    <n v="3"/>
    <x v="49"/>
    <n v="3"/>
    <n v="194"/>
    <n v="0"/>
    <n v="0"/>
    <n v="440.84552100000002"/>
    <n v="9.0021409999999893"/>
    <n v="172.403431583664"/>
    <n v="0"/>
    <x v="25"/>
    <x v="33"/>
    <s v="PPPCPET2"/>
    <e v="#N/A"/>
    <s v="PETs Plant"/>
    <e v="#N/A"/>
    <x v="1"/>
    <x v="3"/>
    <x v="4"/>
  </r>
  <r>
    <s v="10.12.0.62"/>
    <x v="727"/>
    <s v="172.217.22.68"/>
    <x v="116"/>
    <n v="3"/>
    <x v="49"/>
    <n v="3"/>
    <n v="194"/>
    <n v="0"/>
    <n v="0"/>
    <n v="441.37806599999999"/>
    <n v="8.9966000000000008"/>
    <n v="172.50961474334699"/>
    <n v="0"/>
    <x v="25"/>
    <x v="34"/>
    <s v="PPPCPET2"/>
    <e v="#N/A"/>
    <s v="PETs Plant"/>
    <e v="#N/A"/>
    <x v="1"/>
    <x v="3"/>
    <x v="4"/>
  </r>
  <r>
    <s v="10.12.0.62"/>
    <x v="728"/>
    <s v="23.0.40.234"/>
    <x v="116"/>
    <n v="3"/>
    <x v="49"/>
    <n v="3"/>
    <n v="194"/>
    <n v="0"/>
    <n v="0"/>
    <n v="470.52118899999999"/>
    <n v="9.0022329999999897"/>
    <n v="172.401669674624"/>
    <n v="0"/>
    <x v="25"/>
    <x v="31"/>
    <s v="PPPCPET2"/>
    <e v="#N/A"/>
    <s v="PETs Plant"/>
    <e v="#N/A"/>
    <x v="1"/>
    <x v="3"/>
    <x v="4"/>
  </r>
  <r>
    <s v="10.12.0.62"/>
    <x v="729"/>
    <s v="143.166.135.105"/>
    <x v="116"/>
    <n v="3"/>
    <x v="49"/>
    <n v="3"/>
    <n v="194"/>
    <n v="0"/>
    <n v="0"/>
    <n v="473.84911899999997"/>
    <n v="8.9986050000000493"/>
    <n v="172.47117747695199"/>
    <n v="0"/>
    <x v="25"/>
    <x v="33"/>
    <s v="PPPCPET2"/>
    <e v="#N/A"/>
    <s v="PETs Plant"/>
    <e v="#N/A"/>
    <x v="1"/>
    <x v="3"/>
    <x v="4"/>
  </r>
  <r>
    <s v="10.12.0.62"/>
    <x v="730"/>
    <s v="172.217.22.68"/>
    <x v="116"/>
    <n v="3"/>
    <x v="49"/>
    <n v="3"/>
    <n v="194"/>
    <n v="0"/>
    <n v="0"/>
    <n v="491.53347300000001"/>
    <n v="8.9993870000000094"/>
    <n v="172.45619062720601"/>
    <n v="0"/>
    <x v="25"/>
    <x v="34"/>
    <s v="PPPCPET2"/>
    <e v="#N/A"/>
    <s v="PETs Plant"/>
    <e v="#N/A"/>
    <x v="1"/>
    <x v="3"/>
    <x v="4"/>
  </r>
  <r>
    <s v="10.12.0.62"/>
    <x v="731"/>
    <s v="143.166.135.105"/>
    <x v="116"/>
    <n v="3"/>
    <x v="49"/>
    <n v="3"/>
    <n v="194"/>
    <n v="0"/>
    <n v="0"/>
    <n v="506.86736500000001"/>
    <n v="9.0005679999999906"/>
    <n v="172.43356197075599"/>
    <n v="0"/>
    <x v="25"/>
    <x v="33"/>
    <s v="PPPCPET2"/>
    <e v="#N/A"/>
    <s v="PETs Plant"/>
    <e v="#N/A"/>
    <x v="1"/>
    <x v="3"/>
    <x v="4"/>
  </r>
  <r>
    <s v="10.12.0.62"/>
    <x v="732"/>
    <s v="23.0.40.234"/>
    <x v="116"/>
    <n v="3"/>
    <x v="49"/>
    <n v="3"/>
    <n v="194"/>
    <n v="0"/>
    <n v="0"/>
    <n v="520.66843700000004"/>
    <n v="8.9952869999999603"/>
    <n v="172.534795165514"/>
    <n v="0"/>
    <x v="25"/>
    <x v="31"/>
    <s v="PPPCPET2"/>
    <e v="#N/A"/>
    <s v="PETs Plant"/>
    <e v="#N/A"/>
    <x v="1"/>
    <x v="3"/>
    <x v="4"/>
  </r>
  <r>
    <s v="10.12.0.62"/>
    <x v="733"/>
    <s v="143.166.135.105"/>
    <x v="116"/>
    <n v="3"/>
    <x v="49"/>
    <n v="3"/>
    <n v="194"/>
    <n v="0"/>
    <n v="0"/>
    <n v="539.87605199999996"/>
    <n v="9.0039730000000908"/>
    <n v="172.36835339244001"/>
    <n v="0"/>
    <x v="25"/>
    <x v="33"/>
    <s v="PPPCPET2"/>
    <e v="#N/A"/>
    <s v="PETs Plant"/>
    <e v="#N/A"/>
    <x v="1"/>
    <x v="3"/>
    <x v="4"/>
  </r>
  <r>
    <s v="10.12.0.62"/>
    <x v="734"/>
    <s v="172.217.22.68"/>
    <x v="116"/>
    <n v="3"/>
    <x v="49"/>
    <n v="3"/>
    <n v="194"/>
    <n v="0"/>
    <n v="0"/>
    <n v="541.66639099999998"/>
    <n v="9.0018480000000007"/>
    <n v="172.409043120924"/>
    <n v="0"/>
    <x v="25"/>
    <x v="34"/>
    <s v="PPPCPET2"/>
    <e v="#N/A"/>
    <s v="PETs Plant"/>
    <e v="#N/A"/>
    <x v="1"/>
    <x v="3"/>
    <x v="4"/>
  </r>
  <r>
    <s v="10.12.0.62"/>
    <x v="735"/>
    <s v="23.0.40.234"/>
    <x v="116"/>
    <n v="3"/>
    <x v="49"/>
    <n v="3"/>
    <n v="194"/>
    <n v="0"/>
    <n v="0"/>
    <n v="571.36546099999998"/>
    <n v="9.0047220000000205"/>
    <n v="172.35401603736301"/>
    <n v="0"/>
    <x v="25"/>
    <x v="31"/>
    <s v="PPPCPET2"/>
    <e v="#N/A"/>
    <s v="PETs Plant"/>
    <e v="#N/A"/>
    <x v="1"/>
    <x v="3"/>
    <x v="4"/>
  </r>
  <r>
    <s v="10.12.0.62"/>
    <x v="736"/>
    <s v="143.166.135.105"/>
    <x v="116"/>
    <n v="3"/>
    <x v="49"/>
    <n v="3"/>
    <n v="194"/>
    <n v="0"/>
    <n v="0"/>
    <n v="572.87802399999998"/>
    <n v="9.0021719999999696"/>
    <n v="172.40283789290001"/>
    <n v="0"/>
    <x v="25"/>
    <x v="33"/>
    <s v="PPPCPET2"/>
    <e v="#N/A"/>
    <s v="PETs Plant"/>
    <e v="#N/A"/>
    <x v="1"/>
    <x v="3"/>
    <x v="4"/>
  </r>
  <r>
    <s v="10.12.0.62"/>
    <x v="737"/>
    <s v="172.217.22.68"/>
    <x v="116"/>
    <n v="3"/>
    <x v="49"/>
    <n v="3"/>
    <n v="194"/>
    <n v="0"/>
    <n v="0"/>
    <n v="592.37384899999995"/>
    <n v="9.00357600000007"/>
    <n v="172.37595373216001"/>
    <n v="0"/>
    <x v="25"/>
    <x v="34"/>
    <s v="PPPCPET2"/>
    <e v="#N/A"/>
    <s v="PETs Plant"/>
    <e v="#N/A"/>
    <x v="1"/>
    <x v="3"/>
    <x v="4"/>
  </r>
  <r>
    <s v="10.12.0.62"/>
    <x v="738"/>
    <s v="143.166.147.101"/>
    <x v="116"/>
    <n v="3"/>
    <x v="49"/>
    <n v="3"/>
    <n v="194"/>
    <n v="0"/>
    <n v="0"/>
    <n v="605.90493100000003"/>
    <n v="9.0065149999999203"/>
    <n v="172.31970412529299"/>
    <n v="0"/>
    <x v="25"/>
    <x v="35"/>
    <s v="PPPCPET2"/>
    <e v="#N/A"/>
    <s v="PETs Plant"/>
    <e v="#N/A"/>
    <x v="1"/>
    <x v="3"/>
    <x v="4"/>
  </r>
  <r>
    <s v="10.12.0.62"/>
    <x v="739"/>
    <s v="23.0.40.234"/>
    <x v="116"/>
    <n v="3"/>
    <x v="49"/>
    <n v="3"/>
    <n v="194"/>
    <n v="0"/>
    <n v="0"/>
    <n v="621.52793799999995"/>
    <n v="8.9973720000000394"/>
    <n v="172.49481292981901"/>
    <n v="0"/>
    <x v="25"/>
    <x v="31"/>
    <s v="PPPCPET2"/>
    <e v="#N/A"/>
    <s v="PETs Plant"/>
    <e v="#N/A"/>
    <x v="1"/>
    <x v="3"/>
    <x v="4"/>
  </r>
  <r>
    <s v="10.12.0.62"/>
    <x v="740"/>
    <s v="143.166.147.101"/>
    <x v="116"/>
    <n v="3"/>
    <x v="49"/>
    <n v="3"/>
    <n v="194"/>
    <n v="0"/>
    <n v="0"/>
    <n v="638.90595499999995"/>
    <n v="9.0005570000000699"/>
    <n v="172.433772709843"/>
    <n v="0"/>
    <x v="25"/>
    <x v="35"/>
    <s v="PPPCPET2"/>
    <e v="#N/A"/>
    <s v="PETs Plant"/>
    <e v="#N/A"/>
    <x v="1"/>
    <x v="3"/>
    <x v="4"/>
  </r>
  <r>
    <s v="10.12.0.62"/>
    <x v="741"/>
    <s v="172.217.22.68"/>
    <x v="116"/>
    <n v="3"/>
    <x v="49"/>
    <n v="3"/>
    <n v="194"/>
    <n v="0"/>
    <n v="0"/>
    <n v="642.53438400000005"/>
    <n v="9.0064889999999895"/>
    <n v="172.320201579106"/>
    <n v="0"/>
    <x v="25"/>
    <x v="34"/>
    <s v="PPPCPET2"/>
    <e v="#N/A"/>
    <s v="PETs Plant"/>
    <e v="#N/A"/>
    <x v="1"/>
    <x v="3"/>
    <x v="4"/>
  </r>
  <r>
    <s v="10.12.0.62"/>
    <x v="742"/>
    <s v="23.0.40.234"/>
    <x v="116"/>
    <n v="3"/>
    <x v="49"/>
    <n v="3"/>
    <n v="194"/>
    <n v="0"/>
    <n v="0"/>
    <n v="671.68734600000005"/>
    <n v="9.0012789999999505"/>
    <n v="172.41994165495899"/>
    <n v="0"/>
    <x v="25"/>
    <x v="31"/>
    <s v="PPPCPET2"/>
    <e v="#N/A"/>
    <s v="PETs Plant"/>
    <e v="#N/A"/>
    <x v="1"/>
    <x v="3"/>
    <x v="4"/>
  </r>
  <r>
    <s v="10.12.0.62"/>
    <x v="743"/>
    <s v="143.166.147.101"/>
    <x v="116"/>
    <n v="3"/>
    <x v="49"/>
    <n v="3"/>
    <n v="194"/>
    <n v="0"/>
    <n v="0"/>
    <n v="671.90953400000001"/>
    <n v="9.0011620000000203"/>
    <n v="172.42218282483901"/>
    <n v="0"/>
    <x v="25"/>
    <x v="35"/>
    <s v="PPPCPET2"/>
    <e v="#N/A"/>
    <s v="PETs Plant"/>
    <e v="#N/A"/>
    <x v="1"/>
    <x v="3"/>
    <x v="4"/>
  </r>
  <r>
    <s v="10.12.0.62"/>
    <x v="744"/>
    <s v="172.217.22.68"/>
    <x v="116"/>
    <n v="3"/>
    <x v="49"/>
    <n v="3"/>
    <n v="194"/>
    <n v="0"/>
    <n v="0"/>
    <n v="692.69445800000005"/>
    <n v="8.9927039999998897"/>
    <n v="172.58435282647099"/>
    <n v="0"/>
    <x v="25"/>
    <x v="34"/>
    <s v="PPPCPET2"/>
    <e v="#N/A"/>
    <s v="PETs Plant"/>
    <e v="#N/A"/>
    <x v="1"/>
    <x v="3"/>
    <x v="4"/>
  </r>
  <r>
    <s v="10.12.0.62"/>
    <x v="745"/>
    <s v="143.166.147.101"/>
    <x v="116"/>
    <n v="3"/>
    <x v="49"/>
    <n v="3"/>
    <n v="194"/>
    <n v="0"/>
    <n v="0"/>
    <n v="705.30211399999996"/>
    <n v="8.9978310000000192"/>
    <n v="172.48601357371501"/>
    <n v="0"/>
    <x v="25"/>
    <x v="35"/>
    <s v="PPPCPET2"/>
    <e v="#N/A"/>
    <s v="PETs Plant"/>
    <e v="#N/A"/>
    <x v="1"/>
    <x v="3"/>
    <x v="4"/>
  </r>
  <r>
    <s v="10.12.0.62"/>
    <x v="746"/>
    <s v="23.0.40.234"/>
    <x v="116"/>
    <n v="3"/>
    <x v="49"/>
    <n v="3"/>
    <n v="194"/>
    <n v="0"/>
    <n v="0"/>
    <n v="722.22400200000004"/>
    <n v="8.9999759999999505"/>
    <n v="172.444904297524"/>
    <n v="0"/>
    <x v="25"/>
    <x v="31"/>
    <s v="PPPCPET2"/>
    <e v="#N/A"/>
    <s v="PETs Plant"/>
    <e v="#N/A"/>
    <x v="1"/>
    <x v="3"/>
    <x v="4"/>
  </r>
  <r>
    <s v="10.12.0.62"/>
    <x v="747"/>
    <s v="143.166.147.101"/>
    <x v="116"/>
    <n v="3"/>
    <x v="49"/>
    <n v="3"/>
    <n v="194"/>
    <n v="0"/>
    <n v="0"/>
    <n v="737.93548399999997"/>
    <n v="8.9974690000000201"/>
    <n v="172.49295329608799"/>
    <n v="0"/>
    <x v="25"/>
    <x v="35"/>
    <s v="PPPCPET2"/>
    <e v="#N/A"/>
    <s v="PETs Plant"/>
    <e v="#N/A"/>
    <x v="1"/>
    <x v="3"/>
    <x v="4"/>
  </r>
  <r>
    <s v="10.12.0.62"/>
    <x v="748"/>
    <s v="172.217.22.68"/>
    <x v="116"/>
    <n v="3"/>
    <x v="49"/>
    <n v="3"/>
    <n v="194"/>
    <n v="0"/>
    <n v="0"/>
    <n v="743.22883999999999"/>
    <n v="9.0074540000000507"/>
    <n v="172.30174031418801"/>
    <n v="0"/>
    <x v="25"/>
    <x v="34"/>
    <s v="PPPCPET2"/>
    <e v="#N/A"/>
    <s v="PETs Plant"/>
    <e v="#N/A"/>
    <x v="1"/>
    <x v="3"/>
    <x v="4"/>
  </r>
  <r>
    <s v="10.12.0.62"/>
    <x v="749"/>
    <s v="143.166.147.101"/>
    <x v="116"/>
    <n v="3"/>
    <x v="49"/>
    <n v="3"/>
    <n v="194"/>
    <n v="0"/>
    <n v="0"/>
    <n v="770.94071399999996"/>
    <n v="9.0024090000000605"/>
    <n v="172.398299166366"/>
    <n v="0"/>
    <x v="25"/>
    <x v="35"/>
    <s v="PPPCPET2"/>
    <e v="#N/A"/>
    <s v="PETs Plant"/>
    <e v="#N/A"/>
    <x v="1"/>
    <x v="3"/>
    <x v="4"/>
  </r>
  <r>
    <s v="10.12.0.62"/>
    <x v="750"/>
    <s v="23.0.40.234"/>
    <x v="116"/>
    <n v="3"/>
    <x v="49"/>
    <n v="3"/>
    <n v="194"/>
    <n v="0"/>
    <n v="0"/>
    <n v="772.39308800000003"/>
    <n v="8.9951139999999405"/>
    <n v="172.53811346915799"/>
    <n v="0"/>
    <x v="25"/>
    <x v="31"/>
    <s v="PPPCPET2"/>
    <e v="#N/A"/>
    <s v="PETs Plant"/>
    <e v="#N/A"/>
    <x v="1"/>
    <x v="3"/>
    <x v="4"/>
  </r>
  <r>
    <s v="10.12.0.62"/>
    <x v="751"/>
    <s v="172.217.22.68"/>
    <x v="116"/>
    <n v="3"/>
    <x v="49"/>
    <n v="3"/>
    <n v="194"/>
    <n v="0"/>
    <n v="0"/>
    <n v="793.39859799999999"/>
    <n v="9.0089620000000004"/>
    <n v="172.272898919987"/>
    <n v="0"/>
    <x v="25"/>
    <x v="34"/>
    <s v="PPPCPET2"/>
    <e v="#N/A"/>
    <s v="PETs Plant"/>
    <e v="#N/A"/>
    <x v="1"/>
    <x v="3"/>
    <x v="4"/>
  </r>
  <r>
    <s v="10.12.0.62"/>
    <x v="752"/>
    <s v="143.166.147.101"/>
    <x v="116"/>
    <n v="3"/>
    <x v="49"/>
    <n v="3"/>
    <n v="194"/>
    <n v="0"/>
    <n v="0"/>
    <n v="803.94277099999999"/>
    <n v="9.0035020000000294"/>
    <n v="172.377370494281"/>
    <n v="0"/>
    <x v="25"/>
    <x v="35"/>
    <s v="PPPCPET2"/>
    <e v="#N/A"/>
    <s v="PETs Plant"/>
    <e v="#N/A"/>
    <x v="1"/>
    <x v="3"/>
    <x v="4"/>
  </r>
  <r>
    <s v="10.12.0.62"/>
    <x v="753"/>
    <s v="23.0.40.234"/>
    <x v="116"/>
    <n v="3"/>
    <x v="49"/>
    <n v="3"/>
    <n v="194"/>
    <n v="0"/>
    <n v="0"/>
    <n v="822.53120899999999"/>
    <n v="8.9992839999999905"/>
    <n v="172.458164449528"/>
    <n v="0"/>
    <x v="25"/>
    <x v="31"/>
    <s v="PPPCPET2"/>
    <e v="#N/A"/>
    <s v="PETs Plant"/>
    <e v="#N/A"/>
    <x v="1"/>
    <x v="3"/>
    <x v="4"/>
  </r>
  <r>
    <s v="10.12.0.62"/>
    <x v="754"/>
    <s v="143.166.147.101"/>
    <x v="116"/>
    <n v="3"/>
    <x v="49"/>
    <n v="3"/>
    <n v="194"/>
    <n v="0"/>
    <n v="0"/>
    <n v="836.96914000000004"/>
    <n v="9.0092629999999208"/>
    <n v="172.26714327243101"/>
    <n v="0"/>
    <x v="25"/>
    <x v="35"/>
    <s v="PPPCPET2"/>
    <e v="#N/A"/>
    <s v="PETs Plant"/>
    <e v="#N/A"/>
    <x v="1"/>
    <x v="3"/>
    <x v="4"/>
  </r>
  <r>
    <s v="10.12.0.62"/>
    <x v="755"/>
    <s v="172.217.22.68"/>
    <x v="116"/>
    <n v="3"/>
    <x v="49"/>
    <n v="3"/>
    <n v="194"/>
    <n v="0"/>
    <n v="0"/>
    <n v="843.54033000000004"/>
    <n v="9.0016789999999691"/>
    <n v="172.41227997576999"/>
    <n v="0"/>
    <x v="25"/>
    <x v="34"/>
    <s v="PPPCPET2"/>
    <e v="#N/A"/>
    <s v="PETs Plant"/>
    <e v="#N/A"/>
    <x v="1"/>
    <x v="3"/>
    <x v="4"/>
  </r>
  <r>
    <s v="10.12.0.62"/>
    <x v="756"/>
    <s v="143.166.147.101"/>
    <x v="116"/>
    <n v="3"/>
    <x v="49"/>
    <n v="3"/>
    <n v="194"/>
    <n v="0"/>
    <n v="0"/>
    <n v="869.96907399999998"/>
    <n v="8.9915330000000004"/>
    <n v="172.60682911356699"/>
    <n v="0"/>
    <x v="25"/>
    <x v="35"/>
    <s v="PPPCPET2"/>
    <e v="#N/A"/>
    <s v="PETs Plant"/>
    <e v="#N/A"/>
    <x v="1"/>
    <x v="3"/>
    <x v="4"/>
  </r>
  <r>
    <s v="10.12.0.62"/>
    <x v="757"/>
    <s v="23.0.40.234"/>
    <x v="116"/>
    <n v="3"/>
    <x v="49"/>
    <n v="3"/>
    <n v="194"/>
    <n v="0"/>
    <n v="0"/>
    <n v="872.677775"/>
    <n v="9.0000360000000192"/>
    <n v="172.443754669425"/>
    <n v="0"/>
    <x v="25"/>
    <x v="31"/>
    <s v="PPPCPET2"/>
    <e v="#N/A"/>
    <s v="PETs Plant"/>
    <e v="#N/A"/>
    <x v="1"/>
    <x v="3"/>
    <x v="4"/>
  </r>
  <r>
    <s v="10.12.0.62"/>
    <x v="758"/>
    <s v="172.217.22.68"/>
    <x v="116"/>
    <n v="3"/>
    <x v="49"/>
    <n v="3"/>
    <n v="194"/>
    <n v="0"/>
    <n v="0"/>
    <n v="893.67656999999997"/>
    <n v="9.0016160000000092"/>
    <n v="172.41348664506401"/>
    <n v="0"/>
    <x v="25"/>
    <x v="34"/>
    <s v="PPPCPET2"/>
    <e v="#N/A"/>
    <s v="PETs Plant"/>
    <e v="#N/A"/>
    <x v="1"/>
    <x v="3"/>
    <x v="4"/>
  </r>
  <r>
    <s v="10.12.0.63"/>
    <x v="759"/>
    <s v="95.101.113.32"/>
    <x v="116"/>
    <n v="3"/>
    <x v="0"/>
    <n v="3"/>
    <n v="186"/>
    <n v="0"/>
    <n v="0"/>
    <n v="207.095111"/>
    <n v="8.9344969999999897"/>
    <n v="166.54546976735199"/>
    <n v="0"/>
    <x v="26"/>
    <x v="22"/>
    <s v="PPPCPET3"/>
    <e v="#N/A"/>
    <s v="PETs Plant"/>
    <e v="#N/A"/>
    <x v="1"/>
    <x v="3"/>
    <x v="4"/>
  </r>
  <r>
    <s v="10.12.0.63"/>
    <x v="456"/>
    <s v="95.101.113.42"/>
    <x v="116"/>
    <n v="3"/>
    <x v="0"/>
    <n v="3"/>
    <n v="186"/>
    <n v="0"/>
    <n v="0"/>
    <n v="228.062365"/>
    <n v="9.1865459999999892"/>
    <n v="161.976002732692"/>
    <n v="0"/>
    <x v="26"/>
    <x v="23"/>
    <s v="PPPCPET3"/>
    <e v="#N/A"/>
    <s v="PETs Plant"/>
    <e v="#N/A"/>
    <x v="1"/>
    <x v="3"/>
    <x v="4"/>
  </r>
  <r>
    <s v="10.12.0.63"/>
    <x v="760"/>
    <s v="95.101.113.24"/>
    <x v="116"/>
    <n v="3"/>
    <x v="0"/>
    <n v="3"/>
    <n v="186"/>
    <n v="0"/>
    <n v="0"/>
    <n v="249.280968"/>
    <n v="9.0778529999999797"/>
    <n v="163.915410394947"/>
    <n v="0"/>
    <x v="26"/>
    <x v="24"/>
    <s v="PPPCPET3"/>
    <e v="#N/A"/>
    <s v="PETs Plant"/>
    <e v="#N/A"/>
    <x v="1"/>
    <x v="3"/>
    <x v="4"/>
  </r>
  <r>
    <s v="10.12.0.63"/>
    <x v="457"/>
    <s v="95.101.113.41"/>
    <x v="116"/>
    <n v="3"/>
    <x v="0"/>
    <n v="3"/>
    <n v="186"/>
    <n v="0"/>
    <n v="0"/>
    <n v="270.281588"/>
    <n v="9.2963770000000103"/>
    <n v="160.062355474611"/>
    <n v="0"/>
    <x v="26"/>
    <x v="25"/>
    <s v="PPPCPET3"/>
    <e v="#N/A"/>
    <s v="PETs Plant"/>
    <e v="#N/A"/>
    <x v="1"/>
    <x v="3"/>
    <x v="4"/>
  </r>
  <r>
    <s v="10.12.0.63"/>
    <x v="458"/>
    <s v="95.101.113.34"/>
    <x v="116"/>
    <n v="3"/>
    <x v="0"/>
    <n v="3"/>
    <n v="186"/>
    <n v="0"/>
    <n v="0"/>
    <n v="291.71947299999999"/>
    <n v="9.0777239999999892"/>
    <n v="163.917739732999"/>
    <n v="0"/>
    <x v="26"/>
    <x v="26"/>
    <s v="PPPCPET3"/>
    <e v="#N/A"/>
    <s v="PETs Plant"/>
    <e v="#N/A"/>
    <x v="1"/>
    <x v="3"/>
    <x v="4"/>
  </r>
  <r>
    <s v="10.12.0.63"/>
    <x v="459"/>
    <s v="95.101.113.33"/>
    <x v="116"/>
    <n v="3"/>
    <x v="0"/>
    <n v="3"/>
    <n v="186"/>
    <n v="0"/>
    <n v="0"/>
    <n v="312.82918599999999"/>
    <n v="9.0793209999999895"/>
    <n v="163.888907551567"/>
    <n v="0"/>
    <x v="26"/>
    <x v="27"/>
    <s v="PPPCPET3"/>
    <e v="#N/A"/>
    <s v="PETs Plant"/>
    <e v="#N/A"/>
    <x v="1"/>
    <x v="3"/>
    <x v="4"/>
  </r>
  <r>
    <s v="10.12.0.63"/>
    <x v="761"/>
    <s v="95.101.113.26"/>
    <x v="116"/>
    <n v="3"/>
    <x v="0"/>
    <n v="3"/>
    <n v="186"/>
    <n v="0"/>
    <n v="0"/>
    <n v="334.04839700000002"/>
    <n v="8.9685639999999598"/>
    <n v="165.91284847830801"/>
    <n v="0"/>
    <x v="26"/>
    <x v="28"/>
    <s v="PPPCPET3"/>
    <e v="#N/A"/>
    <s v="PETs Plant"/>
    <e v="#N/A"/>
    <x v="1"/>
    <x v="3"/>
    <x v="4"/>
  </r>
  <r>
    <s v="10.12.0.63"/>
    <x v="460"/>
    <s v="95.101.113.40"/>
    <x v="116"/>
    <n v="3"/>
    <x v="0"/>
    <n v="3"/>
    <n v="186"/>
    <n v="0"/>
    <n v="0"/>
    <n v="355.048967"/>
    <n v="9.1872359999999809"/>
    <n v="161.96383765476401"/>
    <n v="0"/>
    <x v="26"/>
    <x v="29"/>
    <s v="PPPCPET3"/>
    <e v="#N/A"/>
    <s v="PETs Plant"/>
    <e v="#N/A"/>
    <x v="1"/>
    <x v="3"/>
    <x v="4"/>
  </r>
  <r>
    <s v="10.12.0.63"/>
    <x v="762"/>
    <s v="95.101.113.27"/>
    <x v="116"/>
    <n v="3"/>
    <x v="0"/>
    <n v="3"/>
    <n v="186"/>
    <n v="0"/>
    <n v="0"/>
    <n v="376.37759599999998"/>
    <n v="9.2966940000000005"/>
    <n v="160.05689764555001"/>
    <n v="0"/>
    <x v="26"/>
    <x v="21"/>
    <s v="PPPCPET3"/>
    <e v="#N/A"/>
    <s v="PETs Plant"/>
    <e v="#N/A"/>
    <x v="1"/>
    <x v="3"/>
    <x v="4"/>
  </r>
  <r>
    <s v="10.12.0.63"/>
    <x v="41"/>
    <s v="10.238.200.37"/>
    <x v="116"/>
    <n v="3"/>
    <x v="0"/>
    <n v="3"/>
    <n v="186"/>
    <n v="0"/>
    <n v="0"/>
    <n v="619.33138399999996"/>
    <n v="9.0516200000000708"/>
    <n v="164.390462701703"/>
    <n v="0"/>
    <x v="26"/>
    <x v="30"/>
    <s v="PPPCPET3"/>
    <e v="#N/A"/>
    <s v="PETs Plant"/>
    <e v="#N/A"/>
    <x v="1"/>
    <x v="3"/>
    <x v="4"/>
  </r>
  <r>
    <s v="10.12.0.63"/>
    <x v="41"/>
    <s v="10.238.200.37"/>
    <x v="116"/>
    <n v="3"/>
    <x v="0"/>
    <n v="3"/>
    <n v="186"/>
    <n v="0"/>
    <n v="0"/>
    <n v="640.415705"/>
    <n v="9.0770989999999792"/>
    <n v="163.929026223026"/>
    <n v="0"/>
    <x v="26"/>
    <x v="30"/>
    <s v="PPPCPET3"/>
    <e v="#N/A"/>
    <s v="PETs Plant"/>
    <e v="#N/A"/>
    <x v="1"/>
    <x v="3"/>
    <x v="4"/>
  </r>
  <r>
    <s v="10.12.0.65"/>
    <x v="763"/>
    <s v="95.101.113.48"/>
    <x v="116"/>
    <n v="3"/>
    <x v="0"/>
    <n v="3"/>
    <n v="186"/>
    <n v="0"/>
    <n v="0"/>
    <n v="258.76763299999999"/>
    <n v="8.8704220000000191"/>
    <n v="167.74850170600601"/>
    <n v="0"/>
    <x v="27"/>
    <x v="36"/>
    <s v="PPPCPET5"/>
    <e v="#N/A"/>
    <s v="PETs Plant"/>
    <e v="#N/A"/>
    <x v="1"/>
    <x v="3"/>
    <x v="4"/>
  </r>
  <r>
    <s v="10.12.0.65"/>
    <x v="764"/>
    <s v="95.101.113.49"/>
    <x v="116"/>
    <n v="3"/>
    <x v="0"/>
    <n v="3"/>
    <n v="186"/>
    <n v="0"/>
    <n v="0"/>
    <n v="279.67020100000002"/>
    <n v="9.1873819999999604"/>
    <n v="161.96126382902199"/>
    <n v="0"/>
    <x v="27"/>
    <x v="37"/>
    <s v="PPPCPET5"/>
    <e v="#N/A"/>
    <s v="PETs Plant"/>
    <e v="#N/A"/>
    <x v="1"/>
    <x v="3"/>
    <x v="4"/>
  </r>
  <r>
    <s v="10.12.0.65"/>
    <x v="765"/>
    <s v="95.101.113.8"/>
    <x v="116"/>
    <n v="3"/>
    <x v="0"/>
    <n v="3"/>
    <n v="186"/>
    <n v="0"/>
    <n v="0"/>
    <n v="300.89187900000002"/>
    <n v="9.2961070000000099"/>
    <n v="160.06700439226901"/>
    <n v="0"/>
    <x v="27"/>
    <x v="38"/>
    <s v="PPPCPET5"/>
    <e v="#N/A"/>
    <s v="PETs Plant"/>
    <e v="#N/A"/>
    <x v="1"/>
    <x v="3"/>
    <x v="4"/>
  </r>
  <r>
    <s v="10.12.0.65"/>
    <x v="766"/>
    <s v="95.101.113.10"/>
    <x v="116"/>
    <n v="3"/>
    <x v="0"/>
    <n v="3"/>
    <n v="186"/>
    <n v="0"/>
    <n v="0"/>
    <n v="322.32879100000002"/>
    <n v="9.07741499999997"/>
    <n v="163.92331957941801"/>
    <n v="0"/>
    <x v="27"/>
    <x v="39"/>
    <s v="PPPCPET5"/>
    <e v="#N/A"/>
    <s v="PETs Plant"/>
    <e v="#N/A"/>
    <x v="1"/>
    <x v="3"/>
    <x v="4"/>
  </r>
  <r>
    <s v="10.12.0.65"/>
    <x v="767"/>
    <s v="95.101.113.41"/>
    <x v="116"/>
    <n v="3"/>
    <x v="0"/>
    <n v="3"/>
    <n v="186"/>
    <n v="0"/>
    <n v="0"/>
    <n v="343.43878699999999"/>
    <n v="9.1870190000000207"/>
    <n v="161.96766328664401"/>
    <n v="0"/>
    <x v="27"/>
    <x v="25"/>
    <s v="PPPCPET5"/>
    <e v="#N/A"/>
    <s v="PETs Plant"/>
    <e v="#N/A"/>
    <x v="1"/>
    <x v="3"/>
    <x v="4"/>
  </r>
  <r>
    <s v="10.12.0.65"/>
    <x v="768"/>
    <s v="95.101.113.9"/>
    <x v="116"/>
    <n v="3"/>
    <x v="0"/>
    <n v="3"/>
    <n v="186"/>
    <n v="0"/>
    <n v="0"/>
    <n v="364.67384299999998"/>
    <n v="8.9528309999999998"/>
    <n v="166.20441064954801"/>
    <n v="0"/>
    <x v="27"/>
    <x v="40"/>
    <s v="PPPCPET5"/>
    <e v="#N/A"/>
    <s v="PETs Plant"/>
    <e v="#N/A"/>
    <x v="1"/>
    <x v="3"/>
    <x v="4"/>
  </r>
  <r>
    <s v="10.12.0.65"/>
    <x v="769"/>
    <s v="95.101.113.42"/>
    <x v="116"/>
    <n v="3"/>
    <x v="0"/>
    <n v="3"/>
    <n v="186"/>
    <n v="0"/>
    <n v="0"/>
    <n v="385.65901500000001"/>
    <n v="8.9684409999999808"/>
    <n v="165.915123932911"/>
    <n v="0"/>
    <x v="27"/>
    <x v="23"/>
    <s v="PPPCPET5"/>
    <e v="#N/A"/>
    <s v="PETs Plant"/>
    <e v="#N/A"/>
    <x v="1"/>
    <x v="3"/>
    <x v="4"/>
  </r>
  <r>
    <s v="10.12.0.65"/>
    <x v="770"/>
    <s v="95.101.113.40"/>
    <x v="116"/>
    <n v="3"/>
    <x v="0"/>
    <n v="3"/>
    <n v="186"/>
    <n v="0"/>
    <n v="0"/>
    <n v="406.65972799999997"/>
    <n v="9.1874300000000098"/>
    <n v="161.96041765760401"/>
    <n v="0"/>
    <x v="27"/>
    <x v="29"/>
    <s v="PPPCPET5"/>
    <e v="#N/A"/>
    <s v="PETs Plant"/>
    <e v="#N/A"/>
    <x v="1"/>
    <x v="3"/>
    <x v="4"/>
  </r>
  <r>
    <s v="10.12.0.65"/>
    <x v="771"/>
    <s v="95.101.113.43"/>
    <x v="116"/>
    <n v="3"/>
    <x v="0"/>
    <n v="3"/>
    <n v="186"/>
    <n v="0"/>
    <n v="0"/>
    <n v="427.99073800000002"/>
    <n v="9.2946930000000005"/>
    <n v="160.09135535729899"/>
    <n v="0"/>
    <x v="27"/>
    <x v="41"/>
    <s v="PPPCPET5"/>
    <e v="#N/A"/>
    <s v="PETs Plant"/>
    <e v="#N/A"/>
    <x v="1"/>
    <x v="3"/>
    <x v="4"/>
  </r>
  <r>
    <s v="10.12.0.65"/>
    <x v="772"/>
    <s v="10.238.200.37"/>
    <x v="116"/>
    <n v="3"/>
    <x v="0"/>
    <n v="3"/>
    <n v="186"/>
    <n v="0"/>
    <n v="0"/>
    <n v="562.53178400000002"/>
    <n v="9.290165"/>
    <n v="160.16938342860399"/>
    <n v="0"/>
    <x v="27"/>
    <x v="30"/>
    <s v="PPPCPET5"/>
    <e v="#N/A"/>
    <s v="PETs Plant"/>
    <e v="#N/A"/>
    <x v="1"/>
    <x v="3"/>
    <x v="4"/>
  </r>
  <r>
    <s v="10.12.0.65"/>
    <x v="772"/>
    <s v="10.238.200.37"/>
    <x v="116"/>
    <n v="3"/>
    <x v="0"/>
    <n v="3"/>
    <n v="186"/>
    <n v="0"/>
    <n v="0"/>
    <n v="583.96453399999996"/>
    <n v="9.1862829999999995"/>
    <n v="161.98064004777601"/>
    <n v="0"/>
    <x v="27"/>
    <x v="30"/>
    <s v="PPPCPET5"/>
    <e v="#N/A"/>
    <s v="PETs Plant"/>
    <e v="#N/A"/>
    <x v="1"/>
    <x v="3"/>
    <x v="4"/>
  </r>
  <r>
    <s v="10.12.0.71"/>
    <x v="773"/>
    <s v="172.217.22.68"/>
    <x v="116"/>
    <n v="1"/>
    <x v="1"/>
    <n v="1"/>
    <n v="62"/>
    <n v="0"/>
    <n v="0"/>
    <n v="2.2266659999999998"/>
    <n v="0"/>
    <n v="0"/>
    <n v="0"/>
    <x v="28"/>
    <x v="34"/>
    <s v="PPPCSTP1"/>
    <e v="#N/A"/>
    <s v="PETs Plant"/>
    <e v="#N/A"/>
    <x v="1"/>
    <x v="3"/>
    <x v="4"/>
  </r>
  <r>
    <s v="10.12.0.71"/>
    <x v="774"/>
    <s v="23.0.40.234"/>
    <x v="116"/>
    <n v="3"/>
    <x v="49"/>
    <n v="3"/>
    <n v="194"/>
    <n v="0"/>
    <n v="0"/>
    <n v="19.25564"/>
    <n v="9.0038459999999993"/>
    <n v="172.37078466246501"/>
    <n v="0"/>
    <x v="28"/>
    <x v="31"/>
    <s v="PPPCSTP1"/>
    <e v="#N/A"/>
    <s v="PETs Plant"/>
    <e v="#N/A"/>
    <x v="1"/>
    <x v="3"/>
    <x v="4"/>
  </r>
  <r>
    <s v="10.12.0.71"/>
    <x v="775"/>
    <s v="172.217.22.68"/>
    <x v="116"/>
    <n v="3"/>
    <x v="49"/>
    <n v="3"/>
    <n v="194"/>
    <n v="0"/>
    <n v="0"/>
    <n v="40.255592999999998"/>
    <n v="9.001099"/>
    <n v="172.423389632755"/>
    <n v="0"/>
    <x v="28"/>
    <x v="34"/>
    <s v="PPPCSTP1"/>
    <e v="#N/A"/>
    <s v="PETs Plant"/>
    <e v="#N/A"/>
    <x v="1"/>
    <x v="3"/>
    <x v="4"/>
  </r>
  <r>
    <s v="10.12.0.71"/>
    <x v="776"/>
    <s v="23.0.40.234"/>
    <x v="116"/>
    <n v="3"/>
    <x v="49"/>
    <n v="3"/>
    <n v="194"/>
    <n v="0"/>
    <n v="0"/>
    <n v="66.823352"/>
    <n v="9.0072179999999893"/>
    <n v="172.30625482807201"/>
    <n v="0"/>
    <x v="28"/>
    <x v="31"/>
    <s v="PPPCSTP1"/>
    <e v="#N/A"/>
    <s v="PETs Plant"/>
    <e v="#N/A"/>
    <x v="1"/>
    <x v="3"/>
    <x v="4"/>
  </r>
  <r>
    <s v="10.12.0.71"/>
    <x v="777"/>
    <s v="172.217.22.68"/>
    <x v="116"/>
    <n v="3"/>
    <x v="49"/>
    <n v="3"/>
    <n v="194"/>
    <n v="0"/>
    <n v="0"/>
    <n v="87.830824000000007"/>
    <n v="8.9990239999999897"/>
    <n v="172.46314711462099"/>
    <n v="0"/>
    <x v="28"/>
    <x v="34"/>
    <s v="PPPCSTP1"/>
    <e v="#N/A"/>
    <s v="PETs Plant"/>
    <e v="#N/A"/>
    <x v="1"/>
    <x v="3"/>
    <x v="4"/>
  </r>
  <r>
    <s v="10.12.0.71"/>
    <x v="778"/>
    <s v="23.0.40.234"/>
    <x v="116"/>
    <n v="3"/>
    <x v="49"/>
    <n v="3"/>
    <n v="194"/>
    <n v="0"/>
    <n v="0"/>
    <n v="113.85831399999999"/>
    <n v="9.0033560000000001"/>
    <n v="172.38016579595401"/>
    <n v="0"/>
    <x v="28"/>
    <x v="31"/>
    <s v="PPPCSTP1"/>
    <e v="#N/A"/>
    <s v="PETs Plant"/>
    <e v="#N/A"/>
    <x v="1"/>
    <x v="3"/>
    <x v="4"/>
  </r>
  <r>
    <s v="10.12.0.71"/>
    <x v="779"/>
    <s v="172.217.22.68"/>
    <x v="116"/>
    <n v="3"/>
    <x v="49"/>
    <n v="3"/>
    <n v="194"/>
    <n v="0"/>
    <n v="0"/>
    <n v="134.86100999999999"/>
    <n v="8.9959810000000004"/>
    <n v="172.521484871967"/>
    <n v="0"/>
    <x v="28"/>
    <x v="34"/>
    <s v="PPPCSTP1"/>
    <e v="#N/A"/>
    <s v="PETs Plant"/>
    <e v="#N/A"/>
    <x v="1"/>
    <x v="3"/>
    <x v="4"/>
  </r>
  <r>
    <s v="10.12.0.71"/>
    <x v="780"/>
    <s v="23.0.40.234"/>
    <x v="116"/>
    <n v="3"/>
    <x v="49"/>
    <n v="3"/>
    <n v="194"/>
    <n v="0"/>
    <n v="0"/>
    <n v="160.888778"/>
    <n v="9.0009099999999993"/>
    <n v="172.42701015786199"/>
    <n v="0"/>
    <x v="28"/>
    <x v="31"/>
    <s v="PPPCSTP1"/>
    <e v="#N/A"/>
    <s v="PETs Plant"/>
    <e v="#N/A"/>
    <x v="1"/>
    <x v="3"/>
    <x v="4"/>
  </r>
  <r>
    <s v="10.12.0.71"/>
    <x v="781"/>
    <s v="172.217.22.68"/>
    <x v="116"/>
    <n v="3"/>
    <x v="49"/>
    <n v="3"/>
    <n v="194"/>
    <n v="0"/>
    <n v="0"/>
    <n v="181.89509000000001"/>
    <n v="9.0049860000000006"/>
    <n v="172.34896311887701"/>
    <n v="0"/>
    <x v="28"/>
    <x v="34"/>
    <s v="PPPCSTP1"/>
    <e v="#N/A"/>
    <s v="PETs Plant"/>
    <e v="#N/A"/>
    <x v="1"/>
    <x v="3"/>
    <x v="4"/>
  </r>
  <r>
    <s v="10.12.0.71"/>
    <x v="782"/>
    <s v="23.0.40.234"/>
    <x v="116"/>
    <n v="3"/>
    <x v="49"/>
    <n v="3"/>
    <n v="194"/>
    <n v="0"/>
    <n v="0"/>
    <n v="208.306195"/>
    <n v="9.0015870000000007"/>
    <n v="172.41404210168699"/>
    <n v="0"/>
    <x v="28"/>
    <x v="31"/>
    <s v="PPPCSTP1"/>
    <e v="#N/A"/>
    <s v="PETs Plant"/>
    <e v="#N/A"/>
    <x v="1"/>
    <x v="3"/>
    <x v="4"/>
  </r>
  <r>
    <s v="10.12.0.71"/>
    <x v="783"/>
    <s v="172.217.22.68"/>
    <x v="116"/>
    <n v="3"/>
    <x v="49"/>
    <n v="3"/>
    <n v="194"/>
    <n v="0"/>
    <n v="0"/>
    <n v="229.316282"/>
    <n v="9.0027639999999796"/>
    <n v="172.391501098996"/>
    <n v="0"/>
    <x v="28"/>
    <x v="34"/>
    <s v="PPPCSTP1"/>
    <e v="#N/A"/>
    <s v="PETs Plant"/>
    <e v="#N/A"/>
    <x v="1"/>
    <x v="3"/>
    <x v="4"/>
  </r>
  <r>
    <s v="10.12.0.71"/>
    <x v="784"/>
    <s v="23.0.40.234"/>
    <x v="116"/>
    <n v="3"/>
    <x v="49"/>
    <n v="3"/>
    <n v="194"/>
    <n v="0"/>
    <n v="0"/>
    <n v="255.330029"/>
    <n v="8.9998730000000098"/>
    <n v="172.44687786149899"/>
    <n v="0"/>
    <x v="28"/>
    <x v="31"/>
    <s v="PPPCSTP1"/>
    <e v="#N/A"/>
    <s v="PETs Plant"/>
    <e v="#N/A"/>
    <x v="1"/>
    <x v="3"/>
    <x v="4"/>
  </r>
  <r>
    <s v="10.12.0.71"/>
    <x v="785"/>
    <s v="172.217.22.68"/>
    <x v="116"/>
    <n v="3"/>
    <x v="49"/>
    <n v="3"/>
    <n v="194"/>
    <n v="0"/>
    <n v="0"/>
    <n v="276.33733000000001"/>
    <n v="9.0009840000000203"/>
    <n v="172.42559257965499"/>
    <n v="0"/>
    <x v="28"/>
    <x v="34"/>
    <s v="PPPCSTP1"/>
    <e v="#N/A"/>
    <s v="PETs Plant"/>
    <e v="#N/A"/>
    <x v="1"/>
    <x v="3"/>
    <x v="4"/>
  </r>
  <r>
    <s v="10.12.0.71"/>
    <x v="786"/>
    <s v="23.0.40.234"/>
    <x v="116"/>
    <n v="3"/>
    <x v="49"/>
    <n v="3"/>
    <n v="194"/>
    <n v="0"/>
    <n v="0"/>
    <n v="302.37392899999998"/>
    <n v="9.0011100000000397"/>
    <n v="172.42317891904401"/>
    <n v="0"/>
    <x v="28"/>
    <x v="31"/>
    <s v="PPPCSTP1"/>
    <e v="#N/A"/>
    <s v="PETs Plant"/>
    <e v="#N/A"/>
    <x v="1"/>
    <x v="3"/>
    <x v="4"/>
  </r>
  <r>
    <s v="10.12.0.71"/>
    <x v="787"/>
    <s v="172.217.22.68"/>
    <x v="116"/>
    <n v="3"/>
    <x v="49"/>
    <n v="3"/>
    <n v="194"/>
    <n v="0"/>
    <n v="0"/>
    <n v="323.37035500000002"/>
    <n v="9.0069619999999908"/>
    <n v="172.31115219538"/>
    <n v="0"/>
    <x v="28"/>
    <x v="34"/>
    <s v="PPPCSTP1"/>
    <e v="#N/A"/>
    <s v="PETs Plant"/>
    <e v="#N/A"/>
    <x v="1"/>
    <x v="3"/>
    <x v="4"/>
  </r>
  <r>
    <s v="10.12.0.71"/>
    <x v="788"/>
    <s v="23.0.40.234"/>
    <x v="116"/>
    <n v="3"/>
    <x v="49"/>
    <n v="3"/>
    <n v="194"/>
    <n v="0"/>
    <n v="0"/>
    <n v="349.98003899999998"/>
    <n v="9.0070830000000193"/>
    <n v="172.30883738941901"/>
    <n v="0"/>
    <x v="28"/>
    <x v="31"/>
    <s v="PPPCSTP1"/>
    <e v="#N/A"/>
    <s v="PETs Plant"/>
    <e v="#N/A"/>
    <x v="1"/>
    <x v="3"/>
    <x v="4"/>
  </r>
  <r>
    <s v="10.12.0.71"/>
    <x v="789"/>
    <s v="172.217.22.68"/>
    <x v="116"/>
    <n v="3"/>
    <x v="49"/>
    <n v="3"/>
    <n v="194"/>
    <n v="0"/>
    <n v="0"/>
    <n v="370.98656999999997"/>
    <n v="9.0009650000000097"/>
    <n v="172.42595655021401"/>
    <n v="0"/>
    <x v="28"/>
    <x v="34"/>
    <s v="PPPCSTP1"/>
    <e v="#N/A"/>
    <s v="PETs Plant"/>
    <e v="#N/A"/>
    <x v="1"/>
    <x v="3"/>
    <x v="4"/>
  </r>
  <r>
    <s v="10.12.0.71"/>
    <x v="790"/>
    <s v="23.0.40.234"/>
    <x v="116"/>
    <n v="3"/>
    <x v="49"/>
    <n v="3"/>
    <n v="194"/>
    <n v="0"/>
    <n v="0"/>
    <n v="397.01477299999999"/>
    <n v="9.0044690000000305"/>
    <n v="172.358858695609"/>
    <n v="0"/>
    <x v="28"/>
    <x v="31"/>
    <s v="PPPCSTP1"/>
    <e v="#N/A"/>
    <s v="PETs Plant"/>
    <e v="#N/A"/>
    <x v="1"/>
    <x v="3"/>
    <x v="4"/>
  </r>
  <r>
    <s v="10.12.0.71"/>
    <x v="791"/>
    <s v="172.217.22.68"/>
    <x v="116"/>
    <n v="3"/>
    <x v="49"/>
    <n v="3"/>
    <n v="194"/>
    <n v="0"/>
    <n v="0"/>
    <n v="418.01557500000001"/>
    <n v="9.0018559999999805"/>
    <n v="172.40888990003899"/>
    <n v="0"/>
    <x v="28"/>
    <x v="34"/>
    <s v="PPPCSTP1"/>
    <e v="#N/A"/>
    <s v="PETs Plant"/>
    <e v="#N/A"/>
    <x v="1"/>
    <x v="3"/>
    <x v="4"/>
  </r>
  <r>
    <s v="10.12.0.71"/>
    <x v="792"/>
    <s v="23.0.40.234"/>
    <x v="116"/>
    <n v="3"/>
    <x v="49"/>
    <n v="3"/>
    <n v="194"/>
    <n v="0"/>
    <n v="0"/>
    <n v="444.03767299999998"/>
    <n v="8.9956340000000008"/>
    <n v="172.52813976202199"/>
    <n v="0"/>
    <x v="28"/>
    <x v="31"/>
    <s v="PPPCSTP1"/>
    <e v="#N/A"/>
    <s v="PETs Plant"/>
    <e v="#N/A"/>
    <x v="1"/>
    <x v="3"/>
    <x v="4"/>
  </r>
  <r>
    <s v="10.12.0.71"/>
    <x v="793"/>
    <s v="172.217.22.68"/>
    <x v="116"/>
    <n v="3"/>
    <x v="49"/>
    <n v="3"/>
    <n v="194"/>
    <n v="0"/>
    <n v="0"/>
    <n v="465.038588"/>
    <n v="9.0000600000000208"/>
    <n v="172.443294822479"/>
    <n v="0"/>
    <x v="28"/>
    <x v="34"/>
    <s v="PPPCSTP1"/>
    <e v="#N/A"/>
    <s v="PETs Plant"/>
    <e v="#N/A"/>
    <x v="1"/>
    <x v="3"/>
    <x v="4"/>
  </r>
  <r>
    <s v="10.12.0.71"/>
    <x v="794"/>
    <s v="23.0.40.234"/>
    <x v="116"/>
    <n v="3"/>
    <x v="49"/>
    <n v="3"/>
    <n v="194"/>
    <n v="0"/>
    <n v="0"/>
    <n v="491.56643300000002"/>
    <n v="9.0008629999999794"/>
    <n v="172.427910523691"/>
    <n v="0"/>
    <x v="28"/>
    <x v="31"/>
    <s v="PPPCSTP1"/>
    <e v="#N/A"/>
    <s v="PETs Plant"/>
    <e v="#N/A"/>
    <x v="1"/>
    <x v="3"/>
    <x v="4"/>
  </r>
  <r>
    <s v="10.12.0.71"/>
    <x v="795"/>
    <s v="172.217.22.68"/>
    <x v="116"/>
    <n v="3"/>
    <x v="49"/>
    <n v="3"/>
    <n v="194"/>
    <n v="0"/>
    <n v="0"/>
    <n v="512.568083"/>
    <n v="8.99762999999996"/>
    <n v="172.48986677603"/>
    <n v="0"/>
    <x v="28"/>
    <x v="34"/>
    <s v="PPPCSTP1"/>
    <e v="#N/A"/>
    <s v="PETs Plant"/>
    <e v="#N/A"/>
    <x v="1"/>
    <x v="3"/>
    <x v="4"/>
  </r>
  <r>
    <s v="10.12.0.71"/>
    <x v="796"/>
    <s v="23.0.40.234"/>
    <x v="116"/>
    <n v="3"/>
    <x v="49"/>
    <n v="3"/>
    <n v="194"/>
    <n v="0"/>
    <n v="0"/>
    <n v="538.59595899999999"/>
    <n v="9.0003930000000292"/>
    <n v="172.43691469916899"/>
    <n v="0"/>
    <x v="28"/>
    <x v="31"/>
    <s v="PPPCSTP1"/>
    <e v="#N/A"/>
    <s v="PETs Plant"/>
    <e v="#N/A"/>
    <x v="1"/>
    <x v="3"/>
    <x v="4"/>
  </r>
  <r>
    <s v="10.12.0.71"/>
    <x v="797"/>
    <s v="172.217.22.68"/>
    <x v="116"/>
    <n v="3"/>
    <x v="49"/>
    <n v="3"/>
    <n v="194"/>
    <n v="0"/>
    <n v="0"/>
    <n v="559.60093800000004"/>
    <n v="9.0009269999999297"/>
    <n v="172.42668449594299"/>
    <n v="0"/>
    <x v="28"/>
    <x v="34"/>
    <s v="PPPCSTP1"/>
    <e v="#N/A"/>
    <s v="PETs Plant"/>
    <e v="#N/A"/>
    <x v="1"/>
    <x v="3"/>
    <x v="4"/>
  </r>
  <r>
    <s v="10.12.0.71"/>
    <x v="798"/>
    <s v="23.0.40.234"/>
    <x v="116"/>
    <n v="3"/>
    <x v="49"/>
    <n v="3"/>
    <n v="194"/>
    <n v="0"/>
    <n v="0"/>
    <n v="585.63493500000004"/>
    <n v="9.0025479999999298"/>
    <n v="172.395637324012"/>
    <n v="0"/>
    <x v="28"/>
    <x v="31"/>
    <s v="PPPCSTP1"/>
    <e v="#N/A"/>
    <s v="PETs Plant"/>
    <e v="#N/A"/>
    <x v="1"/>
    <x v="3"/>
    <x v="4"/>
  </r>
  <r>
    <s v="10.12.0.71"/>
    <x v="799"/>
    <s v="172.217.22.68"/>
    <x v="116"/>
    <n v="3"/>
    <x v="49"/>
    <n v="3"/>
    <n v="194"/>
    <n v="0"/>
    <n v="0"/>
    <n v="606.64690700000006"/>
    <n v="9.0039839999999494"/>
    <n v="172.368142813227"/>
    <n v="0"/>
    <x v="28"/>
    <x v="34"/>
    <s v="PPPCSTP1"/>
    <e v="#N/A"/>
    <s v="PETs Plant"/>
    <e v="#N/A"/>
    <x v="1"/>
    <x v="3"/>
    <x v="4"/>
  </r>
  <r>
    <s v="10.12.0.71"/>
    <x v="800"/>
    <s v="23.0.40.234"/>
    <x v="116"/>
    <n v="3"/>
    <x v="49"/>
    <n v="3"/>
    <n v="194"/>
    <n v="0"/>
    <n v="0"/>
    <n v="632.67842499999995"/>
    <n v="9.0000410000000102"/>
    <n v="172.44365886777601"/>
    <n v="0"/>
    <x v="28"/>
    <x v="31"/>
    <s v="PPPCSTP1"/>
    <e v="#N/A"/>
    <s v="PETs Plant"/>
    <e v="#N/A"/>
    <x v="1"/>
    <x v="3"/>
    <x v="4"/>
  </r>
  <r>
    <s v="10.12.0.71"/>
    <x v="801"/>
    <s v="172.217.22.68"/>
    <x v="116"/>
    <n v="3"/>
    <x v="49"/>
    <n v="3"/>
    <n v="194"/>
    <n v="0"/>
    <n v="0"/>
    <n v="653.68689600000005"/>
    <n v="9.0030739999999696"/>
    <n v="172.38556519695399"/>
    <n v="0"/>
    <x v="28"/>
    <x v="34"/>
    <s v="PPPCSTP1"/>
    <e v="#N/A"/>
    <s v="PETs Plant"/>
    <e v="#N/A"/>
    <x v="1"/>
    <x v="3"/>
    <x v="4"/>
  </r>
  <r>
    <s v="10.12.0.71"/>
    <x v="802"/>
    <s v="23.0.40.234"/>
    <x v="116"/>
    <n v="3"/>
    <x v="49"/>
    <n v="3"/>
    <n v="194"/>
    <n v="0"/>
    <n v="0"/>
    <n v="679.72052900000006"/>
    <n v="9.0031489999998904"/>
    <n v="172.38412915303499"/>
    <n v="0"/>
    <x v="28"/>
    <x v="31"/>
    <s v="PPPCSTP1"/>
    <e v="#N/A"/>
    <s v="PETs Plant"/>
    <e v="#N/A"/>
    <x v="1"/>
    <x v="3"/>
    <x v="4"/>
  </r>
  <r>
    <s v="10.12.0.71"/>
    <x v="803"/>
    <s v="40.77.226.249"/>
    <x v="117"/>
    <n v="3"/>
    <x v="49"/>
    <n v="3"/>
    <n v="194"/>
    <n v="0"/>
    <n v="0"/>
    <n v="682.80805599999997"/>
    <n v="9.0068670000000601"/>
    <n v="172.31296964860101"/>
    <n v="0"/>
    <x v="28"/>
    <x v="42"/>
    <s v="PPPCSTP1"/>
    <e v="#N/A"/>
    <s v="PETs Plant"/>
    <e v="#N/A"/>
    <x v="1"/>
    <x v="3"/>
    <x v="5"/>
  </r>
  <r>
    <s v="10.12.0.71"/>
    <x v="804"/>
    <s v="40.77.226.250"/>
    <x v="117"/>
    <n v="3"/>
    <x v="49"/>
    <n v="3"/>
    <n v="194"/>
    <n v="0"/>
    <n v="0"/>
    <n v="682.80805899999996"/>
    <n v="9.0068660000000609"/>
    <n v="172.31298877989201"/>
    <n v="0"/>
    <x v="28"/>
    <x v="43"/>
    <s v="PPPCSTP1"/>
    <e v="#N/A"/>
    <s v="PETs Plant"/>
    <e v="#N/A"/>
    <x v="1"/>
    <x v="3"/>
    <x v="5"/>
  </r>
  <r>
    <s v="10.12.0.71"/>
    <x v="805"/>
    <s v="172.217.22.68"/>
    <x v="116"/>
    <n v="3"/>
    <x v="49"/>
    <n v="3"/>
    <n v="194"/>
    <n v="0"/>
    <n v="0"/>
    <n v="700.72803799999997"/>
    <n v="9.0009939999999897"/>
    <n v="172.42540101682101"/>
    <n v="0"/>
    <x v="28"/>
    <x v="34"/>
    <s v="PPPCSTP1"/>
    <e v="#N/A"/>
    <s v="PETs Plant"/>
    <e v="#N/A"/>
    <x v="1"/>
    <x v="3"/>
    <x v="4"/>
  </r>
  <r>
    <s v="10.12.0.71"/>
    <x v="806"/>
    <s v="40.77.226.249"/>
    <x v="117"/>
    <n v="3"/>
    <x v="49"/>
    <n v="3"/>
    <n v="194"/>
    <n v="0"/>
    <n v="0"/>
    <n v="706.38986899999998"/>
    <n v="9.0035740000000697"/>
    <n v="172.37599202272199"/>
    <n v="0"/>
    <x v="28"/>
    <x v="42"/>
    <s v="PPPCSTP1"/>
    <e v="#N/A"/>
    <s v="PETs Plant"/>
    <e v="#N/A"/>
    <x v="1"/>
    <x v="3"/>
    <x v="5"/>
  </r>
  <r>
    <s v="10.12.0.71"/>
    <x v="807"/>
    <s v="23.0.40.234"/>
    <x v="116"/>
    <n v="3"/>
    <x v="49"/>
    <n v="3"/>
    <n v="194"/>
    <n v="0"/>
    <n v="0"/>
    <n v="726.76395100000002"/>
    <n v="9.0017490000000198"/>
    <n v="172.41093925191601"/>
    <n v="0"/>
    <x v="28"/>
    <x v="31"/>
    <s v="PPPCSTP1"/>
    <e v="#N/A"/>
    <s v="PETs Plant"/>
    <e v="#N/A"/>
    <x v="1"/>
    <x v="3"/>
    <x v="4"/>
  </r>
  <r>
    <s v="10.12.0.71"/>
    <x v="808"/>
    <s v="172.217.22.68"/>
    <x v="116"/>
    <n v="3"/>
    <x v="49"/>
    <n v="3"/>
    <n v="194"/>
    <n v="0"/>
    <n v="0"/>
    <n v="747.76531299999999"/>
    <n v="8.9957799999999697"/>
    <n v="172.52533965926301"/>
    <n v="0"/>
    <x v="28"/>
    <x v="34"/>
    <s v="PPPCSTP1"/>
    <e v="#N/A"/>
    <s v="PETs Plant"/>
    <e v="#N/A"/>
    <x v="1"/>
    <x v="3"/>
    <x v="4"/>
  </r>
  <r>
    <s v="10.12.0.71"/>
    <x v="809"/>
    <s v="23.0.40.234"/>
    <x v="116"/>
    <n v="3"/>
    <x v="49"/>
    <n v="3"/>
    <n v="194"/>
    <n v="0"/>
    <n v="0"/>
    <n v="773.80334800000003"/>
    <n v="8.9973430000000008"/>
    <n v="172.49536891057701"/>
    <n v="0"/>
    <x v="28"/>
    <x v="31"/>
    <s v="PPPCSTP1"/>
    <e v="#N/A"/>
    <s v="PETs Plant"/>
    <e v="#N/A"/>
    <x v="1"/>
    <x v="3"/>
    <x v="4"/>
  </r>
  <r>
    <s v="10.12.0.71"/>
    <x v="810"/>
    <s v="172.217.22.68"/>
    <x v="116"/>
    <n v="3"/>
    <x v="49"/>
    <n v="3"/>
    <n v="194"/>
    <n v="0"/>
    <n v="0"/>
    <n v="794.81352100000004"/>
    <n v="8.9976179999999903"/>
    <n v="172.490096823404"/>
    <n v="0"/>
    <x v="28"/>
    <x v="34"/>
    <s v="PPPCSTP1"/>
    <e v="#N/A"/>
    <s v="PETs Plant"/>
    <e v="#N/A"/>
    <x v="1"/>
    <x v="3"/>
    <x v="4"/>
  </r>
  <r>
    <s v="10.12.0.71"/>
    <x v="811"/>
    <s v="23.0.40.234"/>
    <x v="116"/>
    <n v="3"/>
    <x v="49"/>
    <n v="3"/>
    <n v="194"/>
    <n v="0"/>
    <n v="0"/>
    <n v="820.84961199999998"/>
    <n v="8.9942510000000802"/>
    <n v="172.55466853215299"/>
    <n v="0"/>
    <x v="28"/>
    <x v="31"/>
    <s v="PPPCSTP1"/>
    <e v="#N/A"/>
    <s v="PETs Plant"/>
    <e v="#N/A"/>
    <x v="1"/>
    <x v="3"/>
    <x v="4"/>
  </r>
  <r>
    <s v="10.12.0.71"/>
    <x v="812"/>
    <s v="172.217.22.68"/>
    <x v="116"/>
    <n v="3"/>
    <x v="49"/>
    <n v="3"/>
    <n v="194"/>
    <n v="0"/>
    <n v="0"/>
    <n v="841.84637299999997"/>
    <n v="8.9958070000000099"/>
    <n v="172.524821841998"/>
    <n v="0"/>
    <x v="28"/>
    <x v="34"/>
    <s v="PPPCSTP1"/>
    <e v="#N/A"/>
    <s v="PETs Plant"/>
    <e v="#N/A"/>
    <x v="1"/>
    <x v="3"/>
    <x v="4"/>
  </r>
  <r>
    <s v="10.12.0.71"/>
    <x v="813"/>
    <s v="23.0.40.234"/>
    <x v="116"/>
    <n v="3"/>
    <x v="49"/>
    <n v="3"/>
    <n v="194"/>
    <n v="0"/>
    <n v="0"/>
    <n v="867.86020199999996"/>
    <n v="8.9937469999999795"/>
    <n v="172.56433831194099"/>
    <n v="0"/>
    <x v="28"/>
    <x v="31"/>
    <s v="PPPCSTP1"/>
    <e v="#N/A"/>
    <s v="PETs Plant"/>
    <e v="#N/A"/>
    <x v="1"/>
    <x v="3"/>
    <x v="4"/>
  </r>
  <r>
    <s v="10.12.0.71"/>
    <x v="814"/>
    <s v="172.217.22.68"/>
    <x v="116"/>
    <n v="3"/>
    <x v="49"/>
    <n v="3"/>
    <n v="194"/>
    <n v="0"/>
    <n v="0"/>
    <n v="888.86029399999995"/>
    <n v="8.9980639999999994"/>
    <n v="172.48154714169601"/>
    <n v="0"/>
    <x v="28"/>
    <x v="34"/>
    <s v="PPPCSTP1"/>
    <e v="#N/A"/>
    <s v="PETs Plant"/>
    <e v="#N/A"/>
    <x v="1"/>
    <x v="3"/>
    <x v="4"/>
  </r>
  <r>
    <s v="10.12.0.122"/>
    <x v="815"/>
    <s v="191.238.240.12"/>
    <x v="117"/>
    <n v="3"/>
    <x v="49"/>
    <n v="3"/>
    <n v="194"/>
    <n v="0"/>
    <n v="0"/>
    <n v="338.40831700000001"/>
    <n v="8.9996769999999593"/>
    <n v="172.45063350607001"/>
    <n v="0"/>
    <x v="29"/>
    <x v="44"/>
    <s v="PPPCSF2"/>
    <e v="#N/A"/>
    <s v="Slag Fumer"/>
    <e v="#N/A"/>
    <x v="1"/>
    <x v="3"/>
    <x v="5"/>
  </r>
  <r>
    <s v="10.12.0.141"/>
    <x v="816"/>
    <s v="10.11.1.149"/>
    <x v="118"/>
    <n v="317"/>
    <x v="62"/>
    <n v="166"/>
    <n v="30981"/>
    <n v="151"/>
    <n v="26130"/>
    <n v="6.2121000000000003E-2"/>
    <n v="900.16999199999998"/>
    <n v="275.33466145581099"/>
    <n v="232.22280442336699"/>
    <x v="30"/>
    <x v="45"/>
    <s v="PPPCCP1"/>
    <e v="#N/A"/>
    <s v="Copper Plant"/>
    <e v="#N/A"/>
    <x v="1"/>
    <x v="3"/>
    <x v="6"/>
  </r>
  <r>
    <s v="10.12.0.141"/>
    <x v="817"/>
    <s v="23.0.40.234"/>
    <x v="116"/>
    <n v="3"/>
    <x v="49"/>
    <n v="3"/>
    <n v="194"/>
    <n v="0"/>
    <n v="0"/>
    <n v="140.34112200000001"/>
    <n v="8.9987649999999899"/>
    <n v="172.46811090188501"/>
    <n v="0"/>
    <x v="30"/>
    <x v="31"/>
    <s v="PPPCCP1"/>
    <e v="#N/A"/>
    <s v="Copper Plant"/>
    <e v="#N/A"/>
    <x v="1"/>
    <x v="3"/>
    <x v="4"/>
  </r>
  <r>
    <s v="10.12.0.141"/>
    <x v="818"/>
    <s v="23.0.40.234"/>
    <x v="116"/>
    <n v="3"/>
    <x v="49"/>
    <n v="3"/>
    <n v="194"/>
    <n v="0"/>
    <n v="0"/>
    <n v="461.35178999999999"/>
    <n v="9.0067900000000201"/>
    <n v="172.31444277039799"/>
    <n v="0"/>
    <x v="30"/>
    <x v="31"/>
    <s v="PPPCCP1"/>
    <e v="#N/A"/>
    <s v="Copper Plant"/>
    <e v="#N/A"/>
    <x v="1"/>
    <x v="3"/>
    <x v="4"/>
  </r>
  <r>
    <s v="10.12.0.141"/>
    <x v="819"/>
    <s v="23.0.40.234"/>
    <x v="116"/>
    <n v="3"/>
    <x v="49"/>
    <n v="3"/>
    <n v="194"/>
    <n v="0"/>
    <n v="0"/>
    <n v="782.37565600000005"/>
    <n v="9.0055619999999408"/>
    <n v="172.33793959777401"/>
    <n v="0"/>
    <x v="30"/>
    <x v="31"/>
    <s v="PPPCCP1"/>
    <e v="#N/A"/>
    <s v="Copper Plant"/>
    <e v="#N/A"/>
    <x v="1"/>
    <x v="3"/>
    <x v="4"/>
  </r>
  <r>
    <s v="10.12.0.162"/>
    <x v="820"/>
    <s v="23.32.124.29"/>
    <x v="117"/>
    <n v="3"/>
    <x v="49"/>
    <n v="3"/>
    <n v="194"/>
    <n v="0"/>
    <n v="0"/>
    <n v="728.23948399999995"/>
    <n v="9.0033130000000501"/>
    <n v="172.38098908701599"/>
    <n v="0"/>
    <x v="31"/>
    <x v="46"/>
    <s v="PPPCSP2"/>
    <e v="#N/A"/>
    <s v="Sinter Plant"/>
    <e v="#N/A"/>
    <x v="1"/>
    <x v="3"/>
    <x v="5"/>
  </r>
  <r>
    <s v="10.12.0.163"/>
    <x v="821"/>
    <s v="10.238.101.79"/>
    <x v="117"/>
    <n v="3"/>
    <x v="0"/>
    <n v="3"/>
    <n v="186"/>
    <n v="0"/>
    <n v="0"/>
    <n v="457.64479"/>
    <n v="8.9721860000000202"/>
    <n v="165.84587078332899"/>
    <n v="0"/>
    <x v="32"/>
    <x v="47"/>
    <s v="PPPCSP3"/>
    <e v="#N/A"/>
    <s v="Sinter Plant"/>
    <e v="#N/A"/>
    <x v="1"/>
    <x v="3"/>
    <x v="5"/>
  </r>
  <r>
    <s v="10.12.0.163"/>
    <x v="822"/>
    <s v="10.238.101.79"/>
    <x v="116"/>
    <n v="3"/>
    <x v="0"/>
    <n v="3"/>
    <n v="186"/>
    <n v="0"/>
    <n v="0"/>
    <n v="501.32419099999998"/>
    <n v="9.0430709999999994"/>
    <n v="164.545871640287"/>
    <n v="0"/>
    <x v="32"/>
    <x v="47"/>
    <s v="PPPCSP3"/>
    <e v="#N/A"/>
    <s v="Sinter Plant"/>
    <e v="#N/A"/>
    <x v="1"/>
    <x v="3"/>
    <x v="4"/>
  </r>
  <r>
    <s v="10.12.0.163"/>
    <x v="823"/>
    <s v="10.238.101.79"/>
    <x v="117"/>
    <n v="3"/>
    <x v="0"/>
    <n v="3"/>
    <n v="186"/>
    <n v="0"/>
    <n v="0"/>
    <n v="685.21353299999998"/>
    <n v="9.2328440000000001"/>
    <n v="161.16377575533599"/>
    <n v="0"/>
    <x v="32"/>
    <x v="47"/>
    <s v="PPPCSP3"/>
    <e v="#N/A"/>
    <s v="Sinter Plant"/>
    <e v="#N/A"/>
    <x v="1"/>
    <x v="3"/>
    <x v="5"/>
  </r>
  <r>
    <s v="10.12.0.163"/>
    <x v="824"/>
    <s v="10.238.101.79"/>
    <x v="117"/>
    <n v="3"/>
    <x v="0"/>
    <n v="3"/>
    <n v="186"/>
    <n v="0"/>
    <n v="0"/>
    <n v="708.89069600000005"/>
    <n v="9.0714539999998998"/>
    <n v="164.031036259459"/>
    <n v="0"/>
    <x v="32"/>
    <x v="47"/>
    <s v="PPPCSP3"/>
    <e v="#N/A"/>
    <s v="Sinter Plant"/>
    <e v="#N/A"/>
    <x v="1"/>
    <x v="3"/>
    <x v="5"/>
  </r>
  <r>
    <s v="10.12.0.163"/>
    <x v="825"/>
    <s v="10.238.101.79"/>
    <x v="117"/>
    <n v="3"/>
    <x v="0"/>
    <n v="3"/>
    <n v="186"/>
    <n v="0"/>
    <n v="0"/>
    <n v="733.60144700000001"/>
    <n v="8.9702650000000403"/>
    <n v="165.88138700473101"/>
    <n v="0"/>
    <x v="32"/>
    <x v="47"/>
    <s v="PPPCSP3"/>
    <e v="#N/A"/>
    <s v="Sinter Plant"/>
    <e v="#N/A"/>
    <x v="1"/>
    <x v="3"/>
    <x v="5"/>
  </r>
  <r>
    <s v="10.12.0.163"/>
    <x v="826"/>
    <s v="10.238.101.79"/>
    <x v="117"/>
    <n v="3"/>
    <x v="0"/>
    <n v="3"/>
    <n v="186"/>
    <n v="0"/>
    <n v="0"/>
    <n v="756.98096699999996"/>
    <n v="9.1065350000000098"/>
    <n v="163.39914138582901"/>
    <n v="0"/>
    <x v="32"/>
    <x v="47"/>
    <s v="PPPCSP3"/>
    <e v="#N/A"/>
    <s v="Sinter Plant"/>
    <e v="#N/A"/>
    <x v="1"/>
    <x v="3"/>
    <x v="5"/>
  </r>
  <r>
    <s v="10.12.0.163"/>
    <x v="827"/>
    <s v="10.238.101.79"/>
    <x v="117"/>
    <n v="3"/>
    <x v="0"/>
    <n v="3"/>
    <n v="186"/>
    <n v="0"/>
    <n v="0"/>
    <n v="780.56521799999996"/>
    <n v="9.1473560000000607"/>
    <n v="162.66995621466901"/>
    <n v="0"/>
    <x v="32"/>
    <x v="47"/>
    <s v="PPPCSP3"/>
    <e v="#N/A"/>
    <s v="Sinter Plant"/>
    <e v="#N/A"/>
    <x v="1"/>
    <x v="3"/>
    <x v="5"/>
  </r>
  <r>
    <s v="10.12.0.163"/>
    <x v="828"/>
    <s v="10.238.101.79"/>
    <x v="117"/>
    <n v="3"/>
    <x v="0"/>
    <n v="3"/>
    <n v="186"/>
    <n v="0"/>
    <n v="0"/>
    <n v="807.63632500000006"/>
    <n v="8.9826889999999402"/>
    <n v="165.65195566717401"/>
    <n v="0"/>
    <x v="32"/>
    <x v="47"/>
    <s v="PPPCSP3"/>
    <e v="#N/A"/>
    <s v="Sinter Plant"/>
    <e v="#N/A"/>
    <x v="1"/>
    <x v="3"/>
    <x v="5"/>
  </r>
  <r>
    <s v="10.12.0.184"/>
    <x v="829"/>
    <s v="10.1.1.12"/>
    <x v="117"/>
    <n v="3"/>
    <x v="0"/>
    <n v="3"/>
    <n v="186"/>
    <n v="0"/>
    <n v="0"/>
    <n v="4.6805289999999999"/>
    <n v="9.0776420000000009"/>
    <n v="163.919220431914"/>
    <n v="0"/>
    <x v="33"/>
    <x v="48"/>
    <s v="PPPCRF4"/>
    <e v="#N/A"/>
    <s v="Refinery"/>
    <e v="#N/A"/>
    <x v="1"/>
    <x v="3"/>
    <x v="5"/>
  </r>
  <r>
    <s v="10.12.0.184"/>
    <x v="830"/>
    <s v="10.114.1.100"/>
    <x v="117"/>
    <n v="3"/>
    <x v="0"/>
    <n v="3"/>
    <n v="186"/>
    <n v="0"/>
    <n v="0"/>
    <n v="25.899433999999999"/>
    <n v="9.0775469999999991"/>
    <n v="163.92093590922701"/>
    <n v="0"/>
    <x v="33"/>
    <x v="49"/>
    <s v="PPPCRF4"/>
    <e v="#N/A"/>
    <s v="Refinery"/>
    <e v="#N/A"/>
    <x v="1"/>
    <x v="3"/>
    <x v="5"/>
  </r>
  <r>
    <s v="10.12.0.184"/>
    <x v="831"/>
    <s v="10.134.1.11"/>
    <x v="117"/>
    <n v="3"/>
    <x v="0"/>
    <n v="3"/>
    <n v="186"/>
    <n v="0"/>
    <n v="0"/>
    <n v="47.008816000000003"/>
    <n v="9.0775959999999998"/>
    <n v="163.92005107960301"/>
    <n v="0"/>
    <x v="33"/>
    <x v="50"/>
    <s v="PPPCRF4"/>
    <e v="#N/A"/>
    <s v="Refinery"/>
    <e v="#N/A"/>
    <x v="1"/>
    <x v="3"/>
    <x v="5"/>
  </r>
  <r>
    <s v="10.12.0.184"/>
    <x v="832"/>
    <s v="10.112.1.11"/>
    <x v="117"/>
    <n v="3"/>
    <x v="0"/>
    <n v="3"/>
    <n v="186"/>
    <n v="0"/>
    <n v="0"/>
    <n v="68.008857000000006"/>
    <n v="9.2963869999999993"/>
    <n v="160.06218329766199"/>
    <n v="0"/>
    <x v="33"/>
    <x v="51"/>
    <s v="PPPCRF4"/>
    <e v="#N/A"/>
    <s v="Refinery"/>
    <e v="#N/A"/>
    <x v="1"/>
    <x v="3"/>
    <x v="5"/>
  </r>
  <r>
    <s v="10.12.0.184"/>
    <x v="833"/>
    <s v="10.120.1.1"/>
    <x v="117"/>
    <n v="3"/>
    <x v="0"/>
    <n v="3"/>
    <n v="186"/>
    <n v="0"/>
    <n v="0"/>
    <n v="89.446434999999994"/>
    <n v="9.0775170000000003"/>
    <n v="163.92147764636499"/>
    <n v="0"/>
    <x v="33"/>
    <x v="52"/>
    <s v="PPPCRF4"/>
    <e v="#N/A"/>
    <s v="Refinery"/>
    <e v="#N/A"/>
    <x v="1"/>
    <x v="3"/>
    <x v="5"/>
  </r>
  <r>
    <s v="10.12.0.184"/>
    <x v="834"/>
    <s v="10.115.1.6"/>
    <x v="117"/>
    <n v="3"/>
    <x v="0"/>
    <n v="3"/>
    <n v="186"/>
    <n v="0"/>
    <n v="0"/>
    <n v="110.55591200000001"/>
    <n v="9.0775179999999995"/>
    <n v="163.921459588403"/>
    <n v="0"/>
    <x v="33"/>
    <x v="53"/>
    <s v="PPPCRF4"/>
    <e v="#N/A"/>
    <s v="Refinery"/>
    <e v="#N/A"/>
    <x v="1"/>
    <x v="3"/>
    <x v="5"/>
  </r>
  <r>
    <s v="10.12.0.184"/>
    <x v="835"/>
    <s v="10.82.1.30"/>
    <x v="117"/>
    <n v="3"/>
    <x v="0"/>
    <n v="3"/>
    <n v="186"/>
    <n v="0"/>
    <n v="0"/>
    <n v="131.774958"/>
    <n v="9.0771770000000096"/>
    <n v="163.92761758418899"/>
    <n v="0"/>
    <x v="33"/>
    <x v="54"/>
    <s v="PPPCRF4"/>
    <e v="#N/A"/>
    <s v="Refinery"/>
    <e v="#N/A"/>
    <x v="1"/>
    <x v="3"/>
    <x v="5"/>
  </r>
  <r>
    <s v="10.12.0.184"/>
    <x v="836"/>
    <s v="10.11.1.12"/>
    <x v="117"/>
    <n v="3"/>
    <x v="0"/>
    <n v="3"/>
    <n v="186"/>
    <n v="0"/>
    <n v="0"/>
    <n v="152.99358100000001"/>
    <n v="9.2960779999999907"/>
    <n v="160.06750373652201"/>
    <n v="0"/>
    <x v="33"/>
    <x v="55"/>
    <s v="PPPCRF4"/>
    <e v="#N/A"/>
    <s v="Refinery"/>
    <e v="#N/A"/>
    <x v="1"/>
    <x v="3"/>
    <x v="5"/>
  </r>
  <r>
    <s v="10.12.0.184"/>
    <x v="837"/>
    <s v="10.80.1.65"/>
    <x v="117"/>
    <n v="3"/>
    <x v="0"/>
    <n v="3"/>
    <n v="186"/>
    <n v="0"/>
    <n v="0"/>
    <n v="174.32133400000001"/>
    <n v="9.0778509999999795"/>
    <n v="163.91544650821001"/>
    <n v="0"/>
    <x v="33"/>
    <x v="56"/>
    <s v="PPPCRF4"/>
    <e v="#N/A"/>
    <s v="Refinery"/>
    <e v="#N/A"/>
    <x v="1"/>
    <x v="3"/>
    <x v="5"/>
  </r>
  <r>
    <s v="10.12.0.184"/>
    <x v="838"/>
    <s v="10.121.1.5"/>
    <x v="117"/>
    <n v="3"/>
    <x v="0"/>
    <n v="3"/>
    <n v="186"/>
    <n v="0"/>
    <n v="0"/>
    <n v="195.430836"/>
    <n v="9.2964599999999997"/>
    <n v="160.06092641715199"/>
    <n v="0"/>
    <x v="33"/>
    <x v="57"/>
    <s v="PPPCRF4"/>
    <e v="#N/A"/>
    <s v="Refinery"/>
    <e v="#N/A"/>
    <x v="1"/>
    <x v="3"/>
    <x v="5"/>
  </r>
  <r>
    <s v="10.12.0.184"/>
    <x v="839"/>
    <s v="10.86.1.12"/>
    <x v="117"/>
    <n v="3"/>
    <x v="0"/>
    <n v="3"/>
    <n v="186"/>
    <n v="0"/>
    <n v="0"/>
    <n v="216.868438"/>
    <n v="8.9682610000000107"/>
    <n v="165.918453978982"/>
    <n v="0"/>
    <x v="33"/>
    <x v="58"/>
    <s v="PPPCRF4"/>
    <e v="#N/A"/>
    <s v="Refinery"/>
    <e v="#N/A"/>
    <x v="1"/>
    <x v="3"/>
    <x v="5"/>
  </r>
  <r>
    <s v="10.12.0.184"/>
    <x v="840"/>
    <s v="10.119.1.3"/>
    <x v="117"/>
    <n v="3"/>
    <x v="0"/>
    <n v="3"/>
    <n v="186"/>
    <n v="0"/>
    <n v="0"/>
    <n v="237.86866599999999"/>
    <n v="8.9680110000000202"/>
    <n v="165.92307926473299"/>
    <n v="0"/>
    <x v="33"/>
    <x v="59"/>
    <s v="PPPCRF4"/>
    <e v="#N/A"/>
    <s v="Refinery"/>
    <e v="#N/A"/>
    <x v="1"/>
    <x v="3"/>
    <x v="5"/>
  </r>
  <r>
    <s v="10.12.0.184"/>
    <x v="841"/>
    <s v="10.130.1.3"/>
    <x v="117"/>
    <n v="3"/>
    <x v="0"/>
    <n v="3"/>
    <n v="186"/>
    <n v="0"/>
    <n v="0"/>
    <n v="258.86832099999998"/>
    <n v="8.9683280000000405"/>
    <n v="165.91721444621501"/>
    <n v="0"/>
    <x v="33"/>
    <x v="60"/>
    <s v="PPPCRF4"/>
    <e v="#N/A"/>
    <s v="Refinery"/>
    <e v="#N/A"/>
    <x v="1"/>
    <x v="3"/>
    <x v="5"/>
  </r>
  <r>
    <s v="10.12.0.184"/>
    <x v="842"/>
    <s v="10.136.1.1"/>
    <x v="117"/>
    <n v="3"/>
    <x v="0"/>
    <n v="3"/>
    <n v="186"/>
    <n v="0"/>
    <n v="0"/>
    <n v="279.869192"/>
    <n v="9.0769869999999706"/>
    <n v="163.931048926258"/>
    <n v="0"/>
    <x v="33"/>
    <x v="61"/>
    <s v="PPPCRF4"/>
    <e v="#N/A"/>
    <s v="Refinery"/>
    <e v="#N/A"/>
    <x v="1"/>
    <x v="3"/>
    <x v="5"/>
  </r>
  <r>
    <s v="10.12.0.184"/>
    <x v="843"/>
    <s v="10.238.101.79"/>
    <x v="117"/>
    <n v="3"/>
    <x v="0"/>
    <n v="3"/>
    <n v="186"/>
    <n v="0"/>
    <n v="0"/>
    <n v="301.087399"/>
    <n v="8.9681309999999694"/>
    <n v="165.92085909539099"/>
    <n v="0"/>
    <x v="33"/>
    <x v="47"/>
    <s v="PPPCRF4"/>
    <e v="#N/A"/>
    <s v="Refinery"/>
    <e v="#N/A"/>
    <x v="1"/>
    <x v="3"/>
    <x v="5"/>
  </r>
  <r>
    <s v="10.12.0.184"/>
    <x v="844"/>
    <s v="10.95.1.18"/>
    <x v="117"/>
    <n v="3"/>
    <x v="0"/>
    <n v="3"/>
    <n v="186"/>
    <n v="0"/>
    <n v="0"/>
    <n v="367.14270599999998"/>
    <n v="8.9754100000000108"/>
    <n v="165.78629834180299"/>
    <n v="0"/>
    <x v="33"/>
    <x v="62"/>
    <s v="PPPCRF4"/>
    <e v="#N/A"/>
    <s v="Refinery"/>
    <e v="#N/A"/>
    <x v="1"/>
    <x v="3"/>
    <x v="5"/>
  </r>
  <r>
    <s v="10.12.0.184"/>
    <x v="845"/>
    <s v="10.116.1.1"/>
    <x v="117"/>
    <n v="3"/>
    <x v="0"/>
    <n v="3"/>
    <n v="186"/>
    <n v="0"/>
    <n v="0"/>
    <n v="390.40260799999999"/>
    <n v="9.0123510000000202"/>
    <n v="165.106751834232"/>
    <n v="0"/>
    <x v="33"/>
    <x v="63"/>
    <s v="PPPCRF4"/>
    <e v="#N/A"/>
    <s v="Refinery"/>
    <e v="#N/A"/>
    <x v="1"/>
    <x v="3"/>
    <x v="5"/>
  </r>
  <r>
    <s v="10.12.0.184"/>
    <x v="846"/>
    <s v="10.113.10.1"/>
    <x v="117"/>
    <n v="3"/>
    <x v="0"/>
    <n v="3"/>
    <n v="186"/>
    <n v="0"/>
    <n v="0"/>
    <n v="413.69965400000001"/>
    <n v="9.0122630000000203"/>
    <n v="165.108364014676"/>
    <n v="0"/>
    <x v="33"/>
    <x v="64"/>
    <s v="PPPCRF4"/>
    <e v="#N/A"/>
    <s v="Refinery"/>
    <e v="#N/A"/>
    <x v="1"/>
    <x v="3"/>
    <x v="5"/>
  </r>
  <r>
    <s v="10.12.0.184"/>
    <x v="847"/>
    <s v="10.33.10.8"/>
    <x v="117"/>
    <n v="3"/>
    <x v="0"/>
    <n v="3"/>
    <n v="186"/>
    <n v="0"/>
    <n v="0"/>
    <n v="436.99633699999998"/>
    <n v="9.2312370000000197"/>
    <n v="161.191831603933"/>
    <n v="0"/>
    <x v="33"/>
    <x v="65"/>
    <s v="PPPCRF4"/>
    <e v="#N/A"/>
    <s v="Refinery"/>
    <e v="#N/A"/>
    <x v="1"/>
    <x v="3"/>
    <x v="5"/>
  </r>
  <r>
    <s v="10.12.0.184"/>
    <x v="848"/>
    <s v="10.1.1.12"/>
    <x v="117"/>
    <n v="3"/>
    <x v="0"/>
    <n v="3"/>
    <n v="186"/>
    <n v="0"/>
    <n v="0"/>
    <n v="460.62114700000001"/>
    <n v="8.9033959999999901"/>
    <n v="167.12723998797799"/>
    <n v="0"/>
    <x v="33"/>
    <x v="48"/>
    <s v="PPPCRF4"/>
    <e v="#N/A"/>
    <s v="Refinery"/>
    <e v="#N/A"/>
    <x v="1"/>
    <x v="3"/>
    <x v="5"/>
  </r>
  <r>
    <s v="10.12.0.184"/>
    <x v="849"/>
    <s v="10.114.1.100"/>
    <x v="117"/>
    <n v="3"/>
    <x v="0"/>
    <n v="3"/>
    <n v="186"/>
    <n v="0"/>
    <n v="0"/>
    <n v="483.81016899999997"/>
    <n v="9.0112550000000091"/>
    <n v="165.126833054885"/>
    <n v="0"/>
    <x v="33"/>
    <x v="49"/>
    <s v="PPPCRF4"/>
    <e v="#N/A"/>
    <s v="Refinery"/>
    <e v="#N/A"/>
    <x v="1"/>
    <x v="3"/>
    <x v="5"/>
  </r>
  <r>
    <s v="10.12.0.184"/>
    <x v="850"/>
    <s v="10.134.1.11"/>
    <x v="117"/>
    <n v="3"/>
    <x v="0"/>
    <n v="3"/>
    <n v="186"/>
    <n v="0"/>
    <n v="0"/>
    <n v="507.10747800000001"/>
    <n v="9.1201670000000394"/>
    <n v="163.15490714150201"/>
    <n v="0"/>
    <x v="33"/>
    <x v="50"/>
    <s v="PPPCRF4"/>
    <e v="#N/A"/>
    <s v="Refinery"/>
    <e v="#N/A"/>
    <x v="1"/>
    <x v="3"/>
    <x v="5"/>
  </r>
  <r>
    <s v="10.12.0.184"/>
    <x v="851"/>
    <s v="10.112.1.11"/>
    <x v="117"/>
    <n v="3"/>
    <x v="0"/>
    <n v="3"/>
    <n v="186"/>
    <n v="0"/>
    <n v="0"/>
    <n v="530.62163799999996"/>
    <n v="9.0130420000000395"/>
    <n v="165.09409364784901"/>
    <n v="0"/>
    <x v="33"/>
    <x v="51"/>
    <s v="PPPCRF4"/>
    <e v="#N/A"/>
    <s v="Refinery"/>
    <e v="#N/A"/>
    <x v="1"/>
    <x v="3"/>
    <x v="5"/>
  </r>
  <r>
    <s v="10.12.0.184"/>
    <x v="852"/>
    <s v="10.95.32.32"/>
    <x v="117"/>
    <n v="3"/>
    <x v="0"/>
    <n v="3"/>
    <n v="186"/>
    <n v="0"/>
    <n v="0"/>
    <n v="554.02761799999996"/>
    <n v="8.9032270000000207"/>
    <n v="167.130412377444"/>
    <n v="0"/>
    <x v="33"/>
    <x v="66"/>
    <s v="PPPCRF4"/>
    <e v="#N/A"/>
    <s v="Refinery"/>
    <e v="#N/A"/>
    <x v="1"/>
    <x v="3"/>
    <x v="5"/>
  </r>
  <r>
    <s v="10.12.0.184"/>
    <x v="853"/>
    <s v="10.120.1.1"/>
    <x v="117"/>
    <n v="3"/>
    <x v="0"/>
    <n v="3"/>
    <n v="186"/>
    <n v="0"/>
    <n v="0"/>
    <n v="577.21503299999995"/>
    <n v="8.9034900000000299"/>
    <n v="167.12547551578001"/>
    <n v="0"/>
    <x v="33"/>
    <x v="52"/>
    <s v="PPPCRF4"/>
    <e v="#N/A"/>
    <s v="Refinery"/>
    <e v="#N/A"/>
    <x v="1"/>
    <x v="3"/>
    <x v="5"/>
  </r>
  <r>
    <s v="10.12.0.184"/>
    <x v="854"/>
    <s v="10.115.1.6"/>
    <x v="117"/>
    <n v="3"/>
    <x v="0"/>
    <n v="3"/>
    <n v="186"/>
    <n v="0"/>
    <n v="0"/>
    <n v="600.40296899999998"/>
    <n v="9.0123670000000402"/>
    <n v="165.10645871389801"/>
    <n v="0"/>
    <x v="33"/>
    <x v="53"/>
    <s v="PPPCRF4"/>
    <e v="#N/A"/>
    <s v="Refinery"/>
    <e v="#N/A"/>
    <x v="1"/>
    <x v="3"/>
    <x v="5"/>
  </r>
  <r>
    <s v="10.12.0.184"/>
    <x v="855"/>
    <s v="10.82.1.30"/>
    <x v="117"/>
    <n v="3"/>
    <x v="0"/>
    <n v="3"/>
    <n v="186"/>
    <n v="0"/>
    <n v="0"/>
    <n v="623.70002599999998"/>
    <n v="9.0122280000000501"/>
    <n v="165.109005231558"/>
    <n v="0"/>
    <x v="33"/>
    <x v="54"/>
    <s v="PPPCRF4"/>
    <e v="#N/A"/>
    <s v="Refinery"/>
    <e v="#N/A"/>
    <x v="1"/>
    <x v="3"/>
    <x v="5"/>
  </r>
  <r>
    <s v="10.12.0.184"/>
    <x v="856"/>
    <s v="10.11.1.12"/>
    <x v="117"/>
    <n v="3"/>
    <x v="0"/>
    <n v="3"/>
    <n v="186"/>
    <n v="0"/>
    <n v="0"/>
    <n v="646.99655700000005"/>
    <n v="9.2314279999999407"/>
    <n v="161.1884965143"/>
    <n v="0"/>
    <x v="33"/>
    <x v="55"/>
    <s v="PPPCRF4"/>
    <e v="#N/A"/>
    <s v="Refinery"/>
    <e v="#N/A"/>
    <x v="1"/>
    <x v="3"/>
    <x v="5"/>
  </r>
  <r>
    <s v="10.12.0.184"/>
    <x v="857"/>
    <s v="10.80.1.65"/>
    <x v="117"/>
    <n v="3"/>
    <x v="0"/>
    <n v="3"/>
    <n v="186"/>
    <n v="0"/>
    <n v="0"/>
    <n v="670.62162799999999"/>
    <n v="8.9031290000000407"/>
    <n v="167.13225204307301"/>
    <n v="0"/>
    <x v="33"/>
    <x v="56"/>
    <s v="PPPCRF4"/>
    <e v="#N/A"/>
    <s v="Refinery"/>
    <e v="#N/A"/>
    <x v="1"/>
    <x v="3"/>
    <x v="5"/>
  </r>
  <r>
    <s v="10.12.0.184"/>
    <x v="858"/>
    <s v="10.121.1.5"/>
    <x v="117"/>
    <n v="3"/>
    <x v="0"/>
    <n v="3"/>
    <n v="186"/>
    <n v="0"/>
    <n v="0"/>
    <n v="693.91828999999996"/>
    <n v="9.1221679999999896"/>
    <n v="163.11911817453901"/>
    <n v="0"/>
    <x v="33"/>
    <x v="57"/>
    <s v="PPPCRF4"/>
    <e v="#N/A"/>
    <s v="Refinery"/>
    <e v="#N/A"/>
    <x v="1"/>
    <x v="3"/>
    <x v="5"/>
  </r>
  <r>
    <s v="10.12.0.184"/>
    <x v="859"/>
    <s v="10.86.1.12"/>
    <x v="117"/>
    <n v="3"/>
    <x v="0"/>
    <n v="3"/>
    <n v="186"/>
    <n v="0"/>
    <n v="0"/>
    <n v="717.32481499999994"/>
    <n v="8.9032270000000207"/>
    <n v="167.130412377444"/>
    <n v="0"/>
    <x v="33"/>
    <x v="58"/>
    <s v="PPPCRF4"/>
    <e v="#N/A"/>
    <s v="Refinery"/>
    <e v="#N/A"/>
    <x v="1"/>
    <x v="3"/>
    <x v="5"/>
  </r>
  <r>
    <s v="10.12.0.184"/>
    <x v="860"/>
    <s v="10.119.1.3"/>
    <x v="117"/>
    <n v="3"/>
    <x v="0"/>
    <n v="3"/>
    <n v="186"/>
    <n v="0"/>
    <n v="0"/>
    <n v="740.51220699999999"/>
    <n v="9.0126139999999904"/>
    <n v="165.10193380078201"/>
    <n v="0"/>
    <x v="33"/>
    <x v="59"/>
    <s v="PPPCRF4"/>
    <e v="#N/A"/>
    <s v="Refinery"/>
    <e v="#N/A"/>
    <x v="1"/>
    <x v="3"/>
    <x v="5"/>
  </r>
  <r>
    <s v="10.12.0.184"/>
    <x v="861"/>
    <s v="10.130.1.3"/>
    <x v="117"/>
    <n v="3"/>
    <x v="0"/>
    <n v="3"/>
    <n v="186"/>
    <n v="0"/>
    <n v="0"/>
    <n v="763.80917599999998"/>
    <n v="9.0126539999999995"/>
    <n v="165.101201044665"/>
    <n v="0"/>
    <x v="33"/>
    <x v="60"/>
    <s v="PPPCRF4"/>
    <e v="#N/A"/>
    <s v="Refinery"/>
    <e v="#N/A"/>
    <x v="1"/>
    <x v="3"/>
    <x v="5"/>
  </r>
  <r>
    <s v="10.12.0.184"/>
    <x v="862"/>
    <s v="10.136.1.1"/>
    <x v="117"/>
    <n v="3"/>
    <x v="0"/>
    <n v="3"/>
    <n v="186"/>
    <n v="0"/>
    <n v="0"/>
    <n v="787.21534599999995"/>
    <n v="8.9032760000000106"/>
    <n v="167.12949255981701"/>
    <n v="0"/>
    <x v="33"/>
    <x v="61"/>
    <s v="PPPCRF4"/>
    <e v="#N/A"/>
    <s v="Refinery"/>
    <e v="#N/A"/>
    <x v="1"/>
    <x v="3"/>
    <x v="5"/>
  </r>
  <r>
    <s v="10.12.0.184"/>
    <x v="863"/>
    <s v="10.238.101.79"/>
    <x v="117"/>
    <n v="3"/>
    <x v="0"/>
    <n v="3"/>
    <n v="186"/>
    <n v="0"/>
    <n v="0"/>
    <n v="810.40328999999997"/>
    <n v="9.0122840000000206"/>
    <n v="165.107979286937"/>
    <n v="0"/>
    <x v="33"/>
    <x v="47"/>
    <s v="PPPCRF4"/>
    <e v="#N/A"/>
    <s v="Refinery"/>
    <e v="#N/A"/>
    <x v="1"/>
    <x v="3"/>
    <x v="5"/>
  </r>
  <r>
    <s v="10.12.0.184"/>
    <x v="864"/>
    <s v="10.95.32.32"/>
    <x v="117"/>
    <n v="3"/>
    <x v="0"/>
    <n v="3"/>
    <n v="186"/>
    <n v="0"/>
    <n v="0"/>
    <n v="834.35796900000003"/>
    <n v="9.0107669999999906"/>
    <n v="165.135775900098"/>
    <n v="0"/>
    <x v="33"/>
    <x v="66"/>
    <s v="PPPCRF4"/>
    <e v="#N/A"/>
    <s v="Refinery"/>
    <e v="#N/A"/>
    <x v="1"/>
    <x v="3"/>
    <x v="5"/>
  </r>
  <r>
    <s v="10.12.0.184"/>
    <x v="865"/>
    <s v="10.95.1.18"/>
    <x v="117"/>
    <n v="3"/>
    <x v="0"/>
    <n v="3"/>
    <n v="186"/>
    <n v="0"/>
    <n v="0"/>
    <n v="855.40136800000005"/>
    <n v="9.0767619999999205"/>
    <n v="163.935112543439"/>
    <n v="0"/>
    <x v="33"/>
    <x v="62"/>
    <s v="PPPCRF4"/>
    <e v="#N/A"/>
    <s v="Refinery"/>
    <e v="#N/A"/>
    <x v="1"/>
    <x v="3"/>
    <x v="5"/>
  </r>
  <r>
    <s v="10.12.0.184"/>
    <x v="866"/>
    <s v="10.116.1.1"/>
    <x v="117"/>
    <n v="3"/>
    <x v="0"/>
    <n v="3"/>
    <n v="186"/>
    <n v="0"/>
    <n v="0"/>
    <n v="876.50991999999997"/>
    <n v="9.2964190000000109"/>
    <n v="160.061632333912"/>
    <n v="0"/>
    <x v="33"/>
    <x v="63"/>
    <s v="PPPCRF4"/>
    <e v="#N/A"/>
    <s v="Refinery"/>
    <e v="#N/A"/>
    <x v="1"/>
    <x v="3"/>
    <x v="5"/>
  </r>
  <r>
    <s v="10.12.0.184"/>
    <x v="867"/>
    <s v="10.113.10.1"/>
    <x v="117"/>
    <n v="2"/>
    <x v="48"/>
    <n v="2"/>
    <n v="124"/>
    <n v="0"/>
    <n v="0"/>
    <n v="897.94750499999998"/>
    <n v="3.0619149999999999"/>
    <n v="323.98025418733101"/>
    <n v="0"/>
    <x v="33"/>
    <x v="64"/>
    <s v="PPPCRF4"/>
    <e v="#N/A"/>
    <s v="Refinery"/>
    <e v="#N/A"/>
    <x v="1"/>
    <x v="3"/>
    <x v="5"/>
  </r>
  <r>
    <s v="10.12.0.190"/>
    <x v="868"/>
    <s v="10.95.32.32"/>
    <x v="117"/>
    <n v="3"/>
    <x v="0"/>
    <n v="3"/>
    <n v="186"/>
    <n v="0"/>
    <n v="0"/>
    <n v="113.749146"/>
    <n v="9.07437800000001"/>
    <n v="163.97818120426501"/>
    <n v="0"/>
    <x v="34"/>
    <x v="66"/>
    <s v="PPPCRF10"/>
    <e v="#N/A"/>
    <s v="Refinery"/>
    <e v="#N/A"/>
    <x v="1"/>
    <x v="3"/>
    <x v="5"/>
  </r>
  <r>
    <s v="10.12.0.190"/>
    <x v="869"/>
    <s v="10.80.1.65"/>
    <x v="117"/>
    <n v="3"/>
    <x v="0"/>
    <n v="3"/>
    <n v="186"/>
    <n v="0"/>
    <n v="0"/>
    <n v="134.85530299999999"/>
    <n v="9.2966969999999893"/>
    <n v="160.056845995949"/>
    <n v="0"/>
    <x v="34"/>
    <x v="56"/>
    <s v="PPPCRF10"/>
    <e v="#N/A"/>
    <s v="Refinery"/>
    <e v="#N/A"/>
    <x v="1"/>
    <x v="3"/>
    <x v="5"/>
  </r>
  <r>
    <s v="10.12.0.201"/>
    <x v="870"/>
    <s v="172.217.22.68"/>
    <x v="116"/>
    <n v="1"/>
    <x v="1"/>
    <n v="1"/>
    <n v="62"/>
    <n v="0"/>
    <n v="0"/>
    <n v="4.2765399999999998"/>
    <n v="0"/>
    <n v="0"/>
    <n v="0"/>
    <x v="35"/>
    <x v="34"/>
    <s v="PPPCKDR1"/>
    <e v="#N/A"/>
    <s v="Kilns/KDR"/>
    <e v="#N/A"/>
    <x v="1"/>
    <x v="3"/>
    <x v="4"/>
  </r>
  <r>
    <s v="10.12.0.201"/>
    <x v="871"/>
    <s v="23.0.40.234"/>
    <x v="116"/>
    <n v="3"/>
    <x v="49"/>
    <n v="3"/>
    <n v="194"/>
    <n v="0"/>
    <n v="0"/>
    <n v="21.306025000000002"/>
    <n v="9.0025410000000008"/>
    <n v="172.39577137166"/>
    <n v="0"/>
    <x v="35"/>
    <x v="31"/>
    <s v="PPPCKDR1"/>
    <e v="#N/A"/>
    <s v="Kilns/KDR"/>
    <e v="#N/A"/>
    <x v="1"/>
    <x v="3"/>
    <x v="4"/>
  </r>
  <r>
    <s v="10.12.0.201"/>
    <x v="872"/>
    <s v="172.217.22.68"/>
    <x v="116"/>
    <n v="3"/>
    <x v="49"/>
    <n v="3"/>
    <n v="194"/>
    <n v="0"/>
    <n v="0"/>
    <n v="42.312409000000002"/>
    <n v="9.0059070000000006"/>
    <n v="172.331337643171"/>
    <n v="0"/>
    <x v="35"/>
    <x v="34"/>
    <s v="PPPCKDR1"/>
    <e v="#N/A"/>
    <s v="Kilns/KDR"/>
    <e v="#N/A"/>
    <x v="1"/>
    <x v="3"/>
    <x v="4"/>
  </r>
  <r>
    <s v="10.12.0.201"/>
    <x v="873"/>
    <s v="23.0.40.234"/>
    <x v="116"/>
    <n v="3"/>
    <x v="49"/>
    <n v="3"/>
    <n v="194"/>
    <n v="0"/>
    <n v="0"/>
    <n v="68.343446"/>
    <n v="9.0028219999999894"/>
    <n v="172.390390479785"/>
    <n v="0"/>
    <x v="35"/>
    <x v="31"/>
    <s v="PPPCKDR1"/>
    <e v="#N/A"/>
    <s v="Kilns/KDR"/>
    <e v="#N/A"/>
    <x v="1"/>
    <x v="3"/>
    <x v="4"/>
  </r>
  <r>
    <s v="10.12.0.201"/>
    <x v="874"/>
    <s v="172.217.22.68"/>
    <x v="116"/>
    <n v="3"/>
    <x v="49"/>
    <n v="3"/>
    <n v="194"/>
    <n v="0"/>
    <n v="0"/>
    <n v="89.353988999999999"/>
    <n v="9.0007889999999993"/>
    <n v="172.42932814001099"/>
    <n v="0"/>
    <x v="35"/>
    <x v="34"/>
    <s v="PPPCKDR1"/>
    <e v="#N/A"/>
    <s v="Kilns/KDR"/>
    <e v="#N/A"/>
    <x v="1"/>
    <x v="3"/>
    <x v="4"/>
  </r>
  <r>
    <s v="10.12.0.201"/>
    <x v="875"/>
    <s v="23.0.40.234"/>
    <x v="116"/>
    <n v="3"/>
    <x v="49"/>
    <n v="3"/>
    <n v="194"/>
    <n v="0"/>
    <n v="0"/>
    <n v="115.90282500000001"/>
    <n v="8.9981189999999902"/>
    <n v="172.48049286745399"/>
    <n v="0"/>
    <x v="35"/>
    <x v="31"/>
    <s v="PPPCKDR1"/>
    <e v="#N/A"/>
    <s v="Kilns/KDR"/>
    <e v="#N/A"/>
    <x v="1"/>
    <x v="3"/>
    <x v="4"/>
  </r>
  <r>
    <s v="10.12.0.201"/>
    <x v="876"/>
    <s v="172.217.22.68"/>
    <x v="116"/>
    <n v="3"/>
    <x v="49"/>
    <n v="3"/>
    <n v="194"/>
    <n v="0"/>
    <n v="0"/>
    <n v="136.90744599999999"/>
    <n v="9.0080230000000103"/>
    <n v="172.290856717395"/>
    <n v="0"/>
    <x v="35"/>
    <x v="34"/>
    <s v="PPPCKDR1"/>
    <e v="#N/A"/>
    <s v="Kilns/KDR"/>
    <e v="#N/A"/>
    <x v="1"/>
    <x v="3"/>
    <x v="4"/>
  </r>
  <r>
    <s v="10.12.0.201"/>
    <x v="877"/>
    <s v="23.0.40.234"/>
    <x v="116"/>
    <n v="3"/>
    <x v="49"/>
    <n v="3"/>
    <n v="194"/>
    <n v="0"/>
    <n v="0"/>
    <n v="162.95216300000001"/>
    <n v="9.0063069999999907"/>
    <n v="172.32368383622699"/>
    <n v="0"/>
    <x v="35"/>
    <x v="31"/>
    <s v="PPPCKDR1"/>
    <e v="#N/A"/>
    <s v="Kilns/KDR"/>
    <e v="#N/A"/>
    <x v="1"/>
    <x v="3"/>
    <x v="4"/>
  </r>
  <r>
    <s v="10.12.0.201"/>
    <x v="878"/>
    <s v="172.217.22.68"/>
    <x v="116"/>
    <n v="3"/>
    <x v="49"/>
    <n v="3"/>
    <n v="194"/>
    <n v="0"/>
    <n v="0"/>
    <n v="183.95907199999999"/>
    <n v="9.0000260000000196"/>
    <n v="172.44394627304399"/>
    <n v="0"/>
    <x v="35"/>
    <x v="34"/>
    <s v="PPPCKDR1"/>
    <e v="#N/A"/>
    <s v="Kilns/KDR"/>
    <e v="#N/A"/>
    <x v="1"/>
    <x v="3"/>
    <x v="4"/>
  </r>
  <r>
    <s v="10.12.0.201"/>
    <x v="879"/>
    <s v="23.0.40.234"/>
    <x v="116"/>
    <n v="3"/>
    <x v="49"/>
    <n v="3"/>
    <n v="194"/>
    <n v="0"/>
    <n v="0"/>
    <n v="209.99709300000001"/>
    <n v="9.0000609999999899"/>
    <n v="172.443275662243"/>
    <n v="0"/>
    <x v="35"/>
    <x v="31"/>
    <s v="PPPCKDR1"/>
    <e v="#N/A"/>
    <s v="Kilns/KDR"/>
    <e v="#N/A"/>
    <x v="1"/>
    <x v="3"/>
    <x v="4"/>
  </r>
  <r>
    <s v="10.12.0.201"/>
    <x v="880"/>
    <s v="172.217.22.68"/>
    <x v="116"/>
    <n v="3"/>
    <x v="49"/>
    <n v="3"/>
    <n v="194"/>
    <n v="0"/>
    <n v="0"/>
    <n v="231.00176200000001"/>
    <n v="8.9969129999999797"/>
    <n v="172.50361318376699"/>
    <n v="0"/>
    <x v="35"/>
    <x v="34"/>
    <s v="PPPCKDR1"/>
    <e v="#N/A"/>
    <s v="Kilns/KDR"/>
    <e v="#N/A"/>
    <x v="1"/>
    <x v="3"/>
    <x v="4"/>
  </r>
  <r>
    <s v="10.12.0.201"/>
    <x v="881"/>
    <s v="23.0.40.234"/>
    <x v="116"/>
    <n v="3"/>
    <x v="49"/>
    <n v="3"/>
    <n v="194"/>
    <n v="0"/>
    <n v="0"/>
    <n v="257.54502300000001"/>
    <n v="8.9999019999999597"/>
    <n v="172.44632219328699"/>
    <n v="0"/>
    <x v="35"/>
    <x v="31"/>
    <s v="PPPCKDR1"/>
    <e v="#N/A"/>
    <s v="Kilns/KDR"/>
    <e v="#N/A"/>
    <x v="1"/>
    <x v="3"/>
    <x v="4"/>
  </r>
  <r>
    <s v="10.12.0.201"/>
    <x v="882"/>
    <s v="172.217.22.68"/>
    <x v="116"/>
    <n v="3"/>
    <x v="49"/>
    <n v="3"/>
    <n v="194"/>
    <n v="0"/>
    <n v="0"/>
    <n v="278.55079000000001"/>
    <n v="9.0005419999999994"/>
    <n v="172.43406008215999"/>
    <n v="0"/>
    <x v="35"/>
    <x v="34"/>
    <s v="PPPCKDR1"/>
    <e v="#N/A"/>
    <s v="Kilns/KDR"/>
    <e v="#N/A"/>
    <x v="1"/>
    <x v="3"/>
    <x v="4"/>
  </r>
  <r>
    <s v="10.12.0.201"/>
    <x v="883"/>
    <s v="23.0.40.234"/>
    <x v="116"/>
    <n v="3"/>
    <x v="49"/>
    <n v="3"/>
    <n v="194"/>
    <n v="0"/>
    <n v="0"/>
    <n v="304.58868100000001"/>
    <n v="8.9947409999999799"/>
    <n v="172.545268396278"/>
    <n v="0"/>
    <x v="35"/>
    <x v="31"/>
    <s v="PPPCKDR1"/>
    <e v="#N/A"/>
    <s v="Kilns/KDR"/>
    <e v="#N/A"/>
    <x v="1"/>
    <x v="3"/>
    <x v="4"/>
  </r>
  <r>
    <s v="10.12.0.201"/>
    <x v="884"/>
    <s v="172.217.22.68"/>
    <x v="116"/>
    <n v="3"/>
    <x v="49"/>
    <n v="3"/>
    <n v="194"/>
    <n v="0"/>
    <n v="0"/>
    <n v="325.58518199999997"/>
    <n v="9.0058690000000201"/>
    <n v="172.33206479019401"/>
    <n v="0"/>
    <x v="35"/>
    <x v="34"/>
    <s v="PPPCKDR1"/>
    <e v="#N/A"/>
    <s v="Kilns/KDR"/>
    <e v="#N/A"/>
    <x v="1"/>
    <x v="3"/>
    <x v="4"/>
  </r>
  <r>
    <s v="10.12.0.201"/>
    <x v="885"/>
    <s v="23.0.40.234"/>
    <x v="116"/>
    <n v="3"/>
    <x v="49"/>
    <n v="3"/>
    <n v="194"/>
    <n v="0"/>
    <n v="0"/>
    <n v="351.62789400000003"/>
    <n v="9.0021389999999997"/>
    <n v="172.403469886435"/>
    <n v="0"/>
    <x v="35"/>
    <x v="31"/>
    <s v="PPPCKDR1"/>
    <e v="#N/A"/>
    <s v="Kilns/KDR"/>
    <e v="#N/A"/>
    <x v="1"/>
    <x v="3"/>
    <x v="4"/>
  </r>
  <r>
    <s v="10.12.0.201"/>
    <x v="886"/>
    <s v="172.217.22.68"/>
    <x v="116"/>
    <n v="3"/>
    <x v="49"/>
    <n v="3"/>
    <n v="194"/>
    <n v="0"/>
    <n v="0"/>
    <n v="372.63580000000002"/>
    <n v="9.0018709999999906"/>
    <n v="172.40860261161299"/>
    <n v="0"/>
    <x v="35"/>
    <x v="34"/>
    <s v="PPPCKDR1"/>
    <e v="#N/A"/>
    <s v="Kilns/KDR"/>
    <e v="#N/A"/>
    <x v="1"/>
    <x v="3"/>
    <x v="4"/>
  </r>
  <r>
    <s v="10.12.0.201"/>
    <x v="887"/>
    <s v="23.0.40.234"/>
    <x v="116"/>
    <n v="3"/>
    <x v="49"/>
    <n v="3"/>
    <n v="194"/>
    <n v="0"/>
    <n v="0"/>
    <n v="398.67640299999999"/>
    <n v="8.9981710000000099"/>
    <n v="172.47949611093199"/>
    <n v="0"/>
    <x v="35"/>
    <x v="31"/>
    <s v="PPPCKDR1"/>
    <e v="#N/A"/>
    <s v="Kilns/KDR"/>
    <e v="#N/A"/>
    <x v="1"/>
    <x v="3"/>
    <x v="4"/>
  </r>
  <r>
    <s v="10.12.0.201"/>
    <x v="888"/>
    <s v="172.217.22.68"/>
    <x v="116"/>
    <n v="3"/>
    <x v="49"/>
    <n v="3"/>
    <n v="194"/>
    <n v="0"/>
    <n v="0"/>
    <n v="419.67751700000002"/>
    <n v="8.9928009999999894"/>
    <n v="172.58249126162201"/>
    <n v="0"/>
    <x v="35"/>
    <x v="34"/>
    <s v="PPPCKDR1"/>
    <e v="#N/A"/>
    <s v="Kilns/KDR"/>
    <e v="#N/A"/>
    <x v="1"/>
    <x v="3"/>
    <x v="4"/>
  </r>
  <r>
    <s v="10.12.0.201"/>
    <x v="889"/>
    <s v="23.0.40.234"/>
    <x v="116"/>
    <n v="3"/>
    <x v="49"/>
    <n v="3"/>
    <n v="194"/>
    <n v="0"/>
    <n v="0"/>
    <n v="445.68339400000002"/>
    <n v="9.0069529999999496"/>
    <n v="172.31132437351499"/>
    <n v="0"/>
    <x v="35"/>
    <x v="31"/>
    <s v="PPPCKDR1"/>
    <e v="#N/A"/>
    <s v="Kilns/KDR"/>
    <e v="#N/A"/>
    <x v="1"/>
    <x v="3"/>
    <x v="4"/>
  </r>
  <r>
    <s v="10.12.0.201"/>
    <x v="890"/>
    <s v="172.217.22.68"/>
    <x v="116"/>
    <n v="3"/>
    <x v="49"/>
    <n v="3"/>
    <n v="194"/>
    <n v="0"/>
    <n v="0"/>
    <n v="466.68595699999997"/>
    <n v="9.0009350000000303"/>
    <n v="172.42653124369801"/>
    <n v="0"/>
    <x v="35"/>
    <x v="34"/>
    <s v="PPPCKDR1"/>
    <e v="#N/A"/>
    <s v="Kilns/KDR"/>
    <e v="#N/A"/>
    <x v="1"/>
    <x v="3"/>
    <x v="4"/>
  </r>
  <r>
    <s v="10.12.0.201"/>
    <x v="891"/>
    <s v="23.0.40.234"/>
    <x v="116"/>
    <n v="3"/>
    <x v="49"/>
    <n v="3"/>
    <n v="194"/>
    <n v="0"/>
    <n v="0"/>
    <n v="492.70522099999999"/>
    <n v="8.9996909999999808"/>
    <n v="172.45036524031801"/>
    <n v="0"/>
    <x v="35"/>
    <x v="31"/>
    <s v="PPPCKDR1"/>
    <e v="#N/A"/>
    <s v="Kilns/KDR"/>
    <e v="#N/A"/>
    <x v="1"/>
    <x v="3"/>
    <x v="4"/>
  </r>
  <r>
    <s v="10.12.0.201"/>
    <x v="892"/>
    <s v="172.217.22.68"/>
    <x v="116"/>
    <n v="3"/>
    <x v="49"/>
    <n v="3"/>
    <n v="194"/>
    <n v="0"/>
    <n v="0"/>
    <n v="513.71469500000001"/>
    <n v="8.9987670000000399"/>
    <n v="172.468072570386"/>
    <n v="0"/>
    <x v="35"/>
    <x v="34"/>
    <s v="PPPCKDR1"/>
    <e v="#N/A"/>
    <s v="Kilns/KDR"/>
    <e v="#N/A"/>
    <x v="1"/>
    <x v="3"/>
    <x v="4"/>
  </r>
  <r>
    <s v="10.12.0.201"/>
    <x v="893"/>
    <s v="23.32.124.29"/>
    <x v="117"/>
    <n v="3"/>
    <x v="49"/>
    <n v="3"/>
    <n v="194"/>
    <n v="0"/>
    <n v="0"/>
    <n v="523.43836699999997"/>
    <n v="9.0070299999999897"/>
    <n v="172.30985130503601"/>
    <n v="0"/>
    <x v="35"/>
    <x v="46"/>
    <s v="PPPCKDR1"/>
    <e v="#N/A"/>
    <s v="Kilns/KDR"/>
    <e v="#N/A"/>
    <x v="1"/>
    <x v="3"/>
    <x v="5"/>
  </r>
  <r>
    <s v="10.12.0.201"/>
    <x v="894"/>
    <s v="23.0.40.234"/>
    <x v="116"/>
    <n v="3"/>
    <x v="49"/>
    <n v="3"/>
    <n v="194"/>
    <n v="0"/>
    <n v="0"/>
    <n v="540.11372600000004"/>
    <n v="8.9988069999999407"/>
    <n v="172.467305944"/>
    <n v="0"/>
    <x v="35"/>
    <x v="31"/>
    <s v="PPPCKDR1"/>
    <e v="#N/A"/>
    <s v="Kilns/KDR"/>
    <e v="#N/A"/>
    <x v="1"/>
    <x v="3"/>
    <x v="4"/>
  </r>
  <r>
    <s v="10.12.0.201"/>
    <x v="895"/>
    <s v="172.217.22.68"/>
    <x v="116"/>
    <n v="3"/>
    <x v="49"/>
    <n v="3"/>
    <n v="194"/>
    <n v="0"/>
    <n v="0"/>
    <n v="561.11937399999999"/>
    <n v="9.0097940000000598"/>
    <n v="172.25699055938401"/>
    <n v="0"/>
    <x v="35"/>
    <x v="34"/>
    <s v="PPPCKDR1"/>
    <e v="#N/A"/>
    <s v="Kilns/KDR"/>
    <e v="#N/A"/>
    <x v="1"/>
    <x v="3"/>
    <x v="4"/>
  </r>
  <r>
    <s v="10.12.0.201"/>
    <x v="896"/>
    <s v="23.0.40.234"/>
    <x v="116"/>
    <n v="3"/>
    <x v="49"/>
    <n v="3"/>
    <n v="194"/>
    <n v="0"/>
    <n v="0"/>
    <n v="587.15416300000004"/>
    <n v="8.9989669999999897"/>
    <n v="172.46423950660099"/>
    <n v="0"/>
    <x v="35"/>
    <x v="31"/>
    <s v="PPPCKDR1"/>
    <e v="#N/A"/>
    <s v="Kilns/KDR"/>
    <e v="#N/A"/>
    <x v="1"/>
    <x v="3"/>
    <x v="4"/>
  </r>
  <r>
    <s v="10.12.0.201"/>
    <x v="897"/>
    <s v="172.217.22.68"/>
    <x v="116"/>
    <n v="3"/>
    <x v="49"/>
    <n v="3"/>
    <n v="194"/>
    <n v="0"/>
    <n v="0"/>
    <n v="608.156882"/>
    <n v="8.9988710000000101"/>
    <n v="172.466079355955"/>
    <n v="0"/>
    <x v="35"/>
    <x v="34"/>
    <s v="PPPCKDR1"/>
    <e v="#N/A"/>
    <s v="Kilns/KDR"/>
    <e v="#N/A"/>
    <x v="1"/>
    <x v="3"/>
    <x v="4"/>
  </r>
  <r>
    <s v="10.12.0.201"/>
    <x v="898"/>
    <s v="23.0.40.234"/>
    <x v="116"/>
    <n v="3"/>
    <x v="49"/>
    <n v="3"/>
    <n v="194"/>
    <n v="0"/>
    <n v="0"/>
    <n v="634.17248700000005"/>
    <n v="9.0012509999999093"/>
    <n v="172.420477998004"/>
    <n v="0"/>
    <x v="35"/>
    <x v="31"/>
    <s v="PPPCKDR1"/>
    <e v="#N/A"/>
    <s v="Kilns/KDR"/>
    <e v="#N/A"/>
    <x v="1"/>
    <x v="3"/>
    <x v="4"/>
  </r>
  <r>
    <s v="10.12.0.201"/>
    <x v="899"/>
    <s v="172.217.22.68"/>
    <x v="116"/>
    <n v="3"/>
    <x v="49"/>
    <n v="3"/>
    <n v="194"/>
    <n v="0"/>
    <n v="0"/>
    <n v="655.17759999999998"/>
    <n v="9.0067500000000091"/>
    <n v="172.31520803841499"/>
    <n v="0"/>
    <x v="35"/>
    <x v="34"/>
    <s v="PPPCKDR1"/>
    <e v="#N/A"/>
    <s v="Kilns/KDR"/>
    <e v="#N/A"/>
    <x v="1"/>
    <x v="3"/>
    <x v="4"/>
  </r>
  <r>
    <s v="10.12.0.201"/>
    <x v="900"/>
    <s v="23.0.40.234"/>
    <x v="116"/>
    <n v="3"/>
    <x v="49"/>
    <n v="3"/>
    <n v="194"/>
    <n v="0"/>
    <n v="0"/>
    <n v="681.58780200000001"/>
    <n v="8.9954729999999508"/>
    <n v="172.531227651954"/>
    <n v="0"/>
    <x v="35"/>
    <x v="31"/>
    <s v="PPPCKDR1"/>
    <e v="#N/A"/>
    <s v="Kilns/KDR"/>
    <e v="#N/A"/>
    <x v="1"/>
    <x v="3"/>
    <x v="4"/>
  </r>
  <r>
    <s v="10.12.0.201"/>
    <x v="901"/>
    <s v="172.217.22.68"/>
    <x v="116"/>
    <n v="3"/>
    <x v="49"/>
    <n v="3"/>
    <n v="194"/>
    <n v="0"/>
    <n v="0"/>
    <n v="702.58990500000004"/>
    <n v="9.0080589999999994"/>
    <n v="172.290168170524"/>
    <n v="0"/>
    <x v="35"/>
    <x v="34"/>
    <s v="PPPCKDR1"/>
    <e v="#N/A"/>
    <s v="Kilns/KDR"/>
    <e v="#N/A"/>
    <x v="1"/>
    <x v="3"/>
    <x v="4"/>
  </r>
  <r>
    <s v="10.12.0.201"/>
    <x v="902"/>
    <s v="23.0.40.234"/>
    <x v="116"/>
    <n v="3"/>
    <x v="49"/>
    <n v="3"/>
    <n v="194"/>
    <n v="0"/>
    <n v="0"/>
    <n v="728.64123500000005"/>
    <n v="8.9986829999999092"/>
    <n v="172.46968250798599"/>
    <n v="0"/>
    <x v="35"/>
    <x v="31"/>
    <s v="PPPCKDR1"/>
    <e v="#N/A"/>
    <s v="Kilns/KDR"/>
    <e v="#N/A"/>
    <x v="1"/>
    <x v="3"/>
    <x v="4"/>
  </r>
  <r>
    <s v="10.12.0.201"/>
    <x v="903"/>
    <s v="172.217.22.68"/>
    <x v="116"/>
    <n v="3"/>
    <x v="49"/>
    <n v="3"/>
    <n v="194"/>
    <n v="0"/>
    <n v="0"/>
    <n v="749.63759800000003"/>
    <n v="9.0000149999999604"/>
    <n v="172.44415703751699"/>
    <n v="0"/>
    <x v="35"/>
    <x v="34"/>
    <s v="PPPCKDR1"/>
    <e v="#N/A"/>
    <s v="Kilns/KDR"/>
    <e v="#N/A"/>
    <x v="1"/>
    <x v="3"/>
    <x v="4"/>
  </r>
  <r>
    <s v="10.12.0.201"/>
    <x v="904"/>
    <s v="23.0.40.234"/>
    <x v="116"/>
    <n v="3"/>
    <x v="49"/>
    <n v="3"/>
    <n v="194"/>
    <n v="0"/>
    <n v="0"/>
    <n v="775.67450199999996"/>
    <n v="9.0000760000000408"/>
    <n v="172.44298825921001"/>
    <n v="0"/>
    <x v="35"/>
    <x v="31"/>
    <s v="PPPCKDR1"/>
    <e v="#N/A"/>
    <s v="Kilns/KDR"/>
    <e v="#N/A"/>
    <x v="1"/>
    <x v="3"/>
    <x v="4"/>
  </r>
  <r>
    <s v="10.12.0.201"/>
    <x v="905"/>
    <s v="172.217.22.68"/>
    <x v="116"/>
    <n v="3"/>
    <x v="49"/>
    <n v="3"/>
    <n v="194"/>
    <n v="0"/>
    <n v="0"/>
    <n v="796.67843300000004"/>
    <n v="9.0076960000000099"/>
    <n v="172.29711127018501"/>
    <n v="0"/>
    <x v="35"/>
    <x v="34"/>
    <s v="PPPCKDR1"/>
    <e v="#N/A"/>
    <s v="Kilns/KDR"/>
    <e v="#N/A"/>
    <x v="1"/>
    <x v="3"/>
    <x v="4"/>
  </r>
  <r>
    <s v="10.12.0.201"/>
    <x v="906"/>
    <s v="23.0.40.234"/>
    <x v="116"/>
    <n v="3"/>
    <x v="49"/>
    <n v="3"/>
    <n v="194"/>
    <n v="0"/>
    <n v="0"/>
    <n v="822.72274700000003"/>
    <n v="9.0014320000000208"/>
    <n v="172.41701098225201"/>
    <n v="0"/>
    <x v="35"/>
    <x v="31"/>
    <s v="PPPCKDR1"/>
    <e v="#N/A"/>
    <s v="Kilns/KDR"/>
    <e v="#N/A"/>
    <x v="1"/>
    <x v="3"/>
    <x v="4"/>
  </r>
  <r>
    <s v="10.12.0.201"/>
    <x v="907"/>
    <s v="172.217.22.68"/>
    <x v="116"/>
    <n v="3"/>
    <x v="49"/>
    <n v="3"/>
    <n v="194"/>
    <n v="0"/>
    <n v="0"/>
    <n v="843.72995400000002"/>
    <n v="8.9908460000000296"/>
    <n v="172.620018182938"/>
    <n v="0"/>
    <x v="35"/>
    <x v="34"/>
    <s v="PPPCKDR1"/>
    <e v="#N/A"/>
    <s v="Kilns/KDR"/>
    <e v="#N/A"/>
    <x v="1"/>
    <x v="3"/>
    <x v="4"/>
  </r>
  <r>
    <s v="10.12.0.201"/>
    <x v="908"/>
    <s v="23.0.40.234"/>
    <x v="116"/>
    <n v="3"/>
    <x v="49"/>
    <n v="3"/>
    <n v="194"/>
    <n v="0"/>
    <n v="0"/>
    <n v="870.13451599999996"/>
    <n v="9.00037500000008"/>
    <n v="172.437259558628"/>
    <n v="0"/>
    <x v="35"/>
    <x v="31"/>
    <s v="PPPCKDR1"/>
    <e v="#N/A"/>
    <s v="Kilns/KDR"/>
    <e v="#N/A"/>
    <x v="1"/>
    <x v="3"/>
    <x v="4"/>
  </r>
  <r>
    <s v="10.12.0.201"/>
    <x v="909"/>
    <s v="172.217.22.68"/>
    <x v="116"/>
    <n v="3"/>
    <x v="49"/>
    <n v="3"/>
    <n v="194"/>
    <n v="0"/>
    <n v="0"/>
    <n v="891.14118199999996"/>
    <n v="8.9941250000000501"/>
    <n v="172.557085875501"/>
    <n v="0"/>
    <x v="35"/>
    <x v="34"/>
    <s v="PPPCKDR1"/>
    <e v="#N/A"/>
    <s v="Kilns/KDR"/>
    <e v="#N/A"/>
    <x v="1"/>
    <x v="3"/>
    <x v="4"/>
  </r>
  <r>
    <s v="10.12.0.202"/>
    <x v="910"/>
    <s v="172.217.22.68"/>
    <x v="116"/>
    <n v="2"/>
    <x v="63"/>
    <n v="2"/>
    <n v="128"/>
    <n v="0"/>
    <n v="0"/>
    <n v="2.491927"/>
    <n v="5.9972669999999999"/>
    <n v="170.74444075943299"/>
    <n v="0"/>
    <x v="36"/>
    <x v="34"/>
    <s v="PPPCKDR2"/>
    <e v="#N/A"/>
    <s v="Kilns/KDR"/>
    <e v="#N/A"/>
    <x v="1"/>
    <x v="3"/>
    <x v="4"/>
  </r>
  <r>
    <s v="10.12.0.202"/>
    <x v="911"/>
    <s v="23.0.40.234"/>
    <x v="116"/>
    <n v="3"/>
    <x v="49"/>
    <n v="3"/>
    <n v="194"/>
    <n v="0"/>
    <n v="0"/>
    <n v="25.530123"/>
    <n v="8.9990699999999997"/>
    <n v="172.46226554521701"/>
    <n v="0"/>
    <x v="36"/>
    <x v="31"/>
    <s v="PPPCKDR2"/>
    <e v="#N/A"/>
    <s v="Kilns/KDR"/>
    <e v="#N/A"/>
    <x v="1"/>
    <x v="3"/>
    <x v="4"/>
  </r>
  <r>
    <s v="10.12.0.202"/>
    <x v="912"/>
    <s v="172.217.22.68"/>
    <x v="116"/>
    <n v="3"/>
    <x v="49"/>
    <n v="3"/>
    <n v="194"/>
    <n v="0"/>
    <n v="0"/>
    <n v="46.533068"/>
    <n v="8.9986460000000008"/>
    <n v="172.4703916567"/>
    <n v="0"/>
    <x v="36"/>
    <x v="34"/>
    <s v="PPPCKDR2"/>
    <e v="#N/A"/>
    <s v="Kilns/KDR"/>
    <e v="#N/A"/>
    <x v="1"/>
    <x v="3"/>
    <x v="4"/>
  </r>
  <r>
    <s v="10.12.0.202"/>
    <x v="913"/>
    <s v="23.0.40.234"/>
    <x v="116"/>
    <n v="3"/>
    <x v="49"/>
    <n v="3"/>
    <n v="194"/>
    <n v="0"/>
    <n v="0"/>
    <n v="72.573746999999997"/>
    <n v="8.9978320000000007"/>
    <n v="172.48599440398499"/>
    <n v="0"/>
    <x v="36"/>
    <x v="31"/>
    <s v="PPPCKDR2"/>
    <e v="#N/A"/>
    <s v="Kilns/KDR"/>
    <e v="#N/A"/>
    <x v="1"/>
    <x v="3"/>
    <x v="4"/>
  </r>
  <r>
    <s v="10.12.0.202"/>
    <x v="914"/>
    <s v="172.217.22.68"/>
    <x v="116"/>
    <n v="3"/>
    <x v="49"/>
    <n v="3"/>
    <n v="194"/>
    <n v="0"/>
    <n v="0"/>
    <n v="93.572351999999995"/>
    <n v="8.9988060000000001"/>
    <n v="172.467325109576"/>
    <n v="0"/>
    <x v="36"/>
    <x v="34"/>
    <s v="PPPCKDR2"/>
    <e v="#N/A"/>
    <s v="Kilns/KDR"/>
    <e v="#N/A"/>
    <x v="1"/>
    <x v="3"/>
    <x v="4"/>
  </r>
  <r>
    <s v="10.12.0.202"/>
    <x v="915"/>
    <s v="23.0.40.234"/>
    <x v="116"/>
    <n v="3"/>
    <x v="49"/>
    <n v="3"/>
    <n v="194"/>
    <n v="0"/>
    <n v="0"/>
    <n v="119.61457299999999"/>
    <n v="8.9994720000000008"/>
    <n v="172.45456177873601"/>
    <n v="0"/>
    <x v="36"/>
    <x v="31"/>
    <s v="PPPCKDR2"/>
    <e v="#N/A"/>
    <s v="Kilns/KDR"/>
    <e v="#N/A"/>
    <x v="1"/>
    <x v="3"/>
    <x v="4"/>
  </r>
  <r>
    <s v="10.12.0.202"/>
    <x v="916"/>
    <s v="172.217.22.68"/>
    <x v="116"/>
    <n v="3"/>
    <x v="49"/>
    <n v="3"/>
    <n v="194"/>
    <n v="0"/>
    <n v="0"/>
    <n v="140.62266099999999"/>
    <n v="9.0058779999999992"/>
    <n v="172.33189257060801"/>
    <n v="0"/>
    <x v="36"/>
    <x v="34"/>
    <s v="PPPCKDR2"/>
    <e v="#N/A"/>
    <s v="Kilns/KDR"/>
    <e v="#N/A"/>
    <x v="1"/>
    <x v="3"/>
    <x v="4"/>
  </r>
  <r>
    <s v="10.12.0.202"/>
    <x v="917"/>
    <s v="23.0.40.234"/>
    <x v="116"/>
    <n v="3"/>
    <x v="49"/>
    <n v="3"/>
    <n v="194"/>
    <n v="0"/>
    <n v="0"/>
    <n v="166.664726"/>
    <n v="9.0007939999999795"/>
    <n v="172.42923235439"/>
    <n v="0"/>
    <x v="36"/>
    <x v="31"/>
    <s v="PPPCKDR2"/>
    <e v="#N/A"/>
    <s v="Kilns/KDR"/>
    <e v="#N/A"/>
    <x v="1"/>
    <x v="3"/>
    <x v="4"/>
  </r>
  <r>
    <s v="10.12.0.202"/>
    <x v="918"/>
    <s v="172.217.22.68"/>
    <x v="116"/>
    <n v="3"/>
    <x v="49"/>
    <n v="3"/>
    <n v="194"/>
    <n v="0"/>
    <n v="0"/>
    <n v="187.67337800000001"/>
    <n v="8.995711"/>
    <n v="172.526662984171"/>
    <n v="0"/>
    <x v="36"/>
    <x v="34"/>
    <s v="PPPCKDR2"/>
    <e v="#N/A"/>
    <s v="Kilns/KDR"/>
    <e v="#N/A"/>
    <x v="1"/>
    <x v="3"/>
    <x v="4"/>
  </r>
  <r>
    <s v="10.12.0.202"/>
    <x v="919"/>
    <s v="23.0.40.234"/>
    <x v="116"/>
    <n v="3"/>
    <x v="49"/>
    <n v="3"/>
    <n v="194"/>
    <n v="0"/>
    <n v="0"/>
    <n v="213.71295699999999"/>
    <n v="8.9999780000000005"/>
    <n v="172.444865976339"/>
    <n v="0"/>
    <x v="36"/>
    <x v="31"/>
    <s v="PPPCKDR2"/>
    <e v="#N/A"/>
    <s v="Kilns/KDR"/>
    <e v="#N/A"/>
    <x v="1"/>
    <x v="3"/>
    <x v="4"/>
  </r>
  <r>
    <s v="10.12.0.202"/>
    <x v="920"/>
    <s v="172.217.22.68"/>
    <x v="116"/>
    <n v="3"/>
    <x v="49"/>
    <n v="3"/>
    <n v="194"/>
    <n v="0"/>
    <n v="0"/>
    <n v="234.71568600000001"/>
    <n v="8.9997520000000009"/>
    <n v="172.449196377856"/>
    <n v="0"/>
    <x v="36"/>
    <x v="34"/>
    <s v="PPPCKDR2"/>
    <e v="#N/A"/>
    <s v="Kilns/KDR"/>
    <e v="#N/A"/>
    <x v="1"/>
    <x v="3"/>
    <x v="4"/>
  </r>
  <r>
    <s v="10.12.0.202"/>
    <x v="921"/>
    <s v="23.0.40.234"/>
    <x v="116"/>
    <n v="3"/>
    <x v="49"/>
    <n v="3"/>
    <n v="194"/>
    <n v="0"/>
    <n v="0"/>
    <n v="260.75444199999998"/>
    <n v="8.9998850000000097"/>
    <n v="172.44664792939"/>
    <n v="0"/>
    <x v="36"/>
    <x v="31"/>
    <s v="PPPCKDR2"/>
    <e v="#N/A"/>
    <s v="Kilns/KDR"/>
    <e v="#N/A"/>
    <x v="1"/>
    <x v="3"/>
    <x v="4"/>
  </r>
  <r>
    <s v="10.12.0.202"/>
    <x v="922"/>
    <s v="172.217.22.68"/>
    <x v="116"/>
    <n v="3"/>
    <x v="49"/>
    <n v="3"/>
    <n v="194"/>
    <n v="0"/>
    <n v="0"/>
    <n v="281.75796200000002"/>
    <n v="9.0029599999999697"/>
    <n v="172.38774802953699"/>
    <n v="0"/>
    <x v="36"/>
    <x v="34"/>
    <s v="PPPCKDR2"/>
    <e v="#N/A"/>
    <s v="Kilns/KDR"/>
    <e v="#N/A"/>
    <x v="1"/>
    <x v="3"/>
    <x v="4"/>
  </r>
  <r>
    <s v="10.12.0.202"/>
    <x v="923"/>
    <s v="23.0.40.234"/>
    <x v="116"/>
    <n v="3"/>
    <x v="49"/>
    <n v="3"/>
    <n v="194"/>
    <n v="0"/>
    <n v="0"/>
    <n v="307.77258599999999"/>
    <n v="8.9933430000000403"/>
    <n v="172.572090267211"/>
    <n v="0"/>
    <x v="36"/>
    <x v="31"/>
    <s v="PPPCKDR2"/>
    <e v="#N/A"/>
    <s v="Kilns/KDR"/>
    <e v="#N/A"/>
    <x v="1"/>
    <x v="3"/>
    <x v="4"/>
  </r>
  <r>
    <s v="10.12.0.202"/>
    <x v="924"/>
    <s v="172.217.22.68"/>
    <x v="116"/>
    <n v="3"/>
    <x v="49"/>
    <n v="3"/>
    <n v="194"/>
    <n v="0"/>
    <n v="0"/>
    <n v="328.77167600000001"/>
    <n v="9.0006520000000005"/>
    <n v="172.43195270742601"/>
    <n v="0"/>
    <x v="36"/>
    <x v="34"/>
    <s v="PPPCKDR2"/>
    <e v="#N/A"/>
    <s v="Kilns/KDR"/>
    <e v="#N/A"/>
    <x v="1"/>
    <x v="3"/>
    <x v="4"/>
  </r>
  <r>
    <s v="10.12.0.202"/>
    <x v="925"/>
    <s v="23.0.40.234"/>
    <x v="116"/>
    <n v="3"/>
    <x v="49"/>
    <n v="3"/>
    <n v="194"/>
    <n v="0"/>
    <n v="0"/>
    <n v="354.80698599999999"/>
    <n v="9.0002519999999908"/>
    <n v="172.43961613519301"/>
    <n v="0"/>
    <x v="36"/>
    <x v="31"/>
    <s v="PPPCKDR2"/>
    <e v="#N/A"/>
    <s v="Kilns/KDR"/>
    <e v="#N/A"/>
    <x v="1"/>
    <x v="3"/>
    <x v="4"/>
  </r>
  <r>
    <s v="10.12.0.202"/>
    <x v="926"/>
    <s v="172.217.22.68"/>
    <x v="116"/>
    <n v="3"/>
    <x v="49"/>
    <n v="3"/>
    <n v="194"/>
    <n v="0"/>
    <n v="0"/>
    <n v="375.81090999999998"/>
    <n v="9.0058670000000198"/>
    <n v="172.33210306126"/>
    <n v="0"/>
    <x v="36"/>
    <x v="34"/>
    <s v="PPPCKDR2"/>
    <e v="#N/A"/>
    <s v="Kilns/KDR"/>
    <e v="#N/A"/>
    <x v="1"/>
    <x v="3"/>
    <x v="4"/>
  </r>
  <r>
    <s v="10.12.0.202"/>
    <x v="927"/>
    <s v="23.0.40.234"/>
    <x v="116"/>
    <n v="3"/>
    <x v="49"/>
    <n v="3"/>
    <n v="194"/>
    <n v="0"/>
    <n v="0"/>
    <n v="401.84157699999997"/>
    <n v="9.0090980000000496"/>
    <n v="172.27029831399199"/>
    <n v="0"/>
    <x v="36"/>
    <x v="31"/>
    <s v="PPPCKDR2"/>
    <e v="#N/A"/>
    <s v="Kilns/KDR"/>
    <e v="#N/A"/>
    <x v="1"/>
    <x v="3"/>
    <x v="4"/>
  </r>
  <r>
    <s v="10.12.0.202"/>
    <x v="928"/>
    <s v="172.217.22.68"/>
    <x v="116"/>
    <n v="3"/>
    <x v="49"/>
    <n v="3"/>
    <n v="194"/>
    <n v="0"/>
    <n v="0"/>
    <n v="422.85447399999998"/>
    <n v="9.0016459999999903"/>
    <n v="172.412912038532"/>
    <n v="0"/>
    <x v="36"/>
    <x v="34"/>
    <s v="PPPCKDR2"/>
    <e v="#N/A"/>
    <s v="Kilns/KDR"/>
    <e v="#N/A"/>
    <x v="1"/>
    <x v="3"/>
    <x v="4"/>
  </r>
  <r>
    <s v="10.12.0.202"/>
    <x v="929"/>
    <s v="23.0.40.234"/>
    <x v="116"/>
    <n v="3"/>
    <x v="49"/>
    <n v="3"/>
    <n v="194"/>
    <n v="0"/>
    <n v="0"/>
    <n v="448.88995399999999"/>
    <n v="9.0031569999999892"/>
    <n v="172.383975976427"/>
    <n v="0"/>
    <x v="36"/>
    <x v="31"/>
    <s v="PPPCKDR2"/>
    <e v="#N/A"/>
    <s v="Kilns/KDR"/>
    <e v="#N/A"/>
    <x v="1"/>
    <x v="3"/>
    <x v="4"/>
  </r>
  <r>
    <s v="10.12.0.202"/>
    <x v="930"/>
    <s v="172.217.22.68"/>
    <x v="116"/>
    <n v="3"/>
    <x v="49"/>
    <n v="3"/>
    <n v="194"/>
    <n v="0"/>
    <n v="0"/>
    <n v="469.89883300000002"/>
    <n v="9.0058760000000007"/>
    <n v="172.331930841597"/>
    <n v="0"/>
    <x v="36"/>
    <x v="34"/>
    <s v="PPPCKDR2"/>
    <e v="#N/A"/>
    <s v="Kilns/KDR"/>
    <e v="#N/A"/>
    <x v="1"/>
    <x v="3"/>
    <x v="4"/>
  </r>
  <r>
    <s v="10.12.0.202"/>
    <x v="931"/>
    <s v="23.32.124.29"/>
    <x v="117"/>
    <n v="3"/>
    <x v="49"/>
    <n v="3"/>
    <n v="194"/>
    <n v="0"/>
    <n v="0"/>
    <n v="493.082334"/>
    <n v="9.00097999999997"/>
    <n v="172.42566920490901"/>
    <n v="0"/>
    <x v="36"/>
    <x v="46"/>
    <s v="PPPCKDR2"/>
    <e v="#N/A"/>
    <s v="Kilns/KDR"/>
    <e v="#N/A"/>
    <x v="1"/>
    <x v="3"/>
    <x v="5"/>
  </r>
  <r>
    <s v="10.12.0.202"/>
    <x v="932"/>
    <s v="23.0.40.234"/>
    <x v="116"/>
    <n v="3"/>
    <x v="49"/>
    <n v="3"/>
    <n v="194"/>
    <n v="0"/>
    <n v="0"/>
    <n v="495.94665700000002"/>
    <n v="8.9939729999999791"/>
    <n v="172.56000212586801"/>
    <n v="0"/>
    <x v="36"/>
    <x v="31"/>
    <s v="PPPCKDR2"/>
    <e v="#N/A"/>
    <s v="Kilns/KDR"/>
    <e v="#N/A"/>
    <x v="1"/>
    <x v="3"/>
    <x v="4"/>
  </r>
  <r>
    <s v="10.12.0.202"/>
    <x v="933"/>
    <s v="172.217.22.68"/>
    <x v="116"/>
    <n v="3"/>
    <x v="49"/>
    <n v="3"/>
    <n v="194"/>
    <n v="0"/>
    <n v="0"/>
    <n v="516.94440199999997"/>
    <n v="9.0026880000000293"/>
    <n v="172.39295641479501"/>
    <n v="0"/>
    <x v="36"/>
    <x v="34"/>
    <s v="PPPCKDR2"/>
    <e v="#N/A"/>
    <s v="Kilns/KDR"/>
    <e v="#N/A"/>
    <x v="1"/>
    <x v="3"/>
    <x v="4"/>
  </r>
  <r>
    <s v="10.12.0.202"/>
    <x v="934"/>
    <s v="23.0.40.234"/>
    <x v="116"/>
    <n v="3"/>
    <x v="49"/>
    <n v="3"/>
    <n v="194"/>
    <n v="0"/>
    <n v="0"/>
    <n v="542.98904600000003"/>
    <n v="9.0009579999999705"/>
    <n v="172.426090645019"/>
    <n v="0"/>
    <x v="36"/>
    <x v="31"/>
    <s v="PPPCKDR2"/>
    <e v="#N/A"/>
    <s v="Kilns/KDR"/>
    <e v="#N/A"/>
    <x v="1"/>
    <x v="3"/>
    <x v="4"/>
  </r>
  <r>
    <s v="10.12.0.202"/>
    <x v="935"/>
    <s v="172.217.22.68"/>
    <x v="116"/>
    <n v="3"/>
    <x v="49"/>
    <n v="3"/>
    <n v="194"/>
    <n v="0"/>
    <n v="0"/>
    <n v="563.99428399999999"/>
    <n v="9.00019199999997"/>
    <n v="172.44076570811001"/>
    <n v="0"/>
    <x v="36"/>
    <x v="34"/>
    <s v="PPPCKDR2"/>
    <e v="#N/A"/>
    <s v="Kilns/KDR"/>
    <e v="#N/A"/>
    <x v="1"/>
    <x v="3"/>
    <x v="4"/>
  </r>
  <r>
    <s v="10.12.0.202"/>
    <x v="936"/>
    <s v="23.0.40.234"/>
    <x v="116"/>
    <n v="3"/>
    <x v="49"/>
    <n v="3"/>
    <n v="194"/>
    <n v="0"/>
    <n v="0"/>
    <n v="590.03234099999997"/>
    <n v="8.9951650000000392"/>
    <n v="172.53713522764599"/>
    <n v="0"/>
    <x v="36"/>
    <x v="31"/>
    <s v="PPPCKDR2"/>
    <e v="#N/A"/>
    <s v="Kilns/KDR"/>
    <e v="#N/A"/>
    <x v="1"/>
    <x v="3"/>
    <x v="4"/>
  </r>
  <r>
    <s v="10.12.0.202"/>
    <x v="937"/>
    <s v="172.217.22.68"/>
    <x v="116"/>
    <n v="3"/>
    <x v="49"/>
    <n v="3"/>
    <n v="194"/>
    <n v="0"/>
    <n v="0"/>
    <n v="611.03327999999999"/>
    <n v="9.0006230000000205"/>
    <n v="172.43250828303701"/>
    <n v="0"/>
    <x v="36"/>
    <x v="34"/>
    <s v="PPPCKDR2"/>
    <e v="#N/A"/>
    <s v="Kilns/KDR"/>
    <e v="#N/A"/>
    <x v="1"/>
    <x v="3"/>
    <x v="4"/>
  </r>
  <r>
    <s v="10.12.0.202"/>
    <x v="938"/>
    <s v="23.0.40.234"/>
    <x v="116"/>
    <n v="3"/>
    <x v="49"/>
    <n v="3"/>
    <n v="194"/>
    <n v="0"/>
    <n v="0"/>
    <n v="637.07475799999997"/>
    <n v="9.0001889999999793"/>
    <n v="172.440823187158"/>
    <n v="0"/>
    <x v="36"/>
    <x v="31"/>
    <s v="PPPCKDR2"/>
    <e v="#N/A"/>
    <s v="Kilns/KDR"/>
    <e v="#N/A"/>
    <x v="1"/>
    <x v="3"/>
    <x v="4"/>
  </r>
  <r>
    <s v="10.12.0.202"/>
    <x v="939"/>
    <s v="172.217.22.68"/>
    <x v="116"/>
    <n v="3"/>
    <x v="49"/>
    <n v="3"/>
    <n v="194"/>
    <n v="0"/>
    <n v="0"/>
    <n v="658.07564200000002"/>
    <n v="8.9977259999999397"/>
    <n v="172.48802641912101"/>
    <n v="0"/>
    <x v="36"/>
    <x v="34"/>
    <s v="PPPCKDR2"/>
    <e v="#N/A"/>
    <s v="Kilns/KDR"/>
    <e v="#N/A"/>
    <x v="1"/>
    <x v="3"/>
    <x v="4"/>
  </r>
  <r>
    <s v="10.12.0.202"/>
    <x v="940"/>
    <s v="23.0.40.234"/>
    <x v="116"/>
    <n v="3"/>
    <x v="49"/>
    <n v="3"/>
    <n v="194"/>
    <n v="0"/>
    <n v="0"/>
    <n v="684.11487899999997"/>
    <n v="9.0034960000000392"/>
    <n v="172.377485367905"/>
    <n v="0"/>
    <x v="36"/>
    <x v="31"/>
    <s v="PPPCKDR2"/>
    <e v="#N/A"/>
    <s v="Kilns/KDR"/>
    <e v="#N/A"/>
    <x v="1"/>
    <x v="3"/>
    <x v="4"/>
  </r>
  <r>
    <s v="10.12.0.202"/>
    <x v="941"/>
    <s v="172.217.22.68"/>
    <x v="116"/>
    <n v="3"/>
    <x v="49"/>
    <n v="3"/>
    <n v="194"/>
    <n v="0"/>
    <n v="0"/>
    <n v="705.12282600000003"/>
    <n v="9.00097799999992"/>
    <n v="172.42570751756199"/>
    <n v="0"/>
    <x v="36"/>
    <x v="34"/>
    <s v="PPPCKDR2"/>
    <e v="#N/A"/>
    <s v="Kilns/KDR"/>
    <e v="#N/A"/>
    <x v="1"/>
    <x v="3"/>
    <x v="4"/>
  </r>
  <r>
    <s v="10.12.0.202"/>
    <x v="942"/>
    <s v="23.0.40.234"/>
    <x v="116"/>
    <n v="3"/>
    <x v="49"/>
    <n v="3"/>
    <n v="194"/>
    <n v="0"/>
    <n v="0"/>
    <n v="731.17013099999997"/>
    <n v="9.0005889999999908"/>
    <n v="172.43315965210701"/>
    <n v="0"/>
    <x v="36"/>
    <x v="31"/>
    <s v="PPPCKDR2"/>
    <e v="#N/A"/>
    <s v="Kilns/KDR"/>
    <e v="#N/A"/>
    <x v="1"/>
    <x v="3"/>
    <x v="4"/>
  </r>
  <r>
    <s v="10.12.0.202"/>
    <x v="943"/>
    <s v="172.217.22.68"/>
    <x v="116"/>
    <n v="3"/>
    <x v="49"/>
    <n v="3"/>
    <n v="194"/>
    <n v="0"/>
    <n v="0"/>
    <n v="752.16943800000001"/>
    <n v="9.0008229999999703"/>
    <n v="172.42867679988899"/>
    <n v="0"/>
    <x v="36"/>
    <x v="34"/>
    <s v="PPPCKDR2"/>
    <e v="#N/A"/>
    <s v="Kilns/KDR"/>
    <e v="#N/A"/>
    <x v="1"/>
    <x v="3"/>
    <x v="4"/>
  </r>
  <r>
    <s v="10.12.0.202"/>
    <x v="944"/>
    <s v="23.0.40.234"/>
    <x v="116"/>
    <n v="3"/>
    <x v="49"/>
    <n v="3"/>
    <n v="194"/>
    <n v="0"/>
    <n v="0"/>
    <n v="778.20925099999999"/>
    <n v="9.007835"/>
    <n v="172.29445255158399"/>
    <n v="0"/>
    <x v="36"/>
    <x v="31"/>
    <s v="PPPCKDR2"/>
    <e v="#N/A"/>
    <s v="Kilns/KDR"/>
    <e v="#N/A"/>
    <x v="1"/>
    <x v="3"/>
    <x v="4"/>
  </r>
  <r>
    <s v="10.12.0.202"/>
    <x v="945"/>
    <s v="172.217.22.68"/>
    <x v="116"/>
    <n v="3"/>
    <x v="49"/>
    <n v="3"/>
    <n v="194"/>
    <n v="0"/>
    <n v="0"/>
    <n v="799.220823"/>
    <n v="9.0017970000000105"/>
    <n v="172.410019910469"/>
    <n v="0"/>
    <x v="36"/>
    <x v="34"/>
    <s v="PPPCKDR2"/>
    <e v="#N/A"/>
    <s v="Kilns/KDR"/>
    <e v="#N/A"/>
    <x v="1"/>
    <x v="3"/>
    <x v="4"/>
  </r>
  <r>
    <s v="10.12.0.202"/>
    <x v="946"/>
    <s v="23.0.40.234"/>
    <x v="116"/>
    <n v="3"/>
    <x v="49"/>
    <n v="3"/>
    <n v="194"/>
    <n v="0"/>
    <n v="0"/>
    <n v="825.75881000000004"/>
    <n v="8.9988129999999291"/>
    <n v="172.46719095063"/>
    <n v="0"/>
    <x v="36"/>
    <x v="31"/>
    <s v="PPPCKDR2"/>
    <e v="#N/A"/>
    <s v="Kilns/KDR"/>
    <e v="#N/A"/>
    <x v="1"/>
    <x v="3"/>
    <x v="4"/>
  </r>
  <r>
    <s v="10.12.0.202"/>
    <x v="947"/>
    <s v="172.217.22.68"/>
    <x v="116"/>
    <n v="3"/>
    <x v="49"/>
    <n v="3"/>
    <n v="194"/>
    <n v="0"/>
    <n v="0"/>
    <n v="846.76769899999999"/>
    <n v="9.00035300000002"/>
    <n v="172.437681055398"/>
    <n v="0"/>
    <x v="36"/>
    <x v="34"/>
    <s v="PPPCKDR2"/>
    <e v="#N/A"/>
    <s v="Kilns/KDR"/>
    <e v="#N/A"/>
    <x v="1"/>
    <x v="3"/>
    <x v="4"/>
  </r>
  <r>
    <s v="10.12.0.202"/>
    <x v="948"/>
    <s v="23.0.40.234"/>
    <x v="116"/>
    <n v="3"/>
    <x v="49"/>
    <n v="3"/>
    <n v="194"/>
    <n v="0"/>
    <n v="0"/>
    <n v="872.79661999999996"/>
    <n v="8.9985209999999807"/>
    <n v="172.472787472519"/>
    <n v="0"/>
    <x v="36"/>
    <x v="31"/>
    <s v="PPPCKDR2"/>
    <e v="#N/A"/>
    <s v="Kilns/KDR"/>
    <e v="#N/A"/>
    <x v="1"/>
    <x v="3"/>
    <x v="4"/>
  </r>
  <r>
    <s v="10.12.0.202"/>
    <x v="949"/>
    <s v="172.217.22.68"/>
    <x v="116"/>
    <n v="3"/>
    <x v="49"/>
    <n v="3"/>
    <n v="194"/>
    <n v="0"/>
    <n v="0"/>
    <n v="893.80866500000002"/>
    <n v="9.0018279999999304"/>
    <n v="172.40942617432901"/>
    <n v="0"/>
    <x v="36"/>
    <x v="34"/>
    <s v="PPPCKDR2"/>
    <e v="#N/A"/>
    <s v="Kilns/KDR"/>
    <e v="#N/A"/>
    <x v="1"/>
    <x v="3"/>
    <x v="4"/>
  </r>
  <r>
    <s v="10.12.0.241"/>
    <x v="196"/>
    <s v="10.12.128.164"/>
    <x v="119"/>
    <n v="2024"/>
    <x v="64"/>
    <n v="1296"/>
    <n v="346444"/>
    <n v="728"/>
    <n v="47708"/>
    <n v="3.757403"/>
    <n v="894.05562899999995"/>
    <n v="3099.9771268147801"/>
    <n v="426.89066275091898"/>
    <x v="37"/>
    <x v="67"/>
    <s v="PPPCHIST"/>
    <e v="#N/A"/>
    <s v="Other ProcN Devices"/>
    <e v="#N/A"/>
    <x v="1"/>
    <x v="3"/>
    <x v="0"/>
  </r>
  <r>
    <s v="10.12.0.241"/>
    <x v="196"/>
    <s v="10.12.128.164"/>
    <x v="120"/>
    <n v="2034"/>
    <x v="65"/>
    <n v="1310"/>
    <n v="346892"/>
    <n v="724"/>
    <n v="47468"/>
    <n v="3.7574070000000002"/>
    <n v="894.05573300000003"/>
    <n v="3103.9854648524501"/>
    <n v="424.74309596536102"/>
    <x v="37"/>
    <x v="67"/>
    <s v="PPPCHIST"/>
    <e v="#N/A"/>
    <s v="Other ProcN Devices"/>
    <e v="#N/A"/>
    <x v="1"/>
    <x v="3"/>
    <x v="0"/>
  </r>
  <r>
    <s v="10.12.0.251"/>
    <x v="950"/>
    <s v="10.114.1.100"/>
    <x v="117"/>
    <n v="3"/>
    <x v="0"/>
    <n v="3"/>
    <n v="186"/>
    <n v="0"/>
    <n v="0"/>
    <n v="12.890598000000001"/>
    <n v="8.8854550000000003"/>
    <n v="167.46469370448699"/>
    <n v="0"/>
    <x v="38"/>
    <x v="49"/>
    <s v="PP_FIX2"/>
    <e v="#N/A"/>
    <s v="Other ProcN Devices"/>
    <e v="#N/A"/>
    <x v="1"/>
    <x v="3"/>
    <x v="5"/>
  </r>
  <r>
    <s v="10.12.0.251"/>
    <x v="951"/>
    <s v="10.82.1.30"/>
    <x v="117"/>
    <n v="3"/>
    <x v="0"/>
    <n v="3"/>
    <n v="186"/>
    <n v="0"/>
    <n v="0"/>
    <n v="51.061706999999998"/>
    <n v="8.8853659999999994"/>
    <n v="167.46637110953"/>
    <n v="0"/>
    <x v="38"/>
    <x v="54"/>
    <s v="PP_FIX2"/>
    <e v="#N/A"/>
    <s v="Other ProcN Devices"/>
    <e v="#N/A"/>
    <x v="1"/>
    <x v="3"/>
    <x v="5"/>
  </r>
  <r>
    <s v="10.12.0.251"/>
    <x v="952"/>
    <s v="10.119.1.3"/>
    <x v="117"/>
    <n v="3"/>
    <x v="0"/>
    <n v="3"/>
    <n v="186"/>
    <n v="0"/>
    <n v="0"/>
    <n v="89.232757000000007"/>
    <n v="8.9946899999999896"/>
    <n v="165.43093758651"/>
    <n v="0"/>
    <x v="38"/>
    <x v="59"/>
    <s v="PP_FIX2"/>
    <e v="#N/A"/>
    <s v="Other ProcN Devices"/>
    <e v="#N/A"/>
    <x v="1"/>
    <x v="3"/>
    <x v="5"/>
  </r>
  <r>
    <s v="10.12.0.251"/>
    <x v="953"/>
    <s v="10.134.1.11"/>
    <x v="117"/>
    <n v="3"/>
    <x v="0"/>
    <n v="3"/>
    <n v="186"/>
    <n v="0"/>
    <n v="0"/>
    <n v="127.51306"/>
    <n v="8.9947500000000105"/>
    <n v="165.429834069874"/>
    <n v="0"/>
    <x v="38"/>
    <x v="50"/>
    <s v="PP_FIX2"/>
    <e v="#N/A"/>
    <s v="Other ProcN Devices"/>
    <e v="#N/A"/>
    <x v="1"/>
    <x v="3"/>
    <x v="5"/>
  </r>
  <r>
    <s v="10.12.0.251"/>
    <x v="954"/>
    <s v="10.113.10.1"/>
    <x v="117"/>
    <n v="3"/>
    <x v="0"/>
    <n v="3"/>
    <n v="186"/>
    <n v="0"/>
    <n v="0"/>
    <n v="165.68402599999999"/>
    <n v="8.8855039999999992"/>
    <n v="167.463770203694"/>
    <n v="0"/>
    <x v="38"/>
    <x v="64"/>
    <s v="PP_FIX2"/>
    <e v="#N/A"/>
    <s v="Other ProcN Devices"/>
    <e v="#N/A"/>
    <x v="1"/>
    <x v="3"/>
    <x v="5"/>
  </r>
  <r>
    <s v="10.12.0.251"/>
    <x v="955"/>
    <s v="10.115.1.6"/>
    <x v="117"/>
    <n v="3"/>
    <x v="0"/>
    <n v="3"/>
    <n v="186"/>
    <n v="0"/>
    <n v="0"/>
    <n v="203.855109"/>
    <n v="8.8853770000000107"/>
    <n v="167.46616378798501"/>
    <n v="0"/>
    <x v="38"/>
    <x v="53"/>
    <s v="PP_FIX2"/>
    <e v="#N/A"/>
    <s v="Other ProcN Devices"/>
    <e v="#N/A"/>
    <x v="1"/>
    <x v="3"/>
    <x v="5"/>
  </r>
  <r>
    <s v="10.12.0.251"/>
    <x v="956"/>
    <s v="10.116.1.1"/>
    <x v="117"/>
    <n v="3"/>
    <x v="0"/>
    <n v="3"/>
    <n v="186"/>
    <n v="0"/>
    <n v="0"/>
    <n v="242.02633499999999"/>
    <n v="8.9946100000000193"/>
    <n v="165.43240896492401"/>
    <n v="0"/>
    <x v="38"/>
    <x v="63"/>
    <s v="PP_FIX2"/>
    <e v="#N/A"/>
    <s v="Other ProcN Devices"/>
    <e v="#N/A"/>
    <x v="1"/>
    <x v="3"/>
    <x v="5"/>
  </r>
  <r>
    <s v="10.12.0.251"/>
    <x v="957"/>
    <s v="10.12.128.164"/>
    <x v="106"/>
    <n v="32"/>
    <x v="66"/>
    <n v="0"/>
    <n v="0"/>
    <n v="32"/>
    <n v="4940"/>
    <n v="272.77980200000002"/>
    <n v="1.45430000000033E-2"/>
    <n v="0"/>
    <n v="2717458.5711332601"/>
    <x v="38"/>
    <x v="67"/>
    <s v="PP_FIX2"/>
    <e v="#N/A"/>
    <s v="Other ProcN Devices"/>
    <e v="#N/A"/>
    <x v="1"/>
    <x v="3"/>
    <x v="2"/>
  </r>
  <r>
    <s v="10.12.0.251"/>
    <x v="958"/>
    <s v="10.80.1.65"/>
    <x v="117"/>
    <n v="3"/>
    <x v="0"/>
    <n v="3"/>
    <n v="186"/>
    <n v="0"/>
    <n v="0"/>
    <n v="280.30665499999998"/>
    <n v="8.9946480000000406"/>
    <n v="165.431710056913"/>
    <n v="0"/>
    <x v="38"/>
    <x v="56"/>
    <s v="PP_FIX2"/>
    <e v="#N/A"/>
    <s v="Other ProcN Devices"/>
    <e v="#N/A"/>
    <x v="1"/>
    <x v="3"/>
    <x v="5"/>
  </r>
  <r>
    <s v="10.12.0.251"/>
    <x v="959"/>
    <s v="10.86.1.12"/>
    <x v="117"/>
    <n v="3"/>
    <x v="0"/>
    <n v="3"/>
    <n v="186"/>
    <n v="0"/>
    <n v="0"/>
    <n v="318.47761100000002"/>
    <n v="8.8853859999999791"/>
    <n v="167.46599416165"/>
    <n v="0"/>
    <x v="38"/>
    <x v="58"/>
    <s v="PP_FIX2"/>
    <e v="#N/A"/>
    <s v="Other ProcN Devices"/>
    <e v="#N/A"/>
    <x v="1"/>
    <x v="3"/>
    <x v="5"/>
  </r>
  <r>
    <s v="10.12.0.251"/>
    <x v="960"/>
    <s v="10.112.1.11"/>
    <x v="117"/>
    <n v="3"/>
    <x v="0"/>
    <n v="3"/>
    <n v="186"/>
    <n v="0"/>
    <n v="0"/>
    <n v="356.64854600000001"/>
    <n v="8.9948989999999807"/>
    <n v="165.427093733905"/>
    <n v="0"/>
    <x v="38"/>
    <x v="51"/>
    <s v="PP_FIX2"/>
    <e v="#N/A"/>
    <s v="Other ProcN Devices"/>
    <e v="#N/A"/>
    <x v="1"/>
    <x v="3"/>
    <x v="5"/>
  </r>
  <r>
    <s v="10.12.0.251"/>
    <x v="961"/>
    <s v="10.95.32.32"/>
    <x v="117"/>
    <n v="3"/>
    <x v="0"/>
    <n v="3"/>
    <n v="186"/>
    <n v="0"/>
    <n v="0"/>
    <n v="395.803315"/>
    <n v="8.9954630000000293"/>
    <n v="165.41672174072599"/>
    <n v="0"/>
    <x v="38"/>
    <x v="66"/>
    <s v="PP_FIX2"/>
    <e v="#N/A"/>
    <s v="Other ProcN Devices"/>
    <e v="#N/A"/>
    <x v="1"/>
    <x v="3"/>
    <x v="5"/>
  </r>
  <r>
    <s v="10.12.0.251"/>
    <x v="962"/>
    <s v="10.80.1.65"/>
    <x v="117"/>
    <n v="3"/>
    <x v="0"/>
    <n v="3"/>
    <n v="186"/>
    <n v="0"/>
    <n v="0"/>
    <n v="416.72142500000001"/>
    <n v="9.0768800000000205"/>
    <n v="163.93298137686"/>
    <n v="0"/>
    <x v="38"/>
    <x v="56"/>
    <s v="PP_FIX2"/>
    <e v="#N/A"/>
    <s v="Other ProcN Devices"/>
    <e v="#N/A"/>
    <x v="1"/>
    <x v="3"/>
    <x v="5"/>
  </r>
  <r>
    <s v="10.12.0.251"/>
    <x v="963"/>
    <s v="10.82.1.30"/>
    <x v="117"/>
    <n v="3"/>
    <x v="0"/>
    <n v="3"/>
    <n v="186"/>
    <n v="0"/>
    <n v="0"/>
    <n v="437.72077000000002"/>
    <n v="9.0771090000000108"/>
    <n v="163.92884562694999"/>
    <n v="0"/>
    <x v="38"/>
    <x v="54"/>
    <s v="PP_FIX2"/>
    <e v="#N/A"/>
    <s v="Other ProcN Devices"/>
    <e v="#N/A"/>
    <x v="1"/>
    <x v="3"/>
    <x v="5"/>
  </r>
  <r>
    <s v="10.12.0.251"/>
    <x v="964"/>
    <s v="10.130.1.3"/>
    <x v="117"/>
    <n v="3"/>
    <x v="0"/>
    <n v="3"/>
    <n v="186"/>
    <n v="0"/>
    <n v="0"/>
    <n v="458.72027300000002"/>
    <n v="9.0771819999999899"/>
    <n v="163.92752728765399"/>
    <n v="0"/>
    <x v="38"/>
    <x v="60"/>
    <s v="PP_FIX2"/>
    <e v="#N/A"/>
    <s v="Other ProcN Devices"/>
    <e v="#N/A"/>
    <x v="1"/>
    <x v="3"/>
    <x v="5"/>
  </r>
  <r>
    <s v="10.12.0.251"/>
    <x v="965"/>
    <s v="10.119.1.3"/>
    <x v="117"/>
    <n v="3"/>
    <x v="0"/>
    <n v="3"/>
    <n v="186"/>
    <n v="0"/>
    <n v="0"/>
    <n v="479.71972299999999"/>
    <n v="9.0771680000000305"/>
    <n v="163.927780118204"/>
    <n v="0"/>
    <x v="38"/>
    <x v="59"/>
    <s v="PP_FIX2"/>
    <e v="#N/A"/>
    <s v="Other ProcN Devices"/>
    <e v="#N/A"/>
    <x v="1"/>
    <x v="3"/>
    <x v="5"/>
  </r>
  <r>
    <s v="10.12.0.251"/>
    <x v="966"/>
    <s v="10.116.1.1"/>
    <x v="117"/>
    <n v="3"/>
    <x v="0"/>
    <n v="3"/>
    <n v="186"/>
    <n v="0"/>
    <n v="0"/>
    <n v="500.71941600000002"/>
    <n v="9.0770479999999907"/>
    <n v="163.9299472692"/>
    <n v="0"/>
    <x v="38"/>
    <x v="63"/>
    <s v="PP_FIX2"/>
    <e v="#N/A"/>
    <s v="Other ProcN Devices"/>
    <e v="#N/A"/>
    <x v="1"/>
    <x v="3"/>
    <x v="5"/>
  </r>
  <r>
    <s v="10.12.0.251"/>
    <x v="967"/>
    <s v="10.1.1.12"/>
    <x v="117"/>
    <n v="3"/>
    <x v="0"/>
    <n v="3"/>
    <n v="186"/>
    <n v="0"/>
    <n v="0"/>
    <n v="521.71889699999997"/>
    <n v="9.0771020000000799"/>
    <n v="163.92897204415999"/>
    <n v="0"/>
    <x v="38"/>
    <x v="48"/>
    <s v="PP_FIX2"/>
    <e v="#N/A"/>
    <s v="Other ProcN Devices"/>
    <e v="#N/A"/>
    <x v="1"/>
    <x v="3"/>
    <x v="5"/>
  </r>
  <r>
    <s v="10.12.0.251"/>
    <x v="968"/>
    <s v="10.120.1.1"/>
    <x v="117"/>
    <n v="3"/>
    <x v="0"/>
    <n v="3"/>
    <n v="186"/>
    <n v="0"/>
    <n v="0"/>
    <n v="542.71835399999998"/>
    <n v="9.0771270000000204"/>
    <n v="163.928520555017"/>
    <n v="0"/>
    <x v="38"/>
    <x v="52"/>
    <s v="PP_FIX2"/>
    <e v="#N/A"/>
    <s v="Other ProcN Devices"/>
    <e v="#N/A"/>
    <x v="1"/>
    <x v="3"/>
    <x v="5"/>
  </r>
  <r>
    <s v="10.12.0.251"/>
    <x v="969"/>
    <s v="10.114.1.100"/>
    <x v="117"/>
    <n v="3"/>
    <x v="0"/>
    <n v="3"/>
    <n v="186"/>
    <n v="0"/>
    <n v="0"/>
    <n v="563.71790599999997"/>
    <n v="9.0772070000000404"/>
    <n v="163.927075806467"/>
    <n v="0"/>
    <x v="38"/>
    <x v="49"/>
    <s v="PP_FIX2"/>
    <e v="#N/A"/>
    <s v="Other ProcN Devices"/>
    <e v="#N/A"/>
    <x v="1"/>
    <x v="3"/>
    <x v="5"/>
  </r>
  <r>
    <s v="10.12.0.251"/>
    <x v="970"/>
    <s v="10.238.101.79"/>
    <x v="117"/>
    <n v="3"/>
    <x v="0"/>
    <n v="3"/>
    <n v="186"/>
    <n v="0"/>
    <n v="0"/>
    <n v="584.71753000000001"/>
    <n v="9.0771310000000103"/>
    <n v="163.928448316985"/>
    <n v="0"/>
    <x v="38"/>
    <x v="47"/>
    <s v="PP_FIX2"/>
    <e v="#N/A"/>
    <s v="Other ProcN Devices"/>
    <e v="#N/A"/>
    <x v="1"/>
    <x v="3"/>
    <x v="5"/>
  </r>
  <r>
    <s v="10.12.0.251"/>
    <x v="971"/>
    <s v="10.86.1.12"/>
    <x v="117"/>
    <n v="3"/>
    <x v="0"/>
    <n v="3"/>
    <n v="186"/>
    <n v="0"/>
    <n v="0"/>
    <n v="605.71696299999996"/>
    <n v="9.0771369999999898"/>
    <n v="163.92833996005601"/>
    <n v="0"/>
    <x v="38"/>
    <x v="58"/>
    <s v="PP_FIX2"/>
    <e v="#N/A"/>
    <s v="Other ProcN Devices"/>
    <e v="#N/A"/>
    <x v="1"/>
    <x v="3"/>
    <x v="5"/>
  </r>
  <r>
    <s v="10.12.0.251"/>
    <x v="972"/>
    <s v="10.134.1.11"/>
    <x v="117"/>
    <n v="3"/>
    <x v="0"/>
    <n v="3"/>
    <n v="186"/>
    <n v="0"/>
    <n v="0"/>
    <n v="626.71650599999998"/>
    <n v="9.0772180000000198"/>
    <n v="163.92687715553299"/>
    <n v="0"/>
    <x v="38"/>
    <x v="50"/>
    <s v="PP_FIX2"/>
    <e v="#N/A"/>
    <s v="Other ProcN Devices"/>
    <e v="#N/A"/>
    <x v="1"/>
    <x v="3"/>
    <x v="5"/>
  </r>
  <r>
    <s v="10.12.0.251"/>
    <x v="973"/>
    <s v="10.112.1.11"/>
    <x v="117"/>
    <n v="3"/>
    <x v="0"/>
    <n v="3"/>
    <n v="186"/>
    <n v="0"/>
    <n v="0"/>
    <n v="647.71603300000004"/>
    <n v="9.0772119999999195"/>
    <n v="163.92698551052999"/>
    <n v="0"/>
    <x v="38"/>
    <x v="51"/>
    <s v="PP_FIX2"/>
    <e v="#N/A"/>
    <s v="Other ProcN Devices"/>
    <e v="#N/A"/>
    <x v="1"/>
    <x v="3"/>
    <x v="5"/>
  </r>
  <r>
    <s v="10.12.0.251"/>
    <x v="974"/>
    <s v="10.95.1.18"/>
    <x v="117"/>
    <n v="3"/>
    <x v="0"/>
    <n v="3"/>
    <n v="186"/>
    <n v="0"/>
    <n v="0"/>
    <n v="668.71563100000003"/>
    <n v="9.0770499999999892"/>
    <n v="163.92991114954799"/>
    <n v="0"/>
    <x v="38"/>
    <x v="62"/>
    <s v="PP_FIX2"/>
    <e v="#N/A"/>
    <s v="Other ProcN Devices"/>
    <e v="#N/A"/>
    <x v="1"/>
    <x v="3"/>
    <x v="5"/>
  </r>
  <r>
    <s v="10.12.0.251"/>
    <x v="975"/>
    <s v="10.11.1.12"/>
    <x v="117"/>
    <n v="3"/>
    <x v="0"/>
    <n v="3"/>
    <n v="186"/>
    <n v="0"/>
    <n v="0"/>
    <n v="689.71514100000002"/>
    <n v="9.0770259999999308"/>
    <n v="163.93034458643299"/>
    <n v="0"/>
    <x v="38"/>
    <x v="55"/>
    <s v="PP_FIX2"/>
    <e v="#N/A"/>
    <s v="Other ProcN Devices"/>
    <e v="#N/A"/>
    <x v="1"/>
    <x v="3"/>
    <x v="5"/>
  </r>
  <r>
    <s v="10.12.0.251"/>
    <x v="976"/>
    <s v="10.121.1.5"/>
    <x v="117"/>
    <n v="3"/>
    <x v="0"/>
    <n v="3"/>
    <n v="186"/>
    <n v="0"/>
    <n v="0"/>
    <n v="710.71461099999999"/>
    <n v="9.0772200000000094"/>
    <n v="163.926841037234"/>
    <n v="0"/>
    <x v="38"/>
    <x v="57"/>
    <s v="PP_FIX2"/>
    <e v="#N/A"/>
    <s v="Other ProcN Devices"/>
    <e v="#N/A"/>
    <x v="1"/>
    <x v="3"/>
    <x v="5"/>
  </r>
  <r>
    <s v="10.12.0.251"/>
    <x v="977"/>
    <s v="10.115.1.6"/>
    <x v="117"/>
    <n v="3"/>
    <x v="0"/>
    <n v="3"/>
    <n v="186"/>
    <n v="0"/>
    <n v="0"/>
    <n v="731.71415400000001"/>
    <n v="9.0771459999999706"/>
    <n v="163.92817742493099"/>
    <n v="0"/>
    <x v="38"/>
    <x v="53"/>
    <s v="PP_FIX2"/>
    <e v="#N/A"/>
    <s v="Other ProcN Devices"/>
    <e v="#N/A"/>
    <x v="1"/>
    <x v="3"/>
    <x v="5"/>
  </r>
  <r>
    <s v="10.12.0.251"/>
    <x v="978"/>
    <s v="10.136.1.1"/>
    <x v="117"/>
    <n v="3"/>
    <x v="0"/>
    <n v="3"/>
    <n v="186"/>
    <n v="0"/>
    <n v="0"/>
    <n v="752.71371499999998"/>
    <n v="9.0771530000000702"/>
    <n v="163.92805100894401"/>
    <n v="0"/>
    <x v="38"/>
    <x v="61"/>
    <s v="PP_FIX2"/>
    <e v="#N/A"/>
    <s v="Other ProcN Devices"/>
    <e v="#N/A"/>
    <x v="1"/>
    <x v="3"/>
    <x v="5"/>
  </r>
  <r>
    <s v="10.12.0.251"/>
    <x v="979"/>
    <s v="10.113.10.1"/>
    <x v="117"/>
    <n v="3"/>
    <x v="0"/>
    <n v="3"/>
    <n v="186"/>
    <n v="0"/>
    <n v="0"/>
    <n v="773.71319200000005"/>
    <n v="9.0772179999999008"/>
    <n v="163.926877155536"/>
    <n v="0"/>
    <x v="38"/>
    <x v="64"/>
    <s v="PP_FIX2"/>
    <e v="#N/A"/>
    <s v="Other ProcN Devices"/>
    <e v="#N/A"/>
    <x v="1"/>
    <x v="3"/>
    <x v="5"/>
  </r>
  <r>
    <s v="10.12.0.251"/>
    <x v="980"/>
    <s v="10.33.10.8"/>
    <x v="117"/>
    <n v="3"/>
    <x v="0"/>
    <n v="3"/>
    <n v="186"/>
    <n v="0"/>
    <n v="0"/>
    <n v="794.71281599999998"/>
    <n v="9.0770750000000398"/>
    <n v="163.92945965523"/>
    <n v="0"/>
    <x v="38"/>
    <x v="65"/>
    <s v="PP_FIX2"/>
    <e v="#N/A"/>
    <s v="Other ProcN Devices"/>
    <e v="#N/A"/>
    <x v="1"/>
    <x v="3"/>
    <x v="5"/>
  </r>
  <r>
    <s v="10.12.0.252"/>
    <x v="863"/>
    <s v="10.12.0.18"/>
    <x v="117"/>
    <n v="1"/>
    <x v="67"/>
    <n v="1"/>
    <n v="60"/>
    <n v="0"/>
    <n v="0"/>
    <n v="558.57363699999996"/>
    <n v="0"/>
    <n v="0"/>
    <n v="0"/>
    <x v="39"/>
    <x v="68"/>
    <s v="PP_FIX3"/>
    <s v="FCSW3"/>
    <s v="Other ProcN Devices"/>
    <s v="Fume Control"/>
    <x v="1"/>
    <x v="0"/>
    <x v="5"/>
  </r>
  <r>
    <s v="10.12.0.252"/>
    <x v="981"/>
    <s v="10.12.0.18"/>
    <x v="117"/>
    <n v="3"/>
    <x v="68"/>
    <n v="3"/>
    <n v="276"/>
    <n v="0"/>
    <n v="0"/>
    <n v="558.57460500000002"/>
    <n v="3.1819999999243001E-3"/>
    <n v="0"/>
    <n v="0"/>
    <x v="39"/>
    <x v="68"/>
    <s v="PP_FIX3"/>
    <s v="FCSW3"/>
    <s v="Other ProcN Devices"/>
    <s v="Fume Control"/>
    <x v="1"/>
    <x v="0"/>
    <x v="5"/>
  </r>
  <r>
    <s v="10.12.0.252"/>
    <x v="864"/>
    <s v="10.12.0.178"/>
    <x v="117"/>
    <n v="1"/>
    <x v="67"/>
    <n v="1"/>
    <n v="60"/>
    <n v="0"/>
    <n v="0"/>
    <n v="558.576683"/>
    <n v="0"/>
    <n v="0"/>
    <n v="0"/>
    <x v="39"/>
    <x v="69"/>
    <s v="PP_FIX3"/>
    <s v="CSBSW1A/B"/>
    <s v="Other ProcN Devices"/>
    <s v="Sinter Plant"/>
    <x v="1"/>
    <x v="0"/>
    <x v="5"/>
  </r>
  <r>
    <s v="10.12.0.252"/>
    <x v="982"/>
    <s v="10.12.0.240"/>
    <x v="117"/>
    <n v="1"/>
    <x v="67"/>
    <n v="1"/>
    <n v="60"/>
    <n v="0"/>
    <n v="0"/>
    <n v="558.58463600000005"/>
    <n v="0"/>
    <n v="0"/>
    <n v="0"/>
    <x v="39"/>
    <x v="70"/>
    <s v="PP_FIX3"/>
    <s v="EAFSW1"/>
    <s v="Other ProcN Devices"/>
    <s v="EAF Dust Washing"/>
    <x v="1"/>
    <x v="0"/>
    <x v="5"/>
  </r>
  <r>
    <s v="10.12.0.252"/>
    <x v="983"/>
    <s v="10.12.0.40"/>
    <x v="116"/>
    <n v="3"/>
    <x v="69"/>
    <n v="3"/>
    <n v="315"/>
    <n v="0"/>
    <n v="0"/>
    <n v="558.58488999999997"/>
    <n v="1.05800000005729E-3"/>
    <n v="0"/>
    <n v="0"/>
    <x v="39"/>
    <x v="71"/>
    <s v="PP_FIX3"/>
    <s v="BFSW1A/B"/>
    <s v="Other ProcN Devices"/>
    <s v="Blast Furnace"/>
    <x v="1"/>
    <x v="0"/>
    <x v="4"/>
  </r>
  <r>
    <s v="10.12.0.252"/>
    <x v="984"/>
    <s v="10.12.0.36"/>
    <x v="116"/>
    <n v="3"/>
    <x v="69"/>
    <n v="3"/>
    <n v="315"/>
    <n v="0"/>
    <n v="0"/>
    <n v="558.58536700000002"/>
    <n v="1.1819999999715901E-3"/>
    <n v="0"/>
    <n v="0"/>
    <x v="39"/>
    <x v="72"/>
    <s v="PP_FIX3"/>
    <s v="BFSW3"/>
    <s v="Other ProcN Devices"/>
    <s v="Blast Furnace"/>
    <x v="1"/>
    <x v="0"/>
    <x v="4"/>
  </r>
  <r>
    <s v="10.12.0.252"/>
    <x v="985"/>
    <s v="10.12.0.38"/>
    <x v="116"/>
    <n v="1"/>
    <x v="1"/>
    <n v="1"/>
    <n v="62"/>
    <n v="0"/>
    <n v="0"/>
    <n v="558.58941100000004"/>
    <n v="0"/>
    <n v="0"/>
    <n v="0"/>
    <x v="39"/>
    <x v="73"/>
    <s v="PP_FIX3"/>
    <s v="DFSW1"/>
    <s v="Other ProcN Devices"/>
    <s v="Blast Furnace"/>
    <x v="1"/>
    <x v="0"/>
    <x v="4"/>
  </r>
  <r>
    <s v="10.12.0.252"/>
    <x v="986"/>
    <s v="10.12.0.39"/>
    <x v="116"/>
    <n v="1"/>
    <x v="1"/>
    <n v="1"/>
    <n v="62"/>
    <n v="0"/>
    <n v="0"/>
    <n v="558.58959300000004"/>
    <n v="0"/>
    <n v="0"/>
    <n v="0"/>
    <x v="39"/>
    <x v="74"/>
    <s v="PP_FIX3"/>
    <s v="SRFSW1"/>
    <s v="Other ProcN Devices"/>
    <s v="Blast Furnace"/>
    <x v="1"/>
    <x v="0"/>
    <x v="4"/>
  </r>
  <r>
    <s v="10.12.0.252"/>
    <x v="987"/>
    <s v="10.12.0.59"/>
    <x v="116"/>
    <n v="1"/>
    <x v="1"/>
    <n v="1"/>
    <n v="62"/>
    <n v="0"/>
    <n v="0"/>
    <n v="558.589788"/>
    <n v="0"/>
    <n v="0"/>
    <n v="0"/>
    <x v="39"/>
    <x v="75"/>
    <s v="PP_FIX3"/>
    <s v="APSW2"/>
    <s v="Other ProcN Devices"/>
    <s v="Acid Plant"/>
    <x v="1"/>
    <x v="0"/>
    <x v="4"/>
  </r>
  <r>
    <s v="10.12.0.252"/>
    <x v="988"/>
    <s v="10.12.0.60"/>
    <x v="116"/>
    <n v="4"/>
    <x v="70"/>
    <n v="4"/>
    <n v="375"/>
    <n v="0"/>
    <n v="0"/>
    <n v="558.59020299999997"/>
    <n v="2.6081999999974001E-2"/>
    <n v="115021.854152404"/>
    <n v="0"/>
    <x v="39"/>
    <x v="76"/>
    <s v="PP_FIX3"/>
    <s v="APSW1"/>
    <s v="Other ProcN Devices"/>
    <s v="Acid Plant"/>
    <x v="1"/>
    <x v="0"/>
    <x v="4"/>
  </r>
  <r>
    <s v="10.12.0.252"/>
    <x v="989"/>
    <s v="10.12.0.254"/>
    <x v="116"/>
    <n v="2"/>
    <x v="71"/>
    <n v="1"/>
    <n v="60"/>
    <n v="1"/>
    <n v="60"/>
    <n v="559.00128800000005"/>
    <n v="1.46999999969921E-4"/>
    <n v="0"/>
    <n v="0"/>
    <x v="39"/>
    <x v="77"/>
    <s v="PP_FIX3"/>
    <s v="PPPCRT1"/>
    <s v="Other ProcN Devices"/>
    <s v="Other ProcN Devices"/>
    <x v="1"/>
    <x v="0"/>
    <x v="4"/>
  </r>
  <r>
    <s v="10.12.0.252"/>
    <x v="990"/>
    <s v="10.12.0.139"/>
    <x v="116"/>
    <n v="1"/>
    <x v="67"/>
    <n v="1"/>
    <n v="60"/>
    <n v="0"/>
    <n v="0"/>
    <n v="559.01063899999997"/>
    <n v="0"/>
    <n v="0"/>
    <n v="0"/>
    <x v="39"/>
    <x v="78"/>
    <s v="PP_FIX3"/>
    <s v="SFSW2"/>
    <s v="Other ProcN Devices"/>
    <s v="Slag Fumer"/>
    <x v="1"/>
    <x v="0"/>
    <x v="4"/>
  </r>
  <r>
    <s v="10.12.0.252"/>
    <x v="991"/>
    <s v="10.12.0.80"/>
    <x v="116"/>
    <n v="3"/>
    <x v="69"/>
    <n v="3"/>
    <n v="315"/>
    <n v="0"/>
    <n v="0"/>
    <n v="559.01081599999998"/>
    <n v="1.15300000004481E-3"/>
    <n v="0"/>
    <n v="0"/>
    <x v="39"/>
    <x v="79"/>
    <s v="PP_FIX3"/>
    <s v="PETSW1"/>
    <s v="Other ProcN Devices"/>
    <s v="PETs Plant"/>
    <x v="1"/>
    <x v="0"/>
    <x v="4"/>
  </r>
  <r>
    <s v="10.12.0.252"/>
    <x v="992"/>
    <s v="10.12.0.79"/>
    <x v="116"/>
    <n v="3"/>
    <x v="69"/>
    <n v="3"/>
    <n v="315"/>
    <n v="0"/>
    <n v="0"/>
    <n v="559.01186700000005"/>
    <n v="1.1109999999234801E-3"/>
    <n v="0"/>
    <n v="0"/>
    <x v="39"/>
    <x v="80"/>
    <s v="PP_FIX3"/>
    <s v="STPSW1"/>
    <s v="Other ProcN Devices"/>
    <s v="PETs Plant"/>
    <x v="1"/>
    <x v="0"/>
    <x v="4"/>
  </r>
  <r>
    <s v="10.12.0.252"/>
    <x v="993"/>
    <s v="10.12.0.135"/>
    <x v="117"/>
    <n v="3"/>
    <x v="68"/>
    <n v="3"/>
    <n v="276"/>
    <n v="0"/>
    <n v="0"/>
    <n v="559.01344700000004"/>
    <n v="1.7589999999927399E-3"/>
    <n v="0"/>
    <n v="0"/>
    <x v="39"/>
    <x v="81"/>
    <s v="PP_FIX3"/>
    <s v="SFSW4"/>
    <s v="Other ProcN Devices"/>
    <s v="Slag Fumer"/>
    <x v="1"/>
    <x v="0"/>
    <x v="5"/>
  </r>
  <r>
    <s v="10.12.0.252"/>
    <x v="994"/>
    <s v="10.12.0.17"/>
    <x v="117"/>
    <n v="1"/>
    <x v="67"/>
    <n v="1"/>
    <n v="60"/>
    <n v="0"/>
    <n v="0"/>
    <n v="559.09177799999998"/>
    <n v="0"/>
    <n v="0"/>
    <n v="0"/>
    <x v="39"/>
    <x v="82"/>
    <s v="PP_FIX3"/>
    <s v="FCSW4"/>
    <s v="Other ProcN Devices"/>
    <s v="Fume Control"/>
    <x v="1"/>
    <x v="0"/>
    <x v="5"/>
  </r>
  <r>
    <s v="10.12.0.252"/>
    <x v="995"/>
    <s v="10.12.0.177"/>
    <x v="117"/>
    <n v="3"/>
    <x v="68"/>
    <n v="3"/>
    <n v="276"/>
    <n v="0"/>
    <n v="0"/>
    <n v="559.093163"/>
    <n v="1.78400000004331E-3"/>
    <n v="0"/>
    <n v="0"/>
    <x v="39"/>
    <x v="83"/>
    <s v="PP_FIX3"/>
    <s v="SPFPSW"/>
    <s v="Other ProcN Devices"/>
    <s v="Sinter Plant"/>
    <x v="1"/>
    <x v="0"/>
    <x v="5"/>
  </r>
  <r>
    <s v="10.12.0.252"/>
    <x v="996"/>
    <s v="10.12.0.200"/>
    <x v="117"/>
    <n v="1"/>
    <x v="67"/>
    <n v="1"/>
    <n v="60"/>
    <n v="0"/>
    <n v="0"/>
    <n v="559.53302199999996"/>
    <n v="0"/>
    <n v="0"/>
    <n v="0"/>
    <x v="39"/>
    <x v="84"/>
    <s v="PP_FIX3"/>
    <s v="RFSW1"/>
    <s v="Other ProcN Devices"/>
    <s v="Refinery"/>
    <x v="1"/>
    <x v="0"/>
    <x v="5"/>
  </r>
  <r>
    <s v="10.12.0.252"/>
    <x v="997"/>
    <s v="10.12.1.125"/>
    <x v="117"/>
    <n v="1"/>
    <x v="67"/>
    <n v="1"/>
    <n v="60"/>
    <n v="0"/>
    <n v="0"/>
    <n v="559.53503799999999"/>
    <n v="0"/>
    <n v="0"/>
    <n v="0"/>
    <x v="39"/>
    <x v="85"/>
    <s v="PP_FIX3"/>
    <s v="KBPSW1"/>
    <s v="Other ProcN Devices"/>
    <s v="Slag Fumer"/>
    <x v="1"/>
    <x v="1"/>
    <x v="5"/>
  </r>
  <r>
    <s v="10.12.0.252"/>
    <x v="998"/>
    <s v="10.12.0.199"/>
    <x v="117"/>
    <n v="3"/>
    <x v="68"/>
    <n v="3"/>
    <n v="276"/>
    <n v="0"/>
    <n v="0"/>
    <n v="559.535213"/>
    <n v="1.74400000003061E-3"/>
    <n v="0"/>
    <n v="0"/>
    <x v="39"/>
    <x v="86"/>
    <s v="PP_FIX3"/>
    <s v="PMRSW1"/>
    <s v="Other ProcN Devices"/>
    <s v="Refinery"/>
    <x v="1"/>
    <x v="0"/>
    <x v="5"/>
  </r>
  <r>
    <s v="10.12.0.252"/>
    <x v="999"/>
    <s v="10.12.0.180"/>
    <x v="117"/>
    <n v="3"/>
    <x v="68"/>
    <n v="3"/>
    <n v="276"/>
    <n v="0"/>
    <n v="0"/>
    <n v="559.53692899999999"/>
    <n v="1.6269999999849499E-3"/>
    <n v="0"/>
    <n v="0"/>
    <x v="39"/>
    <x v="87"/>
    <s v="PP_FIX3"/>
    <s v="SPSW1A/B"/>
    <s v="Other ProcN Devices"/>
    <s v="Sinter Plant"/>
    <x v="1"/>
    <x v="0"/>
    <x v="5"/>
  </r>
  <r>
    <s v="10.12.0.252"/>
    <x v="1000"/>
    <s v="10.12.0.254"/>
    <x v="116"/>
    <n v="16"/>
    <x v="72"/>
    <n v="8"/>
    <n v="755"/>
    <n v="8"/>
    <n v="2049"/>
    <n v="559.74681199999998"/>
    <n v="0.23123099999998001"/>
    <n v="26121.065082106299"/>
    <n v="70890.148812232903"/>
    <x v="39"/>
    <x v="77"/>
    <s v="PP_FIX3"/>
    <s v="PPPCRT1"/>
    <s v="Other ProcN Devices"/>
    <s v="Other ProcN Devices"/>
    <x v="1"/>
    <x v="0"/>
    <x v="4"/>
  </r>
  <r>
    <s v="10.12.0.252"/>
    <x v="1001"/>
    <s v="10.12.0.134"/>
    <x v="117"/>
    <n v="1"/>
    <x v="67"/>
    <n v="1"/>
    <n v="60"/>
    <n v="0"/>
    <n v="0"/>
    <n v="559.747432"/>
    <n v="0"/>
    <n v="0"/>
    <n v="0"/>
    <x v="39"/>
    <x v="88"/>
    <s v="PP_FIX3"/>
    <s v="SFSW5"/>
    <s v="Other ProcN Devices"/>
    <s v="Slag Fumer"/>
    <x v="1"/>
    <x v="0"/>
    <x v="5"/>
  </r>
  <r>
    <s v="10.12.0.252"/>
    <x v="1002"/>
    <s v="10.12.0.254"/>
    <x v="116"/>
    <n v="19"/>
    <x v="73"/>
    <n v="10"/>
    <n v="731"/>
    <n v="9"/>
    <n v="2561"/>
    <n v="559.97893999999997"/>
    <n v="4.3927720000000399"/>
    <n v="1331.27783549885"/>
    <n v="4664.0253580199096"/>
    <x v="39"/>
    <x v="77"/>
    <s v="PP_FIX3"/>
    <s v="PPPCRT1"/>
    <s v="Other ProcN Devices"/>
    <s v="Other ProcN Devices"/>
    <x v="1"/>
    <x v="0"/>
    <x v="4"/>
  </r>
  <r>
    <s v="10.12.0.252"/>
    <x v="1003"/>
    <s v="10.12.0.254"/>
    <x v="116"/>
    <n v="12"/>
    <x v="74"/>
    <n v="7"/>
    <n v="558"/>
    <n v="5"/>
    <n v="932"/>
    <n v="565.437093"/>
    <n v="3.3906459999999501"/>
    <n v="1316.5632743731001"/>
    <n v="2198.9909887378699"/>
    <x v="39"/>
    <x v="77"/>
    <s v="PP_FIX3"/>
    <s v="PPPCRT1"/>
    <s v="Other ProcN Devices"/>
    <s v="Other ProcN Devices"/>
    <x v="1"/>
    <x v="0"/>
    <x v="4"/>
  </r>
  <r>
    <s v="10.12.0.252"/>
    <x v="1004"/>
    <s v="10.12.0.254"/>
    <x v="116"/>
    <n v="12"/>
    <x v="75"/>
    <n v="7"/>
    <n v="568"/>
    <n v="5"/>
    <n v="952"/>
    <n v="580.351135"/>
    <n v="0.95745799999997405"/>
    <n v="4745.9000812569602"/>
    <n v="7954.39591083912"/>
    <x v="39"/>
    <x v="77"/>
    <s v="PP_FIX3"/>
    <s v="PPPCRT1"/>
    <s v="Other ProcN Devices"/>
    <s v="Other ProcN Devices"/>
    <x v="1"/>
    <x v="0"/>
    <x v="4"/>
  </r>
  <r>
    <s v="10.12.0.252"/>
    <x v="1005"/>
    <s v="10.12.0.254"/>
    <x v="116"/>
    <n v="14"/>
    <x v="76"/>
    <n v="8"/>
    <n v="763"/>
    <n v="6"/>
    <n v="1767"/>
    <n v="581.91506200000003"/>
    <n v="60.215380000000003"/>
    <n v="101.369450794797"/>
    <n v="234.75729954705901"/>
    <x v="39"/>
    <x v="77"/>
    <s v="PP_FIX3"/>
    <s v="PPPCRT1"/>
    <s v="Other ProcN Devices"/>
    <s v="Other ProcN Devices"/>
    <x v="1"/>
    <x v="0"/>
    <x v="4"/>
  </r>
  <r>
    <s v="10.12.0.253"/>
    <x v="1006"/>
    <s v="92.123.194.164"/>
    <x v="116"/>
    <n v="3"/>
    <x v="49"/>
    <n v="3"/>
    <n v="194"/>
    <n v="0"/>
    <n v="0"/>
    <n v="185.36999700000001"/>
    <n v="8.9997159999999798"/>
    <n v="172.44988619640901"/>
    <n v="0"/>
    <x v="40"/>
    <x v="89"/>
    <s v="ENG"/>
    <e v="#N/A"/>
    <s v="Other ProcN Devices"/>
    <e v="#N/A"/>
    <x v="1"/>
    <x v="3"/>
    <x v="4"/>
  </r>
  <r>
    <s v="10.12.0.253"/>
    <x v="1007"/>
    <s v="23.37.43.27"/>
    <x v="116"/>
    <n v="3"/>
    <x v="49"/>
    <n v="3"/>
    <n v="194"/>
    <n v="0"/>
    <n v="0"/>
    <n v="200.74833899999999"/>
    <n v="8.9946310000000302"/>
    <n v="172.54737854171"/>
    <n v="0"/>
    <x v="40"/>
    <x v="90"/>
    <s v="ENG"/>
    <e v="#N/A"/>
    <s v="Other ProcN Devices"/>
    <e v="#N/A"/>
    <x v="1"/>
    <x v="3"/>
    <x v="4"/>
  </r>
  <r>
    <s v="10.12.0.253"/>
    <x v="1008"/>
    <s v="92.123.194.116"/>
    <x v="116"/>
    <n v="2"/>
    <x v="77"/>
    <n v="2"/>
    <n v="132"/>
    <n v="0"/>
    <n v="0"/>
    <n v="206.37110100000001"/>
    <n v="2.9998870000000002"/>
    <n v="352.013259166095"/>
    <n v="0"/>
    <x v="40"/>
    <x v="91"/>
    <s v="ENG"/>
    <e v="#N/A"/>
    <s v="Other ProcN Devices"/>
    <e v="#N/A"/>
    <x v="1"/>
    <x v="3"/>
    <x v="4"/>
  </r>
  <r>
    <s v="10.12.0.253"/>
    <x v="1009"/>
    <s v="23.37.37.163"/>
    <x v="116"/>
    <n v="2"/>
    <x v="77"/>
    <n v="2"/>
    <n v="132"/>
    <n v="0"/>
    <n v="0"/>
    <n v="210.749236"/>
    <n v="2.99702500000001"/>
    <n v="352.34941316805703"/>
    <n v="0"/>
    <x v="40"/>
    <x v="92"/>
    <s v="ENG"/>
    <e v="#N/A"/>
    <s v="Other ProcN Devices"/>
    <e v="#N/A"/>
    <x v="1"/>
    <x v="3"/>
    <x v="4"/>
  </r>
  <r>
    <s v="10.12.0.253"/>
    <x v="1010"/>
    <s v="92.123.194.164"/>
    <x v="116"/>
    <n v="3"/>
    <x v="49"/>
    <n v="3"/>
    <n v="194"/>
    <n v="0"/>
    <n v="0"/>
    <n v="759.75387999999998"/>
    <n v="9.0007030000000405"/>
    <n v="172.43097566934401"/>
    <n v="0"/>
    <x v="40"/>
    <x v="89"/>
    <s v="ENG"/>
    <e v="#N/A"/>
    <s v="Other ProcN Devices"/>
    <e v="#N/A"/>
    <x v="1"/>
    <x v="3"/>
    <x v="4"/>
  </r>
  <r>
    <s v="10.12.0.253"/>
    <x v="1011"/>
    <s v="23.37.43.27"/>
    <x v="116"/>
    <n v="3"/>
    <x v="49"/>
    <n v="3"/>
    <n v="194"/>
    <n v="0"/>
    <n v="0"/>
    <n v="774.76168399999995"/>
    <n v="8.99996900000008"/>
    <n v="172.44503842179799"/>
    <n v="0"/>
    <x v="40"/>
    <x v="90"/>
    <s v="ENG"/>
    <e v="#N/A"/>
    <s v="Other ProcN Devices"/>
    <e v="#N/A"/>
    <x v="1"/>
    <x v="3"/>
    <x v="4"/>
  </r>
  <r>
    <s v="10.12.0.253"/>
    <x v="1012"/>
    <s v="92.123.194.116"/>
    <x v="116"/>
    <n v="2"/>
    <x v="77"/>
    <n v="2"/>
    <n v="132"/>
    <n v="0"/>
    <n v="0"/>
    <n v="780.75475800000004"/>
    <n v="2.9999070000000101"/>
    <n v="352.01091233828203"/>
    <n v="0"/>
    <x v="40"/>
    <x v="91"/>
    <s v="ENG"/>
    <e v="#N/A"/>
    <s v="Other ProcN Devices"/>
    <e v="#N/A"/>
    <x v="1"/>
    <x v="3"/>
    <x v="4"/>
  </r>
  <r>
    <s v="10.12.0.253"/>
    <x v="1013"/>
    <s v="23.37.37.163"/>
    <x v="116"/>
    <n v="2"/>
    <x v="77"/>
    <n v="2"/>
    <n v="132"/>
    <n v="0"/>
    <n v="0"/>
    <n v="784.75893599999995"/>
    <n v="3.0001380000001099"/>
    <n v="351.98380874478499"/>
    <n v="0"/>
    <x v="40"/>
    <x v="92"/>
    <s v="ENG"/>
    <e v="#N/A"/>
    <s v="Other ProcN Devices"/>
    <e v="#N/A"/>
    <x v="1"/>
    <x v="3"/>
    <x v="4"/>
  </r>
  <r>
    <s v="10.12.1.124"/>
    <x v="762"/>
    <s v="10.1.1.2"/>
    <x v="107"/>
    <n v="3"/>
    <x v="78"/>
    <n v="3"/>
    <n v="192"/>
    <n v="0"/>
    <n v="0"/>
    <n v="0.58788899999999999"/>
    <n v="31.951091999999999"/>
    <n v="48.073474296277602"/>
    <n v="0"/>
    <x v="41"/>
    <x v="93"/>
    <s v="KBPPLC"/>
    <e v="#N/A"/>
    <s v="Slag Fumer"/>
    <e v="#N/A"/>
    <x v="2"/>
    <x v="3"/>
    <x v="3"/>
  </r>
  <r>
    <s v="10.12.1.124"/>
    <x v="1014"/>
    <s v="10.1.1.3"/>
    <x v="107"/>
    <n v="1"/>
    <x v="79"/>
    <n v="1"/>
    <n v="64"/>
    <n v="0"/>
    <n v="0"/>
    <n v="1.8087169999999999"/>
    <n v="0"/>
    <n v="0"/>
    <n v="0"/>
    <x v="41"/>
    <x v="94"/>
    <s v="KBPPLC"/>
    <e v="#N/A"/>
    <s v="Slag Fumer"/>
    <e v="#N/A"/>
    <x v="2"/>
    <x v="3"/>
    <x v="3"/>
  </r>
  <r>
    <s v="10.12.1.124"/>
    <x v="1014"/>
    <s v="10.1.1.3"/>
    <x v="107"/>
    <n v="5"/>
    <x v="80"/>
    <n v="5"/>
    <n v="320"/>
    <n v="0"/>
    <n v="0"/>
    <n v="1.808721"/>
    <n v="146.85194799999999"/>
    <n v="17.432523264859899"/>
    <n v="0"/>
    <x v="41"/>
    <x v="94"/>
    <s v="KBPPLC"/>
    <e v="#N/A"/>
    <s v="Slag Fumer"/>
    <e v="#N/A"/>
    <x v="2"/>
    <x v="3"/>
    <x v="3"/>
  </r>
  <r>
    <s v="10.12.1.124"/>
    <x v="1015"/>
    <s v="10.1.1.2"/>
    <x v="107"/>
    <n v="1"/>
    <x v="79"/>
    <n v="1"/>
    <n v="64"/>
    <n v="0"/>
    <n v="0"/>
    <n v="4.5786290000000003"/>
    <n v="0"/>
    <n v="0"/>
    <n v="0"/>
    <x v="41"/>
    <x v="93"/>
    <s v="KBPPLC"/>
    <e v="#N/A"/>
    <s v="Slag Fumer"/>
    <e v="#N/A"/>
    <x v="2"/>
    <x v="3"/>
    <x v="3"/>
  </r>
  <r>
    <s v="10.12.1.124"/>
    <x v="1015"/>
    <s v="10.1.1.2"/>
    <x v="107"/>
    <n v="5"/>
    <x v="80"/>
    <n v="5"/>
    <n v="320"/>
    <n v="0"/>
    <n v="0"/>
    <n v="4.5786319999999998"/>
    <n v="104.851508"/>
    <n v="24.415480986692199"/>
    <n v="0"/>
    <x v="41"/>
    <x v="93"/>
    <s v="KBPPLC"/>
    <e v="#N/A"/>
    <s v="Slag Fumer"/>
    <e v="#N/A"/>
    <x v="2"/>
    <x v="3"/>
    <x v="3"/>
  </r>
  <r>
    <s v="10.12.1.124"/>
    <x v="40"/>
    <s v="10.1.1.3"/>
    <x v="107"/>
    <n v="1"/>
    <x v="79"/>
    <n v="1"/>
    <n v="64"/>
    <n v="0"/>
    <n v="0"/>
    <n v="8.7985810000000004"/>
    <n v="0"/>
    <n v="0"/>
    <n v="0"/>
    <x v="41"/>
    <x v="94"/>
    <s v="KBPPLC"/>
    <e v="#N/A"/>
    <s v="Slag Fumer"/>
    <e v="#N/A"/>
    <x v="2"/>
    <x v="3"/>
    <x v="3"/>
  </r>
  <r>
    <s v="10.12.1.124"/>
    <x v="40"/>
    <s v="10.1.1.3"/>
    <x v="107"/>
    <n v="5"/>
    <x v="80"/>
    <n v="5"/>
    <n v="320"/>
    <n v="0"/>
    <n v="0"/>
    <n v="8.7985910000000001"/>
    <n v="90.901409000000001"/>
    <n v="28.162379749251201"/>
    <n v="0"/>
    <x v="41"/>
    <x v="94"/>
    <s v="KBPPLC"/>
    <e v="#N/A"/>
    <s v="Slag Fumer"/>
    <e v="#N/A"/>
    <x v="2"/>
    <x v="3"/>
    <x v="3"/>
  </r>
  <r>
    <s v="10.12.1.124"/>
    <x v="1016"/>
    <s v="10.1.1.2"/>
    <x v="107"/>
    <n v="1"/>
    <x v="79"/>
    <n v="1"/>
    <n v="64"/>
    <n v="0"/>
    <n v="0"/>
    <n v="11.56861"/>
    <n v="0"/>
    <n v="0"/>
    <n v="0"/>
    <x v="41"/>
    <x v="93"/>
    <s v="KBPPLC"/>
    <e v="#N/A"/>
    <s v="Slag Fumer"/>
    <e v="#N/A"/>
    <x v="2"/>
    <x v="3"/>
    <x v="3"/>
  </r>
  <r>
    <s v="10.12.1.124"/>
    <x v="1016"/>
    <s v="10.1.1.2"/>
    <x v="107"/>
    <n v="5"/>
    <x v="80"/>
    <n v="5"/>
    <n v="320"/>
    <n v="0"/>
    <n v="0"/>
    <n v="11.568622"/>
    <n v="104.851607"/>
    <n v="24.415457933801601"/>
    <n v="0"/>
    <x v="41"/>
    <x v="93"/>
    <s v="KBPPLC"/>
    <e v="#N/A"/>
    <s v="Slag Fumer"/>
    <e v="#N/A"/>
    <x v="2"/>
    <x v="3"/>
    <x v="3"/>
  </r>
  <r>
    <s v="10.12.1.124"/>
    <x v="136"/>
    <s v="10.1.1.3"/>
    <x v="107"/>
    <n v="1"/>
    <x v="79"/>
    <n v="1"/>
    <n v="64"/>
    <n v="0"/>
    <n v="0"/>
    <n v="15.790414999999999"/>
    <n v="0"/>
    <n v="0"/>
    <n v="0"/>
    <x v="41"/>
    <x v="94"/>
    <s v="KBPPLC"/>
    <e v="#N/A"/>
    <s v="Slag Fumer"/>
    <e v="#N/A"/>
    <x v="2"/>
    <x v="3"/>
    <x v="3"/>
  </r>
  <r>
    <s v="10.12.1.124"/>
    <x v="136"/>
    <s v="10.1.1.3"/>
    <x v="107"/>
    <n v="5"/>
    <x v="80"/>
    <n v="5"/>
    <n v="320"/>
    <n v="0"/>
    <n v="0"/>
    <n v="15.790425000000001"/>
    <n v="146.85034300000001"/>
    <n v="17.432713793525199"/>
    <n v="0"/>
    <x v="41"/>
    <x v="94"/>
    <s v="KBPPLC"/>
    <e v="#N/A"/>
    <s v="Slag Fumer"/>
    <e v="#N/A"/>
    <x v="2"/>
    <x v="3"/>
    <x v="3"/>
  </r>
  <r>
    <s v="10.12.1.124"/>
    <x v="1017"/>
    <s v="10.1.1.2"/>
    <x v="107"/>
    <n v="1"/>
    <x v="79"/>
    <n v="1"/>
    <n v="64"/>
    <n v="0"/>
    <n v="0"/>
    <n v="18.558834000000001"/>
    <n v="0"/>
    <n v="0"/>
    <n v="0"/>
    <x v="41"/>
    <x v="93"/>
    <s v="KBPPLC"/>
    <e v="#N/A"/>
    <s v="Slag Fumer"/>
    <e v="#N/A"/>
    <x v="2"/>
    <x v="3"/>
    <x v="3"/>
  </r>
  <r>
    <s v="10.12.1.124"/>
    <x v="1017"/>
    <s v="10.1.1.2"/>
    <x v="107"/>
    <n v="5"/>
    <x v="80"/>
    <n v="5"/>
    <n v="320"/>
    <n v="0"/>
    <n v="0"/>
    <n v="18.558837"/>
    <n v="104.851516"/>
    <n v="24.4154791238307"/>
    <n v="0"/>
    <x v="41"/>
    <x v="93"/>
    <s v="KBPPLC"/>
    <e v="#N/A"/>
    <s v="Slag Fumer"/>
    <e v="#N/A"/>
    <x v="2"/>
    <x v="3"/>
    <x v="3"/>
  </r>
  <r>
    <s v="10.12.1.124"/>
    <x v="1018"/>
    <s v="10.1.1.3"/>
    <x v="107"/>
    <n v="1"/>
    <x v="79"/>
    <n v="1"/>
    <n v="64"/>
    <n v="0"/>
    <n v="0"/>
    <n v="22.788893999999999"/>
    <n v="0"/>
    <n v="0"/>
    <n v="0"/>
    <x v="41"/>
    <x v="94"/>
    <s v="KBPPLC"/>
    <e v="#N/A"/>
    <s v="Slag Fumer"/>
    <e v="#N/A"/>
    <x v="2"/>
    <x v="3"/>
    <x v="3"/>
  </r>
  <r>
    <s v="10.12.1.124"/>
    <x v="1018"/>
    <s v="10.1.1.3"/>
    <x v="107"/>
    <n v="5"/>
    <x v="80"/>
    <n v="5"/>
    <n v="320"/>
    <n v="0"/>
    <n v="0"/>
    <n v="22.788896000000001"/>
    <n v="34.961353000000003"/>
    <n v="73.223710764283098"/>
    <n v="0"/>
    <x v="41"/>
    <x v="94"/>
    <s v="KBPPLC"/>
    <e v="#N/A"/>
    <s v="Slag Fumer"/>
    <e v="#N/A"/>
    <x v="2"/>
    <x v="3"/>
    <x v="3"/>
  </r>
  <r>
    <s v="10.12.1.124"/>
    <x v="1019"/>
    <s v="10.1.1.2"/>
    <x v="107"/>
    <n v="1"/>
    <x v="79"/>
    <n v="1"/>
    <n v="64"/>
    <n v="0"/>
    <n v="0"/>
    <n v="25.548908000000001"/>
    <n v="0"/>
    <n v="0"/>
    <n v="0"/>
    <x v="41"/>
    <x v="93"/>
    <s v="KBPPLC"/>
    <e v="#N/A"/>
    <s v="Slag Fumer"/>
    <e v="#N/A"/>
    <x v="2"/>
    <x v="3"/>
    <x v="3"/>
  </r>
  <r>
    <s v="10.12.1.124"/>
    <x v="1019"/>
    <s v="10.1.1.2"/>
    <x v="107"/>
    <n v="5"/>
    <x v="80"/>
    <n v="5"/>
    <n v="320"/>
    <n v="0"/>
    <n v="0"/>
    <n v="25.548911"/>
    <n v="34.950482000000001"/>
    <n v="73.246486271634296"/>
    <n v="0"/>
    <x v="41"/>
    <x v="93"/>
    <s v="KBPPLC"/>
    <e v="#N/A"/>
    <s v="Slag Fumer"/>
    <e v="#N/A"/>
    <x v="2"/>
    <x v="3"/>
    <x v="3"/>
  </r>
  <r>
    <s v="10.12.1.124"/>
    <x v="1020"/>
    <s v="10.1.1.3"/>
    <x v="107"/>
    <n v="1"/>
    <x v="79"/>
    <n v="1"/>
    <n v="64"/>
    <n v="0"/>
    <n v="0"/>
    <n v="29.779053999999999"/>
    <n v="0"/>
    <n v="0"/>
    <n v="0"/>
    <x v="41"/>
    <x v="94"/>
    <s v="KBPPLC"/>
    <e v="#N/A"/>
    <s v="Slag Fumer"/>
    <e v="#N/A"/>
    <x v="2"/>
    <x v="3"/>
    <x v="3"/>
  </r>
  <r>
    <s v="10.12.1.124"/>
    <x v="1020"/>
    <s v="10.1.1.3"/>
    <x v="107"/>
    <n v="5"/>
    <x v="80"/>
    <n v="5"/>
    <n v="320"/>
    <n v="0"/>
    <n v="0"/>
    <n v="29.779057999999999"/>
    <n v="125.87179"/>
    <n v="20.338155197443399"/>
    <n v="0"/>
    <x v="41"/>
    <x v="94"/>
    <s v="KBPPLC"/>
    <e v="#N/A"/>
    <s v="Slag Fumer"/>
    <e v="#N/A"/>
    <x v="2"/>
    <x v="3"/>
    <x v="3"/>
  </r>
  <r>
    <s v="10.12.1.124"/>
    <x v="762"/>
    <s v="10.1.1.2"/>
    <x v="107"/>
    <n v="5"/>
    <x v="80"/>
    <n v="5"/>
    <n v="320"/>
    <n v="0"/>
    <n v="0"/>
    <n v="32.538983000000002"/>
    <n v="104.851513"/>
    <n v="24.4154798224037"/>
    <n v="0"/>
    <x v="41"/>
    <x v="93"/>
    <s v="KBPPLC"/>
    <e v="#N/A"/>
    <s v="Slag Fumer"/>
    <e v="#N/A"/>
    <x v="2"/>
    <x v="3"/>
    <x v="3"/>
  </r>
  <r>
    <s v="10.12.1.124"/>
    <x v="619"/>
    <s v="10.1.1.3"/>
    <x v="107"/>
    <n v="1"/>
    <x v="79"/>
    <n v="1"/>
    <n v="64"/>
    <n v="0"/>
    <n v="0"/>
    <n v="36.769025999999997"/>
    <n v="0"/>
    <n v="0"/>
    <n v="0"/>
    <x v="41"/>
    <x v="94"/>
    <s v="KBPPLC"/>
    <e v="#N/A"/>
    <s v="Slag Fumer"/>
    <e v="#N/A"/>
    <x v="2"/>
    <x v="3"/>
    <x v="3"/>
  </r>
  <r>
    <s v="10.12.1.124"/>
    <x v="619"/>
    <s v="10.1.1.3"/>
    <x v="107"/>
    <n v="5"/>
    <x v="80"/>
    <n v="5"/>
    <n v="320"/>
    <n v="0"/>
    <n v="0"/>
    <n v="36.769029000000003"/>
    <n v="34.970574999999997"/>
    <n v="73.204401128663207"/>
    <n v="0"/>
    <x v="41"/>
    <x v="94"/>
    <s v="KBPPLC"/>
    <e v="#N/A"/>
    <s v="Slag Fumer"/>
    <e v="#N/A"/>
    <x v="2"/>
    <x v="3"/>
    <x v="3"/>
  </r>
  <r>
    <s v="10.12.1.124"/>
    <x v="135"/>
    <s v="10.1.1.2"/>
    <x v="107"/>
    <n v="1"/>
    <x v="79"/>
    <n v="1"/>
    <n v="64"/>
    <n v="0"/>
    <n v="0"/>
    <n v="39.529172000000003"/>
    <n v="0"/>
    <n v="0"/>
    <n v="0"/>
    <x v="41"/>
    <x v="93"/>
    <s v="KBPPLC"/>
    <e v="#N/A"/>
    <s v="Slag Fumer"/>
    <e v="#N/A"/>
    <x v="2"/>
    <x v="3"/>
    <x v="3"/>
  </r>
  <r>
    <s v="10.12.1.124"/>
    <x v="135"/>
    <s v="10.1.1.2"/>
    <x v="107"/>
    <n v="5"/>
    <x v="80"/>
    <n v="5"/>
    <n v="320"/>
    <n v="0"/>
    <n v="0"/>
    <n v="39.529175000000002"/>
    <n v="34.950493999999999"/>
    <n v="73.2464611229816"/>
    <n v="0"/>
    <x v="41"/>
    <x v="93"/>
    <s v="KBPPLC"/>
    <e v="#N/A"/>
    <s v="Slag Fumer"/>
    <e v="#N/A"/>
    <x v="2"/>
    <x v="3"/>
    <x v="3"/>
  </r>
  <r>
    <s v="10.12.1.124"/>
    <x v="1021"/>
    <s v="10.1.1.3"/>
    <x v="107"/>
    <n v="1"/>
    <x v="79"/>
    <n v="1"/>
    <n v="64"/>
    <n v="0"/>
    <n v="0"/>
    <n v="43.759987000000002"/>
    <n v="0"/>
    <n v="0"/>
    <n v="0"/>
    <x v="41"/>
    <x v="94"/>
    <s v="KBPPLC"/>
    <e v="#N/A"/>
    <s v="Slag Fumer"/>
    <e v="#N/A"/>
    <x v="2"/>
    <x v="3"/>
    <x v="3"/>
  </r>
  <r>
    <s v="10.12.1.124"/>
    <x v="1021"/>
    <s v="10.1.1.3"/>
    <x v="107"/>
    <n v="5"/>
    <x v="80"/>
    <n v="5"/>
    <n v="320"/>
    <n v="0"/>
    <n v="0"/>
    <n v="43.759990999999999"/>
    <n v="34.969779000000003"/>
    <n v="73.206067444692707"/>
    <n v="0"/>
    <x v="41"/>
    <x v="94"/>
    <s v="KBPPLC"/>
    <e v="#N/A"/>
    <s v="Slag Fumer"/>
    <e v="#N/A"/>
    <x v="2"/>
    <x v="3"/>
    <x v="3"/>
  </r>
  <r>
    <s v="10.12.1.124"/>
    <x v="1022"/>
    <s v="10.1.1.2"/>
    <x v="107"/>
    <n v="1"/>
    <x v="79"/>
    <n v="1"/>
    <n v="64"/>
    <n v="0"/>
    <n v="0"/>
    <n v="46.519260000000003"/>
    <n v="0"/>
    <n v="0"/>
    <n v="0"/>
    <x v="41"/>
    <x v="93"/>
    <s v="KBPPLC"/>
    <e v="#N/A"/>
    <s v="Slag Fumer"/>
    <e v="#N/A"/>
    <x v="2"/>
    <x v="3"/>
    <x v="3"/>
  </r>
  <r>
    <s v="10.12.1.124"/>
    <x v="1022"/>
    <s v="10.1.1.2"/>
    <x v="107"/>
    <n v="5"/>
    <x v="80"/>
    <n v="5"/>
    <n v="320"/>
    <n v="0"/>
    <n v="0"/>
    <n v="46.519263000000002"/>
    <n v="34.950490000000002"/>
    <n v="73.246469505863899"/>
    <n v="0"/>
    <x v="41"/>
    <x v="93"/>
    <s v="KBPPLC"/>
    <e v="#N/A"/>
    <s v="Slag Fumer"/>
    <e v="#N/A"/>
    <x v="2"/>
    <x v="3"/>
    <x v="3"/>
  </r>
  <r>
    <s v="10.12.1.124"/>
    <x v="1023"/>
    <s v="10.1.1.3"/>
    <x v="107"/>
    <n v="1"/>
    <x v="79"/>
    <n v="1"/>
    <n v="64"/>
    <n v="0"/>
    <n v="0"/>
    <n v="50.759306000000002"/>
    <n v="0"/>
    <n v="0"/>
    <n v="0"/>
    <x v="41"/>
    <x v="94"/>
    <s v="KBPPLC"/>
    <e v="#N/A"/>
    <s v="Slag Fumer"/>
    <e v="#N/A"/>
    <x v="2"/>
    <x v="3"/>
    <x v="3"/>
  </r>
  <r>
    <s v="10.12.1.124"/>
    <x v="1023"/>
    <s v="10.1.1.3"/>
    <x v="107"/>
    <n v="5"/>
    <x v="80"/>
    <n v="5"/>
    <n v="320"/>
    <n v="0"/>
    <n v="0"/>
    <n v="50.759309000000002"/>
    <n v="160.82232400000001"/>
    <n v="15.918188074436699"/>
    <n v="0"/>
    <x v="41"/>
    <x v="94"/>
    <s v="KBPPLC"/>
    <e v="#N/A"/>
    <s v="Slag Fumer"/>
    <e v="#N/A"/>
    <x v="2"/>
    <x v="3"/>
    <x v="3"/>
  </r>
  <r>
    <s v="10.12.1.124"/>
    <x v="1024"/>
    <s v="10.1.1.2"/>
    <x v="107"/>
    <n v="1"/>
    <x v="79"/>
    <n v="1"/>
    <n v="64"/>
    <n v="0"/>
    <n v="0"/>
    <n v="53.509222999999999"/>
    <n v="0"/>
    <n v="0"/>
    <n v="0"/>
    <x v="41"/>
    <x v="93"/>
    <s v="KBPPLC"/>
    <e v="#N/A"/>
    <s v="Slag Fumer"/>
    <e v="#N/A"/>
    <x v="2"/>
    <x v="3"/>
    <x v="3"/>
  </r>
  <r>
    <s v="10.12.1.124"/>
    <x v="1024"/>
    <s v="10.1.1.2"/>
    <x v="107"/>
    <n v="5"/>
    <x v="80"/>
    <n v="5"/>
    <n v="320"/>
    <n v="0"/>
    <n v="0"/>
    <n v="53.509224000000003"/>
    <n v="125.83193900000001"/>
    <n v="20.344596295222001"/>
    <n v="0"/>
    <x v="41"/>
    <x v="93"/>
    <s v="KBPPLC"/>
    <e v="#N/A"/>
    <s v="Slag Fumer"/>
    <e v="#N/A"/>
    <x v="2"/>
    <x v="3"/>
    <x v="3"/>
  </r>
  <r>
    <s v="10.12.1.124"/>
    <x v="1018"/>
    <s v="10.1.1.3"/>
    <x v="107"/>
    <n v="5"/>
    <x v="80"/>
    <n v="5"/>
    <n v="320"/>
    <n v="0"/>
    <n v="0"/>
    <n v="57.750252000000003"/>
    <n v="160.82156800000001"/>
    <n v="15.9182629036424"/>
    <n v="0"/>
    <x v="41"/>
    <x v="94"/>
    <s v="KBPPLC"/>
    <e v="#N/A"/>
    <s v="Slag Fumer"/>
    <e v="#N/A"/>
    <x v="2"/>
    <x v="3"/>
    <x v="3"/>
  </r>
  <r>
    <s v="10.12.1.124"/>
    <x v="1019"/>
    <s v="10.1.1.2"/>
    <x v="107"/>
    <n v="5"/>
    <x v="80"/>
    <n v="5"/>
    <n v="320"/>
    <n v="0"/>
    <n v="0"/>
    <n v="60.499394000000002"/>
    <n v="34.95073"/>
    <n v="73.245966536321305"/>
    <n v="0"/>
    <x v="41"/>
    <x v="93"/>
    <s v="KBPPLC"/>
    <e v="#N/A"/>
    <s v="Slag Fumer"/>
    <e v="#N/A"/>
    <x v="2"/>
    <x v="3"/>
    <x v="3"/>
  </r>
  <r>
    <s v="10.12.1.124"/>
    <x v="1025"/>
    <s v="10.1.1.3"/>
    <x v="107"/>
    <n v="1"/>
    <x v="79"/>
    <n v="1"/>
    <n v="64"/>
    <n v="0"/>
    <n v="0"/>
    <n v="64.749540999999994"/>
    <n v="0"/>
    <n v="0"/>
    <n v="0"/>
    <x v="41"/>
    <x v="94"/>
    <s v="KBPPLC"/>
    <e v="#N/A"/>
    <s v="Slag Fumer"/>
    <e v="#N/A"/>
    <x v="2"/>
    <x v="3"/>
    <x v="3"/>
  </r>
  <r>
    <s v="10.12.1.124"/>
    <x v="1025"/>
    <s v="10.1.1.3"/>
    <x v="107"/>
    <n v="5"/>
    <x v="80"/>
    <n v="5"/>
    <n v="320"/>
    <n v="0"/>
    <n v="0"/>
    <n v="64.749544"/>
    <n v="286.66398700000002"/>
    <n v="8.9303160358262907"/>
    <n v="0"/>
    <x v="41"/>
    <x v="94"/>
    <s v="KBPPLC"/>
    <e v="#N/A"/>
    <s v="Slag Fumer"/>
    <e v="#N/A"/>
    <x v="2"/>
    <x v="3"/>
    <x v="3"/>
  </r>
  <r>
    <s v="10.12.1.124"/>
    <x v="1026"/>
    <s v="10.1.1.2"/>
    <x v="107"/>
    <n v="1"/>
    <x v="79"/>
    <n v="1"/>
    <n v="64"/>
    <n v="0"/>
    <n v="0"/>
    <n v="67.489621"/>
    <n v="0"/>
    <n v="0"/>
    <n v="0"/>
    <x v="41"/>
    <x v="93"/>
    <s v="KBPPLC"/>
    <e v="#N/A"/>
    <s v="Slag Fumer"/>
    <e v="#N/A"/>
    <x v="2"/>
    <x v="3"/>
    <x v="3"/>
  </r>
  <r>
    <s v="10.12.1.124"/>
    <x v="1026"/>
    <s v="10.1.1.2"/>
    <x v="107"/>
    <n v="5"/>
    <x v="80"/>
    <n v="5"/>
    <n v="320"/>
    <n v="0"/>
    <n v="0"/>
    <n v="67.489626000000001"/>
    <n v="125.83166900000001"/>
    <n v="20.3446399491053"/>
    <n v="0"/>
    <x v="41"/>
    <x v="93"/>
    <s v="KBPPLC"/>
    <e v="#N/A"/>
    <s v="Slag Fumer"/>
    <e v="#N/A"/>
    <x v="2"/>
    <x v="3"/>
    <x v="3"/>
  </r>
  <r>
    <s v="10.12.1.124"/>
    <x v="619"/>
    <s v="10.1.1.3"/>
    <x v="107"/>
    <n v="5"/>
    <x v="80"/>
    <n v="5"/>
    <n v="320"/>
    <n v="0"/>
    <n v="0"/>
    <n v="71.739605999999995"/>
    <n v="251.713482"/>
    <n v="10.170293540335701"/>
    <n v="0"/>
    <x v="41"/>
    <x v="94"/>
    <s v="KBPPLC"/>
    <e v="#N/A"/>
    <s v="Slag Fumer"/>
    <e v="#N/A"/>
    <x v="2"/>
    <x v="3"/>
    <x v="3"/>
  </r>
  <r>
    <s v="10.12.1.124"/>
    <x v="135"/>
    <s v="10.1.1.2"/>
    <x v="107"/>
    <n v="5"/>
    <x v="80"/>
    <n v="5"/>
    <n v="320"/>
    <n v="0"/>
    <n v="0"/>
    <n v="74.479670999999996"/>
    <n v="160.80224699999999"/>
    <n v="15.9201755433181"/>
    <n v="0"/>
    <x v="41"/>
    <x v="93"/>
    <s v="KBPPLC"/>
    <e v="#N/A"/>
    <s v="Slag Fumer"/>
    <e v="#N/A"/>
    <x v="2"/>
    <x v="3"/>
    <x v="3"/>
  </r>
  <r>
    <s v="10.12.1.124"/>
    <x v="1021"/>
    <s v="10.1.1.3"/>
    <x v="107"/>
    <n v="5"/>
    <x v="80"/>
    <n v="5"/>
    <n v="320"/>
    <n v="0"/>
    <n v="0"/>
    <n v="78.729775000000004"/>
    <n v="125.861801"/>
    <n v="20.339769331602"/>
    <n v="0"/>
    <x v="41"/>
    <x v="94"/>
    <s v="KBPPLC"/>
    <e v="#N/A"/>
    <s v="Slag Fumer"/>
    <e v="#N/A"/>
    <x v="2"/>
    <x v="3"/>
    <x v="3"/>
  </r>
  <r>
    <s v="10.12.1.124"/>
    <x v="1022"/>
    <s v="10.1.1.2"/>
    <x v="107"/>
    <n v="5"/>
    <x v="80"/>
    <n v="5"/>
    <n v="320"/>
    <n v="0"/>
    <n v="0"/>
    <n v="81.469755000000006"/>
    <n v="356.54510800000003"/>
    <n v="7.1800171775179704"/>
    <n v="0"/>
    <x v="41"/>
    <x v="93"/>
    <s v="KBPPLC"/>
    <e v="#N/A"/>
    <s v="Slag Fumer"/>
    <e v="#N/A"/>
    <x v="2"/>
    <x v="3"/>
    <x v="3"/>
  </r>
  <r>
    <s v="10.12.1.124"/>
    <x v="1027"/>
    <s v="10.1.1.3"/>
    <x v="107"/>
    <n v="1"/>
    <x v="79"/>
    <n v="1"/>
    <n v="64"/>
    <n v="0"/>
    <n v="0"/>
    <n v="85.719791999999998"/>
    <n v="0"/>
    <n v="0"/>
    <n v="0"/>
    <x v="41"/>
    <x v="94"/>
    <s v="KBPPLC"/>
    <e v="#N/A"/>
    <s v="Slag Fumer"/>
    <e v="#N/A"/>
    <x v="2"/>
    <x v="3"/>
    <x v="3"/>
  </r>
  <r>
    <s v="10.12.1.124"/>
    <x v="1027"/>
    <s v="10.1.1.3"/>
    <x v="107"/>
    <n v="5"/>
    <x v="80"/>
    <n v="5"/>
    <n v="320"/>
    <n v="0"/>
    <n v="0"/>
    <n v="85.719793999999993"/>
    <n v="34.951160000000002"/>
    <n v="73.2450653998322"/>
    <n v="0"/>
    <x v="41"/>
    <x v="94"/>
    <s v="KBPPLC"/>
    <e v="#N/A"/>
    <s v="Slag Fumer"/>
    <e v="#N/A"/>
    <x v="2"/>
    <x v="3"/>
    <x v="3"/>
  </r>
  <r>
    <s v="10.12.1.124"/>
    <x v="1028"/>
    <s v="10.1.1.2"/>
    <x v="107"/>
    <n v="1"/>
    <x v="79"/>
    <n v="1"/>
    <n v="64"/>
    <n v="0"/>
    <n v="0"/>
    <n v="88.459890999999999"/>
    <n v="0"/>
    <n v="0"/>
    <n v="0"/>
    <x v="41"/>
    <x v="93"/>
    <s v="KBPPLC"/>
    <e v="#N/A"/>
    <s v="Slag Fumer"/>
    <e v="#N/A"/>
    <x v="2"/>
    <x v="3"/>
    <x v="3"/>
  </r>
  <r>
    <s v="10.12.1.124"/>
    <x v="1028"/>
    <s v="10.1.1.2"/>
    <x v="107"/>
    <n v="5"/>
    <x v="80"/>
    <n v="5"/>
    <n v="320"/>
    <n v="0"/>
    <n v="0"/>
    <n v="88.459894000000006"/>
    <n v="139.82193100000001"/>
    <n v="18.309001897563601"/>
    <n v="0"/>
    <x v="41"/>
    <x v="93"/>
    <s v="KBPPLC"/>
    <e v="#N/A"/>
    <s v="Slag Fumer"/>
    <e v="#N/A"/>
    <x v="2"/>
    <x v="3"/>
    <x v="3"/>
  </r>
  <r>
    <s v="10.12.1.124"/>
    <x v="1029"/>
    <s v="10.1.1.3"/>
    <x v="107"/>
    <n v="1"/>
    <x v="79"/>
    <n v="1"/>
    <n v="64"/>
    <n v="0"/>
    <n v="0"/>
    <n v="92.709902999999997"/>
    <n v="0"/>
    <n v="0"/>
    <n v="0"/>
    <x v="41"/>
    <x v="94"/>
    <s v="KBPPLC"/>
    <e v="#N/A"/>
    <s v="Slag Fumer"/>
    <e v="#N/A"/>
    <x v="2"/>
    <x v="3"/>
    <x v="3"/>
  </r>
  <r>
    <s v="10.12.1.124"/>
    <x v="1029"/>
    <s v="10.1.1.3"/>
    <x v="107"/>
    <n v="5"/>
    <x v="80"/>
    <n v="5"/>
    <n v="320"/>
    <n v="0"/>
    <n v="0"/>
    <n v="92.709906000000004"/>
    <n v="34.961320000000001"/>
    <n v="73.223779880164699"/>
    <n v="0"/>
    <x v="41"/>
    <x v="94"/>
    <s v="KBPPLC"/>
    <e v="#N/A"/>
    <s v="Slag Fumer"/>
    <e v="#N/A"/>
    <x v="2"/>
    <x v="3"/>
    <x v="3"/>
  </r>
  <r>
    <s v="10.12.1.124"/>
    <x v="1019"/>
    <s v="10.1.1.2"/>
    <x v="107"/>
    <n v="5"/>
    <x v="80"/>
    <n v="5"/>
    <n v="320"/>
    <n v="0"/>
    <n v="0"/>
    <n v="95.450126999999995"/>
    <n v="90.881072000000003"/>
    <n v="28.168681813084198"/>
    <n v="0"/>
    <x v="41"/>
    <x v="93"/>
    <s v="KBPPLC"/>
    <e v="#N/A"/>
    <s v="Slag Fumer"/>
    <e v="#N/A"/>
    <x v="2"/>
    <x v="3"/>
    <x v="3"/>
  </r>
  <r>
    <s v="10.12.1.124"/>
    <x v="40"/>
    <s v="10.1.1.3"/>
    <x v="107"/>
    <n v="5"/>
    <x v="80"/>
    <n v="5"/>
    <n v="320"/>
    <n v="0"/>
    <n v="0"/>
    <n v="99.700002999999995"/>
    <n v="34.970483999999999"/>
    <n v="73.204591620750804"/>
    <n v="0"/>
    <x v="41"/>
    <x v="94"/>
    <s v="KBPPLC"/>
    <e v="#N/A"/>
    <s v="Slag Fumer"/>
    <e v="#N/A"/>
    <x v="2"/>
    <x v="3"/>
    <x v="3"/>
  </r>
  <r>
    <s v="10.12.1.124"/>
    <x v="1030"/>
    <s v="10.1.1.2"/>
    <x v="107"/>
    <n v="1"/>
    <x v="79"/>
    <n v="1"/>
    <n v="64"/>
    <n v="0"/>
    <n v="0"/>
    <n v="102.439986"/>
    <n v="0"/>
    <n v="0"/>
    <n v="0"/>
    <x v="41"/>
    <x v="93"/>
    <s v="KBPPLC"/>
    <e v="#N/A"/>
    <s v="Slag Fumer"/>
    <e v="#N/A"/>
    <x v="2"/>
    <x v="3"/>
    <x v="3"/>
  </r>
  <r>
    <s v="10.12.1.124"/>
    <x v="1030"/>
    <s v="10.1.1.2"/>
    <x v="107"/>
    <n v="5"/>
    <x v="80"/>
    <n v="5"/>
    <n v="320"/>
    <n v="0"/>
    <n v="0"/>
    <n v="102.439987"/>
    <n v="104.862245"/>
    <n v="24.412981049566501"/>
    <n v="0"/>
    <x v="41"/>
    <x v="93"/>
    <s v="KBPPLC"/>
    <e v="#N/A"/>
    <s v="Slag Fumer"/>
    <e v="#N/A"/>
    <x v="2"/>
    <x v="3"/>
    <x v="3"/>
  </r>
  <r>
    <s v="10.12.1.124"/>
    <x v="1031"/>
    <s v="10.1.1.3"/>
    <x v="107"/>
    <n v="1"/>
    <x v="79"/>
    <n v="1"/>
    <n v="64"/>
    <n v="0"/>
    <n v="0"/>
    <n v="106.690096"/>
    <n v="0"/>
    <n v="0"/>
    <n v="0"/>
    <x v="41"/>
    <x v="94"/>
    <s v="KBPPLC"/>
    <e v="#N/A"/>
    <s v="Slag Fumer"/>
    <e v="#N/A"/>
    <x v="2"/>
    <x v="3"/>
    <x v="3"/>
  </r>
  <r>
    <s v="10.12.1.124"/>
    <x v="1031"/>
    <s v="10.1.1.3"/>
    <x v="107"/>
    <n v="5"/>
    <x v="80"/>
    <n v="5"/>
    <n v="320"/>
    <n v="0"/>
    <n v="0"/>
    <n v="106.690099"/>
    <n v="34.971238999999997"/>
    <n v="73.203011194427503"/>
    <n v="0"/>
    <x v="41"/>
    <x v="94"/>
    <s v="KBPPLC"/>
    <e v="#N/A"/>
    <s v="Slag Fumer"/>
    <e v="#N/A"/>
    <x v="2"/>
    <x v="3"/>
    <x v="3"/>
  </r>
  <r>
    <s v="10.12.1.124"/>
    <x v="1015"/>
    <s v="10.1.1.2"/>
    <x v="107"/>
    <n v="5"/>
    <x v="80"/>
    <n v="5"/>
    <n v="320"/>
    <n v="0"/>
    <n v="0"/>
    <n v="109.430144"/>
    <n v="34.951244000000003"/>
    <n v="73.244889366455794"/>
    <n v="0"/>
    <x v="41"/>
    <x v="93"/>
    <s v="KBPPLC"/>
    <e v="#N/A"/>
    <s v="Slag Fumer"/>
    <e v="#N/A"/>
    <x v="2"/>
    <x v="3"/>
    <x v="3"/>
  </r>
  <r>
    <s v="10.12.1.124"/>
    <x v="1032"/>
    <s v="10.1.1.3"/>
    <x v="107"/>
    <n v="1"/>
    <x v="79"/>
    <n v="1"/>
    <n v="64"/>
    <n v="0"/>
    <n v="0"/>
    <n v="113.680162"/>
    <n v="0"/>
    <n v="0"/>
    <n v="0"/>
    <x v="41"/>
    <x v="94"/>
    <s v="KBPPLC"/>
    <e v="#N/A"/>
    <s v="Slag Fumer"/>
    <e v="#N/A"/>
    <x v="2"/>
    <x v="3"/>
    <x v="3"/>
  </r>
  <r>
    <s v="10.12.1.124"/>
    <x v="1032"/>
    <s v="10.1.1.3"/>
    <x v="107"/>
    <n v="5"/>
    <x v="80"/>
    <n v="5"/>
    <n v="320"/>
    <n v="0"/>
    <n v="0"/>
    <n v="113.68016299999999"/>
    <n v="125.87183899999999"/>
    <n v="20.338147280107702"/>
    <n v="0"/>
    <x v="41"/>
    <x v="94"/>
    <s v="KBPPLC"/>
    <e v="#N/A"/>
    <s v="Slag Fumer"/>
    <e v="#N/A"/>
    <x v="2"/>
    <x v="3"/>
    <x v="3"/>
  </r>
  <r>
    <s v="10.12.1.124"/>
    <x v="1016"/>
    <s v="10.1.1.2"/>
    <x v="107"/>
    <n v="5"/>
    <x v="80"/>
    <n v="5"/>
    <n v="320"/>
    <n v="0"/>
    <n v="0"/>
    <n v="116.42023"/>
    <n v="34.960527999999996"/>
    <n v="73.225438700468203"/>
    <n v="0"/>
    <x v="41"/>
    <x v="93"/>
    <s v="KBPPLC"/>
    <e v="#N/A"/>
    <s v="Slag Fumer"/>
    <e v="#N/A"/>
    <x v="2"/>
    <x v="3"/>
    <x v="3"/>
  </r>
  <r>
    <s v="10.12.1.124"/>
    <x v="1027"/>
    <s v="10.1.1.3"/>
    <x v="107"/>
    <n v="5"/>
    <x v="80"/>
    <n v="5"/>
    <n v="320"/>
    <n v="0"/>
    <n v="0"/>
    <n v="120.67095999999999"/>
    <n v="125.871134"/>
    <n v="20.338261193388501"/>
    <n v="0"/>
    <x v="41"/>
    <x v="94"/>
    <s v="KBPPLC"/>
    <e v="#N/A"/>
    <s v="Slag Fumer"/>
    <e v="#N/A"/>
    <x v="2"/>
    <x v="3"/>
    <x v="3"/>
  </r>
  <r>
    <s v="10.12.1.124"/>
    <x v="1017"/>
    <s v="10.1.1.2"/>
    <x v="107"/>
    <n v="5"/>
    <x v="80"/>
    <n v="5"/>
    <n v="320"/>
    <n v="0"/>
    <n v="0"/>
    <n v="123.410355"/>
    <n v="34.960436000000001"/>
    <n v="73.225631396587801"/>
    <n v="0"/>
    <x v="41"/>
    <x v="93"/>
    <s v="KBPPLC"/>
    <e v="#N/A"/>
    <s v="Slag Fumer"/>
    <e v="#N/A"/>
    <x v="2"/>
    <x v="3"/>
    <x v="3"/>
  </r>
  <r>
    <s v="10.12.1.124"/>
    <x v="1029"/>
    <s v="10.1.1.3"/>
    <x v="107"/>
    <n v="5"/>
    <x v="80"/>
    <n v="5"/>
    <n v="320"/>
    <n v="0"/>
    <n v="0"/>
    <n v="127.671229"/>
    <n v="125.86176500000001"/>
    <n v="20.3397751493474"/>
    <n v="0"/>
    <x v="41"/>
    <x v="94"/>
    <s v="KBPPLC"/>
    <e v="#N/A"/>
    <s v="Slag Fumer"/>
    <e v="#N/A"/>
    <x v="2"/>
    <x v="3"/>
    <x v="3"/>
  </r>
  <r>
    <s v="10.12.1.124"/>
    <x v="1033"/>
    <s v="10.1.1.2"/>
    <x v="107"/>
    <n v="1"/>
    <x v="79"/>
    <n v="1"/>
    <n v="64"/>
    <n v="0"/>
    <n v="0"/>
    <n v="130.40043600000001"/>
    <n v="0"/>
    <n v="0"/>
    <n v="0"/>
    <x v="41"/>
    <x v="93"/>
    <s v="KBPPLC"/>
    <e v="#N/A"/>
    <s v="Slag Fumer"/>
    <e v="#N/A"/>
    <x v="2"/>
    <x v="3"/>
    <x v="3"/>
  </r>
  <r>
    <s v="10.12.1.124"/>
    <x v="1033"/>
    <s v="10.1.1.2"/>
    <x v="107"/>
    <n v="5"/>
    <x v="80"/>
    <n v="5"/>
    <n v="320"/>
    <n v="0"/>
    <n v="0"/>
    <n v="130.40043800000001"/>
    <n v="34.960445"/>
    <n v="73.225612545835702"/>
    <n v="0"/>
    <x v="41"/>
    <x v="93"/>
    <s v="KBPPLC"/>
    <e v="#N/A"/>
    <s v="Slag Fumer"/>
    <e v="#N/A"/>
    <x v="2"/>
    <x v="3"/>
    <x v="3"/>
  </r>
  <r>
    <s v="10.12.1.124"/>
    <x v="40"/>
    <s v="10.1.1.3"/>
    <x v="107"/>
    <n v="5"/>
    <x v="80"/>
    <n v="5"/>
    <n v="320"/>
    <n v="0"/>
    <n v="0"/>
    <n v="134.67049"/>
    <n v="90.891302999999994"/>
    <n v="28.165511061052801"/>
    <n v="0"/>
    <x v="41"/>
    <x v="94"/>
    <s v="KBPPLC"/>
    <e v="#N/A"/>
    <s v="Slag Fumer"/>
    <e v="#N/A"/>
    <x v="2"/>
    <x v="3"/>
    <x v="3"/>
  </r>
  <r>
    <s v="10.12.1.124"/>
    <x v="762"/>
    <s v="10.1.1.2"/>
    <x v="107"/>
    <n v="5"/>
    <x v="80"/>
    <n v="5"/>
    <n v="320"/>
    <n v="0"/>
    <n v="0"/>
    <n v="137.39049900000001"/>
    <n v="34.960535"/>
    <n v="73.225424038848402"/>
    <n v="0"/>
    <x v="41"/>
    <x v="93"/>
    <s v="KBPPLC"/>
    <e v="#N/A"/>
    <s v="Slag Fumer"/>
    <e v="#N/A"/>
    <x v="2"/>
    <x v="3"/>
    <x v="3"/>
  </r>
  <r>
    <s v="10.12.1.124"/>
    <x v="1031"/>
    <s v="10.1.1.3"/>
    <x v="107"/>
    <n v="5"/>
    <x v="80"/>
    <n v="5"/>
    <n v="320"/>
    <n v="0"/>
    <n v="0"/>
    <n v="141.66134099999999"/>
    <n v="90.891327000000004"/>
    <n v="28.165503623904598"/>
    <n v="0"/>
    <x v="41"/>
    <x v="94"/>
    <s v="KBPPLC"/>
    <e v="#N/A"/>
    <s v="Slag Fumer"/>
    <e v="#N/A"/>
    <x v="2"/>
    <x v="3"/>
    <x v="3"/>
  </r>
  <r>
    <s v="10.12.1.124"/>
    <x v="1015"/>
    <s v="10.1.1.2"/>
    <x v="107"/>
    <n v="5"/>
    <x v="80"/>
    <n v="5"/>
    <n v="320"/>
    <n v="0"/>
    <n v="0"/>
    <n v="144.38139100000001"/>
    <n v="125.85102999999999"/>
    <n v="20.341510117159899"/>
    <n v="0"/>
    <x v="41"/>
    <x v="93"/>
    <s v="KBPPLC"/>
    <e v="#N/A"/>
    <s v="Slag Fumer"/>
    <e v="#N/A"/>
    <x v="2"/>
    <x v="3"/>
    <x v="3"/>
  </r>
  <r>
    <s v="10.12.1.124"/>
    <x v="1014"/>
    <s v="10.1.1.3"/>
    <x v="107"/>
    <n v="5"/>
    <x v="80"/>
    <n v="5"/>
    <n v="320"/>
    <n v="0"/>
    <n v="0"/>
    <n v="148.66067200000001"/>
    <n v="34.960527999999996"/>
    <n v="73.225438700468203"/>
    <n v="0"/>
    <x v="41"/>
    <x v="94"/>
    <s v="KBPPLC"/>
    <e v="#N/A"/>
    <s v="Slag Fumer"/>
    <e v="#N/A"/>
    <x v="2"/>
    <x v="3"/>
    <x v="3"/>
  </r>
  <r>
    <s v="10.12.1.124"/>
    <x v="1016"/>
    <s v="10.1.1.2"/>
    <x v="107"/>
    <n v="5"/>
    <x v="80"/>
    <n v="5"/>
    <n v="320"/>
    <n v="0"/>
    <n v="0"/>
    <n v="151.380762"/>
    <n v="125.84174"/>
    <n v="20.3430117860735"/>
    <n v="0"/>
    <x v="41"/>
    <x v="93"/>
    <s v="KBPPLC"/>
    <e v="#N/A"/>
    <s v="Slag Fumer"/>
    <e v="#N/A"/>
    <x v="2"/>
    <x v="3"/>
    <x v="3"/>
  </r>
  <r>
    <s v="10.12.1.124"/>
    <x v="1020"/>
    <s v="10.1.1.3"/>
    <x v="107"/>
    <n v="5"/>
    <x v="80"/>
    <n v="5"/>
    <n v="320"/>
    <n v="0"/>
    <n v="0"/>
    <n v="155.65085199999999"/>
    <n v="34.960413000000003"/>
    <n v="73.225679570776194"/>
    <n v="0"/>
    <x v="41"/>
    <x v="94"/>
    <s v="KBPPLC"/>
    <e v="#N/A"/>
    <s v="Slag Fumer"/>
    <e v="#N/A"/>
    <x v="2"/>
    <x v="3"/>
    <x v="3"/>
  </r>
  <r>
    <s v="10.12.1.124"/>
    <x v="1017"/>
    <s v="10.1.1.2"/>
    <x v="107"/>
    <n v="5"/>
    <x v="80"/>
    <n v="5"/>
    <n v="320"/>
    <n v="0"/>
    <n v="0"/>
    <n v="158.37079399999999"/>
    <n v="90.891405000000006"/>
    <n v="28.165479453200199"/>
    <n v="0"/>
    <x v="41"/>
    <x v="93"/>
    <s v="KBPPLC"/>
    <e v="#N/A"/>
    <s v="Slag Fumer"/>
    <e v="#N/A"/>
    <x v="2"/>
    <x v="3"/>
    <x v="3"/>
  </r>
  <r>
    <s v="10.12.1.124"/>
    <x v="136"/>
    <s v="10.1.1.3"/>
    <x v="107"/>
    <n v="5"/>
    <x v="80"/>
    <n v="5"/>
    <n v="320"/>
    <n v="0"/>
    <n v="0"/>
    <n v="162.64077"/>
    <n v="34.960687999999998"/>
    <n v="73.225103579197295"/>
    <n v="0"/>
    <x v="41"/>
    <x v="94"/>
    <s v="KBPPLC"/>
    <e v="#N/A"/>
    <s v="Slag Fumer"/>
    <e v="#N/A"/>
    <x v="2"/>
    <x v="3"/>
    <x v="3"/>
  </r>
  <r>
    <s v="10.12.1.124"/>
    <x v="1033"/>
    <s v="10.1.1.2"/>
    <x v="107"/>
    <n v="5"/>
    <x v="80"/>
    <n v="5"/>
    <n v="320"/>
    <n v="0"/>
    <n v="0"/>
    <n v="165.36088599999999"/>
    <n v="90.891345000000001"/>
    <n v="28.1654980460461"/>
    <n v="0"/>
    <x v="41"/>
    <x v="93"/>
    <s v="KBPPLC"/>
    <e v="#N/A"/>
    <s v="Slag Fumer"/>
    <e v="#N/A"/>
    <x v="2"/>
    <x v="3"/>
    <x v="3"/>
  </r>
  <r>
    <s v="10.12.1.124"/>
    <x v="1034"/>
    <s v="10.1.1.3"/>
    <x v="107"/>
    <n v="1"/>
    <x v="79"/>
    <n v="1"/>
    <n v="64"/>
    <n v="0"/>
    <n v="0"/>
    <n v="169.631024"/>
    <n v="0"/>
    <n v="0"/>
    <n v="0"/>
    <x v="41"/>
    <x v="94"/>
    <s v="KBPPLC"/>
    <e v="#N/A"/>
    <s v="Slag Fumer"/>
    <e v="#N/A"/>
    <x v="2"/>
    <x v="3"/>
    <x v="3"/>
  </r>
  <r>
    <s v="10.12.1.124"/>
    <x v="1034"/>
    <s v="10.1.1.3"/>
    <x v="107"/>
    <n v="5"/>
    <x v="80"/>
    <n v="5"/>
    <n v="320"/>
    <n v="0"/>
    <n v="0"/>
    <n v="169.63102499999999"/>
    <n v="125.861744"/>
    <n v="20.339778543033699"/>
    <n v="0"/>
    <x v="41"/>
    <x v="94"/>
    <s v="KBPPLC"/>
    <e v="#N/A"/>
    <s v="Slag Fumer"/>
    <e v="#N/A"/>
    <x v="2"/>
    <x v="3"/>
    <x v="3"/>
  </r>
  <r>
    <s v="10.12.1.124"/>
    <x v="762"/>
    <s v="10.1.1.2"/>
    <x v="107"/>
    <n v="5"/>
    <x v="80"/>
    <n v="5"/>
    <n v="320"/>
    <n v="0"/>
    <n v="0"/>
    <n v="172.351034"/>
    <n v="90.891227000000001"/>
    <n v="28.1655346120479"/>
    <n v="0"/>
    <x v="41"/>
    <x v="93"/>
    <s v="KBPPLC"/>
    <e v="#N/A"/>
    <s v="Slag Fumer"/>
    <e v="#N/A"/>
    <x v="2"/>
    <x v="3"/>
    <x v="3"/>
  </r>
  <r>
    <s v="10.12.1.124"/>
    <x v="1035"/>
    <s v="10.1.1.3"/>
    <x v="107"/>
    <n v="1"/>
    <x v="79"/>
    <n v="1"/>
    <n v="64"/>
    <n v="0"/>
    <n v="0"/>
    <n v="176.62180900000001"/>
    <n v="0"/>
    <n v="0"/>
    <n v="0"/>
    <x v="41"/>
    <x v="94"/>
    <s v="KBPPLC"/>
    <e v="#N/A"/>
    <s v="Slag Fumer"/>
    <e v="#N/A"/>
    <x v="2"/>
    <x v="3"/>
    <x v="3"/>
  </r>
  <r>
    <s v="10.12.1.124"/>
    <x v="1035"/>
    <s v="10.1.1.3"/>
    <x v="107"/>
    <n v="5"/>
    <x v="80"/>
    <n v="5"/>
    <n v="320"/>
    <n v="0"/>
    <n v="0"/>
    <n v="176.62181000000001"/>
    <n v="125.86106700000001"/>
    <n v="20.339887949623101"/>
    <n v="0"/>
    <x v="41"/>
    <x v="94"/>
    <s v="KBPPLC"/>
    <e v="#N/A"/>
    <s v="Slag Fumer"/>
    <e v="#N/A"/>
    <x v="2"/>
    <x v="3"/>
    <x v="3"/>
  </r>
  <r>
    <s v="10.12.1.124"/>
    <x v="1024"/>
    <s v="10.1.1.2"/>
    <x v="107"/>
    <n v="5"/>
    <x v="80"/>
    <n v="5"/>
    <n v="320"/>
    <n v="0"/>
    <n v="0"/>
    <n v="179.34116700000001"/>
    <n v="34.960486000000003"/>
    <n v="73.225526670310103"/>
    <n v="0"/>
    <x v="41"/>
    <x v="93"/>
    <s v="KBPPLC"/>
    <e v="#N/A"/>
    <s v="Slag Fumer"/>
    <e v="#N/A"/>
    <x v="2"/>
    <x v="3"/>
    <x v="3"/>
  </r>
  <r>
    <s v="10.12.1.124"/>
    <x v="1014"/>
    <s v="10.1.1.3"/>
    <x v="107"/>
    <n v="5"/>
    <x v="80"/>
    <n v="5"/>
    <n v="320"/>
    <n v="0"/>
    <n v="0"/>
    <n v="183.62120300000001"/>
    <n v="125.851827"/>
    <n v="20.341381297547599"/>
    <n v="0"/>
    <x v="41"/>
    <x v="94"/>
    <s v="KBPPLC"/>
    <e v="#N/A"/>
    <s v="Slag Fumer"/>
    <e v="#N/A"/>
    <x v="2"/>
    <x v="3"/>
    <x v="3"/>
  </r>
  <r>
    <s v="10.12.1.124"/>
    <x v="1019"/>
    <s v="10.1.1.2"/>
    <x v="107"/>
    <n v="5"/>
    <x v="80"/>
    <n v="5"/>
    <n v="320"/>
    <n v="0"/>
    <n v="0"/>
    <n v="186.33120500000001"/>
    <n v="265.663861"/>
    <n v="9.6362372750428396"/>
    <n v="0"/>
    <x v="41"/>
    <x v="93"/>
    <s v="KBPPLC"/>
    <e v="#N/A"/>
    <s v="Slag Fumer"/>
    <e v="#N/A"/>
    <x v="2"/>
    <x v="3"/>
    <x v="3"/>
  </r>
  <r>
    <s v="10.12.1.124"/>
    <x v="1020"/>
    <s v="10.1.1.3"/>
    <x v="107"/>
    <n v="5"/>
    <x v="80"/>
    <n v="5"/>
    <n v="320"/>
    <n v="0"/>
    <n v="0"/>
    <n v="190.611268"/>
    <n v="125.851838"/>
    <n v="20.341379519622102"/>
    <n v="0"/>
    <x v="41"/>
    <x v="94"/>
    <s v="KBPPLC"/>
    <e v="#N/A"/>
    <s v="Slag Fumer"/>
    <e v="#N/A"/>
    <x v="2"/>
    <x v="3"/>
    <x v="3"/>
  </r>
  <r>
    <s v="10.12.1.124"/>
    <x v="1026"/>
    <s v="10.1.1.2"/>
    <x v="107"/>
    <n v="5"/>
    <x v="80"/>
    <n v="5"/>
    <n v="320"/>
    <n v="0"/>
    <n v="0"/>
    <n v="193.32129599999999"/>
    <n v="139.83206000000001"/>
    <n v="18.307675650347999"/>
    <n v="0"/>
    <x v="41"/>
    <x v="93"/>
    <s v="KBPPLC"/>
    <e v="#N/A"/>
    <s v="Slag Fumer"/>
    <e v="#N/A"/>
    <x v="2"/>
    <x v="3"/>
    <x v="3"/>
  </r>
  <r>
    <s v="10.12.1.124"/>
    <x v="136"/>
    <s v="10.1.1.3"/>
    <x v="107"/>
    <n v="5"/>
    <x v="80"/>
    <n v="5"/>
    <n v="320"/>
    <n v="0"/>
    <n v="0"/>
    <n v="197.601461"/>
    <n v="90.901251000000002"/>
    <n v="28.162428699688601"/>
    <n v="0"/>
    <x v="41"/>
    <x v="94"/>
    <s v="KBPPLC"/>
    <e v="#N/A"/>
    <s v="Slag Fumer"/>
    <e v="#N/A"/>
    <x v="2"/>
    <x v="3"/>
    <x v="3"/>
  </r>
  <r>
    <s v="10.12.1.124"/>
    <x v="618"/>
    <s v="10.1.1.2"/>
    <x v="107"/>
    <n v="1"/>
    <x v="79"/>
    <n v="1"/>
    <n v="64"/>
    <n v="0"/>
    <n v="0"/>
    <n v="200.31139999999999"/>
    <n v="0"/>
    <n v="0"/>
    <n v="0"/>
    <x v="41"/>
    <x v="93"/>
    <s v="KBPPLC"/>
    <e v="#N/A"/>
    <s v="Slag Fumer"/>
    <e v="#N/A"/>
    <x v="2"/>
    <x v="3"/>
    <x v="3"/>
  </r>
  <r>
    <s v="10.12.1.124"/>
    <x v="618"/>
    <s v="10.1.1.2"/>
    <x v="107"/>
    <n v="5"/>
    <x v="80"/>
    <n v="5"/>
    <n v="320"/>
    <n v="0"/>
    <n v="0"/>
    <n v="200.31140300000001"/>
    <n v="160.80230299999999"/>
    <n v="15.9201699990578"/>
    <n v="0"/>
    <x v="41"/>
    <x v="93"/>
    <s v="KBPPLC"/>
    <e v="#N/A"/>
    <s v="Slag Fumer"/>
    <e v="#N/A"/>
    <x v="2"/>
    <x v="3"/>
    <x v="3"/>
  </r>
  <r>
    <s v="10.12.1.124"/>
    <x v="1021"/>
    <s v="10.1.1.3"/>
    <x v="107"/>
    <n v="5"/>
    <x v="80"/>
    <n v="5"/>
    <n v="320"/>
    <n v="0"/>
    <n v="0"/>
    <n v="204.591577"/>
    <n v="160.80297999999999"/>
    <n v="15.920102973216"/>
    <n v="0"/>
    <x v="41"/>
    <x v="94"/>
    <s v="KBPPLC"/>
    <e v="#N/A"/>
    <s v="Slag Fumer"/>
    <e v="#N/A"/>
    <x v="2"/>
    <x v="3"/>
    <x v="3"/>
  </r>
  <r>
    <s v="10.12.1.124"/>
    <x v="1030"/>
    <s v="10.1.1.2"/>
    <x v="107"/>
    <n v="5"/>
    <x v="80"/>
    <n v="5"/>
    <n v="320"/>
    <n v="0"/>
    <n v="0"/>
    <n v="207.302233"/>
    <n v="34.969763"/>
    <n v="73.206100939259997"/>
    <n v="0"/>
    <x v="41"/>
    <x v="93"/>
    <s v="KBPPLC"/>
    <e v="#N/A"/>
    <s v="Slag Fumer"/>
    <e v="#N/A"/>
    <x v="2"/>
    <x v="3"/>
    <x v="3"/>
  </r>
  <r>
    <s v="10.12.1.124"/>
    <x v="1023"/>
    <s v="10.1.1.3"/>
    <x v="107"/>
    <n v="5"/>
    <x v="80"/>
    <n v="5"/>
    <n v="320"/>
    <n v="0"/>
    <n v="0"/>
    <n v="211.58163500000001"/>
    <n v="125.85167800000001"/>
    <n v="20.341405380387499"/>
    <n v="0"/>
    <x v="41"/>
    <x v="94"/>
    <s v="KBPPLC"/>
    <e v="#N/A"/>
    <s v="Slag Fumer"/>
    <e v="#N/A"/>
    <x v="2"/>
    <x v="3"/>
    <x v="3"/>
  </r>
  <r>
    <s v="10.12.1.124"/>
    <x v="1024"/>
    <s v="10.1.1.2"/>
    <x v="107"/>
    <n v="5"/>
    <x v="80"/>
    <n v="5"/>
    <n v="320"/>
    <n v="0"/>
    <n v="0"/>
    <n v="214.301658"/>
    <n v="104.871574"/>
    <n v="24.4108093581203"/>
    <n v="0"/>
    <x v="41"/>
    <x v="93"/>
    <s v="KBPPLC"/>
    <e v="#N/A"/>
    <s v="Slag Fumer"/>
    <e v="#N/A"/>
    <x v="2"/>
    <x v="3"/>
    <x v="3"/>
  </r>
  <r>
    <s v="10.12.1.124"/>
    <x v="1018"/>
    <s v="10.1.1.3"/>
    <x v="107"/>
    <n v="5"/>
    <x v="80"/>
    <n v="5"/>
    <n v="320"/>
    <n v="0"/>
    <n v="0"/>
    <n v="218.57182499999999"/>
    <n v="125.85167300000001"/>
    <n v="20.341406188537501"/>
    <n v="0"/>
    <x v="41"/>
    <x v="94"/>
    <s v="KBPPLC"/>
    <e v="#N/A"/>
    <s v="Slag Fumer"/>
    <e v="#N/A"/>
    <x v="2"/>
    <x v="3"/>
    <x v="3"/>
  </r>
  <r>
    <s v="10.12.1.124"/>
    <x v="1036"/>
    <s v="10.1.1.2"/>
    <x v="107"/>
    <n v="1"/>
    <x v="79"/>
    <n v="1"/>
    <n v="64"/>
    <n v="0"/>
    <n v="0"/>
    <n v="221.29164800000001"/>
    <n v="0"/>
    <n v="0"/>
    <n v="0"/>
    <x v="41"/>
    <x v="93"/>
    <s v="KBPPLC"/>
    <e v="#N/A"/>
    <s v="Slag Fumer"/>
    <e v="#N/A"/>
    <x v="2"/>
    <x v="3"/>
    <x v="3"/>
  </r>
  <r>
    <s v="10.12.1.124"/>
    <x v="1036"/>
    <s v="10.1.1.2"/>
    <x v="107"/>
    <n v="5"/>
    <x v="80"/>
    <n v="5"/>
    <n v="320"/>
    <n v="0"/>
    <n v="0"/>
    <n v="221.29165900000001"/>
    <n v="125.84193999999999"/>
    <n v="20.342979455021101"/>
    <n v="0"/>
    <x v="41"/>
    <x v="93"/>
    <s v="KBPPLC"/>
    <e v="#N/A"/>
    <s v="Slag Fumer"/>
    <e v="#N/A"/>
    <x v="2"/>
    <x v="3"/>
    <x v="3"/>
  </r>
  <r>
    <s v="10.12.1.124"/>
    <x v="40"/>
    <s v="10.1.1.3"/>
    <x v="107"/>
    <n v="5"/>
    <x v="80"/>
    <n v="5"/>
    <n v="320"/>
    <n v="0"/>
    <n v="0"/>
    <n v="225.56179499999999"/>
    <n v="34.970475999999998"/>
    <n v="73.204608367355405"/>
    <n v="0"/>
    <x v="41"/>
    <x v="94"/>
    <s v="KBPPLC"/>
    <e v="#N/A"/>
    <s v="Slag Fumer"/>
    <e v="#N/A"/>
    <x v="2"/>
    <x v="3"/>
    <x v="3"/>
  </r>
  <r>
    <s v="10.12.1.124"/>
    <x v="1028"/>
    <s v="10.1.1.2"/>
    <x v="107"/>
    <n v="5"/>
    <x v="80"/>
    <n v="5"/>
    <n v="320"/>
    <n v="0"/>
    <n v="0"/>
    <n v="228.28182799999999"/>
    <n v="125.841931"/>
    <n v="20.342980909916299"/>
    <n v="0"/>
    <x v="41"/>
    <x v="93"/>
    <s v="KBPPLC"/>
    <e v="#N/A"/>
    <s v="Slag Fumer"/>
    <e v="#N/A"/>
    <x v="2"/>
    <x v="3"/>
    <x v="3"/>
  </r>
  <r>
    <s v="10.12.1.124"/>
    <x v="1031"/>
    <s v="10.1.1.3"/>
    <x v="107"/>
    <n v="5"/>
    <x v="80"/>
    <n v="5"/>
    <n v="320"/>
    <n v="0"/>
    <n v="0"/>
    <n v="232.552671"/>
    <n v="34.969701000000001"/>
    <n v="73.206230730997603"/>
    <n v="0"/>
    <x v="41"/>
    <x v="94"/>
    <s v="KBPPLC"/>
    <e v="#N/A"/>
    <s v="Slag Fumer"/>
    <e v="#N/A"/>
    <x v="2"/>
    <x v="3"/>
    <x v="3"/>
  </r>
  <r>
    <s v="10.12.1.124"/>
    <x v="135"/>
    <s v="10.1.1.2"/>
    <x v="107"/>
    <n v="5"/>
    <x v="80"/>
    <n v="5"/>
    <n v="320"/>
    <n v="0"/>
    <n v="0"/>
    <n v="235.28191899999999"/>
    <n v="90.881377999999998"/>
    <n v="28.168586968388599"/>
    <n v="0"/>
    <x v="41"/>
    <x v="93"/>
    <s v="KBPPLC"/>
    <e v="#N/A"/>
    <s v="Slag Fumer"/>
    <e v="#N/A"/>
    <x v="2"/>
    <x v="3"/>
    <x v="3"/>
  </r>
  <r>
    <s v="10.12.1.124"/>
    <x v="1032"/>
    <s v="10.1.1.3"/>
    <x v="107"/>
    <n v="5"/>
    <x v="80"/>
    <n v="5"/>
    <n v="320"/>
    <n v="0"/>
    <n v="0"/>
    <n v="239.55200600000001"/>
    <n v="34.960427000000003"/>
    <n v="73.225650247349705"/>
    <n v="0"/>
    <x v="41"/>
    <x v="94"/>
    <s v="KBPPLC"/>
    <e v="#N/A"/>
    <s v="Slag Fumer"/>
    <e v="#N/A"/>
    <x v="2"/>
    <x v="3"/>
    <x v="3"/>
  </r>
  <r>
    <s v="10.12.1.124"/>
    <x v="1030"/>
    <s v="10.1.1.2"/>
    <x v="107"/>
    <n v="5"/>
    <x v="80"/>
    <n v="5"/>
    <n v="320"/>
    <n v="0"/>
    <n v="0"/>
    <n v="242.27200099999999"/>
    <n v="125.831824"/>
    <n v="20.3446148885198"/>
    <n v="0"/>
    <x v="41"/>
    <x v="93"/>
    <s v="KBPPLC"/>
    <e v="#N/A"/>
    <s v="Slag Fumer"/>
    <e v="#N/A"/>
    <x v="2"/>
    <x v="3"/>
    <x v="3"/>
  </r>
  <r>
    <s v="10.12.1.124"/>
    <x v="1027"/>
    <s v="10.1.1.3"/>
    <x v="107"/>
    <n v="5"/>
    <x v="80"/>
    <n v="5"/>
    <n v="320"/>
    <n v="0"/>
    <n v="0"/>
    <n v="246.54209399999999"/>
    <n v="34.961224999999999"/>
    <n v="73.223978850855502"/>
    <n v="0"/>
    <x v="41"/>
    <x v="94"/>
    <s v="KBPPLC"/>
    <e v="#N/A"/>
    <s v="Slag Fumer"/>
    <e v="#N/A"/>
    <x v="2"/>
    <x v="3"/>
    <x v="3"/>
  </r>
  <r>
    <s v="10.12.1.124"/>
    <x v="1017"/>
    <s v="10.1.1.2"/>
    <x v="107"/>
    <n v="5"/>
    <x v="80"/>
    <n v="5"/>
    <n v="320"/>
    <n v="0"/>
    <n v="0"/>
    <n v="249.262202"/>
    <n v="34.951157000000002"/>
    <n v="73.245071686754102"/>
    <n v="0"/>
    <x v="41"/>
    <x v="93"/>
    <s v="KBPPLC"/>
    <e v="#N/A"/>
    <s v="Slag Fumer"/>
    <e v="#N/A"/>
    <x v="2"/>
    <x v="3"/>
    <x v="3"/>
  </r>
  <r>
    <s v="10.12.1.124"/>
    <x v="1029"/>
    <s v="10.1.1.3"/>
    <x v="107"/>
    <n v="5"/>
    <x v="80"/>
    <n v="5"/>
    <n v="320"/>
    <n v="0"/>
    <n v="0"/>
    <n v="253.53299799999999"/>
    <n v="125.850954"/>
    <n v="20.341522401173101"/>
    <n v="0"/>
    <x v="41"/>
    <x v="94"/>
    <s v="KBPPLC"/>
    <e v="#N/A"/>
    <s v="Slag Fumer"/>
    <e v="#N/A"/>
    <x v="2"/>
    <x v="3"/>
    <x v="3"/>
  </r>
  <r>
    <s v="10.12.1.124"/>
    <x v="1033"/>
    <s v="10.1.1.2"/>
    <x v="107"/>
    <n v="5"/>
    <x v="80"/>
    <n v="5"/>
    <n v="320"/>
    <n v="0"/>
    <n v="0"/>
    <n v="256.25223399999999"/>
    <n v="34.960509999999999"/>
    <n v="73.225476401803107"/>
    <n v="0"/>
    <x v="41"/>
    <x v="93"/>
    <s v="KBPPLC"/>
    <e v="#N/A"/>
    <s v="Slag Fumer"/>
    <e v="#N/A"/>
    <x v="2"/>
    <x v="3"/>
    <x v="3"/>
  </r>
  <r>
    <s v="10.12.1.124"/>
    <x v="40"/>
    <s v="10.1.1.3"/>
    <x v="107"/>
    <n v="5"/>
    <x v="80"/>
    <n v="5"/>
    <n v="320"/>
    <n v="0"/>
    <n v="0"/>
    <n v="260.53227399999997"/>
    <n v="125.841938"/>
    <n v="20.342979778331099"/>
    <n v="0"/>
    <x v="41"/>
    <x v="94"/>
    <s v="KBPPLC"/>
    <e v="#N/A"/>
    <s v="Slag Fumer"/>
    <e v="#N/A"/>
    <x v="2"/>
    <x v="3"/>
    <x v="3"/>
  </r>
  <r>
    <s v="10.12.1.124"/>
    <x v="762"/>
    <s v="10.1.1.2"/>
    <x v="107"/>
    <n v="5"/>
    <x v="80"/>
    <n v="5"/>
    <n v="320"/>
    <n v="0"/>
    <n v="0"/>
    <n v="263.24226299999998"/>
    <n v="34.960501999999998"/>
    <n v="73.225493157964294"/>
    <n v="0"/>
    <x v="41"/>
    <x v="93"/>
    <s v="KBPPLC"/>
    <e v="#N/A"/>
    <s v="Slag Fumer"/>
    <e v="#N/A"/>
    <x v="2"/>
    <x v="3"/>
    <x v="3"/>
  </r>
  <r>
    <s v="10.12.1.124"/>
    <x v="1031"/>
    <s v="10.1.1.3"/>
    <x v="107"/>
    <n v="5"/>
    <x v="80"/>
    <n v="5"/>
    <n v="320"/>
    <n v="0"/>
    <n v="0"/>
    <n v="267.52237500000001"/>
    <n v="125.84178"/>
    <n v="20.3430053198548"/>
    <n v="0"/>
    <x v="41"/>
    <x v="94"/>
    <s v="KBPPLC"/>
    <e v="#N/A"/>
    <s v="Slag Fumer"/>
    <e v="#N/A"/>
    <x v="2"/>
    <x v="3"/>
    <x v="3"/>
  </r>
  <r>
    <s v="10.12.1.124"/>
    <x v="1015"/>
    <s v="10.1.1.2"/>
    <x v="107"/>
    <n v="5"/>
    <x v="80"/>
    <n v="5"/>
    <n v="320"/>
    <n v="0"/>
    <n v="0"/>
    <n v="270.23242399999998"/>
    <n v="34.96049"/>
    <n v="73.225518292220698"/>
    <n v="0"/>
    <x v="41"/>
    <x v="93"/>
    <s v="KBPPLC"/>
    <e v="#N/A"/>
    <s v="Slag Fumer"/>
    <e v="#N/A"/>
    <x v="2"/>
    <x v="3"/>
    <x v="3"/>
  </r>
  <r>
    <s v="10.12.1.124"/>
    <x v="1032"/>
    <s v="10.1.1.3"/>
    <x v="107"/>
    <n v="5"/>
    <x v="80"/>
    <n v="5"/>
    <n v="320"/>
    <n v="0"/>
    <n v="0"/>
    <n v="274.51243399999998"/>
    <n v="125.841791"/>
    <n v="20.343003541645398"/>
    <n v="0"/>
    <x v="41"/>
    <x v="94"/>
    <s v="KBPPLC"/>
    <e v="#N/A"/>
    <s v="Slag Fumer"/>
    <e v="#N/A"/>
    <x v="2"/>
    <x v="3"/>
    <x v="3"/>
  </r>
  <r>
    <s v="10.12.1.124"/>
    <x v="1016"/>
    <s v="10.1.1.2"/>
    <x v="107"/>
    <n v="5"/>
    <x v="80"/>
    <n v="5"/>
    <n v="320"/>
    <n v="0"/>
    <n v="0"/>
    <n v="277.22250500000001"/>
    <n v="34.960512999999999"/>
    <n v="73.225470118244601"/>
    <n v="0"/>
    <x v="41"/>
    <x v="93"/>
    <s v="KBPPLC"/>
    <e v="#N/A"/>
    <s v="Slag Fumer"/>
    <e v="#N/A"/>
    <x v="2"/>
    <x v="3"/>
    <x v="3"/>
  </r>
  <r>
    <s v="10.12.1.124"/>
    <x v="1027"/>
    <s v="10.1.1.3"/>
    <x v="107"/>
    <n v="5"/>
    <x v="80"/>
    <n v="5"/>
    <n v="320"/>
    <n v="0"/>
    <n v="0"/>
    <n v="281.50332200000003"/>
    <n v="90.890569999999997"/>
    <n v="28.165738205844701"/>
    <n v="0"/>
    <x v="41"/>
    <x v="94"/>
    <s v="KBPPLC"/>
    <e v="#N/A"/>
    <s v="Slag Fumer"/>
    <e v="#N/A"/>
    <x v="2"/>
    <x v="3"/>
    <x v="3"/>
  </r>
  <r>
    <s v="10.12.1.124"/>
    <x v="1017"/>
    <s v="10.1.1.2"/>
    <x v="107"/>
    <n v="5"/>
    <x v="80"/>
    <n v="5"/>
    <n v="320"/>
    <n v="0"/>
    <n v="0"/>
    <n v="284.21336200000002"/>
    <n v="104.860715"/>
    <n v="24.4133372540899"/>
    <n v="0"/>
    <x v="41"/>
    <x v="93"/>
    <s v="KBPPLC"/>
    <e v="#N/A"/>
    <s v="Slag Fumer"/>
    <e v="#N/A"/>
    <x v="2"/>
    <x v="3"/>
    <x v="3"/>
  </r>
  <r>
    <s v="10.12.1.124"/>
    <x v="136"/>
    <s v="10.1.1.3"/>
    <x v="107"/>
    <n v="5"/>
    <x v="80"/>
    <n v="5"/>
    <n v="320"/>
    <n v="0"/>
    <n v="0"/>
    <n v="288.50271700000002"/>
    <n v="139.81201200000001"/>
    <n v="18.3103008345234"/>
    <n v="0"/>
    <x v="41"/>
    <x v="94"/>
    <s v="KBPPLC"/>
    <e v="#N/A"/>
    <s v="Slag Fumer"/>
    <e v="#N/A"/>
    <x v="2"/>
    <x v="3"/>
    <x v="3"/>
  </r>
  <r>
    <s v="10.12.1.124"/>
    <x v="1033"/>
    <s v="10.1.1.2"/>
    <x v="107"/>
    <n v="5"/>
    <x v="80"/>
    <n v="5"/>
    <n v="320"/>
    <n v="0"/>
    <n v="0"/>
    <n v="291.21274499999998"/>
    <n v="125.831802"/>
    <n v="20.344618445502299"/>
    <n v="0"/>
    <x v="41"/>
    <x v="93"/>
    <s v="KBPPLC"/>
    <e v="#N/A"/>
    <s v="Slag Fumer"/>
    <e v="#N/A"/>
    <x v="2"/>
    <x v="3"/>
    <x v="3"/>
  </r>
  <r>
    <s v="10.12.1.124"/>
    <x v="1034"/>
    <s v="10.1.1.3"/>
    <x v="107"/>
    <n v="5"/>
    <x v="80"/>
    <n v="5"/>
    <n v="320"/>
    <n v="0"/>
    <n v="0"/>
    <n v="295.49277000000001"/>
    <n v="34.950566999999999"/>
    <n v="73.246308135716404"/>
    <n v="0"/>
    <x v="41"/>
    <x v="94"/>
    <s v="KBPPLC"/>
    <e v="#N/A"/>
    <s v="Slag Fumer"/>
    <e v="#N/A"/>
    <x v="2"/>
    <x v="3"/>
    <x v="3"/>
  </r>
  <r>
    <s v="10.12.1.124"/>
    <x v="762"/>
    <s v="10.1.1.2"/>
    <x v="107"/>
    <n v="5"/>
    <x v="80"/>
    <n v="5"/>
    <n v="320"/>
    <n v="0"/>
    <n v="0"/>
    <n v="298.202766"/>
    <n v="104.851519"/>
    <n v="24.4154784252577"/>
    <n v="0"/>
    <x v="41"/>
    <x v="93"/>
    <s v="KBPPLC"/>
    <e v="#N/A"/>
    <s v="Slag Fumer"/>
    <e v="#N/A"/>
    <x v="2"/>
    <x v="3"/>
    <x v="3"/>
  </r>
  <r>
    <s v="10.12.1.124"/>
    <x v="1035"/>
    <s v="10.1.1.3"/>
    <x v="107"/>
    <n v="5"/>
    <x v="80"/>
    <n v="5"/>
    <n v="320"/>
    <n v="0"/>
    <n v="0"/>
    <n v="302.48288000000002"/>
    <n v="265.67455100000001"/>
    <n v="9.63584953983794"/>
    <n v="0"/>
    <x v="41"/>
    <x v="94"/>
    <s v="KBPPLC"/>
    <e v="#N/A"/>
    <s v="Slag Fumer"/>
    <e v="#N/A"/>
    <x v="2"/>
    <x v="3"/>
    <x v="3"/>
  </r>
  <r>
    <s v="10.12.1.124"/>
    <x v="1015"/>
    <s v="10.1.1.2"/>
    <x v="107"/>
    <n v="5"/>
    <x v="80"/>
    <n v="5"/>
    <n v="320"/>
    <n v="0"/>
    <n v="0"/>
    <n v="305.19291800000002"/>
    <n v="104.852255"/>
    <n v="24.4153070432296"/>
    <n v="0"/>
    <x v="41"/>
    <x v="93"/>
    <s v="KBPPLC"/>
    <e v="#N/A"/>
    <s v="Slag Fumer"/>
    <e v="#N/A"/>
    <x v="2"/>
    <x v="3"/>
    <x v="3"/>
  </r>
  <r>
    <s v="10.12.1.124"/>
    <x v="1014"/>
    <s v="10.1.1.3"/>
    <x v="107"/>
    <n v="5"/>
    <x v="80"/>
    <n v="5"/>
    <n v="320"/>
    <n v="0"/>
    <n v="0"/>
    <n v="309.47303499999998"/>
    <n v="104.861417"/>
    <n v="24.413173817782798"/>
    <n v="0"/>
    <x v="41"/>
    <x v="94"/>
    <s v="KBPPLC"/>
    <e v="#N/A"/>
    <s v="Slag Fumer"/>
    <e v="#N/A"/>
    <x v="2"/>
    <x v="3"/>
    <x v="3"/>
  </r>
  <r>
    <s v="10.12.1.124"/>
    <x v="1016"/>
    <s v="10.1.1.2"/>
    <x v="107"/>
    <n v="5"/>
    <x v="80"/>
    <n v="5"/>
    <n v="320"/>
    <n v="0"/>
    <n v="0"/>
    <n v="312.183021"/>
    <n v="230.70330799999999"/>
    <n v="11.096503219624401"/>
    <n v="0"/>
    <x v="41"/>
    <x v="93"/>
    <s v="KBPPLC"/>
    <e v="#N/A"/>
    <s v="Slag Fumer"/>
    <e v="#N/A"/>
    <x v="2"/>
    <x v="3"/>
    <x v="3"/>
  </r>
  <r>
    <s v="10.12.1.124"/>
    <x v="1020"/>
    <s v="10.1.1.3"/>
    <x v="107"/>
    <n v="5"/>
    <x v="80"/>
    <n v="5"/>
    <n v="320"/>
    <n v="0"/>
    <n v="0"/>
    <n v="316.46310899999997"/>
    <n v="125.84173199999999"/>
    <n v="20.343013079317799"/>
    <n v="0"/>
    <x v="41"/>
    <x v="94"/>
    <s v="KBPPLC"/>
    <e v="#N/A"/>
    <s v="Slag Fumer"/>
    <e v="#N/A"/>
    <x v="2"/>
    <x v="3"/>
    <x v="3"/>
  </r>
  <r>
    <s v="10.12.1.124"/>
    <x v="1024"/>
    <s v="10.1.1.2"/>
    <x v="107"/>
    <n v="5"/>
    <x v="80"/>
    <n v="5"/>
    <n v="320"/>
    <n v="0"/>
    <n v="0"/>
    <n v="319.17323399999998"/>
    <n v="125.831723"/>
    <n v="20.344631218313701"/>
    <n v="0"/>
    <x v="41"/>
    <x v="93"/>
    <s v="KBPPLC"/>
    <e v="#N/A"/>
    <s v="Slag Fumer"/>
    <e v="#N/A"/>
    <x v="2"/>
    <x v="3"/>
    <x v="3"/>
  </r>
  <r>
    <s v="10.12.1.124"/>
    <x v="619"/>
    <s v="10.1.1.3"/>
    <x v="107"/>
    <n v="5"/>
    <x v="80"/>
    <n v="5"/>
    <n v="320"/>
    <n v="0"/>
    <n v="0"/>
    <n v="323.45308999999997"/>
    <n v="34.950693000000001"/>
    <n v="73.246044077008705"/>
    <n v="0"/>
    <x v="41"/>
    <x v="94"/>
    <s v="KBPPLC"/>
    <e v="#N/A"/>
    <s v="Slag Fumer"/>
    <e v="#N/A"/>
    <x v="2"/>
    <x v="3"/>
    <x v="3"/>
  </r>
  <r>
    <s v="10.12.1.124"/>
    <x v="135"/>
    <s v="10.1.1.2"/>
    <x v="107"/>
    <n v="5"/>
    <x v="80"/>
    <n v="5"/>
    <n v="320"/>
    <n v="0"/>
    <n v="0"/>
    <n v="326.16330199999999"/>
    <n v="104.86147800000001"/>
    <n v="24.413159616155699"/>
    <n v="0"/>
    <x v="41"/>
    <x v="93"/>
    <s v="KBPPLC"/>
    <e v="#N/A"/>
    <s v="Slag Fumer"/>
    <e v="#N/A"/>
    <x v="2"/>
    <x v="3"/>
    <x v="3"/>
  </r>
  <r>
    <s v="10.12.1.124"/>
    <x v="1034"/>
    <s v="10.1.1.3"/>
    <x v="107"/>
    <n v="5"/>
    <x v="80"/>
    <n v="5"/>
    <n v="320"/>
    <n v="0"/>
    <n v="0"/>
    <n v="330.44334099999998"/>
    <n v="104.862193"/>
    <n v="24.4129931556934"/>
    <n v="0"/>
    <x v="41"/>
    <x v="94"/>
    <s v="KBPPLC"/>
    <e v="#N/A"/>
    <s v="Slag Fumer"/>
    <e v="#N/A"/>
    <x v="2"/>
    <x v="3"/>
    <x v="3"/>
  </r>
  <r>
    <s v="10.12.1.124"/>
    <x v="1026"/>
    <s v="10.1.1.2"/>
    <x v="107"/>
    <n v="5"/>
    <x v="80"/>
    <n v="5"/>
    <n v="320"/>
    <n v="0"/>
    <n v="0"/>
    <n v="333.15335900000002"/>
    <n v="90.881214"/>
    <n v="28.1686378001069"/>
    <n v="0"/>
    <x v="41"/>
    <x v="93"/>
    <s v="KBPPLC"/>
    <e v="#N/A"/>
    <s v="Slag Fumer"/>
    <e v="#N/A"/>
    <x v="2"/>
    <x v="3"/>
    <x v="3"/>
  </r>
  <r>
    <s v="10.12.1.124"/>
    <x v="1023"/>
    <s v="10.1.1.3"/>
    <x v="107"/>
    <n v="5"/>
    <x v="80"/>
    <n v="5"/>
    <n v="320"/>
    <n v="0"/>
    <n v="0"/>
    <n v="337.433314"/>
    <n v="125.841785"/>
    <n v="20.343004511577799"/>
    <n v="0"/>
    <x v="41"/>
    <x v="94"/>
    <s v="KBPPLC"/>
    <e v="#N/A"/>
    <s v="Slag Fumer"/>
    <e v="#N/A"/>
    <x v="2"/>
    <x v="3"/>
    <x v="3"/>
  </r>
  <r>
    <s v="10.12.1.124"/>
    <x v="1037"/>
    <s v="10.1.1.2"/>
    <x v="107"/>
    <n v="1"/>
    <x v="79"/>
    <n v="1"/>
    <n v="64"/>
    <n v="0"/>
    <n v="0"/>
    <n v="340.14341899999999"/>
    <n v="0"/>
    <n v="0"/>
    <n v="0"/>
    <x v="41"/>
    <x v="93"/>
    <s v="KBPPLC"/>
    <e v="#N/A"/>
    <s v="Slag Fumer"/>
    <e v="#N/A"/>
    <x v="2"/>
    <x v="3"/>
    <x v="3"/>
  </r>
  <r>
    <s v="10.12.1.124"/>
    <x v="1037"/>
    <s v="10.1.1.2"/>
    <x v="107"/>
    <n v="5"/>
    <x v="80"/>
    <n v="5"/>
    <n v="320"/>
    <n v="0"/>
    <n v="0"/>
    <n v="340.14342199999999"/>
    <n v="34.950392000000001"/>
    <n v="73.246674887079905"/>
    <n v="0"/>
    <x v="41"/>
    <x v="93"/>
    <s v="KBPPLC"/>
    <e v="#N/A"/>
    <s v="Slag Fumer"/>
    <e v="#N/A"/>
    <x v="2"/>
    <x v="3"/>
    <x v="3"/>
  </r>
  <r>
    <s v="10.12.1.124"/>
    <x v="1018"/>
    <s v="10.1.1.3"/>
    <x v="107"/>
    <n v="5"/>
    <x v="80"/>
    <n v="5"/>
    <n v="320"/>
    <n v="0"/>
    <n v="0"/>
    <n v="344.42350099999999"/>
    <n v="125.841686"/>
    <n v="20.343020515475299"/>
    <n v="0"/>
    <x v="41"/>
    <x v="94"/>
    <s v="KBPPLC"/>
    <e v="#N/A"/>
    <s v="Slag Fumer"/>
    <e v="#N/A"/>
    <x v="2"/>
    <x v="3"/>
    <x v="3"/>
  </r>
  <r>
    <s v="10.12.1.124"/>
    <x v="1036"/>
    <s v="10.1.1.2"/>
    <x v="107"/>
    <n v="5"/>
    <x v="80"/>
    <n v="5"/>
    <n v="320"/>
    <n v="0"/>
    <n v="0"/>
    <n v="347.133601"/>
    <n v="34.950443999999997"/>
    <n v="73.246565909148401"/>
    <n v="0"/>
    <x v="41"/>
    <x v="93"/>
    <s v="KBPPLC"/>
    <e v="#N/A"/>
    <s v="Slag Fumer"/>
    <e v="#N/A"/>
    <x v="2"/>
    <x v="3"/>
    <x v="3"/>
  </r>
  <r>
    <s v="10.12.1.124"/>
    <x v="1025"/>
    <s v="10.1.1.3"/>
    <x v="107"/>
    <n v="5"/>
    <x v="80"/>
    <n v="5"/>
    <n v="320"/>
    <n v="0"/>
    <n v="0"/>
    <n v="351.41353700000002"/>
    <n v="125.841853"/>
    <n v="20.3429935190163"/>
    <n v="0"/>
    <x v="41"/>
    <x v="94"/>
    <s v="KBPPLC"/>
    <e v="#N/A"/>
    <s v="Slag Fumer"/>
    <e v="#N/A"/>
    <x v="2"/>
    <x v="3"/>
    <x v="3"/>
  </r>
  <r>
    <s v="10.12.1.124"/>
    <x v="1028"/>
    <s v="10.1.1.2"/>
    <x v="107"/>
    <n v="5"/>
    <x v="80"/>
    <n v="5"/>
    <n v="320"/>
    <n v="0"/>
    <n v="0"/>
    <n v="354.123762"/>
    <n v="139.811927"/>
    <n v="18.3103119664462"/>
    <n v="0"/>
    <x v="41"/>
    <x v="93"/>
    <s v="KBPPLC"/>
    <e v="#N/A"/>
    <s v="Slag Fumer"/>
    <e v="#N/A"/>
    <x v="2"/>
    <x v="3"/>
    <x v="3"/>
  </r>
  <r>
    <s v="10.12.1.124"/>
    <x v="619"/>
    <s v="10.1.1.3"/>
    <x v="107"/>
    <n v="5"/>
    <x v="80"/>
    <n v="5"/>
    <n v="320"/>
    <n v="0"/>
    <n v="0"/>
    <n v="358.40378700000002"/>
    <n v="125.841742"/>
    <n v="20.343011462762501"/>
    <n v="0"/>
    <x v="41"/>
    <x v="94"/>
    <s v="KBPPLC"/>
    <e v="#N/A"/>
    <s v="Slag Fumer"/>
    <e v="#N/A"/>
    <x v="2"/>
    <x v="3"/>
    <x v="3"/>
  </r>
  <r>
    <s v="10.12.1.124"/>
    <x v="618"/>
    <s v="10.1.1.2"/>
    <x v="107"/>
    <n v="5"/>
    <x v="80"/>
    <n v="5"/>
    <n v="320"/>
    <n v="0"/>
    <n v="0"/>
    <n v="361.11370699999998"/>
    <n v="34.950543000000003"/>
    <n v="73.246358432828799"/>
    <n v="0"/>
    <x v="41"/>
    <x v="93"/>
    <s v="KBPPLC"/>
    <e v="#N/A"/>
    <s v="Slag Fumer"/>
    <e v="#N/A"/>
    <x v="2"/>
    <x v="3"/>
    <x v="3"/>
  </r>
  <r>
    <s v="10.12.1.124"/>
    <x v="1021"/>
    <s v="10.1.1.3"/>
    <x v="107"/>
    <n v="5"/>
    <x v="80"/>
    <n v="5"/>
    <n v="320"/>
    <n v="0"/>
    <n v="0"/>
    <n v="365.39456000000001"/>
    <n v="90.890411"/>
    <n v="28.1657874778452"/>
    <n v="0"/>
    <x v="41"/>
    <x v="94"/>
    <s v="KBPPLC"/>
    <e v="#N/A"/>
    <s v="Slag Fumer"/>
    <e v="#N/A"/>
    <x v="2"/>
    <x v="3"/>
    <x v="3"/>
  </r>
  <r>
    <s v="10.12.1.124"/>
    <x v="1030"/>
    <s v="10.1.1.2"/>
    <x v="107"/>
    <n v="5"/>
    <x v="80"/>
    <n v="5"/>
    <n v="320"/>
    <n v="0"/>
    <n v="0"/>
    <n v="368.10382800000002"/>
    <n v="160.802333"/>
    <n v="15.9201670289199"/>
    <n v="0"/>
    <x v="41"/>
    <x v="93"/>
    <s v="KBPPLC"/>
    <e v="#N/A"/>
    <s v="Slag Fumer"/>
    <e v="#N/A"/>
    <x v="2"/>
    <x v="3"/>
    <x v="3"/>
  </r>
  <r>
    <s v="10.12.1.124"/>
    <x v="1027"/>
    <s v="10.1.1.3"/>
    <x v="107"/>
    <n v="5"/>
    <x v="80"/>
    <n v="5"/>
    <n v="320"/>
    <n v="0"/>
    <n v="0"/>
    <n v="372.39389499999999"/>
    <n v="34.950482000000001"/>
    <n v="73.246486271634197"/>
    <n v="0"/>
    <x v="41"/>
    <x v="94"/>
    <s v="KBPPLC"/>
    <e v="#N/A"/>
    <s v="Slag Fumer"/>
    <e v="#N/A"/>
    <x v="2"/>
    <x v="3"/>
    <x v="3"/>
  </r>
  <r>
    <s v="10.12.1.124"/>
    <x v="1037"/>
    <s v="10.1.1.2"/>
    <x v="107"/>
    <n v="5"/>
    <x v="80"/>
    <n v="5"/>
    <n v="320"/>
    <n v="0"/>
    <n v="0"/>
    <n v="375.09389599999997"/>
    <n v="104.86154000000001"/>
    <n v="24.413145181731998"/>
    <n v="0"/>
    <x v="41"/>
    <x v="93"/>
    <s v="KBPPLC"/>
    <e v="#N/A"/>
    <s v="Slag Fumer"/>
    <e v="#N/A"/>
    <x v="2"/>
    <x v="3"/>
    <x v="3"/>
  </r>
  <r>
    <s v="10.12.1.124"/>
    <x v="1029"/>
    <s v="10.1.1.3"/>
    <x v="107"/>
    <n v="5"/>
    <x v="80"/>
    <n v="5"/>
    <n v="320"/>
    <n v="0"/>
    <n v="0"/>
    <n v="379.38395500000001"/>
    <n v="139.81196499999999"/>
    <n v="18.310306989820202"/>
    <n v="0"/>
    <x v="41"/>
    <x v="94"/>
    <s v="KBPPLC"/>
    <e v="#N/A"/>
    <s v="Slag Fumer"/>
    <e v="#N/A"/>
    <x v="2"/>
    <x v="3"/>
    <x v="3"/>
  </r>
  <r>
    <s v="10.12.1.124"/>
    <x v="1036"/>
    <s v="10.1.1.2"/>
    <x v="107"/>
    <n v="5"/>
    <x v="80"/>
    <n v="5"/>
    <n v="320"/>
    <n v="0"/>
    <n v="0"/>
    <n v="382.084047"/>
    <n v="125.841701"/>
    <n v="20.343018090640701"/>
    <n v="0"/>
    <x v="41"/>
    <x v="93"/>
    <s v="KBPPLC"/>
    <e v="#N/A"/>
    <s v="Slag Fumer"/>
    <e v="#N/A"/>
    <x v="2"/>
    <x v="3"/>
    <x v="3"/>
  </r>
  <r>
    <s v="10.12.1.124"/>
    <x v="40"/>
    <s v="10.1.1.3"/>
    <x v="107"/>
    <n v="5"/>
    <x v="80"/>
    <n v="5"/>
    <n v="320"/>
    <n v="0"/>
    <n v="0"/>
    <n v="386.37421499999999"/>
    <n v="34.950398"/>
    <n v="73.246662312686695"/>
    <n v="0"/>
    <x v="41"/>
    <x v="94"/>
    <s v="KBPPLC"/>
    <e v="#N/A"/>
    <s v="Slag Fumer"/>
    <e v="#N/A"/>
    <x v="2"/>
    <x v="3"/>
    <x v="3"/>
  </r>
  <r>
    <s v="10.12.1.124"/>
    <x v="1017"/>
    <s v="10.1.1.2"/>
    <x v="107"/>
    <n v="5"/>
    <x v="80"/>
    <n v="5"/>
    <n v="320"/>
    <n v="0"/>
    <n v="0"/>
    <n v="389.07407899999998"/>
    <n v="125.84179"/>
    <n v="20.343003703300798"/>
    <n v="0"/>
    <x v="41"/>
    <x v="93"/>
    <s v="KBPPLC"/>
    <e v="#N/A"/>
    <s v="Slag Fumer"/>
    <e v="#N/A"/>
    <x v="2"/>
    <x v="3"/>
    <x v="3"/>
  </r>
  <r>
    <s v="10.12.1.124"/>
    <x v="1031"/>
    <s v="10.1.1.3"/>
    <x v="107"/>
    <n v="5"/>
    <x v="80"/>
    <n v="5"/>
    <n v="320"/>
    <n v="0"/>
    <n v="0"/>
    <n v="393.36415899999997"/>
    <n v="160.80310499999999"/>
    <n v="15.9200905977531"/>
    <n v="0"/>
    <x v="41"/>
    <x v="94"/>
    <s v="KBPPLC"/>
    <e v="#N/A"/>
    <s v="Slag Fumer"/>
    <e v="#N/A"/>
    <x v="2"/>
    <x v="3"/>
    <x v="3"/>
  </r>
  <r>
    <s v="10.12.1.124"/>
    <x v="618"/>
    <s v="10.1.1.2"/>
    <x v="107"/>
    <n v="5"/>
    <x v="80"/>
    <n v="5"/>
    <n v="320"/>
    <n v="0"/>
    <n v="0"/>
    <n v="396.06425300000001"/>
    <n v="104.87150099999999"/>
    <n v="24.410826350239802"/>
    <n v="0"/>
    <x v="41"/>
    <x v="93"/>
    <s v="KBPPLC"/>
    <e v="#N/A"/>
    <s v="Slag Fumer"/>
    <e v="#N/A"/>
    <x v="2"/>
    <x v="3"/>
    <x v="3"/>
  </r>
  <r>
    <s v="10.12.1.124"/>
    <x v="1032"/>
    <s v="10.1.1.3"/>
    <x v="107"/>
    <n v="5"/>
    <x v="80"/>
    <n v="5"/>
    <n v="320"/>
    <n v="0"/>
    <n v="0"/>
    <n v="400.35422599999998"/>
    <n v="104.861535"/>
    <n v="24.413146345797799"/>
    <n v="0"/>
    <x v="41"/>
    <x v="94"/>
    <s v="KBPPLC"/>
    <e v="#N/A"/>
    <s v="Slag Fumer"/>
    <e v="#N/A"/>
    <x v="2"/>
    <x v="3"/>
    <x v="3"/>
  </r>
  <r>
    <s v="10.12.1.124"/>
    <x v="762"/>
    <s v="10.1.1.2"/>
    <x v="107"/>
    <n v="5"/>
    <x v="80"/>
    <n v="5"/>
    <n v="320"/>
    <n v="0"/>
    <n v="0"/>
    <n v="403.05428799999999"/>
    <n v="160.80300800000001"/>
    <n v="15.920100201110699"/>
    <n v="0"/>
    <x v="41"/>
    <x v="93"/>
    <s v="KBPPLC"/>
    <e v="#N/A"/>
    <s v="Slag Fumer"/>
    <e v="#N/A"/>
    <x v="2"/>
    <x v="3"/>
    <x v="3"/>
  </r>
  <r>
    <s v="10.12.1.124"/>
    <x v="1027"/>
    <s v="10.1.1.3"/>
    <x v="107"/>
    <n v="5"/>
    <x v="80"/>
    <n v="5"/>
    <n v="320"/>
    <n v="0"/>
    <n v="0"/>
    <n v="407.344379"/>
    <n v="125.841734"/>
    <n v="20.343012756006701"/>
    <n v="0"/>
    <x v="41"/>
    <x v="94"/>
    <s v="KBPPLC"/>
    <e v="#N/A"/>
    <s v="Slag Fumer"/>
    <e v="#N/A"/>
    <x v="2"/>
    <x v="3"/>
    <x v="3"/>
  </r>
  <r>
    <s v="10.12.1.124"/>
    <x v="1015"/>
    <s v="10.1.1.2"/>
    <x v="107"/>
    <n v="5"/>
    <x v="80"/>
    <n v="5"/>
    <n v="320"/>
    <n v="0"/>
    <n v="0"/>
    <n v="410.04517600000003"/>
    <n v="125.85112700000001"/>
    <n v="20.341494438901599"/>
    <n v="0"/>
    <x v="41"/>
    <x v="93"/>
    <s v="KBPPLC"/>
    <e v="#N/A"/>
    <s v="Slag Fumer"/>
    <e v="#N/A"/>
    <x v="2"/>
    <x v="3"/>
    <x v="3"/>
  </r>
  <r>
    <s v="10.12.1.124"/>
    <x v="1014"/>
    <s v="10.1.1.3"/>
    <x v="107"/>
    <n v="5"/>
    <x v="80"/>
    <n v="5"/>
    <n v="320"/>
    <n v="0"/>
    <n v="0"/>
    <n v="414.33445499999999"/>
    <n v="34.960521"/>
    <n v="73.225453362093702"/>
    <n v="0"/>
    <x v="41"/>
    <x v="94"/>
    <s v="KBPPLC"/>
    <e v="#N/A"/>
    <s v="Slag Fumer"/>
    <e v="#N/A"/>
    <x v="2"/>
    <x v="3"/>
    <x v="3"/>
  </r>
  <r>
    <s v="10.12.1.124"/>
    <x v="1033"/>
    <s v="10.1.1.2"/>
    <x v="107"/>
    <n v="5"/>
    <x v="80"/>
    <n v="5"/>
    <n v="320"/>
    <n v="0"/>
    <n v="0"/>
    <n v="417.04455000000002"/>
    <n v="104.86223699999999"/>
    <n v="24.4129829120468"/>
    <n v="0"/>
    <x v="41"/>
    <x v="93"/>
    <s v="KBPPLC"/>
    <e v="#N/A"/>
    <s v="Slag Fumer"/>
    <e v="#N/A"/>
    <x v="2"/>
    <x v="3"/>
    <x v="3"/>
  </r>
  <r>
    <s v="10.12.1.124"/>
    <x v="40"/>
    <s v="10.1.1.3"/>
    <x v="107"/>
    <n v="5"/>
    <x v="80"/>
    <n v="5"/>
    <n v="320"/>
    <n v="0"/>
    <n v="0"/>
    <n v="421.32461699999999"/>
    <n v="104.862154"/>
    <n v="24.4130022352964"/>
    <n v="0"/>
    <x v="41"/>
    <x v="94"/>
    <s v="KBPPLC"/>
    <e v="#N/A"/>
    <s v="Slag Fumer"/>
    <e v="#N/A"/>
    <x v="2"/>
    <x v="3"/>
    <x v="3"/>
  </r>
  <r>
    <s v="10.12.1.124"/>
    <x v="1026"/>
    <s v="10.1.1.2"/>
    <x v="107"/>
    <n v="5"/>
    <x v="80"/>
    <n v="5"/>
    <n v="320"/>
    <n v="0"/>
    <n v="0"/>
    <n v="424.03457600000002"/>
    <n v="34.950631999999999"/>
    <n v="73.246171914716797"/>
    <n v="0"/>
    <x v="41"/>
    <x v="93"/>
    <s v="KBPPLC"/>
    <e v="#N/A"/>
    <s v="Slag Fumer"/>
    <e v="#N/A"/>
    <x v="2"/>
    <x v="3"/>
    <x v="3"/>
  </r>
  <r>
    <s v="10.12.1.124"/>
    <x v="136"/>
    <s v="10.1.1.3"/>
    <x v="107"/>
    <n v="5"/>
    <x v="80"/>
    <n v="5"/>
    <n v="320"/>
    <n v="0"/>
    <n v="0"/>
    <n v="428.31473099999999"/>
    <n v="181.82245399999999"/>
    <n v="14.079669170013499"/>
    <n v="0"/>
    <x v="41"/>
    <x v="94"/>
    <s v="KBPPLC"/>
    <e v="#N/A"/>
    <s v="Slag Fumer"/>
    <e v="#N/A"/>
    <x v="2"/>
    <x v="3"/>
    <x v="3"/>
  </r>
  <r>
    <s v="10.12.1.124"/>
    <x v="135"/>
    <s v="10.1.1.2"/>
    <x v="107"/>
    <n v="5"/>
    <x v="80"/>
    <n v="5"/>
    <n v="320"/>
    <n v="0"/>
    <n v="0"/>
    <n v="431.02478300000001"/>
    <n v="34.950547999999998"/>
    <n v="73.246347954258198"/>
    <n v="0"/>
    <x v="41"/>
    <x v="93"/>
    <s v="KBPPLC"/>
    <e v="#N/A"/>
    <s v="Slag Fumer"/>
    <e v="#N/A"/>
    <x v="2"/>
    <x v="3"/>
    <x v="3"/>
  </r>
  <r>
    <s v="10.12.1.124"/>
    <x v="1034"/>
    <s v="10.1.1.3"/>
    <x v="107"/>
    <n v="5"/>
    <x v="80"/>
    <n v="5"/>
    <n v="320"/>
    <n v="0"/>
    <n v="0"/>
    <n v="435.30553700000002"/>
    <n v="146.84208899999999"/>
    <n v="17.433693687100799"/>
    <n v="0"/>
    <x v="41"/>
    <x v="94"/>
    <s v="KBPPLC"/>
    <e v="#N/A"/>
    <s v="Slag Fumer"/>
    <e v="#N/A"/>
    <x v="2"/>
    <x v="3"/>
    <x v="3"/>
  </r>
  <r>
    <s v="10.12.1.124"/>
    <x v="1022"/>
    <s v="10.1.1.2"/>
    <x v="107"/>
    <n v="5"/>
    <x v="80"/>
    <n v="5"/>
    <n v="320"/>
    <n v="0"/>
    <n v="0"/>
    <n v="438.01486699999998"/>
    <n v="34.950485999999998"/>
    <n v="73.246477888748103"/>
    <n v="0"/>
    <x v="41"/>
    <x v="93"/>
    <s v="KBPPLC"/>
    <e v="#N/A"/>
    <s v="Slag Fumer"/>
    <e v="#N/A"/>
    <x v="2"/>
    <x v="3"/>
    <x v="3"/>
  </r>
  <r>
    <s v="10.12.1.124"/>
    <x v="1020"/>
    <s v="10.1.1.3"/>
    <x v="107"/>
    <n v="5"/>
    <x v="80"/>
    <n v="5"/>
    <n v="320"/>
    <n v="0"/>
    <n v="0"/>
    <n v="442.304844"/>
    <n v="104.862202"/>
    <n v="24.4129910604013"/>
    <n v="0"/>
    <x v="41"/>
    <x v="94"/>
    <s v="KBPPLC"/>
    <e v="#N/A"/>
    <s v="Slag Fumer"/>
    <e v="#N/A"/>
    <x v="2"/>
    <x v="3"/>
    <x v="3"/>
  </r>
  <r>
    <s v="10.12.1.124"/>
    <x v="1024"/>
    <s v="10.1.1.2"/>
    <x v="107"/>
    <n v="5"/>
    <x v="80"/>
    <n v="5"/>
    <n v="320"/>
    <n v="0"/>
    <n v="0"/>
    <n v="445.00496099999998"/>
    <n v="160.81228300000001"/>
    <n v="15.9191819943256"/>
    <n v="0"/>
    <x v="41"/>
    <x v="93"/>
    <s v="KBPPLC"/>
    <e v="#N/A"/>
    <s v="Slag Fumer"/>
    <e v="#N/A"/>
    <x v="2"/>
    <x v="3"/>
    <x v="3"/>
  </r>
  <r>
    <s v="10.12.1.124"/>
    <x v="1014"/>
    <s v="10.1.1.3"/>
    <x v="107"/>
    <n v="5"/>
    <x v="80"/>
    <n v="5"/>
    <n v="320"/>
    <n v="0"/>
    <n v="0"/>
    <n v="449.29497900000001"/>
    <n v="125.861813"/>
    <n v="20.3397673923543"/>
    <n v="0"/>
    <x v="41"/>
    <x v="94"/>
    <s v="KBPPLC"/>
    <e v="#N/A"/>
    <s v="Slag Fumer"/>
    <e v="#N/A"/>
    <x v="2"/>
    <x v="3"/>
    <x v="3"/>
  </r>
  <r>
    <s v="10.12.1.124"/>
    <x v="1019"/>
    <s v="10.1.1.2"/>
    <x v="107"/>
    <n v="5"/>
    <x v="80"/>
    <n v="5"/>
    <n v="320"/>
    <n v="0"/>
    <n v="0"/>
    <n v="451.995071"/>
    <n v="34.950569999999999"/>
    <n v="73.246301848582107"/>
    <n v="0"/>
    <x v="41"/>
    <x v="93"/>
    <s v="KBPPLC"/>
    <e v="#N/A"/>
    <s v="Slag Fumer"/>
    <e v="#N/A"/>
    <x v="2"/>
    <x v="3"/>
    <x v="3"/>
  </r>
  <r>
    <s v="10.12.1.124"/>
    <x v="1021"/>
    <s v="10.1.1.3"/>
    <x v="107"/>
    <n v="5"/>
    <x v="80"/>
    <n v="5"/>
    <n v="320"/>
    <n v="0"/>
    <n v="0"/>
    <n v="456.28498100000002"/>
    <n v="34.950705999999997"/>
    <n v="73.246016832964798"/>
    <n v="0"/>
    <x v="41"/>
    <x v="94"/>
    <s v="KBPPLC"/>
    <e v="#N/A"/>
    <s v="Slag Fumer"/>
    <e v="#N/A"/>
    <x v="2"/>
    <x v="3"/>
    <x v="3"/>
  </r>
  <r>
    <s v="10.12.1.124"/>
    <x v="1026"/>
    <s v="10.1.1.2"/>
    <x v="107"/>
    <n v="5"/>
    <x v="80"/>
    <n v="5"/>
    <n v="320"/>
    <n v="0"/>
    <n v="0"/>
    <n v="458.985209"/>
    <n v="125.861665"/>
    <n v="20.3397913097686"/>
    <n v="0"/>
    <x v="41"/>
    <x v="93"/>
    <s v="KBPPLC"/>
    <e v="#N/A"/>
    <s v="Slag Fumer"/>
    <e v="#N/A"/>
    <x v="2"/>
    <x v="3"/>
    <x v="3"/>
  </r>
  <r>
    <s v="10.12.1.124"/>
    <x v="1023"/>
    <s v="10.1.1.3"/>
    <x v="107"/>
    <n v="5"/>
    <x v="80"/>
    <n v="5"/>
    <n v="320"/>
    <n v="0"/>
    <n v="0"/>
    <n v="463.27510100000001"/>
    <n v="34.950538999999999"/>
    <n v="73.246366815687793"/>
    <n v="0"/>
    <x v="41"/>
    <x v="94"/>
    <s v="KBPPLC"/>
    <e v="#N/A"/>
    <s v="Slag Fumer"/>
    <e v="#N/A"/>
    <x v="2"/>
    <x v="3"/>
    <x v="3"/>
  </r>
  <r>
    <s v="10.12.1.124"/>
    <x v="135"/>
    <s v="10.1.1.2"/>
    <x v="107"/>
    <n v="5"/>
    <x v="80"/>
    <n v="5"/>
    <n v="320"/>
    <n v="0"/>
    <n v="0"/>
    <n v="465.97533399999998"/>
    <n v="125.861566"/>
    <n v="20.339807308610801"/>
    <n v="0"/>
    <x v="41"/>
    <x v="93"/>
    <s v="KBPPLC"/>
    <e v="#N/A"/>
    <s v="Slag Fumer"/>
    <e v="#N/A"/>
    <x v="2"/>
    <x v="3"/>
    <x v="3"/>
  </r>
  <r>
    <s v="10.12.1.124"/>
    <x v="1018"/>
    <s v="10.1.1.3"/>
    <x v="107"/>
    <n v="5"/>
    <x v="80"/>
    <n v="5"/>
    <n v="320"/>
    <n v="0"/>
    <n v="0"/>
    <n v="470.26521600000001"/>
    <n v="181.82265699999999"/>
    <n v="14.079653450449801"/>
    <n v="0"/>
    <x v="41"/>
    <x v="94"/>
    <s v="KBPPLC"/>
    <e v="#N/A"/>
    <s v="Slag Fumer"/>
    <e v="#N/A"/>
    <x v="2"/>
    <x v="3"/>
    <x v="3"/>
  </r>
  <r>
    <s v="10.12.1.124"/>
    <x v="1022"/>
    <s v="10.1.1.2"/>
    <x v="107"/>
    <n v="5"/>
    <x v="80"/>
    <n v="5"/>
    <n v="320"/>
    <n v="0"/>
    <n v="0"/>
    <n v="472.96535799999998"/>
    <n v="125.861716"/>
    <n v="20.339783067950499"/>
    <n v="0"/>
    <x v="41"/>
    <x v="93"/>
    <s v="KBPPLC"/>
    <e v="#N/A"/>
    <s v="Slag Fumer"/>
    <e v="#N/A"/>
    <x v="2"/>
    <x v="3"/>
    <x v="3"/>
  </r>
  <r>
    <s v="10.12.1.124"/>
    <x v="1025"/>
    <s v="10.1.1.3"/>
    <x v="107"/>
    <n v="5"/>
    <x v="80"/>
    <n v="5"/>
    <n v="320"/>
    <n v="0"/>
    <n v="0"/>
    <n v="477.25539099999997"/>
    <n v="34.950557000000103"/>
    <n v="73.246329092838096"/>
    <n v="0"/>
    <x v="41"/>
    <x v="94"/>
    <s v="KBPPLC"/>
    <e v="#N/A"/>
    <s v="Slag Fumer"/>
    <e v="#N/A"/>
    <x v="2"/>
    <x v="3"/>
    <x v="3"/>
  </r>
  <r>
    <s v="10.12.1.124"/>
    <x v="1037"/>
    <s v="10.1.1.2"/>
    <x v="107"/>
    <n v="5"/>
    <x v="80"/>
    <n v="5"/>
    <n v="320"/>
    <n v="0"/>
    <n v="0"/>
    <n v="479.95543800000002"/>
    <n v="160.81227999999999"/>
    <n v="15.919182291302601"/>
    <n v="0"/>
    <x v="41"/>
    <x v="93"/>
    <s v="KBPPLC"/>
    <e v="#N/A"/>
    <s v="Slag Fumer"/>
    <e v="#N/A"/>
    <x v="2"/>
    <x v="3"/>
    <x v="3"/>
  </r>
  <r>
    <s v="10.12.1.124"/>
    <x v="619"/>
    <s v="10.1.1.3"/>
    <x v="107"/>
    <n v="5"/>
    <x v="80"/>
    <n v="5"/>
    <n v="320"/>
    <n v="0"/>
    <n v="0"/>
    <n v="484.246037"/>
    <n v="251.73300699999999"/>
    <n v="10.1695047086138"/>
    <n v="0"/>
    <x v="41"/>
    <x v="94"/>
    <s v="KBPPLC"/>
    <e v="#N/A"/>
    <s v="Slag Fumer"/>
    <e v="#N/A"/>
    <x v="2"/>
    <x v="3"/>
    <x v="3"/>
  </r>
  <r>
    <s v="10.12.1.124"/>
    <x v="1019"/>
    <s v="10.1.1.2"/>
    <x v="107"/>
    <n v="5"/>
    <x v="80"/>
    <n v="5"/>
    <n v="320"/>
    <n v="0"/>
    <n v="0"/>
    <n v="486.94564400000002"/>
    <n v="90.901878999999994"/>
    <n v="28.1622341381964"/>
    <n v="0"/>
    <x v="41"/>
    <x v="93"/>
    <s v="KBPPLC"/>
    <e v="#N/A"/>
    <s v="Slag Fumer"/>
    <e v="#N/A"/>
    <x v="2"/>
    <x v="3"/>
    <x v="3"/>
  </r>
  <r>
    <s v="10.12.1.124"/>
    <x v="1021"/>
    <s v="10.1.1.3"/>
    <x v="107"/>
    <n v="5"/>
    <x v="80"/>
    <n v="5"/>
    <n v="320"/>
    <n v="0"/>
    <n v="0"/>
    <n v="491.23568899999998"/>
    <n v="146.871937"/>
    <n v="17.430150730564701"/>
    <n v="0"/>
    <x v="41"/>
    <x v="94"/>
    <s v="KBPPLC"/>
    <e v="#N/A"/>
    <s v="Slag Fumer"/>
    <e v="#N/A"/>
    <x v="2"/>
    <x v="3"/>
    <x v="3"/>
  </r>
  <r>
    <s v="10.12.1.124"/>
    <x v="1028"/>
    <s v="10.1.1.2"/>
    <x v="107"/>
    <n v="5"/>
    <x v="80"/>
    <n v="5"/>
    <n v="320"/>
    <n v="0"/>
    <n v="0"/>
    <n v="493.93569200000002"/>
    <n v="251.703385"/>
    <n v="10.1707015183765"/>
    <n v="0"/>
    <x v="41"/>
    <x v="93"/>
    <s v="KBPPLC"/>
    <e v="#N/A"/>
    <s v="Slag Fumer"/>
    <e v="#N/A"/>
    <x v="2"/>
    <x v="3"/>
    <x v="3"/>
  </r>
  <r>
    <s v="10.12.1.124"/>
    <x v="1023"/>
    <s v="10.1.1.3"/>
    <x v="107"/>
    <n v="5"/>
    <x v="80"/>
    <n v="5"/>
    <n v="320"/>
    <n v="0"/>
    <n v="0"/>
    <n v="498.22564299999999"/>
    <n v="307.70425899999998"/>
    <n v="8.3196768491917403"/>
    <n v="0"/>
    <x v="41"/>
    <x v="94"/>
    <s v="KBPPLC"/>
    <e v="#N/A"/>
    <s v="Slag Fumer"/>
    <e v="#N/A"/>
    <x v="2"/>
    <x v="3"/>
    <x v="3"/>
  </r>
  <r>
    <s v="10.12.1.124"/>
    <x v="618"/>
    <s v="10.1.1.2"/>
    <x v="107"/>
    <n v="5"/>
    <x v="80"/>
    <n v="5"/>
    <n v="320"/>
    <n v="0"/>
    <n v="0"/>
    <n v="500.93575900000002"/>
    <n v="160.80212"/>
    <n v="15.9201881169228"/>
    <n v="0"/>
    <x v="41"/>
    <x v="93"/>
    <s v="KBPPLC"/>
    <e v="#N/A"/>
    <s v="Slag Fumer"/>
    <e v="#N/A"/>
    <x v="2"/>
    <x v="3"/>
    <x v="3"/>
  </r>
  <r>
    <s v="10.12.1.124"/>
    <x v="1032"/>
    <s v="10.1.1.3"/>
    <x v="107"/>
    <n v="5"/>
    <x v="80"/>
    <n v="5"/>
    <n v="320"/>
    <n v="0"/>
    <n v="0"/>
    <n v="505.21576199999998"/>
    <n v="34.960510000000099"/>
    <n v="73.225476401802993"/>
    <n v="0"/>
    <x v="41"/>
    <x v="94"/>
    <s v="KBPPLC"/>
    <e v="#N/A"/>
    <s v="Slag Fumer"/>
    <e v="#N/A"/>
    <x v="2"/>
    <x v="3"/>
    <x v="3"/>
  </r>
  <r>
    <s v="10.12.1.124"/>
    <x v="1036"/>
    <s v="10.1.1.2"/>
    <x v="107"/>
    <n v="5"/>
    <x v="80"/>
    <n v="5"/>
    <n v="320"/>
    <n v="0"/>
    <n v="0"/>
    <n v="507.92574999999999"/>
    <n v="139.831999"/>
    <n v="18.307683636847699"/>
    <n v="0"/>
    <x v="41"/>
    <x v="93"/>
    <s v="KBPPLC"/>
    <e v="#N/A"/>
    <s v="Slag Fumer"/>
    <e v="#N/A"/>
    <x v="2"/>
    <x v="3"/>
    <x v="3"/>
  </r>
  <r>
    <s v="10.12.1.124"/>
    <x v="1025"/>
    <s v="10.1.1.3"/>
    <x v="107"/>
    <n v="5"/>
    <x v="80"/>
    <n v="5"/>
    <n v="320"/>
    <n v="0"/>
    <n v="0"/>
    <n v="512.20595100000003"/>
    <n v="272.743674"/>
    <n v="9.38610220525225"/>
    <n v="0"/>
    <x v="41"/>
    <x v="94"/>
    <s v="KBPPLC"/>
    <e v="#N/A"/>
    <s v="Slag Fumer"/>
    <e v="#N/A"/>
    <x v="2"/>
    <x v="3"/>
    <x v="3"/>
  </r>
  <r>
    <s v="10.12.1.124"/>
    <x v="1017"/>
    <s v="10.1.1.2"/>
    <x v="107"/>
    <n v="5"/>
    <x v="80"/>
    <n v="5"/>
    <n v="320"/>
    <n v="0"/>
    <n v="0"/>
    <n v="514.91587200000004"/>
    <n v="34.960593000000003"/>
    <n v="73.225302557081903"/>
    <n v="0"/>
    <x v="41"/>
    <x v="93"/>
    <s v="KBPPLC"/>
    <e v="#N/A"/>
    <s v="Slag Fumer"/>
    <e v="#N/A"/>
    <x v="2"/>
    <x v="3"/>
    <x v="3"/>
  </r>
  <r>
    <s v="10.12.1.124"/>
    <x v="1029"/>
    <s v="10.1.1.3"/>
    <x v="107"/>
    <n v="5"/>
    <x v="80"/>
    <n v="5"/>
    <n v="320"/>
    <n v="0"/>
    <n v="0"/>
    <n v="519.195921"/>
    <n v="146.88208900000001"/>
    <n v="17.428946016692301"/>
    <n v="0"/>
    <x v="41"/>
    <x v="94"/>
    <s v="KBPPLC"/>
    <e v="#N/A"/>
    <s v="Slag Fumer"/>
    <e v="#N/A"/>
    <x v="2"/>
    <x v="3"/>
    <x v="3"/>
  </r>
  <r>
    <s v="10.12.1.124"/>
    <x v="1033"/>
    <s v="10.1.1.2"/>
    <x v="107"/>
    <n v="5"/>
    <x v="80"/>
    <n v="5"/>
    <n v="320"/>
    <n v="0"/>
    <n v="0"/>
    <n v="521.906789"/>
    <n v="34.959724999999999"/>
    <n v="73.227120636675394"/>
    <n v="0"/>
    <x v="41"/>
    <x v="93"/>
    <s v="KBPPLC"/>
    <e v="#N/A"/>
    <s v="Slag Fumer"/>
    <e v="#N/A"/>
    <x v="2"/>
    <x v="3"/>
    <x v="3"/>
  </r>
  <r>
    <s v="10.12.1.124"/>
    <x v="40"/>
    <s v="10.1.1.3"/>
    <x v="107"/>
    <n v="5"/>
    <x v="80"/>
    <n v="5"/>
    <n v="320"/>
    <n v="0"/>
    <n v="0"/>
    <n v="526.18677200000002"/>
    <n v="181.83179899999999"/>
    <n v="14.0789455644114"/>
    <n v="0"/>
    <x v="41"/>
    <x v="94"/>
    <s v="KBPPLC"/>
    <e v="#N/A"/>
    <s v="Slag Fumer"/>
    <e v="#N/A"/>
    <x v="2"/>
    <x v="3"/>
    <x v="3"/>
  </r>
  <r>
    <s v="10.12.1.124"/>
    <x v="1030"/>
    <s v="10.1.1.2"/>
    <x v="107"/>
    <n v="5"/>
    <x v="80"/>
    <n v="5"/>
    <n v="320"/>
    <n v="0"/>
    <n v="0"/>
    <n v="528.90616299999999"/>
    <n v="104.871371"/>
    <n v="24.4108566102373"/>
    <n v="0"/>
    <x v="41"/>
    <x v="93"/>
    <s v="KBPPLC"/>
    <e v="#N/A"/>
    <s v="Slag Fumer"/>
    <e v="#N/A"/>
    <x v="2"/>
    <x v="3"/>
    <x v="3"/>
  </r>
  <r>
    <s v="10.12.1.124"/>
    <x v="1027"/>
    <s v="10.1.1.3"/>
    <x v="107"/>
    <n v="5"/>
    <x v="80"/>
    <n v="5"/>
    <n v="320"/>
    <n v="0"/>
    <n v="0"/>
    <n v="533.18611699999997"/>
    <n v="125.892617"/>
    <n v="20.334790562023201"/>
    <n v="0"/>
    <x v="41"/>
    <x v="94"/>
    <s v="KBPPLC"/>
    <e v="#N/A"/>
    <s v="Slag Fumer"/>
    <e v="#N/A"/>
    <x v="2"/>
    <x v="3"/>
    <x v="3"/>
  </r>
  <r>
    <s v="10.12.1.124"/>
    <x v="1015"/>
    <s v="10.1.1.2"/>
    <x v="107"/>
    <n v="5"/>
    <x v="80"/>
    <n v="5"/>
    <n v="320"/>
    <n v="0"/>
    <n v="0"/>
    <n v="535.89630699999998"/>
    <n v="34.960500000000003"/>
    <n v="73.225497347005899"/>
    <n v="0"/>
    <x v="41"/>
    <x v="93"/>
    <s v="KBPPLC"/>
    <e v="#N/A"/>
    <s v="Slag Fumer"/>
    <e v="#N/A"/>
    <x v="2"/>
    <x v="3"/>
    <x v="3"/>
  </r>
  <r>
    <s v="10.12.1.124"/>
    <x v="1032"/>
    <s v="10.1.1.3"/>
    <x v="107"/>
    <n v="5"/>
    <x v="80"/>
    <n v="5"/>
    <n v="320"/>
    <n v="0"/>
    <n v="0"/>
    <n v="540.17627500000003"/>
    <n v="20.990220000000001"/>
    <n v="121.961561146096"/>
    <n v="0"/>
    <x v="41"/>
    <x v="94"/>
    <s v="KBPPLC"/>
    <e v="#N/A"/>
    <s v="Slag Fumer"/>
    <e v="#N/A"/>
    <x v="2"/>
    <x v="3"/>
    <x v="3"/>
  </r>
  <r>
    <s v="10.12.1.124"/>
    <x v="1016"/>
    <s v="10.1.1.2"/>
    <x v="107"/>
    <n v="5"/>
    <x v="80"/>
    <n v="5"/>
    <n v="320"/>
    <n v="0"/>
    <n v="0"/>
    <n v="542.88633200000004"/>
    <n v="125.84179"/>
    <n v="20.343003703300798"/>
    <n v="0"/>
    <x v="41"/>
    <x v="93"/>
    <s v="KBPPLC"/>
    <e v="#N/A"/>
    <s v="Slag Fumer"/>
    <e v="#N/A"/>
    <x v="2"/>
    <x v="3"/>
    <x v="3"/>
  </r>
  <r>
    <s v="10.12.1.124"/>
    <x v="1020"/>
    <s v="10.1.1.3"/>
    <x v="107"/>
    <n v="5"/>
    <x v="80"/>
    <n v="5"/>
    <n v="320"/>
    <n v="0"/>
    <n v="0"/>
    <n v="547.16704900000002"/>
    <n v="55.970900999999998"/>
    <n v="45.738052349737899"/>
    <n v="0"/>
    <x v="41"/>
    <x v="94"/>
    <s v="KBPPLC"/>
    <e v="#N/A"/>
    <s v="Slag Fumer"/>
    <e v="#N/A"/>
    <x v="2"/>
    <x v="3"/>
    <x v="3"/>
  </r>
  <r>
    <s v="10.12.1.124"/>
    <x v="1017"/>
    <s v="10.1.1.2"/>
    <x v="107"/>
    <n v="5"/>
    <x v="80"/>
    <n v="5"/>
    <n v="320"/>
    <n v="0"/>
    <n v="0"/>
    <n v="549.87646900000004"/>
    <n v="125.84180600000001"/>
    <n v="20.3430011168149"/>
    <n v="0"/>
    <x v="41"/>
    <x v="93"/>
    <s v="KBPPLC"/>
    <e v="#N/A"/>
    <s v="Slag Fumer"/>
    <e v="#N/A"/>
    <x v="2"/>
    <x v="3"/>
    <x v="3"/>
  </r>
  <r>
    <s v="10.12.1.124"/>
    <x v="1031"/>
    <s v="10.1.1.3"/>
    <x v="107"/>
    <n v="5"/>
    <x v="80"/>
    <n v="5"/>
    <n v="320"/>
    <n v="0"/>
    <n v="0"/>
    <n v="554.16726600000004"/>
    <n v="90.930586999999903"/>
    <n v="28.153342944987301"/>
    <n v="0"/>
    <x v="41"/>
    <x v="94"/>
    <s v="KBPPLC"/>
    <e v="#N/A"/>
    <s v="Slag Fumer"/>
    <e v="#N/A"/>
    <x v="2"/>
    <x v="3"/>
    <x v="3"/>
  </r>
  <r>
    <s v="10.12.1.124"/>
    <x v="1033"/>
    <s v="10.1.1.2"/>
    <x v="107"/>
    <n v="5"/>
    <x v="80"/>
    <n v="5"/>
    <n v="320"/>
    <n v="0"/>
    <n v="0"/>
    <n v="556.86653899999999"/>
    <n v="125.84172700000001"/>
    <n v="20.3430138875955"/>
    <n v="0"/>
    <x v="41"/>
    <x v="93"/>
    <s v="KBPPLC"/>
    <e v="#N/A"/>
    <s v="Slag Fumer"/>
    <e v="#N/A"/>
    <x v="2"/>
    <x v="3"/>
    <x v="3"/>
  </r>
  <r>
    <s v="10.12.1.124"/>
    <x v="1032"/>
    <s v="10.1.1.3"/>
    <x v="107"/>
    <n v="5"/>
    <x v="80"/>
    <n v="5"/>
    <n v="320"/>
    <n v="0"/>
    <n v="0"/>
    <n v="561.16649700000005"/>
    <n v="125.88186899999999"/>
    <n v="20.336526779722401"/>
    <n v="0"/>
    <x v="41"/>
    <x v="94"/>
    <s v="KBPPLC"/>
    <e v="#N/A"/>
    <s v="Slag Fumer"/>
    <e v="#N/A"/>
    <x v="2"/>
    <x v="3"/>
    <x v="3"/>
  </r>
  <r>
    <s v="10.12.1.124"/>
    <x v="762"/>
    <s v="10.1.1.2"/>
    <x v="107"/>
    <n v="5"/>
    <x v="80"/>
    <n v="5"/>
    <n v="320"/>
    <n v="0"/>
    <n v="0"/>
    <n v="563.85729700000002"/>
    <n v="90.890721999999997"/>
    <n v="28.1656911032129"/>
    <n v="0"/>
    <x v="41"/>
    <x v="93"/>
    <s v="KBPPLC"/>
    <e v="#N/A"/>
    <s v="Slag Fumer"/>
    <e v="#N/A"/>
    <x v="2"/>
    <x v="3"/>
    <x v="3"/>
  </r>
  <r>
    <s v="10.12.1.124"/>
    <x v="1035"/>
    <s v="10.1.1.3"/>
    <x v="107"/>
    <n v="5"/>
    <x v="80"/>
    <n v="5"/>
    <n v="320"/>
    <n v="0"/>
    <n v="0"/>
    <n v="568.15743399999997"/>
    <n v="20.989754000000101"/>
    <n v="121.96426885231701"/>
    <n v="0"/>
    <x v="41"/>
    <x v="94"/>
    <s v="KBPPLC"/>
    <e v="#N/A"/>
    <s v="Slag Fumer"/>
    <e v="#N/A"/>
    <x v="2"/>
    <x v="3"/>
    <x v="3"/>
  </r>
  <r>
    <s v="10.12.1.124"/>
    <x v="1015"/>
    <s v="10.1.1.2"/>
    <x v="107"/>
    <n v="5"/>
    <x v="80"/>
    <n v="5"/>
    <n v="320"/>
    <n v="0"/>
    <n v="0"/>
    <n v="570.85681099999999"/>
    <n v="125.832356"/>
    <n v="20.344528874592498"/>
    <n v="0"/>
    <x v="41"/>
    <x v="93"/>
    <s v="KBPPLC"/>
    <e v="#N/A"/>
    <s v="Slag Fumer"/>
    <e v="#N/A"/>
    <x v="2"/>
    <x v="3"/>
    <x v="3"/>
  </r>
  <r>
    <s v="10.12.1.124"/>
    <x v="1014"/>
    <s v="10.1.1.3"/>
    <x v="107"/>
    <n v="5"/>
    <x v="80"/>
    <n v="5"/>
    <n v="320"/>
    <n v="0"/>
    <n v="0"/>
    <n v="575.15679699999998"/>
    <n v="20.990235999999999"/>
    <n v="121.961468179777"/>
    <n v="0"/>
    <x v="41"/>
    <x v="94"/>
    <s v="KBPPLC"/>
    <e v="#N/A"/>
    <s v="Slag Fumer"/>
    <e v="#N/A"/>
    <x v="2"/>
    <x v="3"/>
    <x v="3"/>
  </r>
  <r>
    <s v="10.12.1.124"/>
    <x v="1019"/>
    <s v="10.1.1.2"/>
    <x v="107"/>
    <n v="5"/>
    <x v="80"/>
    <n v="5"/>
    <n v="320"/>
    <n v="0"/>
    <n v="0"/>
    <n v="577.84752700000001"/>
    <n v="34.959820000000001"/>
    <n v="73.226921648909993"/>
    <n v="0"/>
    <x v="41"/>
    <x v="93"/>
    <s v="KBPPLC"/>
    <e v="#N/A"/>
    <s v="Slag Fumer"/>
    <e v="#N/A"/>
    <x v="2"/>
    <x v="3"/>
    <x v="3"/>
  </r>
  <r>
    <s v="10.12.1.124"/>
    <x v="1034"/>
    <s v="10.1.1.3"/>
    <x v="107"/>
    <n v="5"/>
    <x v="80"/>
    <n v="5"/>
    <n v="320"/>
    <n v="0"/>
    <n v="0"/>
    <n v="582.14763000000005"/>
    <n v="34.979713999999902"/>
    <n v="73.185275328437598"/>
    <n v="0"/>
    <x v="41"/>
    <x v="94"/>
    <s v="KBPPLC"/>
    <e v="#N/A"/>
    <s v="Slag Fumer"/>
    <e v="#N/A"/>
    <x v="2"/>
    <x v="3"/>
    <x v="3"/>
  </r>
  <r>
    <s v="10.12.1.124"/>
    <x v="1026"/>
    <s v="10.1.1.2"/>
    <x v="107"/>
    <n v="5"/>
    <x v="80"/>
    <n v="5"/>
    <n v="320"/>
    <n v="0"/>
    <n v="0"/>
    <n v="584.84687399999996"/>
    <n v="34.950483000000098"/>
    <n v="73.2464841759124"/>
    <n v="0"/>
    <x v="41"/>
    <x v="93"/>
    <s v="KBPPLC"/>
    <e v="#N/A"/>
    <s v="Slag Fumer"/>
    <e v="#N/A"/>
    <x v="2"/>
    <x v="3"/>
    <x v="3"/>
  </r>
  <r>
    <s v="10.12.1.124"/>
    <x v="1035"/>
    <s v="10.1.1.3"/>
    <x v="107"/>
    <n v="5"/>
    <x v="80"/>
    <n v="5"/>
    <n v="320"/>
    <n v="0"/>
    <n v="0"/>
    <n v="589.14752599999997"/>
    <n v="34.970508000000002"/>
    <n v="73.204541380983102"/>
    <n v="0"/>
    <x v="41"/>
    <x v="94"/>
    <s v="KBPPLC"/>
    <e v="#N/A"/>
    <s v="Slag Fumer"/>
    <e v="#N/A"/>
    <x v="2"/>
    <x v="3"/>
    <x v="3"/>
  </r>
  <r>
    <s v="10.12.1.124"/>
    <x v="135"/>
    <s v="10.1.1.2"/>
    <x v="107"/>
    <n v="5"/>
    <x v="80"/>
    <n v="5"/>
    <n v="320"/>
    <n v="0"/>
    <n v="0"/>
    <n v="591.836907"/>
    <n v="34.950563000000002"/>
    <n v="73.246316518563702"/>
    <n v="0"/>
    <x v="41"/>
    <x v="93"/>
    <s v="KBPPLC"/>
    <e v="#N/A"/>
    <s v="Slag Fumer"/>
    <e v="#N/A"/>
    <x v="2"/>
    <x v="3"/>
    <x v="3"/>
  </r>
  <r>
    <s v="10.12.1.124"/>
    <x v="1014"/>
    <s v="10.1.1.3"/>
    <x v="107"/>
    <n v="5"/>
    <x v="80"/>
    <n v="5"/>
    <n v="320"/>
    <n v="0"/>
    <n v="0"/>
    <n v="596.14703499999996"/>
    <n v="34.970486999999999"/>
    <n v="73.204585340776006"/>
    <n v="0"/>
    <x v="41"/>
    <x v="94"/>
    <s v="KBPPLC"/>
    <e v="#N/A"/>
    <s v="Slag Fumer"/>
    <e v="#N/A"/>
    <x v="2"/>
    <x v="3"/>
    <x v="3"/>
  </r>
  <r>
    <s v="10.12.1.124"/>
    <x v="1022"/>
    <s v="10.1.1.2"/>
    <x v="107"/>
    <n v="4"/>
    <x v="81"/>
    <n v="4"/>
    <n v="256"/>
    <n v="0"/>
    <n v="0"/>
    <n v="598.82707500000004"/>
    <n v="4.49982999999997"/>
    <n v="455.12830484707501"/>
    <n v="0"/>
    <x v="41"/>
    <x v="93"/>
    <s v="KBPPLC"/>
    <e v="#N/A"/>
    <s v="Slag Fumer"/>
    <e v="#N/A"/>
    <x v="2"/>
    <x v="3"/>
    <x v="3"/>
  </r>
  <r>
    <s v="10.12.1.124"/>
    <x v="1020"/>
    <s v="10.1.1.3"/>
    <x v="107"/>
    <n v="5"/>
    <x v="80"/>
    <n v="5"/>
    <n v="320"/>
    <n v="0"/>
    <n v="0"/>
    <n v="603.13795500000003"/>
    <n v="125.850921"/>
    <n v="20.341527735025501"/>
    <n v="0"/>
    <x v="41"/>
    <x v="94"/>
    <s v="KBPPLC"/>
    <e v="#N/A"/>
    <s v="Slag Fumer"/>
    <e v="#N/A"/>
    <x v="2"/>
    <x v="3"/>
    <x v="3"/>
  </r>
  <r>
    <s v="10.12.1.124"/>
    <x v="1024"/>
    <s v="10.1.1.2"/>
    <x v="107"/>
    <n v="4"/>
    <x v="81"/>
    <n v="4"/>
    <n v="256"/>
    <n v="0"/>
    <n v="0"/>
    <n v="605.81724699999995"/>
    <n v="4.4993610000000199"/>
    <n v="455.17574606705"/>
    <n v="0"/>
    <x v="41"/>
    <x v="93"/>
    <s v="KBPPLC"/>
    <e v="#N/A"/>
    <s v="Slag Fumer"/>
    <e v="#N/A"/>
    <x v="2"/>
    <x v="3"/>
    <x v="3"/>
  </r>
  <r>
    <s v="10.12.1.124"/>
    <x v="136"/>
    <s v="10.1.1.3"/>
    <x v="107"/>
    <n v="5"/>
    <x v="80"/>
    <n v="5"/>
    <n v="320"/>
    <n v="0"/>
    <n v="0"/>
    <n v="610.13719600000002"/>
    <n v="160.823151"/>
    <n v="15.9181062184262"/>
    <n v="0"/>
    <x v="41"/>
    <x v="94"/>
    <s v="KBPPLC"/>
    <e v="#N/A"/>
    <s v="Slag Fumer"/>
    <e v="#N/A"/>
    <x v="2"/>
    <x v="3"/>
    <x v="3"/>
  </r>
  <r>
    <s v="10.12.1.124"/>
    <x v="1019"/>
    <s v="10.1.1.2"/>
    <x v="107"/>
    <n v="5"/>
    <x v="80"/>
    <n v="5"/>
    <n v="320"/>
    <n v="0"/>
    <n v="0"/>
    <n v="612.80734900000004"/>
    <n v="125.841688"/>
    <n v="20.343020192164001"/>
    <n v="0"/>
    <x v="41"/>
    <x v="93"/>
    <s v="KBPPLC"/>
    <e v="#N/A"/>
    <s v="Slag Fumer"/>
    <e v="#N/A"/>
    <x v="2"/>
    <x v="3"/>
    <x v="3"/>
  </r>
  <r>
    <s v="10.12.1.124"/>
    <x v="1034"/>
    <s v="10.1.1.3"/>
    <x v="107"/>
    <n v="5"/>
    <x v="80"/>
    <n v="5"/>
    <n v="320"/>
    <n v="0"/>
    <n v="0"/>
    <n v="617.12734699999999"/>
    <n v="125.84245"/>
    <n v="20.3428970113026"/>
    <n v="0"/>
    <x v="41"/>
    <x v="94"/>
    <s v="KBPPLC"/>
    <e v="#N/A"/>
    <s v="Slag Fumer"/>
    <e v="#N/A"/>
    <x v="2"/>
    <x v="3"/>
    <x v="3"/>
  </r>
  <r>
    <s v="10.12.1.124"/>
    <x v="1026"/>
    <s v="10.1.1.2"/>
    <x v="107"/>
    <n v="5"/>
    <x v="80"/>
    <n v="5"/>
    <n v="320"/>
    <n v="0"/>
    <n v="0"/>
    <n v="619.79736200000002"/>
    <n v="104.861588"/>
    <n v="24.413134006706098"/>
    <n v="0"/>
    <x v="41"/>
    <x v="93"/>
    <s v="KBPPLC"/>
    <e v="#N/A"/>
    <s v="Slag Fumer"/>
    <e v="#N/A"/>
    <x v="2"/>
    <x v="3"/>
    <x v="3"/>
  </r>
  <r>
    <s v="10.12.1.124"/>
    <x v="1035"/>
    <s v="10.1.1.3"/>
    <x v="107"/>
    <n v="5"/>
    <x v="80"/>
    <n v="5"/>
    <n v="320"/>
    <n v="0"/>
    <n v="0"/>
    <n v="624.11803699999996"/>
    <n v="90.890743999999998"/>
    <n v="28.1656842857398"/>
    <n v="0"/>
    <x v="41"/>
    <x v="94"/>
    <s v="KBPPLC"/>
    <e v="#N/A"/>
    <s v="Slag Fumer"/>
    <e v="#N/A"/>
    <x v="2"/>
    <x v="3"/>
    <x v="3"/>
  </r>
  <r>
    <s v="10.12.1.124"/>
    <x v="135"/>
    <s v="10.1.1.2"/>
    <x v="107"/>
    <n v="5"/>
    <x v="80"/>
    <n v="5"/>
    <n v="320"/>
    <n v="0"/>
    <n v="0"/>
    <n v="626.78747299999998"/>
    <n v="195.75348199999999"/>
    <n v="13.0776728661205"/>
    <n v="0"/>
    <x v="41"/>
    <x v="93"/>
    <s v="KBPPLC"/>
    <e v="#N/A"/>
    <s v="Slag Fumer"/>
    <e v="#N/A"/>
    <x v="2"/>
    <x v="3"/>
    <x v="3"/>
  </r>
  <r>
    <s v="10.12.1.124"/>
    <x v="1014"/>
    <s v="10.1.1.3"/>
    <x v="107"/>
    <n v="5"/>
    <x v="80"/>
    <n v="5"/>
    <n v="320"/>
    <n v="0"/>
    <n v="0"/>
    <n v="631.11753099999999"/>
    <n v="90.881310999999997"/>
    <n v="28.168607734983102"/>
    <n v="0"/>
    <x v="41"/>
    <x v="94"/>
    <s v="KBPPLC"/>
    <e v="#N/A"/>
    <s v="Slag Fumer"/>
    <e v="#N/A"/>
    <x v="2"/>
    <x v="3"/>
    <x v="3"/>
  </r>
  <r>
    <s v="10.12.1.124"/>
    <x v="1030"/>
    <s v="10.1.1.2"/>
    <x v="107"/>
    <n v="5"/>
    <x v="80"/>
    <n v="5"/>
    <n v="320"/>
    <n v="0"/>
    <n v="0"/>
    <n v="633.77753700000005"/>
    <n v="125.842021"/>
    <n v="20.342966360974099"/>
    <n v="0"/>
    <x v="41"/>
    <x v="93"/>
    <s v="KBPPLC"/>
    <e v="#N/A"/>
    <s v="Slag Fumer"/>
    <e v="#N/A"/>
    <x v="2"/>
    <x v="3"/>
    <x v="3"/>
  </r>
  <r>
    <s v="10.12.1.124"/>
    <x v="1021"/>
    <s v="10.1.1.3"/>
    <x v="107"/>
    <n v="5"/>
    <x v="80"/>
    <n v="5"/>
    <n v="320"/>
    <n v="0"/>
    <n v="0"/>
    <n v="638.10762699999998"/>
    <n v="34.960492000000002"/>
    <n v="73.225514103176707"/>
    <n v="0"/>
    <x v="41"/>
    <x v="94"/>
    <s v="KBPPLC"/>
    <e v="#N/A"/>
    <s v="Slag Fumer"/>
    <e v="#N/A"/>
    <x v="2"/>
    <x v="3"/>
    <x v="3"/>
  </r>
  <r>
    <s v="10.12.1.124"/>
    <x v="1037"/>
    <s v="10.1.1.2"/>
    <x v="107"/>
    <n v="5"/>
    <x v="80"/>
    <n v="5"/>
    <n v="320"/>
    <n v="0"/>
    <n v="0"/>
    <n v="640.76772100000005"/>
    <n v="90.881981999999994"/>
    <n v="28.1683997604718"/>
    <n v="0"/>
    <x v="41"/>
    <x v="93"/>
    <s v="KBPPLC"/>
    <e v="#N/A"/>
    <s v="Slag Fumer"/>
    <e v="#N/A"/>
    <x v="2"/>
    <x v="3"/>
    <x v="3"/>
  </r>
  <r>
    <s v="10.12.1.124"/>
    <x v="1031"/>
    <s v="10.1.1.3"/>
    <x v="107"/>
    <n v="5"/>
    <x v="80"/>
    <n v="5"/>
    <n v="320"/>
    <n v="0"/>
    <n v="0"/>
    <n v="645.09785499999998"/>
    <n v="34.960420999999997"/>
    <n v="73.225662814529599"/>
    <n v="0"/>
    <x v="41"/>
    <x v="94"/>
    <s v="KBPPLC"/>
    <e v="#N/A"/>
    <s v="Slag Fumer"/>
    <e v="#N/A"/>
    <x v="2"/>
    <x v="3"/>
    <x v="3"/>
  </r>
  <r>
    <s v="10.12.1.124"/>
    <x v="1036"/>
    <s v="10.1.1.2"/>
    <x v="107"/>
    <n v="5"/>
    <x v="80"/>
    <n v="5"/>
    <n v="320"/>
    <n v="0"/>
    <n v="0"/>
    <n v="647.75775199999998"/>
    <n v="125.84183"/>
    <n v="20.3429972370872"/>
    <n v="0"/>
    <x v="41"/>
    <x v="93"/>
    <s v="KBPPLC"/>
    <e v="#N/A"/>
    <s v="Slag Fumer"/>
    <e v="#N/A"/>
    <x v="2"/>
    <x v="3"/>
    <x v="3"/>
  </r>
  <r>
    <s v="10.12.1.124"/>
    <x v="1018"/>
    <s v="10.1.1.3"/>
    <x v="107"/>
    <n v="5"/>
    <x v="80"/>
    <n v="5"/>
    <n v="320"/>
    <n v="0"/>
    <n v="0"/>
    <n v="652.08787600000005"/>
    <n v="125.871696"/>
    <n v="20.338170385818898"/>
    <n v="0"/>
    <x v="41"/>
    <x v="94"/>
    <s v="KBPPLC"/>
    <e v="#N/A"/>
    <s v="Slag Fumer"/>
    <e v="#N/A"/>
    <x v="2"/>
    <x v="3"/>
    <x v="3"/>
  </r>
  <r>
    <s v="10.12.1.124"/>
    <x v="762"/>
    <s v="10.1.1.2"/>
    <x v="107"/>
    <n v="5"/>
    <x v="80"/>
    <n v="5"/>
    <n v="320"/>
    <n v="0"/>
    <n v="0"/>
    <n v="654.74802299999999"/>
    <n v="34.950274999999998"/>
    <n v="73.246920088611503"/>
    <n v="0"/>
    <x v="41"/>
    <x v="93"/>
    <s v="KBPPLC"/>
    <e v="#N/A"/>
    <s v="Slag Fumer"/>
    <e v="#N/A"/>
    <x v="2"/>
    <x v="3"/>
    <x v="3"/>
  </r>
  <r>
    <s v="10.12.1.124"/>
    <x v="1027"/>
    <s v="10.1.1.3"/>
    <x v="107"/>
    <n v="5"/>
    <x v="80"/>
    <n v="5"/>
    <n v="320"/>
    <n v="0"/>
    <n v="0"/>
    <n v="659.07873700000005"/>
    <n v="34.959719"/>
    <n v="73.2271332043602"/>
    <n v="0"/>
    <x v="41"/>
    <x v="94"/>
    <s v="KBPPLC"/>
    <e v="#N/A"/>
    <s v="Slag Fumer"/>
    <e v="#N/A"/>
    <x v="2"/>
    <x v="3"/>
    <x v="3"/>
  </r>
  <r>
    <s v="10.12.1.124"/>
    <x v="618"/>
    <s v="10.1.1.2"/>
    <x v="107"/>
    <n v="5"/>
    <x v="80"/>
    <n v="5"/>
    <n v="320"/>
    <n v="0"/>
    <n v="0"/>
    <n v="661.73789199999999"/>
    <n v="90.891350000000003"/>
    <n v="28.1654964966413"/>
    <n v="0"/>
    <x v="41"/>
    <x v="93"/>
    <s v="KBPPLC"/>
    <e v="#N/A"/>
    <s v="Slag Fumer"/>
    <e v="#N/A"/>
    <x v="2"/>
    <x v="3"/>
    <x v="3"/>
  </r>
  <r>
    <s v="10.12.1.124"/>
    <x v="1029"/>
    <s v="10.1.1.3"/>
    <x v="107"/>
    <n v="5"/>
    <x v="80"/>
    <n v="5"/>
    <n v="320"/>
    <n v="0"/>
    <n v="0"/>
    <n v="666.07801400000005"/>
    <n v="34.950501999999901"/>
    <n v="73.246444357222899"/>
    <n v="0"/>
    <x v="41"/>
    <x v="94"/>
    <s v="KBPPLC"/>
    <e v="#N/A"/>
    <s v="Slag Fumer"/>
    <e v="#N/A"/>
    <x v="2"/>
    <x v="3"/>
    <x v="3"/>
  </r>
  <r>
    <s v="10.12.1.124"/>
    <x v="1016"/>
    <s v="10.1.1.2"/>
    <x v="107"/>
    <n v="5"/>
    <x v="80"/>
    <n v="5"/>
    <n v="320"/>
    <n v="0"/>
    <n v="0"/>
    <n v="668.72812599999997"/>
    <n v="34.960492000000002"/>
    <n v="73.225514103176707"/>
    <n v="0"/>
    <x v="41"/>
    <x v="93"/>
    <s v="KBPPLC"/>
    <e v="#N/A"/>
    <s v="Slag Fumer"/>
    <e v="#N/A"/>
    <x v="2"/>
    <x v="3"/>
    <x v="3"/>
  </r>
  <r>
    <s v="10.12.1.124"/>
    <x v="1021"/>
    <s v="10.1.1.3"/>
    <x v="107"/>
    <n v="5"/>
    <x v="80"/>
    <n v="5"/>
    <n v="320"/>
    <n v="0"/>
    <n v="0"/>
    <n v="673.06812100000002"/>
    <n v="90.901274999999899"/>
    <n v="28.162421264168199"/>
    <n v="0"/>
    <x v="41"/>
    <x v="94"/>
    <s v="KBPPLC"/>
    <e v="#N/A"/>
    <s v="Slag Fumer"/>
    <e v="#N/A"/>
    <x v="2"/>
    <x v="3"/>
    <x v="3"/>
  </r>
  <r>
    <s v="10.12.1.124"/>
    <x v="1017"/>
    <s v="10.1.1.2"/>
    <x v="107"/>
    <n v="5"/>
    <x v="80"/>
    <n v="5"/>
    <n v="320"/>
    <n v="0"/>
    <n v="0"/>
    <n v="675.71827800000005"/>
    <n v="34.960408999999899"/>
    <n v="73.225687948902603"/>
    <n v="0"/>
    <x v="41"/>
    <x v="93"/>
    <s v="KBPPLC"/>
    <e v="#N/A"/>
    <s v="Slag Fumer"/>
    <e v="#N/A"/>
    <x v="2"/>
    <x v="3"/>
    <x v="3"/>
  </r>
  <r>
    <s v="10.12.1.124"/>
    <x v="1031"/>
    <s v="10.1.1.3"/>
    <x v="107"/>
    <n v="5"/>
    <x v="80"/>
    <n v="5"/>
    <n v="320"/>
    <n v="0"/>
    <n v="0"/>
    <n v="680.05827799999997"/>
    <n v="160.82219000000001"/>
    <n v="15.9182013377632"/>
    <n v="0"/>
    <x v="41"/>
    <x v="94"/>
    <s v="KBPPLC"/>
    <e v="#N/A"/>
    <s v="Slag Fumer"/>
    <e v="#N/A"/>
    <x v="2"/>
    <x v="3"/>
    <x v="3"/>
  </r>
  <r>
    <s v="10.12.1.124"/>
    <x v="1033"/>
    <s v="10.1.1.2"/>
    <x v="107"/>
    <n v="5"/>
    <x v="80"/>
    <n v="5"/>
    <n v="320"/>
    <n v="0"/>
    <n v="0"/>
    <n v="682.70826999999997"/>
    <n v="34.9604870000001"/>
    <n v="73.225524575787404"/>
    <n v="0"/>
    <x v="41"/>
    <x v="93"/>
    <s v="KBPPLC"/>
    <e v="#N/A"/>
    <s v="Slag Fumer"/>
    <e v="#N/A"/>
    <x v="2"/>
    <x v="3"/>
    <x v="3"/>
  </r>
  <r>
    <s v="10.12.1.124"/>
    <x v="1032"/>
    <s v="10.1.1.3"/>
    <x v="107"/>
    <n v="5"/>
    <x v="80"/>
    <n v="5"/>
    <n v="320"/>
    <n v="0"/>
    <n v="0"/>
    <n v="687.04836799999998"/>
    <n v="146.842039"/>
    <n v="17.433699623307501"/>
    <n v="0"/>
    <x v="41"/>
    <x v="94"/>
    <s v="KBPPLC"/>
    <e v="#N/A"/>
    <s v="Slag Fumer"/>
    <e v="#N/A"/>
    <x v="2"/>
    <x v="3"/>
    <x v="3"/>
  </r>
  <r>
    <s v="10.12.1.124"/>
    <x v="762"/>
    <s v="10.1.1.2"/>
    <x v="107"/>
    <n v="5"/>
    <x v="80"/>
    <n v="5"/>
    <n v="320"/>
    <n v="0"/>
    <n v="0"/>
    <n v="689.69830100000001"/>
    <n v="125.85189"/>
    <n v="20.341371114887501"/>
    <n v="0"/>
    <x v="41"/>
    <x v="93"/>
    <s v="KBPPLC"/>
    <e v="#N/A"/>
    <s v="Slag Fumer"/>
    <e v="#N/A"/>
    <x v="2"/>
    <x v="3"/>
    <x v="3"/>
  </r>
  <r>
    <s v="10.12.1.124"/>
    <x v="1027"/>
    <s v="10.1.1.3"/>
    <x v="107"/>
    <n v="5"/>
    <x v="80"/>
    <n v="5"/>
    <n v="320"/>
    <n v="0"/>
    <n v="0"/>
    <n v="694.03845899999999"/>
    <n v="181.81246999999999"/>
    <n v="14.080442337096001"/>
    <n v="0"/>
    <x v="41"/>
    <x v="94"/>
    <s v="KBPPLC"/>
    <e v="#N/A"/>
    <s v="Slag Fumer"/>
    <e v="#N/A"/>
    <x v="2"/>
    <x v="3"/>
    <x v="3"/>
  </r>
  <r>
    <s v="10.12.1.124"/>
    <x v="1015"/>
    <s v="10.1.1.2"/>
    <x v="107"/>
    <n v="5"/>
    <x v="80"/>
    <n v="5"/>
    <n v="320"/>
    <n v="0"/>
    <n v="0"/>
    <n v="696.68916999999999"/>
    <n v="160.831615"/>
    <n v="15.9172685047029"/>
    <n v="0"/>
    <x v="41"/>
    <x v="93"/>
    <s v="KBPPLC"/>
    <e v="#N/A"/>
    <s v="Slag Fumer"/>
    <e v="#N/A"/>
    <x v="2"/>
    <x v="3"/>
    <x v="3"/>
  </r>
  <r>
    <s v="10.12.1.124"/>
    <x v="1029"/>
    <s v="10.1.1.3"/>
    <x v="107"/>
    <n v="5"/>
    <x v="80"/>
    <n v="5"/>
    <n v="320"/>
    <n v="0"/>
    <n v="0"/>
    <n v="701.02851899999996"/>
    <n v="125.87181"/>
    <n v="20.338151965877"/>
    <n v="0"/>
    <x v="41"/>
    <x v="94"/>
    <s v="KBPPLC"/>
    <e v="#N/A"/>
    <s v="Slag Fumer"/>
    <e v="#N/A"/>
    <x v="2"/>
    <x v="3"/>
    <x v="3"/>
  </r>
  <r>
    <s v="10.12.1.124"/>
    <x v="1016"/>
    <s v="10.1.1.2"/>
    <x v="107"/>
    <n v="5"/>
    <x v="80"/>
    <n v="5"/>
    <n v="320"/>
    <n v="0"/>
    <n v="0"/>
    <n v="703.68862000000001"/>
    <n v="125.851682"/>
    <n v="20.341404733867599"/>
    <n v="0"/>
    <x v="41"/>
    <x v="93"/>
    <s v="KBPPLC"/>
    <e v="#N/A"/>
    <s v="Slag Fumer"/>
    <e v="#N/A"/>
    <x v="2"/>
    <x v="3"/>
    <x v="3"/>
  </r>
  <r>
    <s v="10.12.1.124"/>
    <x v="40"/>
    <s v="10.1.1.3"/>
    <x v="107"/>
    <n v="5"/>
    <x v="80"/>
    <n v="5"/>
    <n v="320"/>
    <n v="0"/>
    <n v="0"/>
    <n v="708.01872900000001"/>
    <n v="146.85196199999999"/>
    <n v="17.432521602946"/>
    <n v="0"/>
    <x v="41"/>
    <x v="94"/>
    <s v="KBPPLC"/>
    <e v="#N/A"/>
    <s v="Slag Fumer"/>
    <e v="#N/A"/>
    <x v="2"/>
    <x v="3"/>
    <x v="3"/>
  </r>
  <r>
    <s v="10.12.1.124"/>
    <x v="1017"/>
    <s v="10.1.1.2"/>
    <x v="107"/>
    <n v="5"/>
    <x v="80"/>
    <n v="5"/>
    <n v="320"/>
    <n v="0"/>
    <n v="0"/>
    <n v="710.67868799999997"/>
    <n v="90.891295"/>
    <n v="28.165513540102999"/>
    <n v="0"/>
    <x v="41"/>
    <x v="93"/>
    <s v="KBPPLC"/>
    <e v="#N/A"/>
    <s v="Slag Fumer"/>
    <e v="#N/A"/>
    <x v="2"/>
    <x v="3"/>
    <x v="3"/>
  </r>
  <r>
    <s v="10.12.1.124"/>
    <x v="1035"/>
    <s v="10.1.1.3"/>
    <x v="107"/>
    <n v="5"/>
    <x v="80"/>
    <n v="5"/>
    <n v="320"/>
    <n v="0"/>
    <n v="0"/>
    <n v="715.00878499999999"/>
    <n v="34.961089999999999"/>
    <n v="73.224261600539293"/>
    <n v="0"/>
    <x v="41"/>
    <x v="94"/>
    <s v="KBPPLC"/>
    <e v="#N/A"/>
    <s v="Slag Fumer"/>
    <e v="#N/A"/>
    <x v="2"/>
    <x v="3"/>
    <x v="3"/>
  </r>
  <r>
    <s v="10.12.1.124"/>
    <x v="1033"/>
    <s v="10.1.1.2"/>
    <x v="107"/>
    <n v="5"/>
    <x v="80"/>
    <n v="5"/>
    <n v="320"/>
    <n v="0"/>
    <n v="0"/>
    <n v="717.66876000000002"/>
    <n v="125.862509"/>
    <n v="20.339654916620201"/>
    <n v="0"/>
    <x v="41"/>
    <x v="93"/>
    <s v="KBPPLC"/>
    <e v="#N/A"/>
    <s v="Slag Fumer"/>
    <e v="#N/A"/>
    <x v="2"/>
    <x v="3"/>
    <x v="3"/>
  </r>
  <r>
    <s v="10.12.1.124"/>
    <x v="1014"/>
    <s v="10.1.1.3"/>
    <x v="107"/>
    <n v="5"/>
    <x v="80"/>
    <n v="5"/>
    <n v="320"/>
    <n v="0"/>
    <n v="0"/>
    <n v="721.99884299999997"/>
    <n v="34.971220000000002"/>
    <n v="73.203050965908503"/>
    <n v="0"/>
    <x v="41"/>
    <x v="94"/>
    <s v="KBPPLC"/>
    <e v="#N/A"/>
    <s v="Slag Fumer"/>
    <e v="#N/A"/>
    <x v="2"/>
    <x v="3"/>
    <x v="3"/>
  </r>
  <r>
    <s v="10.12.1.124"/>
    <x v="1026"/>
    <s v="10.1.1.2"/>
    <x v="107"/>
    <n v="5"/>
    <x v="80"/>
    <n v="5"/>
    <n v="320"/>
    <n v="0"/>
    <n v="0"/>
    <n v="724.658952"/>
    <n v="146.84194600000001"/>
    <n v="17.433710664662499"/>
    <n v="0"/>
    <x v="41"/>
    <x v="93"/>
    <s v="KBPPLC"/>
    <e v="#N/A"/>
    <s v="Slag Fumer"/>
    <e v="#N/A"/>
    <x v="2"/>
    <x v="3"/>
    <x v="3"/>
  </r>
  <r>
    <s v="10.12.1.124"/>
    <x v="1020"/>
    <s v="10.1.1.3"/>
    <x v="107"/>
    <n v="5"/>
    <x v="80"/>
    <n v="5"/>
    <n v="320"/>
    <n v="0"/>
    <n v="0"/>
    <n v="728.988877"/>
    <n v="160.84219899999999"/>
    <n v="15.9162210907102"/>
    <n v="0"/>
    <x v="41"/>
    <x v="94"/>
    <s v="KBPPLC"/>
    <e v="#N/A"/>
    <s v="Slag Fumer"/>
    <e v="#N/A"/>
    <x v="2"/>
    <x v="3"/>
    <x v="3"/>
  </r>
  <r>
    <s v="10.12.1.124"/>
    <x v="1037"/>
    <s v="10.1.1.2"/>
    <x v="107"/>
    <n v="5"/>
    <x v="80"/>
    <n v="5"/>
    <n v="320"/>
    <n v="0"/>
    <n v="0"/>
    <n v="731.64970400000004"/>
    <n v="34.959727999999899"/>
    <n v="73.227114352834903"/>
    <n v="0"/>
    <x v="41"/>
    <x v="93"/>
    <s v="KBPPLC"/>
    <e v="#N/A"/>
    <s v="Slag Fumer"/>
    <e v="#N/A"/>
    <x v="2"/>
    <x v="3"/>
    <x v="3"/>
  </r>
  <r>
    <s v="10.12.1.124"/>
    <x v="619"/>
    <s v="10.1.1.3"/>
    <x v="107"/>
    <n v="5"/>
    <x v="80"/>
    <n v="5"/>
    <n v="320"/>
    <n v="0"/>
    <n v="0"/>
    <n v="735.97905700000001"/>
    <n v="55.96163"/>
    <n v="45.745629639451202"/>
    <n v="0"/>
    <x v="41"/>
    <x v="94"/>
    <s v="KBPPLC"/>
    <e v="#N/A"/>
    <s v="Slag Fumer"/>
    <e v="#N/A"/>
    <x v="2"/>
    <x v="3"/>
    <x v="3"/>
  </r>
  <r>
    <s v="10.12.1.124"/>
    <x v="1019"/>
    <s v="10.1.1.2"/>
    <x v="107"/>
    <n v="5"/>
    <x v="80"/>
    <n v="5"/>
    <n v="320"/>
    <n v="0"/>
    <n v="0"/>
    <n v="738.64904000000001"/>
    <n v="125.861831"/>
    <n v="20.339764483483499"/>
    <n v="0"/>
    <x v="41"/>
    <x v="93"/>
    <s v="KBPPLC"/>
    <e v="#N/A"/>
    <s v="Slag Fumer"/>
    <e v="#N/A"/>
    <x v="2"/>
    <x v="3"/>
    <x v="3"/>
  </r>
  <r>
    <s v="10.12.1.124"/>
    <x v="1034"/>
    <s v="10.1.1.3"/>
    <x v="107"/>
    <n v="5"/>
    <x v="80"/>
    <n v="5"/>
    <n v="320"/>
    <n v="0"/>
    <n v="0"/>
    <n v="742.96979899999997"/>
    <n v="125.88185300000001"/>
    <n v="20.3365293645622"/>
    <n v="0"/>
    <x v="41"/>
    <x v="94"/>
    <s v="KBPPLC"/>
    <e v="#N/A"/>
    <s v="Slag Fumer"/>
    <e v="#N/A"/>
    <x v="2"/>
    <x v="3"/>
    <x v="3"/>
  </r>
  <r>
    <s v="10.12.1.124"/>
    <x v="1028"/>
    <s v="10.1.1.2"/>
    <x v="107"/>
    <n v="5"/>
    <x v="80"/>
    <n v="5"/>
    <n v="320"/>
    <n v="0"/>
    <n v="0"/>
    <n v="745.63908000000004"/>
    <n v="34.950539999999897"/>
    <n v="73.246364719973002"/>
    <n v="0"/>
    <x v="41"/>
    <x v="93"/>
    <s v="KBPPLC"/>
    <e v="#N/A"/>
    <s v="Slag Fumer"/>
    <e v="#N/A"/>
    <x v="2"/>
    <x v="3"/>
    <x v="3"/>
  </r>
  <r>
    <s v="10.12.1.124"/>
    <x v="1035"/>
    <s v="10.1.1.3"/>
    <x v="107"/>
    <n v="4"/>
    <x v="81"/>
    <n v="4"/>
    <n v="256"/>
    <n v="0"/>
    <n v="0"/>
    <n v="749.96988899999997"/>
    <n v="4.5087439999999797"/>
    <n v="454.22849467612502"/>
    <n v="0"/>
    <x v="41"/>
    <x v="94"/>
    <s v="KBPPLC"/>
    <e v="#N/A"/>
    <s v="Slag Fumer"/>
    <e v="#N/A"/>
    <x v="2"/>
    <x v="3"/>
    <x v="3"/>
  </r>
  <r>
    <s v="10.12.1.124"/>
    <x v="618"/>
    <s v="10.1.1.2"/>
    <x v="107"/>
    <n v="5"/>
    <x v="80"/>
    <n v="5"/>
    <n v="320"/>
    <n v="0"/>
    <n v="0"/>
    <n v="752.62924399999997"/>
    <n v="34.951162000000103"/>
    <n v="73.245061208551405"/>
    <n v="0"/>
    <x v="41"/>
    <x v="93"/>
    <s v="KBPPLC"/>
    <e v="#N/A"/>
    <s v="Slag Fumer"/>
    <e v="#N/A"/>
    <x v="2"/>
    <x v="3"/>
    <x v="3"/>
  </r>
  <r>
    <s v="10.12.1.124"/>
    <x v="1014"/>
    <s v="10.1.1.3"/>
    <x v="107"/>
    <n v="5"/>
    <x v="80"/>
    <n v="5"/>
    <n v="320"/>
    <n v="0"/>
    <n v="0"/>
    <n v="756.97006499999998"/>
    <n v="90.901289000000006"/>
    <n v="28.162416926783099"/>
    <n v="0"/>
    <x v="41"/>
    <x v="94"/>
    <s v="KBPPLC"/>
    <e v="#N/A"/>
    <s v="Slag Fumer"/>
    <e v="#N/A"/>
    <x v="2"/>
    <x v="3"/>
    <x v="3"/>
  </r>
  <r>
    <s v="10.12.1.124"/>
    <x v="1030"/>
    <s v="10.1.1.2"/>
    <x v="107"/>
    <n v="5"/>
    <x v="80"/>
    <n v="5"/>
    <n v="320"/>
    <n v="0"/>
    <n v="0"/>
    <n v="759.61956299999997"/>
    <n v="34.960219000000102"/>
    <n v="73.226085912104693"/>
    <n v="0"/>
    <x v="41"/>
    <x v="93"/>
    <s v="KBPPLC"/>
    <e v="#N/A"/>
    <s v="Slag Fumer"/>
    <e v="#N/A"/>
    <x v="2"/>
    <x v="3"/>
    <x v="3"/>
  </r>
  <r>
    <s v="10.12.1.124"/>
    <x v="1021"/>
    <s v="10.1.1.3"/>
    <x v="107"/>
    <n v="5"/>
    <x v="80"/>
    <n v="5"/>
    <n v="320"/>
    <n v="0"/>
    <n v="0"/>
    <n v="763.96939899999995"/>
    <n v="34.970599"/>
    <n v="73.204350889156899"/>
    <n v="0"/>
    <x v="41"/>
    <x v="94"/>
    <s v="KBPPLC"/>
    <e v="#N/A"/>
    <s v="Slag Fumer"/>
    <e v="#N/A"/>
    <x v="2"/>
    <x v="3"/>
    <x v="3"/>
  </r>
  <r>
    <s v="10.12.1.124"/>
    <x v="1037"/>
    <s v="10.1.1.2"/>
    <x v="107"/>
    <n v="5"/>
    <x v="80"/>
    <n v="5"/>
    <n v="320"/>
    <n v="0"/>
    <n v="0"/>
    <n v="766.60943499999996"/>
    <n v="125.86175299999999"/>
    <n v="20.339777088596598"/>
    <n v="0"/>
    <x v="41"/>
    <x v="93"/>
    <s v="KBPPLC"/>
    <e v="#N/A"/>
    <s v="Slag Fumer"/>
    <e v="#N/A"/>
    <x v="2"/>
    <x v="3"/>
    <x v="3"/>
  </r>
  <r>
    <s v="10.12.1.124"/>
    <x v="136"/>
    <s v="10.1.1.3"/>
    <x v="107"/>
    <n v="5"/>
    <x v="80"/>
    <n v="5"/>
    <n v="320"/>
    <n v="0"/>
    <n v="0"/>
    <n v="770.96035099999995"/>
    <n v="90.900375000000096"/>
    <n v="28.162700098872001"/>
    <n v="0"/>
    <x v="41"/>
    <x v="94"/>
    <s v="KBPPLC"/>
    <e v="#N/A"/>
    <s v="Slag Fumer"/>
    <e v="#N/A"/>
    <x v="2"/>
    <x v="3"/>
    <x v="3"/>
  </r>
  <r>
    <s v="10.12.1.124"/>
    <x v="1036"/>
    <s v="10.1.1.2"/>
    <x v="107"/>
    <n v="5"/>
    <x v="80"/>
    <n v="5"/>
    <n v="320"/>
    <n v="0"/>
    <n v="0"/>
    <n v="773.59958700000004"/>
    <n v="34.960448999999898"/>
    <n v="73.2256041677269"/>
    <n v="0"/>
    <x v="41"/>
    <x v="93"/>
    <s v="KBPPLC"/>
    <e v="#N/A"/>
    <s v="Slag Fumer"/>
    <e v="#N/A"/>
    <x v="2"/>
    <x v="3"/>
    <x v="3"/>
  </r>
  <r>
    <s v="10.12.1.124"/>
    <x v="1018"/>
    <s v="10.1.1.3"/>
    <x v="107"/>
    <n v="5"/>
    <x v="80"/>
    <n v="5"/>
    <n v="320"/>
    <n v="0"/>
    <n v="0"/>
    <n v="777.95957299999998"/>
    <n v="34.960566999999998"/>
    <n v="73.225357014375703"/>
    <n v="0"/>
    <x v="41"/>
    <x v="94"/>
    <s v="KBPPLC"/>
    <e v="#N/A"/>
    <s v="Slag Fumer"/>
    <e v="#N/A"/>
    <x v="2"/>
    <x v="3"/>
    <x v="3"/>
  </r>
  <r>
    <s v="10.12.1.124"/>
    <x v="1028"/>
    <s v="10.1.1.2"/>
    <x v="107"/>
    <n v="4"/>
    <x v="81"/>
    <n v="4"/>
    <n v="256"/>
    <n v="0"/>
    <n v="0"/>
    <n v="780.58962299999996"/>
    <n v="4.5005030000000898"/>
    <n v="455.06024548810598"/>
    <n v="0"/>
    <x v="41"/>
    <x v="93"/>
    <s v="KBPPLC"/>
    <e v="#N/A"/>
    <s v="Slag Fumer"/>
    <e v="#N/A"/>
    <x v="2"/>
    <x v="3"/>
    <x v="3"/>
  </r>
  <r>
    <s v="10.12.1.124"/>
    <x v="1025"/>
    <s v="10.1.1.3"/>
    <x v="107"/>
    <n v="5"/>
    <x v="80"/>
    <n v="5"/>
    <n v="320"/>
    <n v="0"/>
    <n v="0"/>
    <n v="784.94962699999996"/>
    <n v="34.960628"/>
    <n v="73.225229249314296"/>
    <n v="0"/>
    <x v="41"/>
    <x v="94"/>
    <s v="KBPPLC"/>
    <e v="#N/A"/>
    <s v="Slag Fumer"/>
    <e v="#N/A"/>
    <x v="2"/>
    <x v="3"/>
    <x v="3"/>
  </r>
  <r>
    <s v="10.12.1.124"/>
    <x v="618"/>
    <s v="10.1.1.2"/>
    <x v="107"/>
    <n v="4"/>
    <x v="81"/>
    <n v="4"/>
    <n v="256"/>
    <n v="0"/>
    <n v="0"/>
    <n v="787.58041600000001"/>
    <n v="4.5090950000000003"/>
    <n v="454.19313631671099"/>
    <n v="0"/>
    <x v="41"/>
    <x v="93"/>
    <s v="KBPPLC"/>
    <e v="#N/A"/>
    <s v="Slag Fumer"/>
    <e v="#N/A"/>
    <x v="2"/>
    <x v="3"/>
    <x v="3"/>
  </r>
  <r>
    <s v="10.12.1.124"/>
    <x v="619"/>
    <s v="10.1.1.3"/>
    <x v="107"/>
    <n v="4"/>
    <x v="81"/>
    <n v="4"/>
    <n v="256"/>
    <n v="0"/>
    <n v="0"/>
    <n v="791.94068900000002"/>
    <n v="4.5084859999999498"/>
    <n v="454.25448809201703"/>
    <n v="0"/>
    <x v="41"/>
    <x v="94"/>
    <s v="KBPPLC"/>
    <e v="#N/A"/>
    <s v="Slag Fumer"/>
    <e v="#N/A"/>
    <x v="2"/>
    <x v="3"/>
    <x v="3"/>
  </r>
  <r>
    <s v="10.12.1.124"/>
    <x v="1030"/>
    <s v="10.1.1.2"/>
    <x v="107"/>
    <n v="5"/>
    <x v="80"/>
    <n v="5"/>
    <n v="320"/>
    <n v="0"/>
    <n v="0"/>
    <n v="794.57978400000002"/>
    <n v="90.901311000000007"/>
    <n v="28.1624101108949"/>
    <n v="0"/>
    <x v="41"/>
    <x v="93"/>
    <s v="KBPPLC"/>
    <e v="#N/A"/>
    <s v="Slag Fumer"/>
    <e v="#N/A"/>
    <x v="2"/>
    <x v="3"/>
    <x v="3"/>
  </r>
  <r>
    <s v="10.12.1.124"/>
    <x v="1021"/>
    <s v="10.1.1.3"/>
    <x v="107"/>
    <n v="4"/>
    <x v="81"/>
    <n v="4"/>
    <n v="256"/>
    <n v="0"/>
    <n v="0"/>
    <n v="798.94000200000005"/>
    <n v="4.4993199999998996"/>
    <n v="455.17989385063697"/>
    <n v="0"/>
    <x v="41"/>
    <x v="94"/>
    <s v="KBPPLC"/>
    <e v="#N/A"/>
    <s v="Slag Fumer"/>
    <e v="#N/A"/>
    <x v="2"/>
    <x v="3"/>
    <x v="3"/>
  </r>
  <r>
    <s v="10.12.1.124"/>
    <x v="1017"/>
    <s v="10.1.1.2"/>
    <x v="107"/>
    <n v="5"/>
    <x v="80"/>
    <n v="5"/>
    <n v="320"/>
    <n v="0"/>
    <n v="0"/>
    <n v="801.56998499999997"/>
    <n v="34.961103999999999"/>
    <n v="73.224232278248493"/>
    <n v="0"/>
    <x v="41"/>
    <x v="93"/>
    <s v="KBPPLC"/>
    <e v="#N/A"/>
    <s v="Slag Fumer"/>
    <e v="#N/A"/>
    <x v="2"/>
    <x v="3"/>
    <x v="3"/>
  </r>
  <r>
    <s v="10.12.1.124"/>
    <x v="1023"/>
    <s v="10.1.1.3"/>
    <x v="107"/>
    <n v="4"/>
    <x v="81"/>
    <n v="4"/>
    <n v="256"/>
    <n v="0"/>
    <n v="0"/>
    <n v="805.92990399999996"/>
    <n v="4.4994850000000497"/>
    <n v="455.16320201089201"/>
    <n v="0"/>
    <x v="41"/>
    <x v="94"/>
    <s v="KBPPLC"/>
    <e v="#N/A"/>
    <s v="Slag Fumer"/>
    <e v="#N/A"/>
    <x v="2"/>
    <x v="3"/>
    <x v="3"/>
  </r>
  <r>
    <s v="10.12.1.124"/>
    <x v="1036"/>
    <s v="10.1.1.2"/>
    <x v="107"/>
    <n v="5"/>
    <x v="80"/>
    <n v="5"/>
    <n v="320"/>
    <n v="0"/>
    <n v="0"/>
    <n v="808.56003599999997"/>
    <n v="90.901281999999995"/>
    <n v="28.162419095475499"/>
    <n v="0"/>
    <x v="41"/>
    <x v="93"/>
    <s v="KBPPLC"/>
    <e v="#N/A"/>
    <s v="Slag Fumer"/>
    <e v="#N/A"/>
    <x v="2"/>
    <x v="3"/>
    <x v="3"/>
  </r>
  <r>
    <s v="10.12.1.124"/>
    <x v="1018"/>
    <s v="10.1.1.3"/>
    <x v="107"/>
    <n v="4"/>
    <x v="81"/>
    <n v="4"/>
    <n v="256"/>
    <n v="0"/>
    <n v="0"/>
    <n v="812.92014300000005"/>
    <n v="4.4993629999999003"/>
    <n v="455.17554373809003"/>
    <n v="0"/>
    <x v="41"/>
    <x v="94"/>
    <s v="KBPPLC"/>
    <e v="#N/A"/>
    <s v="Slag Fumer"/>
    <e v="#N/A"/>
    <x v="2"/>
    <x v="3"/>
    <x v="3"/>
  </r>
  <r>
    <s v="10.12.1.124"/>
    <x v="762"/>
    <s v="10.1.1.2"/>
    <x v="107"/>
    <n v="5"/>
    <x v="80"/>
    <n v="5"/>
    <n v="320"/>
    <n v="0"/>
    <n v="0"/>
    <n v="815.55019300000004"/>
    <n v="34.980379999999997"/>
    <n v="73.183881936102495"/>
    <n v="0"/>
    <x v="41"/>
    <x v="93"/>
    <s v="KBPPLC"/>
    <e v="#N/A"/>
    <s v="Slag Fumer"/>
    <e v="#N/A"/>
    <x v="2"/>
    <x v="3"/>
    <x v="3"/>
  </r>
  <r>
    <s v="10.12.1.124"/>
    <x v="1025"/>
    <s v="10.1.1.3"/>
    <x v="107"/>
    <n v="4"/>
    <x v="81"/>
    <n v="4"/>
    <n v="256"/>
    <n v="0"/>
    <n v="0"/>
    <n v="819.910258"/>
    <n v="4.4994500000000199"/>
    <n v="455.16674260187102"/>
    <n v="0"/>
    <x v="41"/>
    <x v="94"/>
    <s v="KBPPLC"/>
    <e v="#N/A"/>
    <s v="Slag Fumer"/>
    <e v="#N/A"/>
    <x v="2"/>
    <x v="3"/>
    <x v="3"/>
  </r>
  <r>
    <s v="10.12.1.124"/>
    <x v="135"/>
    <s v="10.1.1.2"/>
    <x v="107"/>
    <n v="5"/>
    <x v="80"/>
    <n v="5"/>
    <n v="320"/>
    <n v="0"/>
    <n v="0"/>
    <n v="822.54095800000005"/>
    <n v="55.950137999999903"/>
    <n v="45.755025662313898"/>
    <n v="0"/>
    <x v="41"/>
    <x v="93"/>
    <s v="KBPPLC"/>
    <e v="#N/A"/>
    <s v="Slag Fumer"/>
    <e v="#N/A"/>
    <x v="2"/>
    <x v="3"/>
    <x v="3"/>
  </r>
  <r>
    <s v="10.12.1.124"/>
    <x v="1029"/>
    <s v="10.1.1.3"/>
    <x v="107"/>
    <n v="4"/>
    <x v="81"/>
    <n v="4"/>
    <n v="256"/>
    <n v="0"/>
    <n v="0"/>
    <n v="826.90033200000005"/>
    <n v="4.49938799999995"/>
    <n v="455.17301464110699"/>
    <n v="0"/>
    <x v="41"/>
    <x v="94"/>
    <s v="KBPPLC"/>
    <e v="#N/A"/>
    <s v="Slag Fumer"/>
    <e v="#N/A"/>
    <x v="2"/>
    <x v="3"/>
    <x v="3"/>
  </r>
  <r>
    <s v="10.12.1.124"/>
    <x v="1016"/>
    <s v="10.1.1.2"/>
    <x v="107"/>
    <n v="4"/>
    <x v="81"/>
    <n v="4"/>
    <n v="256"/>
    <n v="0"/>
    <n v="0"/>
    <n v="829.54030499999999"/>
    <n v="4.4994390000000504"/>
    <n v="455.16785537040897"/>
    <n v="0"/>
    <x v="41"/>
    <x v="93"/>
    <s v="KBPPLC"/>
    <e v="#N/A"/>
    <s v="Slag Fumer"/>
    <e v="#N/A"/>
    <x v="2"/>
    <x v="3"/>
    <x v="3"/>
  </r>
  <r>
    <s v="10.12.1.124"/>
    <x v="1032"/>
    <s v="10.1.1.3"/>
    <x v="107"/>
    <n v="4"/>
    <x v="81"/>
    <n v="4"/>
    <n v="256"/>
    <n v="0"/>
    <n v="0"/>
    <n v="833.89040899999998"/>
    <n v="4.4994390000000504"/>
    <n v="455.16785537040897"/>
    <n v="0"/>
    <x v="41"/>
    <x v="94"/>
    <s v="KBPPLC"/>
    <e v="#N/A"/>
    <s v="Slag Fumer"/>
    <e v="#N/A"/>
    <x v="2"/>
    <x v="3"/>
    <x v="3"/>
  </r>
  <r>
    <s v="10.12.1.124"/>
    <x v="1017"/>
    <s v="10.1.1.2"/>
    <x v="107"/>
    <n v="4"/>
    <x v="81"/>
    <n v="4"/>
    <n v="256"/>
    <n v="0"/>
    <n v="0"/>
    <n v="836.53108999999995"/>
    <n v="4.5088030000000598"/>
    <n v="454.22255086327198"/>
    <n v="0"/>
    <x v="41"/>
    <x v="93"/>
    <s v="KBPPLC"/>
    <e v="#N/A"/>
    <s v="Slag Fumer"/>
    <e v="#N/A"/>
    <x v="2"/>
    <x v="3"/>
    <x v="3"/>
  </r>
  <r>
    <s v="10.12.1.124"/>
    <x v="1031"/>
    <s v="10.1.1.3"/>
    <x v="107"/>
    <n v="4"/>
    <x v="81"/>
    <n v="4"/>
    <n v="256"/>
    <n v="0"/>
    <n v="0"/>
    <n v="840.88047099999994"/>
    <n v="4.4994470000000302"/>
    <n v="455.16704608366001"/>
    <n v="0"/>
    <x v="41"/>
    <x v="94"/>
    <s v="KBPPLC"/>
    <e v="#N/A"/>
    <s v="Slag Fumer"/>
    <e v="#N/A"/>
    <x v="2"/>
    <x v="3"/>
    <x v="3"/>
  </r>
  <r>
    <s v="10.12.1.124"/>
    <x v="1033"/>
    <s v="10.1.1.2"/>
    <x v="107"/>
    <n v="4"/>
    <x v="81"/>
    <n v="4"/>
    <n v="256"/>
    <n v="0"/>
    <n v="0"/>
    <n v="843.53127199999994"/>
    <n v="4.5089580000000096"/>
    <n v="454.206936502845"/>
    <n v="0"/>
    <x v="41"/>
    <x v="93"/>
    <s v="KBPPLC"/>
    <e v="#N/A"/>
    <s v="Slag Fumer"/>
    <e v="#N/A"/>
    <x v="2"/>
    <x v="3"/>
    <x v="3"/>
  </r>
  <r>
    <s v="10.12.1.124"/>
    <x v="1014"/>
    <s v="10.1.1.3"/>
    <x v="107"/>
    <n v="5"/>
    <x v="80"/>
    <n v="5"/>
    <n v="320"/>
    <n v="0"/>
    <n v="0"/>
    <n v="847.87135799999999"/>
    <n v="34.969630000000102"/>
    <n v="73.206379364036593"/>
    <n v="0"/>
    <x v="41"/>
    <x v="94"/>
    <s v="KBPPLC"/>
    <e v="#N/A"/>
    <s v="Slag Fumer"/>
    <e v="#N/A"/>
    <x v="2"/>
    <x v="3"/>
    <x v="3"/>
  </r>
  <r>
    <s v="10.12.1.124"/>
    <x v="762"/>
    <s v="10.1.1.2"/>
    <x v="107"/>
    <n v="4"/>
    <x v="81"/>
    <n v="4"/>
    <n v="256"/>
    <n v="0"/>
    <n v="0"/>
    <n v="850.530574"/>
    <n v="4.4995689999999504"/>
    <n v="455.15470481728897"/>
    <n v="0"/>
    <x v="41"/>
    <x v="93"/>
    <s v="KBPPLC"/>
    <e v="#N/A"/>
    <s v="Slag Fumer"/>
    <e v="#N/A"/>
    <x v="2"/>
    <x v="3"/>
    <x v="3"/>
  </r>
  <r>
    <s v="10.12.1.124"/>
    <x v="40"/>
    <s v="10.1.1.3"/>
    <x v="107"/>
    <n v="4"/>
    <x v="81"/>
    <n v="4"/>
    <n v="256"/>
    <n v="0"/>
    <n v="0"/>
    <n v="854.87069199999996"/>
    <n v="4.49935700000003"/>
    <n v="455.176150725534"/>
    <n v="0"/>
    <x v="41"/>
    <x v="94"/>
    <s v="KBPPLC"/>
    <e v="#N/A"/>
    <s v="Slag Fumer"/>
    <e v="#N/A"/>
    <x v="2"/>
    <x v="3"/>
    <x v="3"/>
  </r>
  <r>
    <s v="10.12.1.124"/>
    <x v="1015"/>
    <s v="10.1.1.2"/>
    <x v="107"/>
    <n v="4"/>
    <x v="81"/>
    <n v="4"/>
    <n v="256"/>
    <n v="0"/>
    <n v="0"/>
    <n v="857.52078800000004"/>
    <n v="4.4992929999999696"/>
    <n v="455.182625359143"/>
    <n v="0"/>
    <x v="41"/>
    <x v="93"/>
    <s v="KBPPLC"/>
    <e v="#N/A"/>
    <s v="Slag Fumer"/>
    <e v="#N/A"/>
    <x v="2"/>
    <x v="3"/>
    <x v="3"/>
  </r>
  <r>
    <s v="10.12.1.124"/>
    <x v="136"/>
    <s v="10.1.1.3"/>
    <x v="107"/>
    <n v="5"/>
    <x v="80"/>
    <n v="5"/>
    <n v="320"/>
    <n v="0"/>
    <n v="0"/>
    <n v="861.860726"/>
    <n v="34.960484999999899"/>
    <n v="73.225528764832703"/>
    <n v="0"/>
    <x v="41"/>
    <x v="94"/>
    <s v="KBPPLC"/>
    <e v="#N/A"/>
    <s v="Slag Fumer"/>
    <e v="#N/A"/>
    <x v="2"/>
    <x v="3"/>
    <x v="3"/>
  </r>
  <r>
    <s v="10.12.1.124"/>
    <x v="1019"/>
    <s v="10.1.1.2"/>
    <x v="107"/>
    <n v="4"/>
    <x v="81"/>
    <n v="4"/>
    <n v="256"/>
    <n v="0"/>
    <n v="0"/>
    <n v="864.51087399999994"/>
    <n v="4.49968800000011"/>
    <n v="455.14266766939198"/>
    <n v="0"/>
    <x v="41"/>
    <x v="93"/>
    <s v="KBPPLC"/>
    <e v="#N/A"/>
    <s v="Slag Fumer"/>
    <e v="#N/A"/>
    <x v="2"/>
    <x v="3"/>
    <x v="3"/>
  </r>
  <r>
    <s v="10.12.1.124"/>
    <x v="1034"/>
    <s v="10.1.1.3"/>
    <x v="107"/>
    <n v="4"/>
    <x v="81"/>
    <n v="4"/>
    <n v="256"/>
    <n v="0"/>
    <n v="0"/>
    <n v="868.85165600000005"/>
    <n v="4.50903999999991"/>
    <n v="454.198676436678"/>
    <n v="0"/>
    <x v="41"/>
    <x v="94"/>
    <s v="KBPPLC"/>
    <e v="#N/A"/>
    <s v="Slag Fumer"/>
    <e v="#N/A"/>
    <x v="2"/>
    <x v="3"/>
    <x v="3"/>
  </r>
  <r>
    <s v="10.12.1.124"/>
    <x v="1026"/>
    <s v="10.1.1.2"/>
    <x v="107"/>
    <n v="4"/>
    <x v="81"/>
    <n v="4"/>
    <n v="256"/>
    <n v="0"/>
    <n v="0"/>
    <n v="871.500901"/>
    <n v="4.49950000000001"/>
    <n v="455.16168463162501"/>
    <n v="0"/>
    <x v="41"/>
    <x v="93"/>
    <s v="KBPPLC"/>
    <e v="#N/A"/>
    <s v="Slag Fumer"/>
    <e v="#N/A"/>
    <x v="2"/>
    <x v="3"/>
    <x v="3"/>
  </r>
  <r>
    <s v="10.12.1.124"/>
    <x v="1027"/>
    <s v="10.1.1.3"/>
    <x v="107"/>
    <n v="4"/>
    <x v="81"/>
    <n v="4"/>
    <n v="256"/>
    <n v="0"/>
    <n v="0"/>
    <n v="875.85093199999994"/>
    <n v="4.4998040000000401"/>
    <n v="455.13093459181403"/>
    <n v="0"/>
    <x v="41"/>
    <x v="94"/>
    <s v="KBPPLC"/>
    <e v="#N/A"/>
    <s v="Slag Fumer"/>
    <e v="#N/A"/>
    <x v="2"/>
    <x v="3"/>
    <x v="3"/>
  </r>
  <r>
    <s v="10.12.1.124"/>
    <x v="135"/>
    <s v="10.1.1.2"/>
    <x v="107"/>
    <n v="4"/>
    <x v="81"/>
    <n v="4"/>
    <n v="256"/>
    <n v="0"/>
    <n v="0"/>
    <n v="878.49109899999996"/>
    <n v="4.4993810000000796"/>
    <n v="455.17372278541501"/>
    <n v="0"/>
    <x v="41"/>
    <x v="93"/>
    <s v="KBPPLC"/>
    <e v="#N/A"/>
    <s v="Slag Fumer"/>
    <e v="#N/A"/>
    <x v="2"/>
    <x v="3"/>
    <x v="3"/>
  </r>
  <r>
    <s v="10.12.1.124"/>
    <x v="1014"/>
    <s v="10.1.1.3"/>
    <x v="107"/>
    <n v="4"/>
    <x v="81"/>
    <n v="4"/>
    <n v="256"/>
    <n v="0"/>
    <n v="0"/>
    <n v="882.84098900000004"/>
    <n v="4.4995649999999596"/>
    <n v="455.15510943836102"/>
    <n v="0"/>
    <x v="41"/>
    <x v="94"/>
    <s v="KBPPLC"/>
    <e v="#N/A"/>
    <s v="Slag Fumer"/>
    <e v="#N/A"/>
    <x v="2"/>
    <x v="3"/>
    <x v="3"/>
  </r>
  <r>
    <s v="10.12.1.124"/>
    <x v="1030"/>
    <s v="10.1.1.2"/>
    <x v="107"/>
    <n v="4"/>
    <x v="81"/>
    <n v="4"/>
    <n v="256"/>
    <n v="0"/>
    <n v="0"/>
    <n v="885.48109799999997"/>
    <n v="4.4994719999999697"/>
    <n v="455.16451708111799"/>
    <n v="0"/>
    <x v="41"/>
    <x v="93"/>
    <s v="KBPPLC"/>
    <e v="#N/A"/>
    <s v="Slag Fumer"/>
    <e v="#N/A"/>
    <x v="2"/>
    <x v="3"/>
    <x v="3"/>
  </r>
  <r>
    <s v="10.12.1.124"/>
    <x v="1020"/>
    <s v="10.1.1.3"/>
    <x v="107"/>
    <n v="4"/>
    <x v="81"/>
    <n v="4"/>
    <n v="256"/>
    <n v="0"/>
    <n v="0"/>
    <n v="889.83107700000005"/>
    <n v="4.4995469999998896"/>
    <n v="455.15693024209997"/>
    <n v="0"/>
    <x v="41"/>
    <x v="94"/>
    <s v="KBPPLC"/>
    <e v="#N/A"/>
    <s v="Slag Fumer"/>
    <e v="#N/A"/>
    <x v="2"/>
    <x v="3"/>
    <x v="3"/>
  </r>
  <r>
    <s v="10.12.1.124"/>
    <x v="1037"/>
    <s v="10.1.1.2"/>
    <x v="107"/>
    <n v="4"/>
    <x v="81"/>
    <n v="4"/>
    <n v="256"/>
    <n v="0"/>
    <n v="0"/>
    <n v="892.47118899999998"/>
    <n v="4.4994860000000498"/>
    <n v="455.16310085195897"/>
    <n v="0"/>
    <x v="41"/>
    <x v="93"/>
    <s v="KBPPLC"/>
    <e v="#N/A"/>
    <s v="Slag Fumer"/>
    <e v="#N/A"/>
    <x v="2"/>
    <x v="3"/>
    <x v="3"/>
  </r>
  <r>
    <s v="10.12.1.124"/>
    <x v="136"/>
    <s v="10.1.1.3"/>
    <x v="107"/>
    <n v="4"/>
    <x v="81"/>
    <n v="4"/>
    <n v="256"/>
    <n v="0"/>
    <n v="0"/>
    <n v="896.82121299999994"/>
    <n v="4.4994050000000199"/>
    <n v="455.17129487120798"/>
    <n v="0"/>
    <x v="41"/>
    <x v="94"/>
    <s v="KBPPLC"/>
    <e v="#N/A"/>
    <s v="Slag Fumer"/>
    <e v="#N/A"/>
    <x v="2"/>
    <x v="3"/>
    <x v="3"/>
  </r>
  <r>
    <s v="10.12.1.124"/>
    <x v="1036"/>
    <s v="10.1.1.2"/>
    <x v="107"/>
    <n v="3"/>
    <x v="78"/>
    <n v="3"/>
    <n v="192"/>
    <n v="0"/>
    <n v="0"/>
    <n v="899.461321"/>
    <n v="2.9994390000000499"/>
    <n v="512.09576190746805"/>
    <n v="0"/>
    <x v="41"/>
    <x v="93"/>
    <s v="KBPPLC"/>
    <e v="#N/A"/>
    <s v="Slag Fumer"/>
    <e v="#N/A"/>
    <x v="2"/>
    <x v="3"/>
    <x v="3"/>
  </r>
  <r>
    <s v="10.12.129.252"/>
    <x v="867"/>
    <s v="10.12.128.180"/>
    <x v="117"/>
    <n v="1"/>
    <x v="67"/>
    <n v="1"/>
    <n v="60"/>
    <n v="0"/>
    <n v="0"/>
    <n v="559.01169000000004"/>
    <n v="0"/>
    <n v="0"/>
    <n v="0"/>
    <x v="42"/>
    <x v="95"/>
    <e v="#N/A"/>
    <s v="SPSW1A/B"/>
    <e v="#N/A"/>
    <s v="Sinter Plant"/>
    <x v="0"/>
    <x v="0"/>
    <x v="5"/>
  </r>
  <r>
    <s v="10.12.129.252"/>
    <x v="1038"/>
    <s v="10.12.128.179"/>
    <x v="116"/>
    <n v="1"/>
    <x v="67"/>
    <n v="1"/>
    <n v="60"/>
    <n v="0"/>
    <n v="0"/>
    <n v="559.85619599999995"/>
    <n v="0"/>
    <n v="0"/>
    <n v="0"/>
    <x v="42"/>
    <x v="96"/>
    <e v="#N/A"/>
    <e v="#N/A"/>
    <e v="#N/A"/>
    <e v="#N/A"/>
    <x v="0"/>
    <x v="3"/>
    <x v="4"/>
  </r>
  <r>
    <s v="10.12.129.252"/>
    <x v="1039"/>
    <s v="10.12.128.40"/>
    <x v="116"/>
    <n v="3"/>
    <x v="82"/>
    <n v="3"/>
    <n v="317"/>
    <n v="0"/>
    <n v="0"/>
    <n v="559.99223400000005"/>
    <n v="1.1049999999386299E-3"/>
    <n v="0"/>
    <n v="0"/>
    <x v="42"/>
    <x v="97"/>
    <e v="#N/A"/>
    <s v="BFSW1A/B"/>
    <e v="#N/A"/>
    <s v="Blast Furnace"/>
    <x v="0"/>
    <x v="0"/>
    <x v="4"/>
  </r>
  <r>
    <s v="10.12.129.252"/>
    <x v="1040"/>
    <s v="10.12.128.60"/>
    <x v="116"/>
    <n v="3"/>
    <x v="82"/>
    <n v="3"/>
    <n v="317"/>
    <n v="0"/>
    <n v="0"/>
    <n v="559.99240999999995"/>
    <n v="4.5200000000704703E-3"/>
    <n v="0"/>
    <n v="0"/>
    <x v="42"/>
    <x v="98"/>
    <e v="#N/A"/>
    <s v="APSW1"/>
    <e v="#N/A"/>
    <s v="Acid Plant"/>
    <x v="0"/>
    <x v="0"/>
    <x v="4"/>
  </r>
  <r>
    <s v="10.15.35.107"/>
    <x v="1"/>
    <s v="10.12.0.65"/>
    <x v="121"/>
    <n v="3"/>
    <x v="0"/>
    <n v="0"/>
    <n v="0"/>
    <n v="3"/>
    <n v="186"/>
    <n v="8.0820430000000005"/>
    <n v="9.2961430000000007"/>
    <n v="0"/>
    <n v="160.066384520978"/>
    <x v="43"/>
    <x v="99"/>
    <e v="#N/A"/>
    <s v="PPPCPET5"/>
    <e v="#N/A"/>
    <s v="PETs Plant"/>
    <x v="0"/>
    <x v="0"/>
    <x v="0"/>
  </r>
  <r>
    <s v="10.15.35.107"/>
    <x v="1"/>
    <s v="10.12.0.65"/>
    <x v="122"/>
    <n v="3"/>
    <x v="0"/>
    <n v="0"/>
    <n v="0"/>
    <n v="3"/>
    <n v="186"/>
    <n v="29.521947000000001"/>
    <n v="9.1852169999999997"/>
    <n v="0"/>
    <n v="161.99943888097599"/>
    <x v="43"/>
    <x v="99"/>
    <e v="#N/A"/>
    <s v="PPPCPET5"/>
    <e v="#N/A"/>
    <s v="PETs Plant"/>
    <x v="0"/>
    <x v="0"/>
    <x v="0"/>
  </r>
  <r>
    <s v="10.15.35.107"/>
    <x v="1"/>
    <s v="10.12.0.65"/>
    <x v="123"/>
    <n v="3"/>
    <x v="0"/>
    <n v="0"/>
    <n v="0"/>
    <n v="3"/>
    <n v="186"/>
    <n v="50.849358000000002"/>
    <n v="9.1873489999999993"/>
    <n v="0"/>
    <n v="161.961845576999"/>
    <x v="43"/>
    <x v="99"/>
    <e v="#N/A"/>
    <s v="PPPCPET5"/>
    <e v="#N/A"/>
    <s v="PETs Plant"/>
    <x v="0"/>
    <x v="0"/>
    <x v="0"/>
  </r>
  <r>
    <s v="10.15.35.107"/>
    <x v="1"/>
    <s v="10.12.0.1"/>
    <x v="124"/>
    <n v="3"/>
    <x v="0"/>
    <n v="0"/>
    <n v="0"/>
    <n v="3"/>
    <n v="186"/>
    <n v="61.240909000000002"/>
    <n v="9.0504160000000002"/>
    <n v="0"/>
    <n v="164.41233198562401"/>
    <x v="43"/>
    <x v="2"/>
    <e v="#N/A"/>
    <s v="PPPCFC1"/>
    <e v="#N/A"/>
    <s v="Fume Control"/>
    <x v="0"/>
    <x v="0"/>
    <x v="0"/>
  </r>
  <r>
    <s v="10.15.35.107"/>
    <x v="1"/>
    <s v="10.12.0.1"/>
    <x v="125"/>
    <n v="3"/>
    <x v="0"/>
    <n v="0"/>
    <n v="0"/>
    <n v="3"/>
    <n v="186"/>
    <n v="82.464357000000007"/>
    <n v="9.1538769999999907"/>
    <n v="0"/>
    <n v="162.55407408248999"/>
    <x v="43"/>
    <x v="2"/>
    <e v="#N/A"/>
    <s v="PPPCFC1"/>
    <e v="#N/A"/>
    <s v="Fume Control"/>
    <x v="0"/>
    <x v="0"/>
    <x v="0"/>
  </r>
  <r>
    <s v="10.15.97.41"/>
    <x v="1"/>
    <s v="10.12.0.2"/>
    <x v="126"/>
    <n v="9"/>
    <x v="83"/>
    <n v="4"/>
    <n v="332"/>
    <n v="5"/>
    <n v="361"/>
    <n v="6.3180350000000001"/>
    <n v="1.3471E-2"/>
    <n v="197164.278821171"/>
    <n v="214386.459802539"/>
    <x v="44"/>
    <x v="100"/>
    <e v="#N/A"/>
    <s v="PPPCFC2"/>
    <e v="#N/A"/>
    <s v="Fume Control"/>
    <x v="0"/>
    <x v="0"/>
    <x v="0"/>
  </r>
  <r>
    <s v="10.15.97.41"/>
    <x v="1"/>
    <s v="10.12.0.2"/>
    <x v="127"/>
    <n v="12"/>
    <x v="84"/>
    <n v="6"/>
    <n v="3032"/>
    <n v="6"/>
    <n v="495"/>
    <n v="6.3328930000000003"/>
    <n v="1.30759999999999E-2"/>
    <n v="1855001.52951975"/>
    <n v="302844.90669929999"/>
    <x v="44"/>
    <x v="100"/>
    <e v="#N/A"/>
    <s v="PPPCFC2"/>
    <e v="#N/A"/>
    <s v="Fume Control"/>
    <x v="0"/>
    <x v="0"/>
    <x v="0"/>
  </r>
  <r>
    <s v="10.15.97.41"/>
    <x v="1"/>
    <s v="10.12.0.41"/>
    <x v="128"/>
    <n v="9"/>
    <x v="83"/>
    <n v="4"/>
    <n v="332"/>
    <n v="5"/>
    <n v="361"/>
    <n v="6.4702260000000003"/>
    <n v="1.8766999999999499E-2"/>
    <n v="141525.017317636"/>
    <n v="153887.142324296"/>
    <x v="44"/>
    <x v="9"/>
    <e v="#N/A"/>
    <s v="PPPCAP1"/>
    <e v="#N/A"/>
    <s v="Acid Plant"/>
    <x v="0"/>
    <x v="0"/>
    <x v="0"/>
  </r>
  <r>
    <s v="10.15.97.41"/>
    <x v="1"/>
    <s v="10.12.0.41"/>
    <x v="129"/>
    <n v="9"/>
    <x v="85"/>
    <n v="4"/>
    <n v="1838"/>
    <n v="5"/>
    <n v="428"/>
    <n v="6.4911490000000001"/>
    <n v="1.38169999999995E-2"/>
    <n v="1064196.2799450301"/>
    <n v="247810.66801766801"/>
    <x v="44"/>
    <x v="9"/>
    <e v="#N/A"/>
    <s v="PPPCAP1"/>
    <e v="#N/A"/>
    <s v="Acid Plant"/>
    <x v="0"/>
    <x v="0"/>
    <x v="0"/>
  </r>
  <r>
    <s v="10.15.97.41"/>
    <x v="1"/>
    <s v="10.12.0.41"/>
    <x v="130"/>
    <n v="9"/>
    <x v="83"/>
    <n v="4"/>
    <n v="332"/>
    <n v="5"/>
    <n v="361"/>
    <n v="50.038640999999998"/>
    <n v="1.1470000000002799E-2"/>
    <n v="231560.59285086"/>
    <n v="251787.27114204899"/>
    <x v="44"/>
    <x v="9"/>
    <e v="#N/A"/>
    <s v="PPPCAP1"/>
    <e v="#N/A"/>
    <s v="Acid Plant"/>
    <x v="0"/>
    <x v="0"/>
    <x v="0"/>
  </r>
  <r>
    <s v="10.15.97.41"/>
    <x v="1"/>
    <s v="10.12.0.41"/>
    <x v="131"/>
    <n v="12"/>
    <x v="86"/>
    <n v="6"/>
    <n v="2816"/>
    <n v="6"/>
    <n v="495"/>
    <n v="50.054228999999999"/>
    <n v="1.06499999999983E-2"/>
    <n v="2115305.1643195902"/>
    <n v="371830.985915553"/>
    <x v="44"/>
    <x v="9"/>
    <e v="#N/A"/>
    <s v="PPPCAP1"/>
    <e v="#N/A"/>
    <s v="Acid Plant"/>
    <x v="0"/>
    <x v="0"/>
    <x v="0"/>
  </r>
  <r>
    <s v="10.15.97.41"/>
    <x v="1"/>
    <s v="10.12.0.41"/>
    <x v="132"/>
    <n v="9"/>
    <x v="83"/>
    <n v="4"/>
    <n v="332"/>
    <n v="5"/>
    <n v="361"/>
    <n v="93.705628000000004"/>
    <n v="1.3190999999992001E-2"/>
    <n v="201349.40489740099"/>
    <n v="218937.15412036699"/>
    <x v="44"/>
    <x v="9"/>
    <e v="#N/A"/>
    <s v="PPPCAP1"/>
    <e v="#N/A"/>
    <s v="Acid Plant"/>
    <x v="0"/>
    <x v="0"/>
    <x v="0"/>
  </r>
  <r>
    <s v="10.15.97.41"/>
    <x v="1"/>
    <s v="10.12.0.41"/>
    <x v="133"/>
    <n v="11"/>
    <x v="87"/>
    <n v="6"/>
    <n v="3032"/>
    <n v="5"/>
    <n v="435"/>
    <n v="93.723211000000006"/>
    <n v="1.6735999999994498E-2"/>
    <n v="1449330.7839392901"/>
    <n v="207934.990439838"/>
    <x v="44"/>
    <x v="9"/>
    <e v="#N/A"/>
    <s v="PPPCAP1"/>
    <e v="#N/A"/>
    <s v="Acid Plant"/>
    <x v="0"/>
    <x v="0"/>
    <x v="0"/>
  </r>
  <r>
    <s v="10.15.98.41"/>
    <x v="1"/>
    <s v="10.12.0.65"/>
    <x v="134"/>
    <n v="3"/>
    <x v="0"/>
    <n v="0"/>
    <n v="0"/>
    <n v="3"/>
    <n v="186"/>
    <n v="76.681747999999999"/>
    <n v="8.949173"/>
    <n v="0"/>
    <n v="166.27234717666099"/>
    <x v="45"/>
    <x v="99"/>
    <e v="#N/A"/>
    <s v="PPPCPET5"/>
    <e v="#N/A"/>
    <s v="PETs Plant"/>
    <x v="0"/>
    <x v="0"/>
    <x v="0"/>
  </r>
  <r>
    <s v="10.15.98.41"/>
    <x v="1"/>
    <s v="10.12.0.65"/>
    <x v="135"/>
    <n v="3"/>
    <x v="0"/>
    <n v="0"/>
    <n v="0"/>
    <n v="3"/>
    <n v="186"/>
    <n v="97.663466"/>
    <n v="9.1869879999999995"/>
    <n v="0"/>
    <n v="161.96820982023701"/>
    <x v="45"/>
    <x v="99"/>
    <e v="#N/A"/>
    <s v="PPPCPET5"/>
    <e v="#N/A"/>
    <s v="PETs Plant"/>
    <x v="0"/>
    <x v="0"/>
    <x v="0"/>
  </r>
  <r>
    <s v="10.15.98.41"/>
    <x v="1"/>
    <s v="10.12.0.65"/>
    <x v="136"/>
    <n v="3"/>
    <x v="0"/>
    <n v="0"/>
    <n v="0"/>
    <n v="3"/>
    <n v="186"/>
    <n v="118.887502"/>
    <n v="9.2932650000000105"/>
    <n v="0"/>
    <n v="160.11595494156199"/>
    <x v="45"/>
    <x v="99"/>
    <e v="#N/A"/>
    <s v="PPPCPET5"/>
    <e v="#N/A"/>
    <s v="PETs Plant"/>
    <x v="0"/>
    <x v="0"/>
    <x v="0"/>
  </r>
  <r>
    <s v="10.15.98.41"/>
    <x v="1"/>
    <s v="10.12.0.65"/>
    <x v="137"/>
    <n v="3"/>
    <x v="0"/>
    <n v="0"/>
    <n v="0"/>
    <n v="3"/>
    <n v="186"/>
    <n v="140.32177200000001"/>
    <n v="9.1866109999999992"/>
    <n v="0"/>
    <n v="161.97485666912399"/>
    <x v="45"/>
    <x v="99"/>
    <e v="#N/A"/>
    <s v="PPPCPET5"/>
    <e v="#N/A"/>
    <s v="PETs Plant"/>
    <x v="0"/>
    <x v="0"/>
    <x v="0"/>
  </r>
  <r>
    <s v="10.15.98.41"/>
    <x v="1"/>
    <s v="10.12.0.1"/>
    <x v="138"/>
    <n v="3"/>
    <x v="0"/>
    <n v="0"/>
    <n v="0"/>
    <n v="3"/>
    <n v="186"/>
    <n v="150.068634"/>
    <n v="9.0513579999999898"/>
    <n v="0"/>
    <n v="164.395221136983"/>
    <x v="45"/>
    <x v="2"/>
    <e v="#N/A"/>
    <s v="PPPCFC1"/>
    <e v="#N/A"/>
    <s v="Fume Control"/>
    <x v="0"/>
    <x v="0"/>
    <x v="0"/>
  </r>
  <r>
    <s v="10.15.98.41"/>
    <x v="1"/>
    <s v="10.12.0.63"/>
    <x v="139"/>
    <n v="3"/>
    <x v="0"/>
    <n v="0"/>
    <n v="0"/>
    <n v="3"/>
    <n v="186"/>
    <n v="157.73431400000001"/>
    <n v="9.1848379999999796"/>
    <n v="0"/>
    <n v="162.00612357017101"/>
    <x v="45"/>
    <x v="3"/>
    <e v="#N/A"/>
    <s v="PPPCPET3"/>
    <e v="#N/A"/>
    <s v="PETs Plant"/>
    <x v="0"/>
    <x v="0"/>
    <x v="0"/>
  </r>
  <r>
    <s v="10.15.98.41"/>
    <x v="1"/>
    <s v="10.12.0.1"/>
    <x v="140"/>
    <n v="3"/>
    <x v="0"/>
    <n v="0"/>
    <n v="0"/>
    <n v="3"/>
    <n v="186"/>
    <n v="171.193667"/>
    <n v="9.0521679999999893"/>
    <n v="0"/>
    <n v="164.380510834532"/>
    <x v="45"/>
    <x v="2"/>
    <e v="#N/A"/>
    <s v="PPPCFC1"/>
    <e v="#N/A"/>
    <s v="Fume Control"/>
    <x v="0"/>
    <x v="0"/>
    <x v="0"/>
  </r>
  <r>
    <s v="10.15.98.41"/>
    <x v="1"/>
    <s v="10.12.0.63"/>
    <x v="101"/>
    <n v="3"/>
    <x v="0"/>
    <n v="0"/>
    <n v="0"/>
    <n v="3"/>
    <n v="186"/>
    <n v="179.06165200000001"/>
    <n v="9.1860729999999897"/>
    <n v="0"/>
    <n v="161.984343037553"/>
    <x v="45"/>
    <x v="3"/>
    <e v="#N/A"/>
    <s v="PPPCPET3"/>
    <e v="#N/A"/>
    <s v="PETs Plant"/>
    <x v="0"/>
    <x v="0"/>
    <x v="0"/>
  </r>
  <r>
    <s v="10.20.97.12"/>
    <x v="1041"/>
    <s v="10.12.0.241"/>
    <x v="113"/>
    <n v="1019"/>
    <x v="88"/>
    <n v="362"/>
    <n v="23820"/>
    <n v="657"/>
    <n v="174726"/>
    <n v="3.758175"/>
    <n v="894.055612"/>
    <n v="213.14110379970401"/>
    <n v="1563.44636870307"/>
    <x v="46"/>
    <x v="16"/>
    <e v="#N/A"/>
    <s v="PPPCHIST"/>
    <e v="#N/A"/>
    <s v="Other ProcN Devices"/>
    <x v="0"/>
    <x v="0"/>
    <x v="0"/>
  </r>
  <r>
    <s v="10.20.97.12"/>
    <x v="1042"/>
    <s v="10.12.0.241"/>
    <x v="105"/>
    <n v="40"/>
    <x v="89"/>
    <n v="21"/>
    <n v="2142"/>
    <n v="19"/>
    <n v="2152"/>
    <n v="23.55564"/>
    <n v="788.79586600000005"/>
    <n v="21.724251785061998"/>
    <n v="21.825672194889499"/>
    <x v="46"/>
    <x v="16"/>
    <e v="#N/A"/>
    <s v="PPPCHIST"/>
    <e v="#N/A"/>
    <s v="Other ProcN Devices"/>
    <x v="0"/>
    <x v="0"/>
    <x v="1"/>
  </r>
  <r>
    <s v="10.20.97.12"/>
    <x v="1043"/>
    <s v="10.12.0.223"/>
    <x v="105"/>
    <n v="6912"/>
    <x v="90"/>
    <n v="1019"/>
    <n v="91429"/>
    <n v="5893"/>
    <n v="8618946"/>
    <n v="23.696598999999999"/>
    <n v="834.29702399999996"/>
    <n v="876.70455360512005"/>
    <n v="82646.307030336495"/>
    <x v="46"/>
    <x v="101"/>
    <e v="#N/A"/>
    <s v="PPPCEAF3"/>
    <e v="#N/A"/>
    <s v="EAF Dust Washing"/>
    <x v="0"/>
    <x v="0"/>
    <x v="1"/>
  </r>
  <r>
    <s v="10.20.97.12"/>
    <x v="1044"/>
    <s v="10.12.0.145"/>
    <x v="105"/>
    <n v="14"/>
    <x v="91"/>
    <n v="7"/>
    <n v="462"/>
    <n v="7"/>
    <n v="420"/>
    <n v="97.537386999999995"/>
    <n v="720.10109699999998"/>
    <n v="5.1326126503595697"/>
    <n v="4.6660115003268796"/>
    <x v="46"/>
    <x v="102"/>
    <e v="#N/A"/>
    <s v="PPPCCP5"/>
    <e v="#N/A"/>
    <s v="Copper Plant"/>
    <x v="0"/>
    <x v="0"/>
    <x v="1"/>
  </r>
  <r>
    <s v="10.20.97.12"/>
    <x v="1045"/>
    <s v="10.12.0.143"/>
    <x v="105"/>
    <n v="14"/>
    <x v="91"/>
    <n v="7"/>
    <n v="462"/>
    <n v="7"/>
    <n v="420"/>
    <n v="99.041993000000005"/>
    <n v="720.13804100000004"/>
    <n v="5.1323493407842404"/>
    <n v="4.6657721279856696"/>
    <x v="46"/>
    <x v="103"/>
    <e v="#N/A"/>
    <s v="PPPCCP3"/>
    <e v="#N/A"/>
    <s v="Copper Plant"/>
    <x v="0"/>
    <x v="0"/>
    <x v="1"/>
  </r>
  <r>
    <s v="10.20.97.12"/>
    <x v="1046"/>
    <s v="10.12.0.144"/>
    <x v="105"/>
    <n v="14"/>
    <x v="91"/>
    <n v="7"/>
    <n v="462"/>
    <n v="7"/>
    <n v="420"/>
    <n v="102.872748"/>
    <n v="720.07149300000003"/>
    <n v="5.1328236653301298"/>
    <n v="4.6662033321183003"/>
    <x v="46"/>
    <x v="104"/>
    <e v="#N/A"/>
    <s v="PPPCCP4"/>
    <e v="#N/A"/>
    <s v="Copper Plant"/>
    <x v="0"/>
    <x v="0"/>
    <x v="1"/>
  </r>
  <r>
    <s v="10.20.97.12"/>
    <x v="1047"/>
    <s v="10.12.0.121"/>
    <x v="141"/>
    <n v="15"/>
    <x v="92"/>
    <n v="9"/>
    <n v="1132"/>
    <n v="6"/>
    <n v="1459"/>
    <n v="121.15640399999999"/>
    <n v="3.0083050000000102"/>
    <n v="3010.3330613086"/>
    <n v="3879.9257389127702"/>
    <x v="46"/>
    <x v="105"/>
    <e v="#N/A"/>
    <s v="PPPCSF1"/>
    <e v="#N/A"/>
    <s v="Slag Fumer"/>
    <x v="0"/>
    <x v="0"/>
    <x v="7"/>
  </r>
  <r>
    <s v="10.20.97.12"/>
    <x v="1048"/>
    <s v="10.12.0.121"/>
    <x v="141"/>
    <n v="479"/>
    <x v="93"/>
    <n v="189"/>
    <n v="57569"/>
    <n v="290"/>
    <n v="182017"/>
    <n v="129.222463"/>
    <n v="10.668837999999999"/>
    <n v="43167.962621608902"/>
    <n v="136484.96677895001"/>
    <x v="46"/>
    <x v="105"/>
    <e v="#N/A"/>
    <s v="PPPCSF1"/>
    <e v="#N/A"/>
    <s v="Slag Fumer"/>
    <x v="0"/>
    <x v="0"/>
    <x v="7"/>
  </r>
  <r>
    <s v="10.20.97.12"/>
    <x v="1049"/>
    <s v="10.12.0.121"/>
    <x v="141"/>
    <n v="13"/>
    <x v="94"/>
    <n v="7"/>
    <n v="1012"/>
    <n v="6"/>
    <n v="1459"/>
    <n v="154.45020400000001"/>
    <n v="8.6270999999982195E-2"/>
    <n v="93843.817737150006"/>
    <n v="135294.594939231"/>
    <x v="46"/>
    <x v="105"/>
    <e v="#N/A"/>
    <s v="PPPCSF1"/>
    <e v="#N/A"/>
    <s v="Slag Fumer"/>
    <x v="0"/>
    <x v="0"/>
    <x v="7"/>
  </r>
  <r>
    <s v="10.20.97.12"/>
    <x v="1050"/>
    <s v="10.12.0.121"/>
    <x v="141"/>
    <n v="994"/>
    <x v="95"/>
    <n v="361"/>
    <n v="77897"/>
    <n v="633"/>
    <n v="466060"/>
    <n v="157.33429599999999"/>
    <n v="15.098413000000001"/>
    <n v="41274.271673453397"/>
    <n v="246945.159070692"/>
    <x v="46"/>
    <x v="105"/>
    <e v="#N/A"/>
    <s v="PPPCSF1"/>
    <e v="#N/A"/>
    <s v="Slag Fumer"/>
    <x v="0"/>
    <x v="0"/>
    <x v="7"/>
  </r>
  <r>
    <s v="10.20.97.12"/>
    <x v="1051"/>
    <s v="10.12.0.121"/>
    <x v="142"/>
    <n v="1004"/>
    <x v="96"/>
    <n v="213"/>
    <n v="13174"/>
    <n v="791"/>
    <n v="1058949"/>
    <n v="194.22602699999999"/>
    <n v="20.629916999999999"/>
    <n v="5108.6972380935904"/>
    <n v="410645.95654941298"/>
    <x v="46"/>
    <x v="105"/>
    <e v="#N/A"/>
    <s v="PPPCSF1"/>
    <e v="#N/A"/>
    <s v="Slag Fumer"/>
    <x v="0"/>
    <x v="0"/>
    <x v="0"/>
  </r>
  <r>
    <s v="10.20.97.12"/>
    <x v="1052"/>
    <s v="10.12.0.121"/>
    <x v="142"/>
    <n v="3209"/>
    <x v="97"/>
    <n v="1080"/>
    <n v="67886"/>
    <n v="2129"/>
    <n v="2611432"/>
    <n v="215.935608"/>
    <n v="17.865435000000002"/>
    <n v="30398.812007656099"/>
    <n v="1169378.5233888801"/>
    <x v="46"/>
    <x v="105"/>
    <e v="#N/A"/>
    <s v="PPPCSF1"/>
    <e v="#N/A"/>
    <s v="Slag Fumer"/>
    <x v="0"/>
    <x v="0"/>
    <x v="0"/>
  </r>
  <r>
    <s v="10.20.97.17"/>
    <x v="1053"/>
    <s v="10.12.0.241"/>
    <x v="113"/>
    <n v="1026"/>
    <x v="98"/>
    <n v="373"/>
    <n v="24456"/>
    <n v="653"/>
    <n v="173560"/>
    <n v="3.7580529999999999"/>
    <n v="894.05557499999998"/>
    <n v="218.83203401533501"/>
    <n v="1553.01307751478"/>
    <x v="47"/>
    <x v="16"/>
    <e v="#N/A"/>
    <s v="PPPCHIST"/>
    <e v="#N/A"/>
    <s v="Other ProcN Devices"/>
    <x v="0"/>
    <x v="0"/>
    <x v="0"/>
  </r>
  <r>
    <s v="10.20.97.17"/>
    <x v="1054"/>
    <s v="10.12.0.241"/>
    <x v="113"/>
    <n v="1007"/>
    <x v="99"/>
    <n v="360"/>
    <n v="23620"/>
    <n v="647"/>
    <n v="172662"/>
    <n v="3.7581790000000002"/>
    <n v="894.05560700000001"/>
    <n v="211.35150713282201"/>
    <n v="1544.9777275430699"/>
    <x v="47"/>
    <x v="16"/>
    <e v="#N/A"/>
    <s v="PPPCHIST"/>
    <e v="#N/A"/>
    <s v="Other ProcN Devices"/>
    <x v="0"/>
    <x v="0"/>
    <x v="0"/>
  </r>
  <r>
    <s v="10.20.97.17"/>
    <x v="1055"/>
    <s v="10.12.0.241"/>
    <x v="113"/>
    <n v="3500"/>
    <x v="100"/>
    <n v="1616"/>
    <n v="346910"/>
    <n v="1884"/>
    <n v="409692"/>
    <n v="3.7582779999999998"/>
    <n v="894.05550500000004"/>
    <n v="3104.1473202494299"/>
    <n v="3665.9200482189299"/>
    <x v="47"/>
    <x v="16"/>
    <e v="#N/A"/>
    <s v="PPPCHIST"/>
    <e v="#N/A"/>
    <s v="Other ProcN Devices"/>
    <x v="0"/>
    <x v="0"/>
    <x v="0"/>
  </r>
  <r>
    <s v="10.20.97.17"/>
    <x v="1056"/>
    <s v="10.12.0.63"/>
    <x v="105"/>
    <n v="18731"/>
    <x v="101"/>
    <n v="4322"/>
    <n v="465215"/>
    <n v="14409"/>
    <n v="18658002"/>
    <n v="5.4816609999999999"/>
    <n v="815.99203399999999"/>
    <n v="4560.9758979583403"/>
    <n v="182923.373979898"/>
    <x v="47"/>
    <x v="3"/>
    <e v="#N/A"/>
    <s v="PPPCPET3"/>
    <e v="#N/A"/>
    <s v="PETs Plant"/>
    <x v="0"/>
    <x v="0"/>
    <x v="1"/>
  </r>
  <r>
    <s v="10.20.97.17"/>
    <x v="1057"/>
    <s v="10.12.0.61"/>
    <x v="105"/>
    <n v="11411"/>
    <x v="102"/>
    <n v="7590"/>
    <n v="9205337"/>
    <n v="3821"/>
    <n v="2678872"/>
    <n v="678.57701299999997"/>
    <n v="76.898053000000004"/>
    <n v="957666.58747523802"/>
    <n v="278693.35001238598"/>
    <x v="47"/>
    <x v="106"/>
    <e v="#N/A"/>
    <s v="PPPCPET1"/>
    <e v="#N/A"/>
    <s v="PETs Plant"/>
    <x v="0"/>
    <x v="0"/>
    <x v="1"/>
  </r>
  <r>
    <s v="10.20.97.17"/>
    <x v="1058"/>
    <s v="10.12.0.62"/>
    <x v="105"/>
    <n v="10400"/>
    <x v="103"/>
    <n v="7430"/>
    <n v="9466530"/>
    <n v="2970"/>
    <n v="2011899"/>
    <n v="740.29215699999997"/>
    <n v="153.23146399999999"/>
    <n v="494234.26509845199"/>
    <n v="105038.427355886"/>
    <x v="47"/>
    <x v="107"/>
    <e v="#N/A"/>
    <s v="PPPCPET2"/>
    <e v="#N/A"/>
    <s v="PETs Plant"/>
    <x v="0"/>
    <x v="0"/>
    <x v="1"/>
  </r>
  <r>
    <s v="10.20.97.87"/>
    <x v="1059"/>
    <s v="10.12.0.73"/>
    <x v="141"/>
    <n v="6"/>
    <x v="104"/>
    <n v="4"/>
    <n v="259"/>
    <n v="2"/>
    <n v="131"/>
    <n v="637.82869300000004"/>
    <n v="7.7608999999938505E-2"/>
    <n v="26697.934517925001"/>
    <n v="13503.5885013443"/>
    <x v="48"/>
    <x v="7"/>
    <e v="#N/A"/>
    <n v="0"/>
    <e v="#N/A"/>
    <s v="PETs Plant"/>
    <x v="0"/>
    <x v="0"/>
    <x v="7"/>
  </r>
  <r>
    <s v="10.20.97.87"/>
    <x v="1060"/>
    <s v="10.12.0.73"/>
    <x v="141"/>
    <n v="16082"/>
    <x v="105"/>
    <n v="6204"/>
    <n v="815567"/>
    <n v="9878"/>
    <n v="7962555"/>
    <n v="638.85449900000003"/>
    <n v="264.01530200000002"/>
    <n v="24712.719113530798"/>
    <n v="241275.56061125599"/>
    <x v="48"/>
    <x v="7"/>
    <e v="#N/A"/>
    <n v="0"/>
    <e v="#N/A"/>
    <s v="PETs Plant"/>
    <x v="0"/>
    <x v="0"/>
    <x v="7"/>
  </r>
  <r>
    <s v="10.21.97.11"/>
    <x v="1061"/>
    <s v="10.12.1.241"/>
    <x v="113"/>
    <n v="961"/>
    <x v="106"/>
    <n v="340"/>
    <n v="22452"/>
    <n v="621"/>
    <n v="179452"/>
    <n v="0.75739500000000004"/>
    <n v="900.004186"/>
    <n v="199.57240509990299"/>
    <n v="1595.1214698017"/>
    <x v="49"/>
    <x v="18"/>
    <e v="#N/A"/>
    <s v="PPPCHIST1"/>
    <e v="#N/A"/>
    <s v="Other ProcN Devices"/>
    <x v="0"/>
    <x v="1"/>
    <x v="0"/>
  </r>
  <r>
    <s v="10.21.97.11"/>
    <x v="1062"/>
    <s v="10.12.0.252"/>
    <x v="143"/>
    <n v="1097"/>
    <x v="107"/>
    <n v="700"/>
    <n v="43396"/>
    <n v="397"/>
    <n v="27022"/>
    <n v="1.3252379999999999"/>
    <n v="900.24352799999997"/>
    <n v="385.63787375542199"/>
    <n v="240.13057942250501"/>
    <x v="49"/>
    <x v="1"/>
    <e v="#N/A"/>
    <s v="PP_FIX3"/>
    <e v="#N/A"/>
    <s v="Other ProcN Devices"/>
    <x v="0"/>
    <x v="0"/>
    <x v="0"/>
  </r>
  <r>
    <s v="10.21.97.11"/>
    <x v="1063"/>
    <s v="10.12.0.241"/>
    <x v="113"/>
    <n v="1011"/>
    <x v="108"/>
    <n v="363"/>
    <n v="23806"/>
    <n v="648"/>
    <n v="173146"/>
    <n v="3.757787"/>
    <n v="894.05573700000002"/>
    <n v="213.015802168048"/>
    <n v="1549.30832908463"/>
    <x v="49"/>
    <x v="16"/>
    <e v="#N/A"/>
    <s v="PPPCHIST"/>
    <e v="#N/A"/>
    <s v="Other ProcN Devices"/>
    <x v="0"/>
    <x v="0"/>
    <x v="0"/>
  </r>
  <r>
    <s v="10.21.97.11"/>
    <x v="1064"/>
    <s v="10.12.1.242"/>
    <x v="113"/>
    <n v="176"/>
    <x v="109"/>
    <n v="80"/>
    <n v="6472"/>
    <n v="96"/>
    <n v="15172"/>
    <n v="26.749991999999999"/>
    <n v="870.02072999999996"/>
    <n v="59.511225669300998"/>
    <n v="139.50931950782399"/>
    <x v="49"/>
    <x v="19"/>
    <e v="#N/A"/>
    <s v="PPPCHIST2"/>
    <e v="#N/A"/>
    <s v="Other ProcN Devices"/>
    <x v="0"/>
    <x v="1"/>
    <x v="0"/>
  </r>
  <r>
    <s v="10.21.97.35"/>
    <x v="1065"/>
    <s v="10.12.0.241"/>
    <x v="105"/>
    <n v="36"/>
    <x v="110"/>
    <n v="20"/>
    <n v="2761"/>
    <n v="16"/>
    <n v="2233"/>
    <n v="653.81845199999998"/>
    <n v="135.67418499999999"/>
    <n v="162.80178871168499"/>
    <n v="131.66837891821501"/>
    <x v="50"/>
    <x v="16"/>
    <e v="#N/A"/>
    <s v="PPPCHIST"/>
    <e v="#N/A"/>
    <s v="Other ProcN Devices"/>
    <x v="0"/>
    <x v="0"/>
    <x v="1"/>
  </r>
  <r>
    <s v="10.21.97.35"/>
    <x v="1066"/>
    <s v="10.12.1.194"/>
    <x v="105"/>
    <n v="31"/>
    <x v="111"/>
    <n v="18"/>
    <n v="2836"/>
    <n v="13"/>
    <n v="2153"/>
    <n v="656.11835099999996"/>
    <n v="127.181011"/>
    <n v="178.39141096307199"/>
    <n v="135.429022497706"/>
    <x v="50"/>
    <x v="108"/>
    <e v="#N/A"/>
    <s v="PPPCSHIP"/>
    <e v="#N/A"/>
    <s v="Refinery"/>
    <x v="0"/>
    <x v="1"/>
    <x v="1"/>
  </r>
  <r>
    <s v="10.33.10.6"/>
    <x v="1"/>
    <s v="10.12.0.63"/>
    <x v="144"/>
    <n v="3"/>
    <x v="0"/>
    <n v="0"/>
    <n v="0"/>
    <n v="3"/>
    <n v="186"/>
    <n v="0.77533099999999999"/>
    <n v="9.0798000000000005"/>
    <n v="0"/>
    <n v="163.88026167977301"/>
    <x v="51"/>
    <x v="3"/>
    <e v="#N/A"/>
    <s v="PPPCPET3"/>
    <e v="#N/A"/>
    <s v="PETs Plant"/>
    <x v="0"/>
    <x v="0"/>
    <x v="0"/>
  </r>
  <r>
    <s v="10.33.10.6"/>
    <x v="1"/>
    <s v="10.12.0.252"/>
    <x v="145"/>
    <n v="3"/>
    <x v="0"/>
    <n v="0"/>
    <n v="0"/>
    <n v="3"/>
    <n v="186"/>
    <n v="226.71153799999999"/>
    <n v="8.9486340000000002"/>
    <n v="0"/>
    <n v="166.28236220187401"/>
    <x v="51"/>
    <x v="1"/>
    <e v="#N/A"/>
    <s v="PP_FIX3"/>
    <e v="#N/A"/>
    <s v="Other ProcN Devices"/>
    <x v="0"/>
    <x v="0"/>
    <x v="0"/>
  </r>
  <r>
    <s v="10.33.10.7"/>
    <x v="0"/>
    <s v="10.12.0.252"/>
    <x v="146"/>
    <n v="3"/>
    <x v="0"/>
    <n v="0"/>
    <n v="0"/>
    <n v="3"/>
    <n v="186"/>
    <n v="200.552649"/>
    <n v="8.9666849999999805"/>
    <n v="0"/>
    <n v="165.94761609223499"/>
    <x v="52"/>
    <x v="1"/>
    <e v="#N/A"/>
    <s v="PP_FIX3"/>
    <e v="#N/A"/>
    <s v="Other ProcN Devices"/>
    <x v="0"/>
    <x v="0"/>
    <x v="0"/>
  </r>
  <r>
    <s v="10.33.10.8"/>
    <x v="1"/>
    <s v="10.12.0.65"/>
    <x v="147"/>
    <n v="3"/>
    <x v="0"/>
    <n v="0"/>
    <n v="0"/>
    <n v="3"/>
    <n v="186"/>
    <n v="166.04397599999999"/>
    <n v="9.1686940000000199"/>
    <n v="0"/>
    <n v="162.29137977557099"/>
    <x v="53"/>
    <x v="99"/>
    <e v="#N/A"/>
    <s v="PPPCPET5"/>
    <e v="#N/A"/>
    <s v="PETs Plant"/>
    <x v="0"/>
    <x v="0"/>
    <x v="0"/>
  </r>
  <r>
    <s v="10.33.10.8"/>
    <x v="0"/>
    <s v="10.12.0.252"/>
    <x v="148"/>
    <n v="3"/>
    <x v="0"/>
    <n v="0"/>
    <n v="0"/>
    <n v="3"/>
    <n v="186"/>
    <n v="179.41290799999999"/>
    <n v="9.1063120000000009"/>
    <n v="0"/>
    <n v="163.40314278711301"/>
    <x v="53"/>
    <x v="1"/>
    <e v="#N/A"/>
    <s v="PP_FIX3"/>
    <e v="#N/A"/>
    <s v="Other ProcN Devices"/>
    <x v="0"/>
    <x v="0"/>
    <x v="0"/>
  </r>
  <r>
    <s v="10.33.10.8"/>
    <x v="1"/>
    <s v="10.12.0.65"/>
    <x v="149"/>
    <n v="3"/>
    <x v="0"/>
    <n v="0"/>
    <n v="0"/>
    <n v="3"/>
    <n v="186"/>
    <n v="187.354579"/>
    <n v="9.0780969999999908"/>
    <n v="0"/>
    <n v="163.91100469624899"/>
    <x v="53"/>
    <x v="99"/>
    <e v="#N/A"/>
    <s v="PPPCPET5"/>
    <e v="#N/A"/>
    <s v="PETs Plant"/>
    <x v="0"/>
    <x v="0"/>
    <x v="0"/>
  </r>
  <r>
    <s v="10.33.10.8"/>
    <x v="1"/>
    <s v="10.12.0.65"/>
    <x v="150"/>
    <n v="3"/>
    <x v="0"/>
    <n v="0"/>
    <n v="0"/>
    <n v="3"/>
    <n v="186"/>
    <n v="208.57606200000001"/>
    <n v="9.2945819999999895"/>
    <n v="0"/>
    <n v="160.093267238914"/>
    <x v="53"/>
    <x v="99"/>
    <e v="#N/A"/>
    <s v="PPPCPET5"/>
    <e v="#N/A"/>
    <s v="PETs Plant"/>
    <x v="0"/>
    <x v="0"/>
    <x v="0"/>
  </r>
  <r>
    <s v="10.33.10.8"/>
    <x v="1"/>
    <s v="10.12.0.65"/>
    <x v="151"/>
    <n v="3"/>
    <x v="0"/>
    <n v="0"/>
    <n v="0"/>
    <n v="3"/>
    <n v="186"/>
    <n v="229.90299099999999"/>
    <n v="9.2964550000000106"/>
    <n v="0"/>
    <n v="160.06101250422901"/>
    <x v="53"/>
    <x v="99"/>
    <e v="#N/A"/>
    <s v="PPPCPET5"/>
    <e v="#N/A"/>
    <s v="PETs Plant"/>
    <x v="0"/>
    <x v="0"/>
    <x v="0"/>
  </r>
  <r>
    <s v="10.33.10.8"/>
    <x v="0"/>
    <s v="10.12.0.190"/>
    <x v="152"/>
    <n v="3"/>
    <x v="0"/>
    <n v="0"/>
    <n v="0"/>
    <n v="3"/>
    <n v="186"/>
    <n v="599.31976699999996"/>
    <n v="9.0269749999999895"/>
    <n v="0"/>
    <n v="164.839273400004"/>
    <x v="53"/>
    <x v="0"/>
    <e v="#N/A"/>
    <s v="PPPCRF10"/>
    <e v="#N/A"/>
    <s v="Refinery"/>
    <x v="0"/>
    <x v="0"/>
    <x v="0"/>
  </r>
  <r>
    <s v="10.80.1.65"/>
    <x v="0"/>
    <s v="10.12.0.190"/>
    <x v="153"/>
    <n v="3"/>
    <x v="0"/>
    <n v="0"/>
    <n v="0"/>
    <n v="3"/>
    <n v="186"/>
    <n v="543.86701900000003"/>
    <n v="8.91637100000003"/>
    <n v="0"/>
    <n v="166.88403836044901"/>
    <x v="54"/>
    <x v="0"/>
    <e v="#N/A"/>
    <s v="PPPCRF10"/>
    <e v="#N/A"/>
    <s v="Refinery"/>
    <x v="0"/>
    <x v="0"/>
    <x v="0"/>
  </r>
  <r>
    <s v="10.80.2.57"/>
    <x v="1"/>
    <s v="10.12.0.64"/>
    <x v="154"/>
    <n v="3"/>
    <x v="0"/>
    <n v="0"/>
    <n v="0"/>
    <n v="3"/>
    <n v="186"/>
    <n v="2.5349900000000001"/>
    <n v="8.8863350000000008"/>
    <n v="0"/>
    <n v="167.44810993508599"/>
    <x v="55"/>
    <x v="4"/>
    <e v="#N/A"/>
    <s v="PPPCPET4"/>
    <e v="#N/A"/>
    <s v="PETs Plant"/>
    <x v="0"/>
    <x v="0"/>
    <x v="0"/>
  </r>
  <r>
    <s v="10.80.2.57"/>
    <x v="1"/>
    <s v="10.12.0.252"/>
    <x v="155"/>
    <n v="3"/>
    <x v="0"/>
    <n v="0"/>
    <n v="0"/>
    <n v="3"/>
    <n v="186"/>
    <n v="279.85146099999997"/>
    <n v="9.2937260000000492"/>
    <n v="0"/>
    <n v="160.10801265283601"/>
    <x v="55"/>
    <x v="1"/>
    <e v="#N/A"/>
    <s v="PP_FIX3"/>
    <e v="#N/A"/>
    <s v="Other ProcN Devices"/>
    <x v="0"/>
    <x v="0"/>
    <x v="0"/>
  </r>
  <r>
    <s v="10.80.2.57"/>
    <x v="1"/>
    <s v="10.12.0.252"/>
    <x v="156"/>
    <n v="3"/>
    <x v="0"/>
    <n v="0"/>
    <n v="0"/>
    <n v="3"/>
    <n v="186"/>
    <n v="301.17928799999999"/>
    <n v="8.9661310000000203"/>
    <n v="0"/>
    <n v="165.95786967645199"/>
    <x v="55"/>
    <x v="1"/>
    <e v="#N/A"/>
    <s v="PP_FIX3"/>
    <e v="#N/A"/>
    <s v="Other ProcN Devices"/>
    <x v="0"/>
    <x v="0"/>
    <x v="0"/>
  </r>
  <r>
    <s v="10.82.1.30"/>
    <x v="0"/>
    <s v="10.12.0.190"/>
    <x v="157"/>
    <n v="3"/>
    <x v="0"/>
    <n v="0"/>
    <n v="0"/>
    <n v="3"/>
    <n v="186"/>
    <n v="321.22847200000001"/>
    <n v="8.9733069999999806"/>
    <n v="0"/>
    <n v="165.82515231006801"/>
    <x v="56"/>
    <x v="0"/>
    <e v="#N/A"/>
    <s v="PPPCRF10"/>
    <e v="#N/A"/>
    <s v="Refinery"/>
    <x v="0"/>
    <x v="0"/>
    <x v="0"/>
  </r>
  <r>
    <s v="10.82.1.38"/>
    <x v="1"/>
    <s v="10.12.0.252"/>
    <x v="158"/>
    <n v="3"/>
    <x v="0"/>
    <n v="0"/>
    <n v="0"/>
    <n v="3"/>
    <n v="186"/>
    <n v="327.07081199999999"/>
    <n v="8.8874230000000107"/>
    <n v="0"/>
    <n v="167.427610905883"/>
    <x v="57"/>
    <x v="1"/>
    <e v="#N/A"/>
    <s v="PP_FIX3"/>
    <e v="#N/A"/>
    <s v="Other ProcN Devices"/>
    <x v="0"/>
    <x v="0"/>
    <x v="0"/>
  </r>
  <r>
    <s v="10.82.1.38"/>
    <x v="1"/>
    <s v="10.12.0.252"/>
    <x v="159"/>
    <n v="3"/>
    <x v="0"/>
    <n v="0"/>
    <n v="0"/>
    <n v="3"/>
    <n v="186"/>
    <n v="347.99190399999998"/>
    <n v="8.9666040000000198"/>
    <n v="0"/>
    <n v="165.949115183407"/>
    <x v="57"/>
    <x v="1"/>
    <e v="#N/A"/>
    <s v="PP_FIX3"/>
    <e v="#N/A"/>
    <s v="Other ProcN Devices"/>
    <x v="0"/>
    <x v="0"/>
    <x v="0"/>
  </r>
  <r>
    <s v="10.86.1.12"/>
    <x v="0"/>
    <s v="10.12.0.186"/>
    <x v="160"/>
    <n v="3"/>
    <x v="0"/>
    <n v="0"/>
    <n v="0"/>
    <n v="3"/>
    <n v="186"/>
    <n v="69.649191000000002"/>
    <n v="9.1516409999999997"/>
    <n v="0"/>
    <n v="162.59379055625101"/>
    <x v="58"/>
    <x v="109"/>
    <e v="#N/A"/>
    <s v="PPPCRF6"/>
    <e v="#N/A"/>
    <s v="Refinery"/>
    <x v="0"/>
    <x v="0"/>
    <x v="0"/>
  </r>
  <r>
    <s v="10.95.1.18"/>
    <x v="0"/>
    <s v="10.12.0.252"/>
    <x v="161"/>
    <n v="2"/>
    <x v="48"/>
    <n v="0"/>
    <n v="0"/>
    <n v="2"/>
    <n v="124"/>
    <n v="1.1576070000000001"/>
    <n v="6.015695"/>
    <n v="0"/>
    <n v="164.901977244525"/>
    <x v="59"/>
    <x v="1"/>
    <e v="#N/A"/>
    <s v="PP_FIX3"/>
    <e v="#N/A"/>
    <s v="Other ProcN Devices"/>
    <x v="0"/>
    <x v="0"/>
    <x v="0"/>
  </r>
  <r>
    <s v="10.95.1.135"/>
    <x v="1"/>
    <s v="10.12.0.64"/>
    <x v="162"/>
    <n v="3"/>
    <x v="0"/>
    <n v="0"/>
    <n v="0"/>
    <n v="3"/>
    <n v="186"/>
    <n v="79.097671000000005"/>
    <n v="8.9961730000000006"/>
    <n v="0"/>
    <n v="165.403666648029"/>
    <x v="60"/>
    <x v="4"/>
    <e v="#N/A"/>
    <s v="PPPCPET4"/>
    <e v="#N/A"/>
    <s v="PETs Plant"/>
    <x v="0"/>
    <x v="0"/>
    <x v="0"/>
  </r>
  <r>
    <s v="10.95.1.135"/>
    <x v="1"/>
    <s v="10.12.0.252"/>
    <x v="163"/>
    <n v="3"/>
    <x v="0"/>
    <n v="0"/>
    <n v="0"/>
    <n v="3"/>
    <n v="186"/>
    <n v="421.00933199999997"/>
    <n v="9.0125210000000493"/>
    <n v="0"/>
    <n v="165.103637483895"/>
    <x v="60"/>
    <x v="1"/>
    <e v="#N/A"/>
    <s v="PP_FIX3"/>
    <e v="#N/A"/>
    <s v="Other ProcN Devices"/>
    <x v="0"/>
    <x v="0"/>
    <x v="0"/>
  </r>
  <r>
    <s v="10.95.32.32"/>
    <x v="0"/>
    <s v="10.12.0.190"/>
    <x v="164"/>
    <n v="3"/>
    <x v="0"/>
    <n v="0"/>
    <n v="0"/>
    <n v="3"/>
    <n v="186"/>
    <n v="488.08396800000003"/>
    <n v="9.1359809999999602"/>
    <n v="0"/>
    <n v="162.87249283902901"/>
    <x v="61"/>
    <x v="0"/>
    <e v="#N/A"/>
    <s v="PPPCRF10"/>
    <e v="#N/A"/>
    <s v="Refinery"/>
    <x v="0"/>
    <x v="0"/>
    <x v="0"/>
  </r>
  <r>
    <s v="10.95.32.103"/>
    <x v="1"/>
    <s v="10.12.0.64"/>
    <x v="165"/>
    <n v="3"/>
    <x v="0"/>
    <n v="0"/>
    <n v="0"/>
    <n v="3"/>
    <n v="186"/>
    <n v="40.816485"/>
    <n v="8.9957119999999993"/>
    <n v="0"/>
    <n v="165.41214302992401"/>
    <x v="62"/>
    <x v="4"/>
    <e v="#N/A"/>
    <s v="PPPCPET4"/>
    <e v="#N/A"/>
    <s v="PETs Plant"/>
    <x v="0"/>
    <x v="0"/>
    <x v="0"/>
  </r>
  <r>
    <s v="10.95.32.103"/>
    <x v="1"/>
    <s v="10.12.0.252"/>
    <x v="166"/>
    <n v="3"/>
    <x v="0"/>
    <n v="0"/>
    <n v="0"/>
    <n v="3"/>
    <n v="186"/>
    <n v="374.008805"/>
    <n v="8.8717819999999996"/>
    <n v="0"/>
    <n v="167.72278669606601"/>
    <x v="62"/>
    <x v="1"/>
    <e v="#N/A"/>
    <s v="PP_FIX3"/>
    <e v="#N/A"/>
    <s v="Other ProcN Devices"/>
    <x v="0"/>
    <x v="0"/>
    <x v="0"/>
  </r>
  <r>
    <s v="10.95.32.103"/>
    <x v="1"/>
    <s v="10.12.0.252"/>
    <x v="167"/>
    <n v="3"/>
    <x v="0"/>
    <n v="0"/>
    <n v="0"/>
    <n v="3"/>
    <n v="186"/>
    <n v="395.02359999999999"/>
    <n v="9.1854519999999997"/>
    <n v="0"/>
    <n v="161.99529429798301"/>
    <x v="62"/>
    <x v="1"/>
    <e v="#N/A"/>
    <s v="PP_FIX3"/>
    <e v="#N/A"/>
    <s v="Other ProcN Devices"/>
    <x v="0"/>
    <x v="0"/>
    <x v="0"/>
  </r>
  <r>
    <s v="10.95.79.40"/>
    <x v="1"/>
    <s v="10.12.0.252"/>
    <x v="168"/>
    <n v="3"/>
    <x v="0"/>
    <n v="0"/>
    <n v="0"/>
    <n v="3"/>
    <n v="186"/>
    <n v="253.19493399999999"/>
    <n v="9.1531889999999994"/>
    <n v="0"/>
    <n v="162.566292469215"/>
    <x v="63"/>
    <x v="1"/>
    <e v="#N/A"/>
    <s v="PP_FIX3"/>
    <e v="#N/A"/>
    <s v="Other ProcN Devices"/>
    <x v="0"/>
    <x v="0"/>
    <x v="0"/>
  </r>
  <r>
    <s v="10.112.1.76"/>
    <x v="1"/>
    <s v="10.12.0.252"/>
    <x v="169"/>
    <n v="3"/>
    <x v="0"/>
    <n v="0"/>
    <n v="0"/>
    <n v="3"/>
    <n v="186"/>
    <n v="447.40019899999999"/>
    <n v="8.8718279999999901"/>
    <n v="0"/>
    <n v="167.72191706151199"/>
    <x v="64"/>
    <x v="1"/>
    <e v="#N/A"/>
    <s v="PP_FIX3"/>
    <e v="#N/A"/>
    <s v="Other ProcN Devices"/>
    <x v="0"/>
    <x v="0"/>
    <x v="0"/>
  </r>
  <r>
    <s v="10.113.10.1"/>
    <x v="0"/>
    <s v="10.12.0.252"/>
    <x v="170"/>
    <n v="3"/>
    <x v="0"/>
    <n v="0"/>
    <n v="0"/>
    <n v="3"/>
    <n v="186"/>
    <n v="152.91270399999999"/>
    <n v="9.0280299999999993"/>
    <n v="0"/>
    <n v="164.82001056708901"/>
    <x v="65"/>
    <x v="1"/>
    <e v="#N/A"/>
    <s v="PP_FIX3"/>
    <e v="#N/A"/>
    <s v="Other ProcN Devices"/>
    <x v="0"/>
    <x v="0"/>
    <x v="0"/>
  </r>
  <r>
    <s v="10.113.10.1"/>
    <x v="0"/>
    <s v="10.12.0.190"/>
    <x v="171"/>
    <n v="3"/>
    <x v="0"/>
    <n v="0"/>
    <n v="0"/>
    <n v="3"/>
    <n v="186"/>
    <n v="432.520443"/>
    <n v="9.0268659999999805"/>
    <n v="0"/>
    <n v="164.84126384506001"/>
    <x v="65"/>
    <x v="0"/>
    <e v="#N/A"/>
    <s v="PPPCRF10"/>
    <e v="#N/A"/>
    <s v="Refinery"/>
    <x v="0"/>
    <x v="0"/>
    <x v="0"/>
  </r>
  <r>
    <s v="10.113.10.13"/>
    <x v="1"/>
    <s v="10.12.0.252"/>
    <x v="172"/>
    <n v="3"/>
    <x v="0"/>
    <n v="0"/>
    <n v="0"/>
    <n v="3"/>
    <n v="186"/>
    <n v="476.75989199999998"/>
    <n v="9.2625030000000397"/>
    <n v="0"/>
    <n v="160.64772124770101"/>
    <x v="66"/>
    <x v="1"/>
    <e v="#N/A"/>
    <s v="PP_FIX3"/>
    <e v="#N/A"/>
    <s v="Other ProcN Devices"/>
    <x v="0"/>
    <x v="0"/>
    <x v="0"/>
  </r>
  <r>
    <s v="10.114.1.101"/>
    <x v="1"/>
    <s v="10.12.0.64"/>
    <x v="173"/>
    <n v="3"/>
    <x v="0"/>
    <n v="0"/>
    <n v="0"/>
    <n v="3"/>
    <n v="186"/>
    <n v="232.33859200000001"/>
    <n v="8.9912410000000005"/>
    <n v="0"/>
    <n v="165.494396157327"/>
    <x v="67"/>
    <x v="4"/>
    <e v="#N/A"/>
    <s v="PPPCPET4"/>
    <e v="#N/A"/>
    <s v="PETs Plant"/>
    <x v="0"/>
    <x v="0"/>
    <x v="0"/>
  </r>
  <r>
    <s v="10.114.1.101"/>
    <x v="1"/>
    <s v="10.12.0.252"/>
    <x v="174"/>
    <n v="3"/>
    <x v="0"/>
    <n v="0"/>
    <n v="0"/>
    <n v="3"/>
    <n v="186"/>
    <n v="651.96502699999996"/>
    <n v="9.0593039999999991"/>
    <n v="0"/>
    <n v="164.251028555836"/>
    <x v="67"/>
    <x v="1"/>
    <e v="#N/A"/>
    <s v="PP_FIX3"/>
    <e v="#N/A"/>
    <s v="Other ProcN Devices"/>
    <x v="0"/>
    <x v="0"/>
    <x v="0"/>
  </r>
  <r>
    <s v="10.114.1.107"/>
    <x v="1"/>
    <s v="10.12.0.1"/>
    <x v="175"/>
    <n v="3"/>
    <x v="0"/>
    <n v="0"/>
    <n v="0"/>
    <n v="3"/>
    <n v="186"/>
    <n v="19.066935000000001"/>
    <n v="8.9729259999999993"/>
    <n v="0"/>
    <n v="165.83219342274799"/>
    <x v="68"/>
    <x v="2"/>
    <e v="#N/A"/>
    <s v="PPPCFC1"/>
    <e v="#N/A"/>
    <s v="Fume Control"/>
    <x v="0"/>
    <x v="0"/>
    <x v="0"/>
  </r>
  <r>
    <s v="10.114.1.107"/>
    <x v="1"/>
    <s v="10.12.0.1"/>
    <x v="176"/>
    <n v="3"/>
    <x v="0"/>
    <n v="0"/>
    <n v="0"/>
    <n v="3"/>
    <n v="186"/>
    <n v="40.012081999999999"/>
    <n v="9.2541039999999999"/>
    <n v="0"/>
    <n v="160.793524689154"/>
    <x v="68"/>
    <x v="2"/>
    <e v="#N/A"/>
    <s v="PPPCFC1"/>
    <e v="#N/A"/>
    <s v="Fume Control"/>
    <x v="0"/>
    <x v="0"/>
    <x v="0"/>
  </r>
  <r>
    <s v="10.114.1.107"/>
    <x v="1"/>
    <s v="10.12.0.64"/>
    <x v="177"/>
    <n v="3"/>
    <x v="0"/>
    <n v="0"/>
    <n v="0"/>
    <n v="3"/>
    <n v="186"/>
    <n v="270.61529899999999"/>
    <n v="9.2159240000000295"/>
    <n v="0"/>
    <n v="161.45966481494401"/>
    <x v="68"/>
    <x v="4"/>
    <e v="#N/A"/>
    <s v="PPPCPET4"/>
    <e v="#N/A"/>
    <s v="PETs Plant"/>
    <x v="0"/>
    <x v="0"/>
    <x v="0"/>
  </r>
  <r>
    <s v="10.115.1.3"/>
    <x v="1"/>
    <s v="10.12.0.252"/>
    <x v="178"/>
    <n v="3"/>
    <x v="0"/>
    <n v="0"/>
    <n v="0"/>
    <n v="3"/>
    <n v="186"/>
    <n v="752.02863200000002"/>
    <n v="9.1842749999999604"/>
    <n v="0"/>
    <n v="162.01605461509001"/>
    <x v="69"/>
    <x v="1"/>
    <e v="#N/A"/>
    <s v="PP_FIX3"/>
    <e v="#N/A"/>
    <s v="Other ProcN Devices"/>
    <x v="0"/>
    <x v="0"/>
    <x v="0"/>
  </r>
  <r>
    <s v="10.115.1.6"/>
    <x v="0"/>
    <s v="10.12.0.252"/>
    <x v="179"/>
    <n v="3"/>
    <x v="0"/>
    <n v="0"/>
    <n v="0"/>
    <n v="3"/>
    <n v="186"/>
    <n v="58.942875000000001"/>
    <n v="8.9342229999999994"/>
    <n v="0"/>
    <n v="166.550577481668"/>
    <x v="70"/>
    <x v="1"/>
    <e v="#N/A"/>
    <s v="PP_FIX3"/>
    <e v="#N/A"/>
    <s v="Other ProcN Devices"/>
    <x v="0"/>
    <x v="0"/>
    <x v="0"/>
  </r>
  <r>
    <s v="10.115.1.6"/>
    <x v="0"/>
    <s v="10.12.0.252"/>
    <x v="180"/>
    <n v="3"/>
    <x v="0"/>
    <n v="0"/>
    <n v="0"/>
    <n v="3"/>
    <n v="186"/>
    <n v="79.910685999999998"/>
    <n v="8.9667969999999997"/>
    <n v="0"/>
    <n v="165.94554331942601"/>
    <x v="70"/>
    <x v="1"/>
    <e v="#N/A"/>
    <s v="PP_FIX3"/>
    <e v="#N/A"/>
    <s v="Other ProcN Devices"/>
    <x v="0"/>
    <x v="0"/>
    <x v="0"/>
  </r>
  <r>
    <s v="10.115.1.17"/>
    <x v="1"/>
    <s v="10.12.0.64"/>
    <x v="181"/>
    <n v="3"/>
    <x v="0"/>
    <n v="0"/>
    <n v="0"/>
    <n v="3"/>
    <n v="186"/>
    <n v="501.401477"/>
    <n v="9.2122029999999899"/>
    <n v="0"/>
    <n v="161.52488172481699"/>
    <x v="71"/>
    <x v="4"/>
    <e v="#N/A"/>
    <s v="PPPCPET4"/>
    <e v="#N/A"/>
    <s v="PETs Plant"/>
    <x v="0"/>
    <x v="0"/>
    <x v="0"/>
  </r>
  <r>
    <s v="10.116.1.1"/>
    <x v="0"/>
    <s v="10.12.0.190"/>
    <x v="182"/>
    <n v="3"/>
    <x v="0"/>
    <n v="0"/>
    <n v="0"/>
    <n v="3"/>
    <n v="186"/>
    <n v="766.44744600000001"/>
    <n v="9.1363020000000006"/>
    <n v="0"/>
    <n v="162.86677038477899"/>
    <x v="72"/>
    <x v="0"/>
    <e v="#N/A"/>
    <s v="PPPCRF10"/>
    <e v="#N/A"/>
    <s v="Refinery"/>
    <x v="0"/>
    <x v="0"/>
    <x v="0"/>
  </r>
  <r>
    <s v="10.116.1.3"/>
    <x v="1"/>
    <s v="10.12.0.252"/>
    <x v="183"/>
    <n v="3"/>
    <x v="0"/>
    <n v="0"/>
    <n v="0"/>
    <n v="3"/>
    <n v="186"/>
    <n v="778.38830900000005"/>
    <n v="9.0749659999999004"/>
    <n v="0"/>
    <n v="163.967556462472"/>
    <x v="73"/>
    <x v="1"/>
    <e v="#N/A"/>
    <s v="PP_FIX3"/>
    <e v="#N/A"/>
    <s v="Other ProcN Devices"/>
    <x v="0"/>
    <x v="0"/>
    <x v="0"/>
  </r>
  <r>
    <s v="10.116.1.3"/>
    <x v="1"/>
    <s v="10.12.0.252"/>
    <x v="184"/>
    <n v="3"/>
    <x v="0"/>
    <n v="0"/>
    <n v="0"/>
    <n v="3"/>
    <n v="186"/>
    <n v="799.496757"/>
    <n v="9.0761240000000498"/>
    <n v="0"/>
    <n v="163.94663625133299"/>
    <x v="73"/>
    <x v="1"/>
    <e v="#N/A"/>
    <s v="PP_FIX3"/>
    <e v="#N/A"/>
    <s v="Other ProcN Devices"/>
    <x v="0"/>
    <x v="0"/>
    <x v="0"/>
  </r>
  <r>
    <s v="10.116.1.41"/>
    <x v="1"/>
    <s v="10.12.0.7"/>
    <x v="185"/>
    <n v="3"/>
    <x v="0"/>
    <n v="0"/>
    <n v="0"/>
    <n v="3"/>
    <n v="186"/>
    <n v="19.099907000000002"/>
    <n v="9.0243950000000002"/>
    <n v="0"/>
    <n v="164.88639958689799"/>
    <x v="74"/>
    <x v="110"/>
    <e v="#N/A"/>
    <s v="PPPCFC7"/>
    <e v="#N/A"/>
    <s v="Fume Control"/>
    <x v="0"/>
    <x v="0"/>
    <x v="0"/>
  </r>
  <r>
    <s v="10.116.1.41"/>
    <x v="1"/>
    <s v="10.12.0.7"/>
    <x v="186"/>
    <n v="3"/>
    <x v="0"/>
    <n v="0"/>
    <n v="0"/>
    <n v="3"/>
    <n v="186"/>
    <n v="40.157440000000001"/>
    <n v="8.967651"/>
    <n v="0"/>
    <n v="165.92974012927101"/>
    <x v="74"/>
    <x v="110"/>
    <e v="#N/A"/>
    <s v="PPPCFC7"/>
    <e v="#N/A"/>
    <s v="Fume Control"/>
    <x v="0"/>
    <x v="0"/>
    <x v="0"/>
  </r>
  <r>
    <s v="10.116.1.41"/>
    <x v="1"/>
    <s v="10.12.0.64"/>
    <x v="187"/>
    <n v="3"/>
    <x v="0"/>
    <n v="0"/>
    <n v="0"/>
    <n v="3"/>
    <n v="186"/>
    <n v="655.29266700000005"/>
    <n v="8.9945329999999295"/>
    <n v="0"/>
    <n v="165.43382519137"/>
    <x v="74"/>
    <x v="4"/>
    <e v="#N/A"/>
    <s v="PPPCPET4"/>
    <e v="#N/A"/>
    <s v="PETs Plant"/>
    <x v="0"/>
    <x v="0"/>
    <x v="0"/>
  </r>
  <r>
    <s v="10.119.1.2"/>
    <x v="1"/>
    <s v="10.12.0.64"/>
    <x v="188"/>
    <n v="3"/>
    <x v="0"/>
    <n v="0"/>
    <n v="0"/>
    <n v="3"/>
    <n v="186"/>
    <n v="578.51230299999997"/>
    <n v="9.1035400000000699"/>
    <n v="0"/>
    <n v="163.45289854276299"/>
    <x v="75"/>
    <x v="4"/>
    <e v="#N/A"/>
    <s v="PPPCPET4"/>
    <e v="#N/A"/>
    <s v="PETs Plant"/>
    <x v="0"/>
    <x v="0"/>
    <x v="0"/>
  </r>
  <r>
    <s v="10.119.1.2"/>
    <x v="1"/>
    <s v="10.12.0.252"/>
    <x v="189"/>
    <n v="3"/>
    <x v="0"/>
    <n v="0"/>
    <n v="0"/>
    <n v="3"/>
    <n v="186"/>
    <n v="825.607618"/>
    <n v="8.9968709999999401"/>
    <n v="0"/>
    <n v="165.39083421336301"/>
    <x v="75"/>
    <x v="1"/>
    <e v="#N/A"/>
    <s v="PP_FIX3"/>
    <e v="#N/A"/>
    <s v="Other ProcN Devices"/>
    <x v="0"/>
    <x v="0"/>
    <x v="0"/>
  </r>
  <r>
    <s v="10.119.1.2"/>
    <x v="1"/>
    <s v="10.12.0.252"/>
    <x v="190"/>
    <n v="3"/>
    <x v="0"/>
    <n v="0"/>
    <n v="0"/>
    <n v="3"/>
    <n v="186"/>
    <n v="846.63807799999995"/>
    <n v="9.0760350000000507"/>
    <n v="0"/>
    <n v="163.94824391928799"/>
    <x v="75"/>
    <x v="1"/>
    <e v="#N/A"/>
    <s v="PP_FIX3"/>
    <e v="#N/A"/>
    <s v="Other ProcN Devices"/>
    <x v="0"/>
    <x v="0"/>
    <x v="0"/>
  </r>
  <r>
    <s v="10.119.1.3"/>
    <x v="0"/>
    <s v="10.12.0.190"/>
    <x v="191"/>
    <n v="3"/>
    <x v="0"/>
    <n v="0"/>
    <n v="0"/>
    <n v="3"/>
    <n v="186"/>
    <n v="710.77462700000001"/>
    <n v="9.1362739999999594"/>
    <n v="0"/>
    <n v="162.86726952366001"/>
    <x v="76"/>
    <x v="0"/>
    <e v="#N/A"/>
    <s v="PPPCRF10"/>
    <e v="#N/A"/>
    <s v="Refinery"/>
    <x v="0"/>
    <x v="0"/>
    <x v="0"/>
  </r>
  <r>
    <s v="10.120.1.1"/>
    <x v="0"/>
    <s v="10.12.0.190"/>
    <x v="192"/>
    <n v="3"/>
    <x v="0"/>
    <n v="0"/>
    <n v="0"/>
    <n v="3"/>
    <n v="186"/>
    <n v="877.79284199999995"/>
    <n v="9.2455800000000199"/>
    <n v="0"/>
    <n v="160.94176893174901"/>
    <x v="77"/>
    <x v="0"/>
    <e v="#N/A"/>
    <s v="PPPCRF10"/>
    <e v="#N/A"/>
    <s v="Refinery"/>
    <x v="0"/>
    <x v="0"/>
    <x v="0"/>
  </r>
  <r>
    <s v="10.120.1.5"/>
    <x v="1"/>
    <s v="10.12.0.64"/>
    <x v="193"/>
    <n v="3"/>
    <x v="0"/>
    <n v="0"/>
    <n v="0"/>
    <n v="3"/>
    <n v="186"/>
    <n v="117.26998"/>
    <n v="9.1054949999999906"/>
    <n v="0"/>
    <n v="163.41780430388499"/>
    <x v="78"/>
    <x v="4"/>
    <e v="#N/A"/>
    <s v="PPPCPET4"/>
    <e v="#N/A"/>
    <s v="PETs Plant"/>
    <x v="0"/>
    <x v="0"/>
    <x v="0"/>
  </r>
  <r>
    <s v="10.120.1.5"/>
    <x v="1"/>
    <s v="10.12.0.252"/>
    <x v="194"/>
    <n v="3"/>
    <x v="0"/>
    <n v="0"/>
    <n v="0"/>
    <n v="3"/>
    <n v="186"/>
    <n v="678.30904999999996"/>
    <n v="9.1843130000000901"/>
    <n v="0"/>
    <n v="162.01538427533799"/>
    <x v="78"/>
    <x v="1"/>
    <e v="#N/A"/>
    <s v="PP_FIX3"/>
    <e v="#N/A"/>
    <s v="Other ProcN Devices"/>
    <x v="0"/>
    <x v="0"/>
    <x v="0"/>
  </r>
  <r>
    <s v="10.120.1.5"/>
    <x v="1"/>
    <s v="10.12.0.252"/>
    <x v="195"/>
    <n v="3"/>
    <x v="0"/>
    <n v="0"/>
    <n v="0"/>
    <n v="3"/>
    <n v="186"/>
    <n v="699.52697699999999"/>
    <n v="9.0760169999999807"/>
    <n v="0"/>
    <n v="163.94856906945"/>
    <x v="78"/>
    <x v="1"/>
    <e v="#N/A"/>
    <s v="PP_FIX3"/>
    <e v="#N/A"/>
    <s v="Other ProcN Devices"/>
    <x v="0"/>
    <x v="0"/>
    <x v="0"/>
  </r>
  <r>
    <s v="10.121.1.5"/>
    <x v="0"/>
    <s v="10.12.0.252"/>
    <x v="196"/>
    <n v="3"/>
    <x v="0"/>
    <n v="0"/>
    <n v="0"/>
    <n v="3"/>
    <n v="186"/>
    <n v="28.64556"/>
    <n v="8.9343590000000006"/>
    <n v="0"/>
    <n v="166.54804222664399"/>
    <x v="79"/>
    <x v="1"/>
    <e v="#N/A"/>
    <s v="PP_FIX3"/>
    <e v="#N/A"/>
    <s v="Other ProcN Devices"/>
    <x v="0"/>
    <x v="0"/>
    <x v="0"/>
  </r>
  <r>
    <s v="10.121.1.14"/>
    <x v="1"/>
    <s v="10.12.0.64"/>
    <x v="197"/>
    <n v="3"/>
    <x v="0"/>
    <n v="0"/>
    <n v="0"/>
    <n v="3"/>
    <n v="186"/>
    <n v="424.61673000000002"/>
    <n v="9.1064639999999599"/>
    <n v="0"/>
    <n v="163.400415353315"/>
    <x v="80"/>
    <x v="4"/>
    <e v="#N/A"/>
    <s v="PPPCPET4"/>
    <e v="#N/A"/>
    <s v="PETs Plant"/>
    <x v="0"/>
    <x v="0"/>
    <x v="0"/>
  </r>
  <r>
    <s v="10.121.1.14"/>
    <x v="1"/>
    <s v="10.12.0.252"/>
    <x v="198"/>
    <n v="3"/>
    <x v="0"/>
    <n v="0"/>
    <n v="0"/>
    <n v="3"/>
    <n v="186"/>
    <n v="551.88579100000004"/>
    <n v="9.0592540000000099"/>
    <n v="0"/>
    <n v="164.25193509311001"/>
    <x v="80"/>
    <x v="1"/>
    <e v="#N/A"/>
    <s v="PP_FIX3"/>
    <e v="#N/A"/>
    <s v="Other ProcN Devices"/>
    <x v="0"/>
    <x v="0"/>
    <x v="0"/>
  </r>
  <r>
    <s v="10.121.1.16"/>
    <x v="1"/>
    <s v="10.12.0.64"/>
    <x v="199"/>
    <n v="3"/>
    <x v="0"/>
    <n v="0"/>
    <n v="0"/>
    <n v="3"/>
    <n v="186"/>
    <n v="463.11842799999999"/>
    <n v="8.9949480000000204"/>
    <n v="0"/>
    <n v="165.42619256942899"/>
    <x v="81"/>
    <x v="4"/>
    <e v="#N/A"/>
    <s v="PPPCPET4"/>
    <e v="#N/A"/>
    <s v="PETs Plant"/>
    <x v="0"/>
    <x v="0"/>
    <x v="0"/>
  </r>
  <r>
    <s v="10.125.20.12"/>
    <x v="1"/>
    <s v="10.12.0.64"/>
    <x v="200"/>
    <n v="3"/>
    <x v="0"/>
    <n v="0"/>
    <n v="0"/>
    <n v="3"/>
    <n v="186"/>
    <n v="539.89980400000002"/>
    <n v="9.2143979999999601"/>
    <n v="0"/>
    <n v="161.48640421219099"/>
    <x v="82"/>
    <x v="4"/>
    <e v="#N/A"/>
    <s v="PPPCPET4"/>
    <e v="#N/A"/>
    <s v="PETs Plant"/>
    <x v="0"/>
    <x v="0"/>
    <x v="0"/>
  </r>
  <r>
    <s v="10.130.1.3"/>
    <x v="0"/>
    <s v="10.12.0.186"/>
    <x v="201"/>
    <n v="3"/>
    <x v="0"/>
    <n v="0"/>
    <n v="0"/>
    <n v="3"/>
    <n v="186"/>
    <n v="18.352454000000002"/>
    <n v="9.1514070000000007"/>
    <n v="0"/>
    <n v="162.59794805323401"/>
    <x v="83"/>
    <x v="109"/>
    <e v="#N/A"/>
    <s v="PPPCRF6"/>
    <e v="#N/A"/>
    <s v="Refinery"/>
    <x v="0"/>
    <x v="0"/>
    <x v="0"/>
  </r>
  <r>
    <s v="10.130.1.3"/>
    <x v="0"/>
    <s v="10.12.0.190"/>
    <x v="202"/>
    <n v="3"/>
    <x v="0"/>
    <n v="0"/>
    <n v="0"/>
    <n v="3"/>
    <n v="186"/>
    <n v="654.88319899999999"/>
    <n v="9.2456359999999904"/>
    <n v="0"/>
    <n v="160.94079412168099"/>
    <x v="83"/>
    <x v="0"/>
    <e v="#N/A"/>
    <s v="PPPCRF10"/>
    <e v="#N/A"/>
    <s v="Refinery"/>
    <x v="0"/>
    <x v="0"/>
    <x v="0"/>
  </r>
  <r>
    <s v="10.130.21.133"/>
    <x v="1"/>
    <s v="10.12.0.64"/>
    <x v="203"/>
    <n v="3"/>
    <x v="0"/>
    <n v="0"/>
    <n v="0"/>
    <n v="3"/>
    <n v="186"/>
    <n v="155.77017799999999"/>
    <n v="8.8869319999999998"/>
    <n v="0"/>
    <n v="167.43686122499901"/>
    <x v="84"/>
    <x v="4"/>
    <e v="#N/A"/>
    <s v="PPPCPET4"/>
    <e v="#N/A"/>
    <s v="PETs Plant"/>
    <x v="0"/>
    <x v="0"/>
    <x v="0"/>
  </r>
  <r>
    <s v="10.134.1.7"/>
    <x v="1"/>
    <s v="10.12.0.64"/>
    <x v="204"/>
    <n v="3"/>
    <x v="0"/>
    <n v="0"/>
    <n v="0"/>
    <n v="3"/>
    <n v="186"/>
    <n v="386.22596099999998"/>
    <n v="9.1063230000000299"/>
    <n v="0"/>
    <n v="163.402945403979"/>
    <x v="85"/>
    <x v="4"/>
    <e v="#N/A"/>
    <s v="PPPCPET4"/>
    <e v="#N/A"/>
    <s v="PETs Plant"/>
    <x v="0"/>
    <x v="0"/>
    <x v="0"/>
  </r>
  <r>
    <s v="10.134.1.10"/>
    <x v="1"/>
    <s v="10.12.0.64"/>
    <x v="205"/>
    <n v="3"/>
    <x v="0"/>
    <n v="0"/>
    <n v="0"/>
    <n v="3"/>
    <n v="186"/>
    <n v="193.942532"/>
    <n v="9.1056299999999908"/>
    <n v="0"/>
    <n v="163.41538147278101"/>
    <x v="86"/>
    <x v="4"/>
    <e v="#N/A"/>
    <s v="PPPCPET4"/>
    <e v="#N/A"/>
    <s v="PETs Plant"/>
    <x v="0"/>
    <x v="0"/>
    <x v="0"/>
  </r>
  <r>
    <s v="10.136.1.1"/>
    <x v="0"/>
    <s v="10.12.0.186"/>
    <x v="206"/>
    <n v="1"/>
    <x v="1"/>
    <n v="0"/>
    <n v="0"/>
    <n v="1"/>
    <n v="62"/>
    <n v="1.6912830000000001"/>
    <n v="0"/>
    <n v="0"/>
    <n v="0"/>
    <x v="87"/>
    <x v="109"/>
    <e v="#N/A"/>
    <s v="PPPCRF6"/>
    <e v="#N/A"/>
    <s v="Refinery"/>
    <x v="0"/>
    <x v="0"/>
    <x v="0"/>
  </r>
  <r>
    <s v="10.136.1.1"/>
    <x v="0"/>
    <s v="10.12.0.252"/>
    <x v="207"/>
    <n v="3"/>
    <x v="0"/>
    <n v="0"/>
    <n v="0"/>
    <n v="3"/>
    <n v="186"/>
    <n v="105.927725"/>
    <n v="8.9811200000000007"/>
    <n v="0"/>
    <n v="165.68089503313601"/>
    <x v="87"/>
    <x v="1"/>
    <e v="#N/A"/>
    <s v="PP_FIX3"/>
    <e v="#N/A"/>
    <s v="Other ProcN Devices"/>
    <x v="0"/>
    <x v="0"/>
    <x v="0"/>
  </r>
  <r>
    <s v="10.136.1.1"/>
    <x v="0"/>
    <s v="10.12.0.252"/>
    <x v="208"/>
    <n v="3"/>
    <x v="0"/>
    <n v="0"/>
    <n v="0"/>
    <n v="3"/>
    <n v="186"/>
    <n v="126.83315399999999"/>
    <n v="9.18544300000001"/>
    <n v="0"/>
    <n v="161.99545302278801"/>
    <x v="87"/>
    <x v="1"/>
    <e v="#N/A"/>
    <s v="PP_FIX3"/>
    <e v="#N/A"/>
    <s v="Other ProcN Devices"/>
    <x v="0"/>
    <x v="0"/>
    <x v="0"/>
  </r>
  <r>
    <s v="10.136.1.1"/>
    <x v="0"/>
    <s v="10.12.0.190"/>
    <x v="209"/>
    <n v="3"/>
    <x v="0"/>
    <n v="0"/>
    <n v="0"/>
    <n v="3"/>
    <n v="186"/>
    <n v="376.73832800000002"/>
    <n v="9.1361939999999908"/>
    <n v="0"/>
    <n v="162.86869565160299"/>
    <x v="87"/>
    <x v="0"/>
    <e v="#N/A"/>
    <s v="PPPCRF10"/>
    <e v="#N/A"/>
    <s v="Refinery"/>
    <x v="0"/>
    <x v="0"/>
    <x v="0"/>
  </r>
  <r>
    <s v="10.136.1.3"/>
    <x v="1"/>
    <s v="10.12.0.64"/>
    <x v="210"/>
    <n v="3"/>
    <x v="0"/>
    <n v="0"/>
    <n v="0"/>
    <n v="3"/>
    <n v="186"/>
    <n v="309.22553699999997"/>
    <n v="9.2155190000000307"/>
    <n v="0"/>
    <n v="161.466760580711"/>
    <x v="88"/>
    <x v="4"/>
    <e v="#N/A"/>
    <s v="PPPCPET4"/>
    <e v="#N/A"/>
    <s v="PETs Plant"/>
    <x v="0"/>
    <x v="0"/>
    <x v="0"/>
  </r>
  <r>
    <s v="10.136.1.3"/>
    <x v="1"/>
    <s v="10.12.0.252"/>
    <x v="211"/>
    <n v="3"/>
    <x v="0"/>
    <n v="0"/>
    <n v="0"/>
    <n v="3"/>
    <n v="186"/>
    <n v="504.76024799999999"/>
    <n v="9.0437589999999695"/>
    <n v="0"/>
    <n v="164.53335388526"/>
    <x v="88"/>
    <x v="1"/>
    <e v="#N/A"/>
    <s v="PP_FIX3"/>
    <e v="#N/A"/>
    <s v="Other ProcN Devices"/>
    <x v="0"/>
    <x v="0"/>
    <x v="0"/>
  </r>
  <r>
    <s v="10.136.1.9"/>
    <x v="1"/>
    <s v="10.12.0.7"/>
    <x v="212"/>
    <n v="3"/>
    <x v="0"/>
    <n v="0"/>
    <n v="0"/>
    <n v="3"/>
    <n v="186"/>
    <n v="95.663397000000003"/>
    <n v="9.0279170000000004"/>
    <n v="0"/>
    <n v="164.822073574668"/>
    <x v="89"/>
    <x v="110"/>
    <e v="#N/A"/>
    <s v="PPPCFC7"/>
    <e v="#N/A"/>
    <s v="Fume Control"/>
    <x v="0"/>
    <x v="0"/>
    <x v="0"/>
  </r>
  <r>
    <s v="10.136.1.9"/>
    <x v="1"/>
    <s v="10.12.0.7"/>
    <x v="213"/>
    <n v="3"/>
    <x v="0"/>
    <n v="0"/>
    <n v="0"/>
    <n v="3"/>
    <n v="186"/>
    <n v="116.722019"/>
    <n v="9.0775159999999993"/>
    <n v="0"/>
    <n v="163.92149570433099"/>
    <x v="89"/>
    <x v="110"/>
    <e v="#N/A"/>
    <s v="PPPCFC7"/>
    <e v="#N/A"/>
    <s v="Fume Control"/>
    <x v="0"/>
    <x v="0"/>
    <x v="0"/>
  </r>
  <r>
    <s v="10.136.1.11"/>
    <x v="1"/>
    <s v="10.12.0.64"/>
    <x v="214"/>
    <n v="3"/>
    <x v="0"/>
    <n v="0"/>
    <n v="0"/>
    <n v="3"/>
    <n v="186"/>
    <n v="347.83516600000002"/>
    <n v="9.1052599999999906"/>
    <n v="0"/>
    <n v="163.42202199607701"/>
    <x v="90"/>
    <x v="4"/>
    <e v="#N/A"/>
    <s v="PPPCPET4"/>
    <e v="#N/A"/>
    <s v="PETs Plant"/>
    <x v="0"/>
    <x v="0"/>
    <x v="0"/>
  </r>
  <r>
    <s v="10.136.1.11"/>
    <x v="1"/>
    <s v="10.12.0.252"/>
    <x v="215"/>
    <n v="3"/>
    <x v="0"/>
    <n v="0"/>
    <n v="0"/>
    <n v="3"/>
    <n v="186"/>
    <n v="525.83746900000006"/>
    <n v="9.0761349999999101"/>
    <n v="0"/>
    <n v="163.946437552991"/>
    <x v="90"/>
    <x v="1"/>
    <e v="#N/A"/>
    <s v="PP_FIX3"/>
    <e v="#N/A"/>
    <s v="Other ProcN Devices"/>
    <x v="0"/>
    <x v="0"/>
    <x v="0"/>
  </r>
  <r>
    <s v="10.238.101.79"/>
    <x v="0"/>
    <s v="10.12.0.186"/>
    <x v="216"/>
    <n v="3"/>
    <x v="0"/>
    <n v="0"/>
    <n v="0"/>
    <n v="3"/>
    <n v="186"/>
    <n v="44.165052000000003"/>
    <n v="8.9326059999999998"/>
    <n v="0"/>
    <n v="166.58072683380399"/>
    <x v="91"/>
    <x v="109"/>
    <e v="#N/A"/>
    <s v="PPPCRF6"/>
    <e v="#N/A"/>
    <s v="Refinery"/>
    <x v="0"/>
    <x v="0"/>
    <x v="0"/>
  </r>
  <r>
    <s v="192.168.100.2"/>
    <x v="1067"/>
    <s v="111.221.77.162"/>
    <x v="116"/>
    <n v="2"/>
    <x v="63"/>
    <n v="2"/>
    <n v="128"/>
    <n v="0"/>
    <n v="0"/>
    <n v="0.27232800000000001"/>
    <n v="5.9986899999999999"/>
    <n v="170.703937026251"/>
    <n v="0"/>
    <x v="92"/>
    <x v="111"/>
    <e v="#N/A"/>
    <e v="#N/A"/>
    <e v="#N/A"/>
    <e v="#N/A"/>
    <x v="0"/>
    <x v="3"/>
    <x v="4"/>
  </r>
  <r>
    <s v="192.168.100.2"/>
    <x v="1068"/>
    <s v="157.56.52.20"/>
    <x v="117"/>
    <n v="2"/>
    <x v="63"/>
    <n v="2"/>
    <n v="128"/>
    <n v="0"/>
    <n v="0"/>
    <n v="0.71109299999999998"/>
    <n v="6.0317299999999996"/>
    <n v="169.76887228042401"/>
    <n v="0"/>
    <x v="92"/>
    <x v="112"/>
    <e v="#N/A"/>
    <e v="#N/A"/>
    <e v="#N/A"/>
    <e v="#N/A"/>
    <x v="0"/>
    <x v="3"/>
    <x v="5"/>
  </r>
  <r>
    <s v="192.168.100.2"/>
    <x v="1069"/>
    <s v="157.55.235.176"/>
    <x v="217"/>
    <n v="2"/>
    <x v="63"/>
    <n v="2"/>
    <n v="128"/>
    <n v="0"/>
    <n v="0"/>
    <n v="1.1708860000000001"/>
    <n v="6.0024119999999996"/>
    <n v="170.598086236"/>
    <n v="0"/>
    <x v="92"/>
    <x v="113"/>
    <e v="#N/A"/>
    <e v="#N/A"/>
    <e v="#N/A"/>
    <e v="#N/A"/>
    <x v="0"/>
    <x v="3"/>
    <x v="0"/>
  </r>
  <r>
    <s v="192.168.100.2"/>
    <x v="1070"/>
    <s v="157.55.56.156"/>
    <x v="218"/>
    <n v="3"/>
    <x v="49"/>
    <n v="3"/>
    <n v="194"/>
    <n v="0"/>
    <n v="0"/>
    <n v="1.202245"/>
    <n v="9.0028410000000001"/>
    <n v="172.39002665936201"/>
    <n v="0"/>
    <x v="92"/>
    <x v="114"/>
    <e v="#N/A"/>
    <e v="#N/A"/>
    <e v="#N/A"/>
    <e v="#N/A"/>
    <x v="0"/>
    <x v="3"/>
    <x v="0"/>
  </r>
  <r>
    <s v="192.168.100.2"/>
    <x v="1071"/>
    <s v="157.56.52.13"/>
    <x v="116"/>
    <n v="2"/>
    <x v="63"/>
    <n v="2"/>
    <n v="128"/>
    <n v="0"/>
    <n v="0"/>
    <n v="1.3112649999999999"/>
    <n v="6.0018580000000004"/>
    <n v="170.613833249637"/>
    <n v="0"/>
    <x v="92"/>
    <x v="115"/>
    <e v="#N/A"/>
    <e v="#N/A"/>
    <e v="#N/A"/>
    <e v="#N/A"/>
    <x v="0"/>
    <x v="3"/>
    <x v="4"/>
  </r>
  <r>
    <s v="192.168.100.2"/>
    <x v="1072"/>
    <s v="157.55.235.176"/>
    <x v="116"/>
    <n v="3"/>
    <x v="49"/>
    <n v="3"/>
    <n v="194"/>
    <n v="0"/>
    <n v="0"/>
    <n v="1.37243"/>
    <n v="9.0006719999999998"/>
    <n v="172.431569553918"/>
    <n v="0"/>
    <x v="92"/>
    <x v="113"/>
    <e v="#N/A"/>
    <e v="#N/A"/>
    <e v="#N/A"/>
    <e v="#N/A"/>
    <x v="0"/>
    <x v="3"/>
    <x v="4"/>
  </r>
  <r>
    <s v="192.168.100.2"/>
    <x v="1073"/>
    <s v="157.56.52.20"/>
    <x v="116"/>
    <n v="2"/>
    <x v="63"/>
    <n v="2"/>
    <n v="128"/>
    <n v="0"/>
    <n v="0"/>
    <n v="2.3209330000000001"/>
    <n v="6.0320359999999997"/>
    <n v="169.76026005149799"/>
    <n v="0"/>
    <x v="92"/>
    <x v="112"/>
    <e v="#N/A"/>
    <e v="#N/A"/>
    <e v="#N/A"/>
    <e v="#N/A"/>
    <x v="0"/>
    <x v="3"/>
    <x v="4"/>
  </r>
  <r>
    <s v="192.168.100.2"/>
    <x v="1074"/>
    <s v="157.55.235.176"/>
    <x v="117"/>
    <n v="2"/>
    <x v="63"/>
    <n v="2"/>
    <n v="128"/>
    <n v="0"/>
    <n v="0"/>
    <n v="2.7620010000000002"/>
    <n v="6.0010279999999998"/>
    <n v="170.637430786859"/>
    <n v="0"/>
    <x v="92"/>
    <x v="113"/>
    <e v="#N/A"/>
    <e v="#N/A"/>
    <e v="#N/A"/>
    <e v="#N/A"/>
    <x v="0"/>
    <x v="3"/>
    <x v="5"/>
  </r>
  <r>
    <s v="192.168.100.2"/>
    <x v="1075"/>
    <s v="157.55.56.156"/>
    <x v="117"/>
    <n v="3"/>
    <x v="49"/>
    <n v="3"/>
    <n v="194"/>
    <n v="0"/>
    <n v="0"/>
    <n v="2.8215590000000002"/>
    <n v="9.0015769999999993"/>
    <n v="172.414233639283"/>
    <n v="0"/>
    <x v="92"/>
    <x v="114"/>
    <e v="#N/A"/>
    <e v="#N/A"/>
    <e v="#N/A"/>
    <e v="#N/A"/>
    <x v="0"/>
    <x v="3"/>
    <x v="5"/>
  </r>
  <r>
    <s v="192.168.100.2"/>
    <x v="1076"/>
    <s v="111.221.77.162"/>
    <x v="219"/>
    <n v="1"/>
    <x v="1"/>
    <n v="1"/>
    <n v="62"/>
    <n v="0"/>
    <n v="0"/>
    <n v="3.040988"/>
    <n v="0"/>
    <n v="0"/>
    <n v="0"/>
    <x v="92"/>
    <x v="111"/>
    <e v="#N/A"/>
    <e v="#N/A"/>
    <e v="#N/A"/>
    <e v="#N/A"/>
    <x v="0"/>
    <x v="3"/>
    <x v="0"/>
  </r>
  <r>
    <s v="192.168.100.2"/>
    <x v="1077"/>
    <s v="157.55.130.169"/>
    <x v="217"/>
    <n v="3"/>
    <x v="49"/>
    <n v="3"/>
    <n v="194"/>
    <n v="0"/>
    <n v="0"/>
    <n v="3.2324950000000001"/>
    <n v="9.0005869999999994"/>
    <n v="172.433197968088"/>
    <n v="0"/>
    <x v="92"/>
    <x v="116"/>
    <e v="#N/A"/>
    <e v="#N/A"/>
    <e v="#N/A"/>
    <e v="#N/A"/>
    <x v="0"/>
    <x v="3"/>
    <x v="0"/>
  </r>
  <r>
    <s v="192.168.100.2"/>
    <x v="1078"/>
    <s v="157.56.52.13"/>
    <x v="220"/>
    <n v="1"/>
    <x v="1"/>
    <n v="1"/>
    <n v="62"/>
    <n v="0"/>
    <n v="0"/>
    <n v="4.0821290000000001"/>
    <n v="0"/>
    <n v="0"/>
    <n v="0"/>
    <x v="92"/>
    <x v="115"/>
    <e v="#N/A"/>
    <e v="#N/A"/>
    <e v="#N/A"/>
    <e v="#N/A"/>
    <x v="0"/>
    <x v="3"/>
    <x v="0"/>
  </r>
  <r>
    <s v="192.168.100.2"/>
    <x v="1079"/>
    <s v="111.221.77.145"/>
    <x v="221"/>
    <n v="3"/>
    <x v="49"/>
    <n v="3"/>
    <n v="194"/>
    <n v="0"/>
    <n v="0"/>
    <n v="4.2432410000000003"/>
    <n v="8.9998140000000006"/>
    <n v="172.448008369951"/>
    <n v="0"/>
    <x v="92"/>
    <x v="117"/>
    <e v="#N/A"/>
    <e v="#N/A"/>
    <e v="#N/A"/>
    <e v="#N/A"/>
    <x v="0"/>
    <x v="3"/>
    <x v="0"/>
  </r>
  <r>
    <s v="192.168.100.2"/>
    <x v="1080"/>
    <s v="157.55.56.156"/>
    <x v="116"/>
    <n v="3"/>
    <x v="49"/>
    <n v="3"/>
    <n v="194"/>
    <n v="0"/>
    <n v="0"/>
    <n v="4.4327199999999998"/>
    <n v="9.0004059999999999"/>
    <n v="172.43666563486099"/>
    <n v="0"/>
    <x v="92"/>
    <x v="114"/>
    <e v="#N/A"/>
    <e v="#N/A"/>
    <e v="#N/A"/>
    <e v="#N/A"/>
    <x v="0"/>
    <x v="3"/>
    <x v="4"/>
  </r>
  <r>
    <s v="192.168.100.2"/>
    <x v="1081"/>
    <s v="111.221.77.162"/>
    <x v="117"/>
    <n v="1"/>
    <x v="1"/>
    <n v="1"/>
    <n v="62"/>
    <n v="0"/>
    <n v="0"/>
    <n v="4.6621449999999998"/>
    <n v="0"/>
    <n v="0"/>
    <n v="0"/>
    <x v="92"/>
    <x v="111"/>
    <e v="#N/A"/>
    <e v="#N/A"/>
    <e v="#N/A"/>
    <e v="#N/A"/>
    <x v="0"/>
    <x v="3"/>
    <x v="5"/>
  </r>
  <r>
    <s v="192.168.100.2"/>
    <x v="1082"/>
    <s v="157.55.130.169"/>
    <x v="117"/>
    <n v="3"/>
    <x v="49"/>
    <n v="3"/>
    <n v="194"/>
    <n v="0"/>
    <n v="0"/>
    <n v="4.8524510000000003"/>
    <n v="8.9996690000000008"/>
    <n v="172.45078680115901"/>
    <n v="0"/>
    <x v="92"/>
    <x v="116"/>
    <e v="#N/A"/>
    <e v="#N/A"/>
    <e v="#N/A"/>
    <e v="#N/A"/>
    <x v="0"/>
    <x v="3"/>
    <x v="5"/>
  </r>
  <r>
    <s v="192.168.100.2"/>
    <x v="1083"/>
    <s v="157.56.52.20"/>
    <x v="222"/>
    <n v="1"/>
    <x v="1"/>
    <n v="1"/>
    <n v="62"/>
    <n v="0"/>
    <n v="0"/>
    <n v="5.0920839999999998"/>
    <n v="0"/>
    <n v="0"/>
    <n v="0"/>
    <x v="92"/>
    <x v="112"/>
    <e v="#N/A"/>
    <e v="#N/A"/>
    <e v="#N/A"/>
    <e v="#N/A"/>
    <x v="0"/>
    <x v="3"/>
    <x v="0"/>
  </r>
  <r>
    <s v="192.168.100.2"/>
    <x v="1084"/>
    <s v="157.56.52.13"/>
    <x v="117"/>
    <n v="1"/>
    <x v="1"/>
    <n v="1"/>
    <n v="62"/>
    <n v="0"/>
    <n v="0"/>
    <n v="5.7019089999999997"/>
    <n v="0"/>
    <n v="0"/>
    <n v="0"/>
    <x v="92"/>
    <x v="115"/>
    <e v="#N/A"/>
    <e v="#N/A"/>
    <e v="#N/A"/>
    <e v="#N/A"/>
    <x v="0"/>
    <x v="3"/>
    <x v="5"/>
  </r>
  <r>
    <s v="192.168.100.2"/>
    <x v="1085"/>
    <s v="111.221.77.145"/>
    <x v="117"/>
    <n v="3"/>
    <x v="49"/>
    <n v="3"/>
    <n v="194"/>
    <n v="0"/>
    <n v="0"/>
    <n v="5.8628239999999998"/>
    <n v="9.0002329999999997"/>
    <n v="172.439980164958"/>
    <n v="0"/>
    <x v="92"/>
    <x v="117"/>
    <e v="#N/A"/>
    <e v="#N/A"/>
    <e v="#N/A"/>
    <e v="#N/A"/>
    <x v="0"/>
    <x v="3"/>
    <x v="5"/>
  </r>
  <r>
    <s v="192.168.100.2"/>
    <x v="1086"/>
    <s v="157.55.130.169"/>
    <x v="116"/>
    <n v="3"/>
    <x v="49"/>
    <n v="3"/>
    <n v="194"/>
    <n v="0"/>
    <n v="0"/>
    <n v="6.4725279999999996"/>
    <n v="9.0004969999999993"/>
    <n v="172.434922204852"/>
    <n v="0"/>
    <x v="92"/>
    <x v="116"/>
    <e v="#N/A"/>
    <e v="#N/A"/>
    <e v="#N/A"/>
    <e v="#N/A"/>
    <x v="0"/>
    <x v="3"/>
    <x v="4"/>
  </r>
  <r>
    <s v="192.168.100.2"/>
    <x v="1087"/>
    <s v="111.221.77.145"/>
    <x v="116"/>
    <n v="3"/>
    <x v="49"/>
    <n v="3"/>
    <n v="194"/>
    <n v="0"/>
    <n v="0"/>
    <n v="7.4734259999999999"/>
    <n v="8.9996179999999999"/>
    <n v="172.45176406376399"/>
    <n v="0"/>
    <x v="92"/>
    <x v="117"/>
    <e v="#N/A"/>
    <e v="#N/A"/>
    <e v="#N/A"/>
    <e v="#N/A"/>
    <x v="0"/>
    <x v="3"/>
    <x v="4"/>
  </r>
  <r>
    <s v="192.168.100.2"/>
    <x v="1088"/>
    <s v="103.43.75.140"/>
    <x v="117"/>
    <n v="3"/>
    <x v="49"/>
    <n v="3"/>
    <n v="194"/>
    <n v="0"/>
    <n v="0"/>
    <n v="13.444213"/>
    <n v="9.0292200000000005"/>
    <n v="171.88638664247901"/>
    <n v="0"/>
    <x v="92"/>
    <x v="118"/>
    <e v="#N/A"/>
    <e v="#N/A"/>
    <e v="#N/A"/>
    <e v="#N/A"/>
    <x v="0"/>
    <x v="3"/>
    <x v="5"/>
  </r>
  <r>
    <s v="192.168.100.2"/>
    <x v="1089"/>
    <s v="91.190.218.52"/>
    <x v="223"/>
    <n v="3"/>
    <x v="49"/>
    <n v="3"/>
    <n v="194"/>
    <n v="0"/>
    <n v="0"/>
    <n v="14.694046"/>
    <n v="9.0000319999999991"/>
    <n v="172.44383131082199"/>
    <n v="0"/>
    <x v="92"/>
    <x v="119"/>
    <e v="#N/A"/>
    <e v="#N/A"/>
    <e v="#N/A"/>
    <e v="#N/A"/>
    <x v="0"/>
    <x v="3"/>
    <x v="0"/>
  </r>
  <r>
    <s v="192.168.100.2"/>
    <x v="1090"/>
    <s v="103.43.75.140"/>
    <x v="116"/>
    <n v="3"/>
    <x v="49"/>
    <n v="3"/>
    <n v="194"/>
    <n v="0"/>
    <n v="0"/>
    <n v="15.444246"/>
    <n v="8.9996200000000002"/>
    <n v="172.45172573953101"/>
    <n v="0"/>
    <x v="92"/>
    <x v="118"/>
    <e v="#N/A"/>
    <e v="#N/A"/>
    <e v="#N/A"/>
    <e v="#N/A"/>
    <x v="0"/>
    <x v="3"/>
    <x v="4"/>
  </r>
  <r>
    <s v="192.168.100.2"/>
    <x v="1091"/>
    <s v="91.190.218.52"/>
    <x v="117"/>
    <n v="3"/>
    <x v="49"/>
    <n v="3"/>
    <n v="194"/>
    <n v="0"/>
    <n v="0"/>
    <n v="16.313528000000002"/>
    <n v="9.0005539999999993"/>
    <n v="172.433830184231"/>
    <n v="0"/>
    <x v="92"/>
    <x v="119"/>
    <e v="#N/A"/>
    <e v="#N/A"/>
    <e v="#N/A"/>
    <e v="#N/A"/>
    <x v="0"/>
    <x v="3"/>
    <x v="5"/>
  </r>
  <r>
    <s v="192.168.100.2"/>
    <x v="1092"/>
    <s v="91.190.218.52"/>
    <x v="116"/>
    <n v="3"/>
    <x v="49"/>
    <n v="3"/>
    <n v="194"/>
    <n v="0"/>
    <n v="0"/>
    <n v="17.933402999999998"/>
    <n v="8.9996109999999998"/>
    <n v="172.45189819871101"/>
    <n v="0"/>
    <x v="92"/>
    <x v="119"/>
    <e v="#N/A"/>
    <e v="#N/A"/>
    <e v="#N/A"/>
    <e v="#N/A"/>
    <x v="0"/>
    <x v="3"/>
    <x v="4"/>
  </r>
  <r>
    <s v="192.168.100.2"/>
    <x v="1093"/>
    <s v="157.55.56.161"/>
    <x v="224"/>
    <n v="3"/>
    <x v="49"/>
    <n v="3"/>
    <n v="194"/>
    <n v="0"/>
    <n v="0"/>
    <n v="18.524483"/>
    <n v="8.9994689999999995"/>
    <n v="172.45461926698101"/>
    <n v="0"/>
    <x v="92"/>
    <x v="120"/>
    <e v="#N/A"/>
    <e v="#N/A"/>
    <e v="#N/A"/>
    <e v="#N/A"/>
    <x v="0"/>
    <x v="3"/>
    <x v="0"/>
  </r>
  <r>
    <s v="192.168.100.2"/>
    <x v="1094"/>
    <s v="157.55.235.153"/>
    <x v="225"/>
    <n v="3"/>
    <x v="49"/>
    <n v="3"/>
    <n v="194"/>
    <n v="0"/>
    <n v="0"/>
    <n v="19.549379999999999"/>
    <n v="9.0046370000000007"/>
    <n v="172.35564298705199"/>
    <n v="0"/>
    <x v="92"/>
    <x v="121"/>
    <e v="#N/A"/>
    <e v="#N/A"/>
    <e v="#N/A"/>
    <e v="#N/A"/>
    <x v="0"/>
    <x v="3"/>
    <x v="0"/>
  </r>
  <r>
    <s v="192.168.100.2"/>
    <x v="1095"/>
    <s v="157.55.56.161"/>
    <x v="117"/>
    <n v="3"/>
    <x v="49"/>
    <n v="3"/>
    <n v="194"/>
    <n v="0"/>
    <n v="0"/>
    <n v="20.144504000000001"/>
    <n v="8.9994379999999996"/>
    <n v="172.45521331443101"/>
    <n v="0"/>
    <x v="92"/>
    <x v="120"/>
    <e v="#N/A"/>
    <e v="#N/A"/>
    <e v="#N/A"/>
    <e v="#N/A"/>
    <x v="0"/>
    <x v="3"/>
    <x v="5"/>
  </r>
  <r>
    <s v="192.168.100.2"/>
    <x v="1096"/>
    <s v="157.55.56.146"/>
    <x v="226"/>
    <n v="3"/>
    <x v="49"/>
    <n v="3"/>
    <n v="194"/>
    <n v="0"/>
    <n v="0"/>
    <n v="20.575256"/>
    <n v="9.0087890000000002"/>
    <n v="172.27620715725499"/>
    <n v="0"/>
    <x v="92"/>
    <x v="122"/>
    <e v="#N/A"/>
    <e v="#N/A"/>
    <e v="#N/A"/>
    <e v="#N/A"/>
    <x v="0"/>
    <x v="3"/>
    <x v="0"/>
  </r>
  <r>
    <s v="192.168.100.2"/>
    <x v="1097"/>
    <s v="157.55.235.153"/>
    <x v="117"/>
    <n v="3"/>
    <x v="49"/>
    <n v="3"/>
    <n v="194"/>
    <n v="0"/>
    <n v="0"/>
    <n v="21.194322"/>
    <n v="8.9697779999999998"/>
    <n v="173.02546395239699"/>
    <n v="0"/>
    <x v="92"/>
    <x v="121"/>
    <e v="#N/A"/>
    <e v="#N/A"/>
    <e v="#N/A"/>
    <e v="#N/A"/>
    <x v="0"/>
    <x v="3"/>
    <x v="5"/>
  </r>
  <r>
    <s v="192.168.100.2"/>
    <x v="1098"/>
    <s v="157.55.56.161"/>
    <x v="116"/>
    <n v="3"/>
    <x v="49"/>
    <n v="3"/>
    <n v="194"/>
    <n v="0"/>
    <n v="0"/>
    <n v="21.764154999999999"/>
    <n v="8.9978719999999992"/>
    <n v="172.48522761826399"/>
    <n v="0"/>
    <x v="92"/>
    <x v="120"/>
    <e v="#N/A"/>
    <e v="#N/A"/>
    <e v="#N/A"/>
    <e v="#N/A"/>
    <x v="0"/>
    <x v="3"/>
    <x v="4"/>
  </r>
  <r>
    <s v="192.168.100.2"/>
    <x v="1099"/>
    <s v="157.55.56.146"/>
    <x v="117"/>
    <n v="3"/>
    <x v="49"/>
    <n v="3"/>
    <n v="194"/>
    <n v="0"/>
    <n v="0"/>
    <n v="22.194369999999999"/>
    <n v="9.0021819999999995"/>
    <n v="172.402646380622"/>
    <n v="0"/>
    <x v="92"/>
    <x v="122"/>
    <e v="#N/A"/>
    <e v="#N/A"/>
    <e v="#N/A"/>
    <e v="#N/A"/>
    <x v="0"/>
    <x v="3"/>
    <x v="5"/>
  </r>
  <r>
    <s v="192.168.100.2"/>
    <x v="1100"/>
    <s v="157.56.52.48"/>
    <x v="227"/>
    <n v="3"/>
    <x v="49"/>
    <n v="3"/>
    <n v="194"/>
    <n v="0"/>
    <n v="0"/>
    <n v="22.625219999999999"/>
    <n v="9.0099599999999995"/>
    <n v="172.25381688708899"/>
    <n v="0"/>
    <x v="92"/>
    <x v="123"/>
    <e v="#N/A"/>
    <e v="#N/A"/>
    <e v="#N/A"/>
    <e v="#N/A"/>
    <x v="0"/>
    <x v="3"/>
    <x v="0"/>
  </r>
  <r>
    <s v="192.168.100.2"/>
    <x v="1101"/>
    <s v="157.55.235.153"/>
    <x v="116"/>
    <n v="3"/>
    <x v="49"/>
    <n v="3"/>
    <n v="194"/>
    <n v="0"/>
    <n v="0"/>
    <n v="22.784393000000001"/>
    <n v="8.989528"/>
    <n v="172.64532687366901"/>
    <n v="0"/>
    <x v="92"/>
    <x v="121"/>
    <e v="#N/A"/>
    <e v="#N/A"/>
    <e v="#N/A"/>
    <e v="#N/A"/>
    <x v="0"/>
    <x v="3"/>
    <x v="4"/>
  </r>
  <r>
    <s v="192.168.100.2"/>
    <x v="1102"/>
    <s v="157.55.56.146"/>
    <x v="116"/>
    <n v="3"/>
    <x v="49"/>
    <n v="3"/>
    <n v="194"/>
    <n v="0"/>
    <n v="0"/>
    <n v="23.814364999999999"/>
    <n v="9.0004770000000001"/>
    <n v="172.43530537326001"/>
    <n v="0"/>
    <x v="92"/>
    <x v="122"/>
    <e v="#N/A"/>
    <e v="#N/A"/>
    <e v="#N/A"/>
    <e v="#N/A"/>
    <x v="0"/>
    <x v="3"/>
    <x v="4"/>
  </r>
  <r>
    <s v="192.168.100.2"/>
    <x v="1103"/>
    <s v="157.56.52.48"/>
    <x v="117"/>
    <n v="3"/>
    <x v="49"/>
    <n v="3"/>
    <n v="194"/>
    <n v="0"/>
    <n v="0"/>
    <n v="24.234452999999998"/>
    <n v="9.0005629999999996"/>
    <n v="172.43365776118699"/>
    <n v="0"/>
    <x v="92"/>
    <x v="123"/>
    <e v="#N/A"/>
    <e v="#N/A"/>
    <e v="#N/A"/>
    <e v="#N/A"/>
    <x v="0"/>
    <x v="3"/>
    <x v="5"/>
  </r>
  <r>
    <s v="192.168.100.2"/>
    <x v="1104"/>
    <s v="65.55.223.34"/>
    <x v="224"/>
    <n v="3"/>
    <x v="49"/>
    <n v="3"/>
    <n v="194"/>
    <n v="0"/>
    <n v="0"/>
    <n v="25.685192000000001"/>
    <n v="9.0385209999999994"/>
    <n v="171.70950866850899"/>
    <n v="0"/>
    <x v="92"/>
    <x v="124"/>
    <e v="#N/A"/>
    <e v="#N/A"/>
    <e v="#N/A"/>
    <e v="#N/A"/>
    <x v="0"/>
    <x v="3"/>
    <x v="0"/>
  </r>
  <r>
    <s v="192.168.100.2"/>
    <x v="1105"/>
    <s v="157.56.52.48"/>
    <x v="116"/>
    <n v="3"/>
    <x v="49"/>
    <n v="3"/>
    <n v="194"/>
    <n v="0"/>
    <n v="0"/>
    <n v="25.854196999999999"/>
    <n v="9.0007870000000008"/>
    <n v="172.42936645428901"/>
    <n v="0"/>
    <x v="92"/>
    <x v="123"/>
    <e v="#N/A"/>
    <e v="#N/A"/>
    <e v="#N/A"/>
    <e v="#N/A"/>
    <x v="0"/>
    <x v="3"/>
    <x v="4"/>
  </r>
  <r>
    <s v="192.168.100.2"/>
    <x v="1106"/>
    <s v="65.55.223.34"/>
    <x v="117"/>
    <n v="3"/>
    <x v="49"/>
    <n v="3"/>
    <n v="194"/>
    <n v="0"/>
    <n v="0"/>
    <n v="27.305568000000001"/>
    <n v="9.0292499999999993"/>
    <n v="171.88581554392701"/>
    <n v="0"/>
    <x v="92"/>
    <x v="124"/>
    <e v="#N/A"/>
    <e v="#N/A"/>
    <e v="#N/A"/>
    <e v="#N/A"/>
    <x v="0"/>
    <x v="3"/>
    <x v="5"/>
  </r>
  <r>
    <s v="192.168.100.2"/>
    <x v="1107"/>
    <s v="157.55.56.159"/>
    <x v="228"/>
    <n v="3"/>
    <x v="49"/>
    <n v="3"/>
    <n v="194"/>
    <n v="0"/>
    <n v="0"/>
    <n v="27.725069999999999"/>
    <n v="9.0245339999999992"/>
    <n v="171.97563885293101"/>
    <n v="0"/>
    <x v="92"/>
    <x v="125"/>
    <e v="#N/A"/>
    <e v="#N/A"/>
    <e v="#N/A"/>
    <e v="#N/A"/>
    <x v="0"/>
    <x v="3"/>
    <x v="0"/>
  </r>
  <r>
    <s v="192.168.100.2"/>
    <x v="1108"/>
    <s v="157.55.56.141"/>
    <x v="229"/>
    <n v="3"/>
    <x v="49"/>
    <n v="3"/>
    <n v="194"/>
    <n v="0"/>
    <n v="0"/>
    <n v="28.775093999999999"/>
    <n v="9.0100020000000001"/>
    <n v="172.253013928299"/>
    <n v="0"/>
    <x v="92"/>
    <x v="126"/>
    <e v="#N/A"/>
    <e v="#N/A"/>
    <e v="#N/A"/>
    <e v="#N/A"/>
    <x v="0"/>
    <x v="3"/>
    <x v="0"/>
  </r>
  <r>
    <s v="192.168.100.2"/>
    <x v="1109"/>
    <s v="65.55.223.34"/>
    <x v="116"/>
    <n v="3"/>
    <x v="49"/>
    <n v="3"/>
    <n v="194"/>
    <n v="0"/>
    <n v="0"/>
    <n v="28.954305999999999"/>
    <n v="8.9806650000000001"/>
    <n v="172.81571019518"/>
    <n v="0"/>
    <x v="92"/>
    <x v="124"/>
    <e v="#N/A"/>
    <e v="#N/A"/>
    <e v="#N/A"/>
    <e v="#N/A"/>
    <x v="0"/>
    <x v="3"/>
    <x v="4"/>
  </r>
  <r>
    <s v="192.168.100.2"/>
    <x v="1110"/>
    <s v="157.55.56.159"/>
    <x v="117"/>
    <n v="3"/>
    <x v="49"/>
    <n v="3"/>
    <n v="194"/>
    <n v="0"/>
    <n v="0"/>
    <n v="29.349672999999999"/>
    <n v="8.9951349999999994"/>
    <n v="172.53771066248601"/>
    <n v="0"/>
    <x v="92"/>
    <x v="125"/>
    <e v="#N/A"/>
    <e v="#N/A"/>
    <e v="#N/A"/>
    <e v="#N/A"/>
    <x v="0"/>
    <x v="3"/>
    <x v="5"/>
  </r>
  <r>
    <s v="192.168.100.2"/>
    <x v="1111"/>
    <s v="78.46.49.23"/>
    <x v="117"/>
    <n v="3"/>
    <x v="49"/>
    <n v="3"/>
    <n v="194"/>
    <n v="0"/>
    <n v="0"/>
    <n v="29.445087000000001"/>
    <n v="9.0098409999999998"/>
    <n v="172.25609197764999"/>
    <n v="0"/>
    <x v="92"/>
    <x v="127"/>
    <e v="#N/A"/>
    <e v="#N/A"/>
    <e v="#N/A"/>
    <e v="#N/A"/>
    <x v="0"/>
    <x v="3"/>
    <x v="5"/>
  </r>
  <r>
    <s v="192.168.100.2"/>
    <x v="1112"/>
    <s v="157.55.56.141"/>
    <x v="117"/>
    <n v="3"/>
    <x v="49"/>
    <n v="3"/>
    <n v="194"/>
    <n v="0"/>
    <n v="0"/>
    <n v="30.423878999999999"/>
    <n v="8.97119"/>
    <n v="172.99823100391399"/>
    <n v="0"/>
    <x v="92"/>
    <x v="126"/>
    <e v="#N/A"/>
    <e v="#N/A"/>
    <e v="#N/A"/>
    <e v="#N/A"/>
    <x v="0"/>
    <x v="3"/>
    <x v="5"/>
  </r>
  <r>
    <s v="192.168.100.2"/>
    <x v="1113"/>
    <s v="157.55.56.159"/>
    <x v="116"/>
    <n v="3"/>
    <x v="49"/>
    <n v="3"/>
    <n v="194"/>
    <n v="0"/>
    <n v="0"/>
    <n v="30.955348999999998"/>
    <n v="9.0096450000000008"/>
    <n v="172.259839316643"/>
    <n v="0"/>
    <x v="92"/>
    <x v="125"/>
    <e v="#N/A"/>
    <e v="#N/A"/>
    <e v="#N/A"/>
    <e v="#N/A"/>
    <x v="0"/>
    <x v="3"/>
    <x v="4"/>
  </r>
  <r>
    <s v="192.168.100.2"/>
    <x v="1114"/>
    <s v="78.46.49.23"/>
    <x v="116"/>
    <n v="3"/>
    <x v="49"/>
    <n v="3"/>
    <n v="194"/>
    <n v="0"/>
    <n v="0"/>
    <n v="31.446209"/>
    <n v="9.0085809999999995"/>
    <n v="172.28018485930201"/>
    <n v="0"/>
    <x v="92"/>
    <x v="127"/>
    <e v="#N/A"/>
    <e v="#N/A"/>
    <e v="#N/A"/>
    <e v="#N/A"/>
    <x v="0"/>
    <x v="3"/>
    <x v="4"/>
  </r>
  <r>
    <s v="192.168.100.2"/>
    <x v="1115"/>
    <s v="157.55.56.141"/>
    <x v="116"/>
    <n v="3"/>
    <x v="49"/>
    <n v="3"/>
    <n v="194"/>
    <n v="0"/>
    <n v="0"/>
    <n v="32.005329000000003"/>
    <n v="9.0096030000000003"/>
    <n v="172.26064233906899"/>
    <n v="0"/>
    <x v="92"/>
    <x v="126"/>
    <e v="#N/A"/>
    <e v="#N/A"/>
    <e v="#N/A"/>
    <e v="#N/A"/>
    <x v="0"/>
    <x v="3"/>
    <x v="4"/>
  </r>
  <r>
    <s v="192.168.100.2"/>
    <x v="1116"/>
    <s v="157.56.52.17"/>
    <x v="230"/>
    <n v="3"/>
    <x v="49"/>
    <n v="3"/>
    <n v="194"/>
    <n v="0"/>
    <n v="0"/>
    <n v="42.967154000000001"/>
    <n v="8.9997019999999992"/>
    <n v="172.45015446067001"/>
    <n v="0"/>
    <x v="92"/>
    <x v="128"/>
    <e v="#N/A"/>
    <e v="#N/A"/>
    <e v="#N/A"/>
    <e v="#N/A"/>
    <x v="0"/>
    <x v="3"/>
    <x v="0"/>
  </r>
  <r>
    <s v="192.168.100.2"/>
    <x v="1117"/>
    <s v="157.56.52.22"/>
    <x v="231"/>
    <n v="3"/>
    <x v="49"/>
    <n v="3"/>
    <n v="194"/>
    <n v="0"/>
    <n v="0"/>
    <n v="43.977204"/>
    <n v="8.9997240000000005"/>
    <n v="172.44973290292"/>
    <n v="0"/>
    <x v="92"/>
    <x v="129"/>
    <e v="#N/A"/>
    <e v="#N/A"/>
    <e v="#N/A"/>
    <e v="#N/A"/>
    <x v="0"/>
    <x v="3"/>
    <x v="0"/>
  </r>
  <r>
    <s v="192.168.100.2"/>
    <x v="1118"/>
    <s v="157.56.52.17"/>
    <x v="117"/>
    <n v="3"/>
    <x v="49"/>
    <n v="3"/>
    <n v="194"/>
    <n v="0"/>
    <n v="0"/>
    <n v="44.586475"/>
    <n v="9.0004100000000005"/>
    <n v="172.43658899983399"/>
    <n v="0"/>
    <x v="92"/>
    <x v="128"/>
    <e v="#N/A"/>
    <e v="#N/A"/>
    <e v="#N/A"/>
    <e v="#N/A"/>
    <x v="0"/>
    <x v="3"/>
    <x v="5"/>
  </r>
  <r>
    <s v="192.168.100.2"/>
    <x v="1119"/>
    <s v="64.4.23.153"/>
    <x v="218"/>
    <n v="3"/>
    <x v="49"/>
    <n v="3"/>
    <n v="194"/>
    <n v="0"/>
    <n v="0"/>
    <n v="45.007173999999999"/>
    <n v="8.9986619999999995"/>
    <n v="172.47008499708099"/>
    <n v="0"/>
    <x v="92"/>
    <x v="130"/>
    <e v="#N/A"/>
    <e v="#N/A"/>
    <e v="#N/A"/>
    <e v="#N/A"/>
    <x v="0"/>
    <x v="3"/>
    <x v="0"/>
  </r>
  <r>
    <s v="192.168.100.2"/>
    <x v="1120"/>
    <s v="85.25.103.30"/>
    <x v="117"/>
    <n v="3"/>
    <x v="49"/>
    <n v="3"/>
    <n v="194"/>
    <n v="0"/>
    <n v="0"/>
    <n v="45.467343999999997"/>
    <n v="8.9994949999999996"/>
    <n v="172.45412103679101"/>
    <n v="0"/>
    <x v="92"/>
    <x v="131"/>
    <e v="#N/A"/>
    <e v="#N/A"/>
    <e v="#N/A"/>
    <e v="#N/A"/>
    <x v="0"/>
    <x v="3"/>
    <x v="5"/>
  </r>
  <r>
    <s v="192.168.100.2"/>
    <x v="1121"/>
    <s v="157.56.52.22"/>
    <x v="117"/>
    <n v="3"/>
    <x v="49"/>
    <n v="3"/>
    <n v="194"/>
    <n v="0"/>
    <n v="0"/>
    <n v="45.597025000000002"/>
    <n v="8.9999210000000005"/>
    <n v="172.445958136744"/>
    <n v="0"/>
    <x v="92"/>
    <x v="129"/>
    <e v="#N/A"/>
    <e v="#N/A"/>
    <e v="#N/A"/>
    <e v="#N/A"/>
    <x v="0"/>
    <x v="3"/>
    <x v="5"/>
  </r>
  <r>
    <s v="192.168.100.2"/>
    <x v="1122"/>
    <s v="157.56.52.17"/>
    <x v="116"/>
    <n v="3"/>
    <x v="49"/>
    <n v="3"/>
    <n v="194"/>
    <n v="0"/>
    <n v="0"/>
    <n v="46.206206000000002"/>
    <n v="9.0004819999999999"/>
    <n v="172.43520958099799"/>
    <n v="0"/>
    <x v="92"/>
    <x v="128"/>
    <e v="#N/A"/>
    <e v="#N/A"/>
    <e v="#N/A"/>
    <e v="#N/A"/>
    <x v="0"/>
    <x v="3"/>
    <x v="4"/>
  </r>
  <r>
    <s v="192.168.100.2"/>
    <x v="1123"/>
    <s v="64.4.23.153"/>
    <x v="117"/>
    <n v="3"/>
    <x v="49"/>
    <n v="3"/>
    <n v="194"/>
    <n v="0"/>
    <n v="0"/>
    <n v="46.626309999999997"/>
    <n v="9.0005590000000009"/>
    <n v="172.43373439360801"/>
    <n v="0"/>
    <x v="92"/>
    <x v="130"/>
    <e v="#N/A"/>
    <e v="#N/A"/>
    <e v="#N/A"/>
    <e v="#N/A"/>
    <x v="0"/>
    <x v="3"/>
    <x v="5"/>
  </r>
  <r>
    <s v="192.168.100.2"/>
    <x v="1124"/>
    <s v="157.55.130.168"/>
    <x v="232"/>
    <n v="3"/>
    <x v="49"/>
    <n v="3"/>
    <n v="194"/>
    <n v="0"/>
    <n v="0"/>
    <n v="47.046911999999999"/>
    <n v="8.9999009999999995"/>
    <n v="172.44634135419901"/>
    <n v="0"/>
    <x v="92"/>
    <x v="132"/>
    <e v="#N/A"/>
    <e v="#N/A"/>
    <e v="#N/A"/>
    <e v="#N/A"/>
    <x v="0"/>
    <x v="3"/>
    <x v="0"/>
  </r>
  <r>
    <s v="192.168.100.2"/>
    <x v="1125"/>
    <s v="157.56.52.22"/>
    <x v="116"/>
    <n v="3"/>
    <x v="49"/>
    <n v="3"/>
    <n v="194"/>
    <n v="0"/>
    <n v="0"/>
    <n v="47.245843000000001"/>
    <n v="8.9710429999999999"/>
    <n v="173.00106576236499"/>
    <n v="0"/>
    <x v="92"/>
    <x v="129"/>
    <e v="#N/A"/>
    <e v="#N/A"/>
    <e v="#N/A"/>
    <e v="#N/A"/>
    <x v="0"/>
    <x v="3"/>
    <x v="4"/>
  </r>
  <r>
    <s v="192.168.100.2"/>
    <x v="1126"/>
    <s v="85.25.103.30"/>
    <x v="116"/>
    <n v="3"/>
    <x v="49"/>
    <n v="3"/>
    <n v="194"/>
    <n v="0"/>
    <n v="0"/>
    <n v="47.485714999999999"/>
    <n v="8.9911300000000001"/>
    <n v="172.614565688629"/>
    <n v="0"/>
    <x v="92"/>
    <x v="131"/>
    <e v="#N/A"/>
    <e v="#N/A"/>
    <e v="#N/A"/>
    <e v="#N/A"/>
    <x v="0"/>
    <x v="3"/>
    <x v="4"/>
  </r>
  <r>
    <s v="192.168.100.2"/>
    <x v="1127"/>
    <s v="64.4.23.153"/>
    <x v="116"/>
    <n v="3"/>
    <x v="49"/>
    <n v="3"/>
    <n v="194"/>
    <n v="0"/>
    <n v="0"/>
    <n v="48.246347"/>
    <n v="9.0298069999999999"/>
    <n v="171.87521283677501"/>
    <n v="0"/>
    <x v="92"/>
    <x v="130"/>
    <e v="#N/A"/>
    <e v="#N/A"/>
    <e v="#N/A"/>
    <e v="#N/A"/>
    <x v="0"/>
    <x v="3"/>
    <x v="4"/>
  </r>
  <r>
    <s v="192.168.100.2"/>
    <x v="1128"/>
    <s v="157.55.130.168"/>
    <x v="117"/>
    <n v="3"/>
    <x v="49"/>
    <n v="3"/>
    <n v="194"/>
    <n v="0"/>
    <n v="0"/>
    <n v="48.667392999999997"/>
    <n v="8.9995200000000004"/>
    <n v="172.45364197201599"/>
    <n v="0"/>
    <x v="92"/>
    <x v="132"/>
    <e v="#N/A"/>
    <e v="#N/A"/>
    <e v="#N/A"/>
    <e v="#N/A"/>
    <x v="0"/>
    <x v="3"/>
    <x v="5"/>
  </r>
  <r>
    <s v="192.168.100.2"/>
    <x v="1129"/>
    <s v="65.55.223.39"/>
    <x v="233"/>
    <n v="3"/>
    <x v="49"/>
    <n v="3"/>
    <n v="194"/>
    <n v="0"/>
    <n v="0"/>
    <n v="50.078082999999999"/>
    <n v="8.9988600000000005"/>
    <n v="172.46629017453299"/>
    <n v="0"/>
    <x v="92"/>
    <x v="133"/>
    <e v="#N/A"/>
    <e v="#N/A"/>
    <e v="#N/A"/>
    <e v="#N/A"/>
    <x v="0"/>
    <x v="3"/>
    <x v="0"/>
  </r>
  <r>
    <s v="192.168.100.2"/>
    <x v="1130"/>
    <s v="157.55.130.168"/>
    <x v="116"/>
    <n v="3"/>
    <x v="49"/>
    <n v="3"/>
    <n v="194"/>
    <n v="0"/>
    <n v="0"/>
    <n v="50.287225999999997"/>
    <n v="8.9995820000000002"/>
    <n v="172.45245390285899"/>
    <n v="0"/>
    <x v="92"/>
    <x v="132"/>
    <e v="#N/A"/>
    <e v="#N/A"/>
    <e v="#N/A"/>
    <e v="#N/A"/>
    <x v="0"/>
    <x v="3"/>
    <x v="4"/>
  </r>
  <r>
    <s v="192.168.100.2"/>
    <x v="1131"/>
    <s v="65.55.223.39"/>
    <x v="117"/>
    <n v="3"/>
    <x v="49"/>
    <n v="3"/>
    <n v="194"/>
    <n v="0"/>
    <n v="0"/>
    <n v="51.697338999999999"/>
    <n v="9.0004749999999998"/>
    <n v="172.435343690194"/>
    <n v="0"/>
    <x v="92"/>
    <x v="133"/>
    <e v="#N/A"/>
    <e v="#N/A"/>
    <e v="#N/A"/>
    <e v="#N/A"/>
    <x v="0"/>
    <x v="3"/>
    <x v="5"/>
  </r>
  <r>
    <s v="192.168.100.2"/>
    <x v="1132"/>
    <s v="157.56.52.19"/>
    <x v="234"/>
    <n v="3"/>
    <x v="49"/>
    <n v="3"/>
    <n v="194"/>
    <n v="0"/>
    <n v="0"/>
    <n v="52.107909999999997"/>
    <n v="9.0295200000000104"/>
    <n v="171.88067582772899"/>
    <n v="0"/>
    <x v="92"/>
    <x v="134"/>
    <e v="#N/A"/>
    <e v="#N/A"/>
    <e v="#N/A"/>
    <e v="#N/A"/>
    <x v="0"/>
    <x v="3"/>
    <x v="0"/>
  </r>
  <r>
    <s v="192.168.100.2"/>
    <x v="1133"/>
    <s v="157.56.52.23"/>
    <x v="219"/>
    <n v="3"/>
    <x v="49"/>
    <n v="3"/>
    <n v="194"/>
    <n v="0"/>
    <n v="0"/>
    <n v="53.15804"/>
    <n v="8.9998989999999992"/>
    <n v="172.44637967603899"/>
    <n v="0"/>
    <x v="92"/>
    <x v="135"/>
    <e v="#N/A"/>
    <e v="#N/A"/>
    <e v="#N/A"/>
    <e v="#N/A"/>
    <x v="0"/>
    <x v="3"/>
    <x v="0"/>
  </r>
  <r>
    <s v="192.168.100.2"/>
    <x v="1134"/>
    <s v="65.55.223.39"/>
    <x v="116"/>
    <n v="3"/>
    <x v="49"/>
    <n v="3"/>
    <n v="194"/>
    <n v="0"/>
    <n v="0"/>
    <n v="53.317003999999997"/>
    <n v="9.0008499999999998"/>
    <n v="172.428159562708"/>
    <n v="0"/>
    <x v="92"/>
    <x v="133"/>
    <e v="#N/A"/>
    <e v="#N/A"/>
    <e v="#N/A"/>
    <e v="#N/A"/>
    <x v="0"/>
    <x v="3"/>
    <x v="4"/>
  </r>
  <r>
    <s v="192.168.100.2"/>
    <x v="1135"/>
    <s v="157.56.52.19"/>
    <x v="117"/>
    <n v="3"/>
    <x v="49"/>
    <n v="3"/>
    <n v="194"/>
    <n v="0"/>
    <n v="0"/>
    <n v="53.727020000000003"/>
    <n v="9.0306159999999895"/>
    <n v="171.859815543037"/>
    <n v="0"/>
    <x v="92"/>
    <x v="134"/>
    <e v="#N/A"/>
    <e v="#N/A"/>
    <e v="#N/A"/>
    <e v="#N/A"/>
    <x v="0"/>
    <x v="3"/>
    <x v="5"/>
  </r>
  <r>
    <s v="192.168.100.2"/>
    <x v="1136"/>
    <s v="157.56.52.23"/>
    <x v="117"/>
    <n v="3"/>
    <x v="49"/>
    <n v="3"/>
    <n v="194"/>
    <n v="0"/>
    <n v="0"/>
    <n v="54.777413000000003"/>
    <n v="9.0003250000000001"/>
    <n v="172.43821750881199"/>
    <n v="0"/>
    <x v="92"/>
    <x v="135"/>
    <e v="#N/A"/>
    <e v="#N/A"/>
    <e v="#N/A"/>
    <e v="#N/A"/>
    <x v="0"/>
    <x v="3"/>
    <x v="5"/>
  </r>
  <r>
    <s v="192.168.100.2"/>
    <x v="1137"/>
    <s v="157.56.52.19"/>
    <x v="116"/>
    <n v="3"/>
    <x v="49"/>
    <n v="3"/>
    <n v="194"/>
    <n v="0"/>
    <n v="0"/>
    <n v="55.349488999999998"/>
    <n v="8.9983210000000007"/>
    <n v="172.47662091628001"/>
    <n v="0"/>
    <x v="92"/>
    <x v="134"/>
    <e v="#N/A"/>
    <e v="#N/A"/>
    <e v="#N/A"/>
    <e v="#N/A"/>
    <x v="0"/>
    <x v="3"/>
    <x v="4"/>
  </r>
  <r>
    <s v="192.168.100.2"/>
    <x v="1138"/>
    <s v="157.56.52.23"/>
    <x v="116"/>
    <n v="3"/>
    <x v="49"/>
    <n v="3"/>
    <n v="194"/>
    <n v="0"/>
    <n v="0"/>
    <n v="56.397213999999998"/>
    <n v="9.0004639999999991"/>
    <n v="172.435554433638"/>
    <n v="0"/>
    <x v="92"/>
    <x v="135"/>
    <e v="#N/A"/>
    <e v="#N/A"/>
    <e v="#N/A"/>
    <e v="#N/A"/>
    <x v="0"/>
    <x v="3"/>
    <x v="4"/>
  </r>
  <r>
    <s v="192.168.100.2"/>
    <x v="1139"/>
    <s v="64.4.23.156"/>
    <x v="218"/>
    <n v="3"/>
    <x v="49"/>
    <n v="3"/>
    <n v="194"/>
    <n v="0"/>
    <n v="0"/>
    <n v="67.289292000000003"/>
    <n v="8.9693379999999898"/>
    <n v="173.033951892548"/>
    <n v="0"/>
    <x v="92"/>
    <x v="136"/>
    <e v="#N/A"/>
    <e v="#N/A"/>
    <e v="#N/A"/>
    <e v="#N/A"/>
    <x v="0"/>
    <x v="3"/>
    <x v="0"/>
  </r>
  <r>
    <s v="192.168.100.2"/>
    <x v="1140"/>
    <s v="157.56.52.26"/>
    <x v="221"/>
    <n v="3"/>
    <x v="49"/>
    <n v="3"/>
    <n v="194"/>
    <n v="0"/>
    <n v="0"/>
    <n v="68.269750000000002"/>
    <n v="9.0286880000000007"/>
    <n v="171.89651475386"/>
    <n v="0"/>
    <x v="92"/>
    <x v="137"/>
    <e v="#N/A"/>
    <e v="#N/A"/>
    <e v="#N/A"/>
    <e v="#N/A"/>
    <x v="0"/>
    <x v="3"/>
    <x v="0"/>
  </r>
  <r>
    <s v="192.168.100.2"/>
    <x v="1141"/>
    <s v="64.4.23.156"/>
    <x v="117"/>
    <n v="3"/>
    <x v="49"/>
    <n v="3"/>
    <n v="194"/>
    <n v="0"/>
    <n v="0"/>
    <n v="68.879334999999998"/>
    <n v="9.0290549999999996"/>
    <n v="171.889527752351"/>
    <n v="0"/>
    <x v="92"/>
    <x v="136"/>
    <e v="#N/A"/>
    <e v="#N/A"/>
    <e v="#N/A"/>
    <e v="#N/A"/>
    <x v="0"/>
    <x v="3"/>
    <x v="5"/>
  </r>
  <r>
    <s v="192.168.100.2"/>
    <x v="1142"/>
    <s v="64.4.23.160"/>
    <x v="235"/>
    <n v="3"/>
    <x v="49"/>
    <n v="3"/>
    <n v="194"/>
    <n v="0"/>
    <n v="0"/>
    <n v="69.300242999999995"/>
    <n v="8.9994840000000096"/>
    <n v="172.45433182613601"/>
    <n v="0"/>
    <x v="92"/>
    <x v="138"/>
    <e v="#N/A"/>
    <e v="#N/A"/>
    <e v="#N/A"/>
    <e v="#N/A"/>
    <x v="0"/>
    <x v="3"/>
    <x v="0"/>
  </r>
  <r>
    <s v="192.168.100.2"/>
    <x v="1143"/>
    <s v="157.56.52.26"/>
    <x v="117"/>
    <n v="3"/>
    <x v="49"/>
    <n v="3"/>
    <n v="194"/>
    <n v="0"/>
    <n v="0"/>
    <n v="69.889161000000001"/>
    <n v="9.0005520000000008"/>
    <n v="172.43386850050999"/>
    <n v="0"/>
    <x v="92"/>
    <x v="137"/>
    <e v="#N/A"/>
    <e v="#N/A"/>
    <e v="#N/A"/>
    <e v="#N/A"/>
    <x v="0"/>
    <x v="3"/>
    <x v="5"/>
  </r>
  <r>
    <s v="192.168.100.2"/>
    <x v="1144"/>
    <s v="64.4.23.156"/>
    <x v="116"/>
    <n v="3"/>
    <x v="49"/>
    <n v="3"/>
    <n v="194"/>
    <n v="0"/>
    <n v="0"/>
    <n v="70.499275999999995"/>
    <n v="8.9994230000000108"/>
    <n v="172.45550075821501"/>
    <n v="0"/>
    <x v="92"/>
    <x v="136"/>
    <e v="#N/A"/>
    <e v="#N/A"/>
    <e v="#N/A"/>
    <e v="#N/A"/>
    <x v="0"/>
    <x v="3"/>
    <x v="4"/>
  </r>
  <r>
    <s v="192.168.100.2"/>
    <x v="1145"/>
    <s v="64.4.23.160"/>
    <x v="117"/>
    <n v="3"/>
    <x v="49"/>
    <n v="3"/>
    <n v="194"/>
    <n v="0"/>
    <n v="0"/>
    <n v="70.919089"/>
    <n v="9.0007099999999998"/>
    <n v="172.430841566943"/>
    <n v="0"/>
    <x v="92"/>
    <x v="138"/>
    <e v="#N/A"/>
    <e v="#N/A"/>
    <e v="#N/A"/>
    <e v="#N/A"/>
    <x v="0"/>
    <x v="3"/>
    <x v="5"/>
  </r>
  <r>
    <s v="192.168.100.2"/>
    <x v="1146"/>
    <s v="157.55.130.149"/>
    <x v="222"/>
    <n v="3"/>
    <x v="49"/>
    <n v="3"/>
    <n v="194"/>
    <n v="0"/>
    <n v="0"/>
    <n v="71.390112000000002"/>
    <n v="8.9996349999999996"/>
    <n v="172.45143830833101"/>
    <n v="0"/>
    <x v="92"/>
    <x v="139"/>
    <e v="#N/A"/>
    <e v="#N/A"/>
    <e v="#N/A"/>
    <e v="#N/A"/>
    <x v="0"/>
    <x v="3"/>
    <x v="0"/>
  </r>
  <r>
    <s v="192.168.100.2"/>
    <x v="1147"/>
    <s v="157.56.52.26"/>
    <x v="116"/>
    <n v="3"/>
    <x v="49"/>
    <n v="3"/>
    <n v="194"/>
    <n v="0"/>
    <n v="0"/>
    <n v="71.509169999999997"/>
    <n v="9.0005950000000006"/>
    <n v="172.43304470426699"/>
    <n v="0"/>
    <x v="92"/>
    <x v="137"/>
    <e v="#N/A"/>
    <e v="#N/A"/>
    <e v="#N/A"/>
    <e v="#N/A"/>
    <x v="0"/>
    <x v="3"/>
    <x v="4"/>
  </r>
  <r>
    <s v="192.168.100.2"/>
    <x v="1148"/>
    <s v="64.4.23.160"/>
    <x v="116"/>
    <n v="3"/>
    <x v="49"/>
    <n v="3"/>
    <n v="194"/>
    <n v="0"/>
    <n v="0"/>
    <n v="72.539314000000005"/>
    <n v="9.0102569999999993"/>
    <n v="172.24813898205099"/>
    <n v="0"/>
    <x v="92"/>
    <x v="138"/>
    <e v="#N/A"/>
    <e v="#N/A"/>
    <e v="#N/A"/>
    <e v="#N/A"/>
    <x v="0"/>
    <x v="3"/>
    <x v="4"/>
  </r>
  <r>
    <s v="192.168.100.2"/>
    <x v="1149"/>
    <s v="91.190.218.57"/>
    <x v="223"/>
    <n v="3"/>
    <x v="49"/>
    <n v="3"/>
    <n v="194"/>
    <n v="0"/>
    <n v="0"/>
    <n v="72.700132999999994"/>
    <n v="8.9996779999999994"/>
    <n v="172.45061434420199"/>
    <n v="0"/>
    <x v="92"/>
    <x v="140"/>
    <e v="#N/A"/>
    <e v="#N/A"/>
    <e v="#N/A"/>
    <e v="#N/A"/>
    <x v="0"/>
    <x v="3"/>
    <x v="0"/>
  </r>
  <r>
    <s v="192.168.100.2"/>
    <x v="1150"/>
    <s v="157.55.130.149"/>
    <x v="117"/>
    <n v="3"/>
    <x v="49"/>
    <n v="3"/>
    <n v="194"/>
    <n v="0"/>
    <n v="0"/>
    <n v="73.009309000000002"/>
    <n v="9.0004449999999991"/>
    <n v="172.43591844625499"/>
    <n v="0"/>
    <x v="92"/>
    <x v="139"/>
    <e v="#N/A"/>
    <e v="#N/A"/>
    <e v="#N/A"/>
    <e v="#N/A"/>
    <x v="0"/>
    <x v="3"/>
    <x v="5"/>
  </r>
  <r>
    <s v="192.168.100.2"/>
    <x v="1151"/>
    <s v="91.190.218.57"/>
    <x v="117"/>
    <n v="3"/>
    <x v="49"/>
    <n v="3"/>
    <n v="194"/>
    <n v="0"/>
    <n v="0"/>
    <n v="74.319500000000005"/>
    <n v="9.02937399999999"/>
    <n v="171.88345504350599"/>
    <n v="0"/>
    <x v="92"/>
    <x v="140"/>
    <e v="#N/A"/>
    <e v="#N/A"/>
    <e v="#N/A"/>
    <e v="#N/A"/>
    <x v="0"/>
    <x v="3"/>
    <x v="5"/>
  </r>
  <r>
    <s v="192.168.100.2"/>
    <x v="1152"/>
    <s v="111.221.77.171"/>
    <x v="236"/>
    <n v="3"/>
    <x v="49"/>
    <n v="3"/>
    <n v="194"/>
    <n v="0"/>
    <n v="0"/>
    <n v="74.469958000000005"/>
    <n v="8.9996899999999993"/>
    <n v="172.450384402129"/>
    <n v="0"/>
    <x v="92"/>
    <x v="141"/>
    <e v="#N/A"/>
    <e v="#N/A"/>
    <e v="#N/A"/>
    <e v="#N/A"/>
    <x v="0"/>
    <x v="3"/>
    <x v="0"/>
  </r>
  <r>
    <s v="192.168.100.2"/>
    <x v="1153"/>
    <s v="157.55.130.149"/>
    <x v="116"/>
    <n v="3"/>
    <x v="49"/>
    <n v="3"/>
    <n v="194"/>
    <n v="0"/>
    <n v="0"/>
    <n v="74.629171999999997"/>
    <n v="9.0004849999999994"/>
    <n v="172.435152105692"/>
    <n v="0"/>
    <x v="92"/>
    <x v="139"/>
    <e v="#N/A"/>
    <e v="#N/A"/>
    <e v="#N/A"/>
    <e v="#N/A"/>
    <x v="0"/>
    <x v="3"/>
    <x v="4"/>
  </r>
  <r>
    <s v="192.168.100.2"/>
    <x v="1154"/>
    <s v="91.190.218.57"/>
    <x v="116"/>
    <n v="3"/>
    <x v="49"/>
    <n v="3"/>
    <n v="194"/>
    <n v="0"/>
    <n v="0"/>
    <n v="75.939064999999999"/>
    <n v="9.0006170000000107"/>
    <n v="172.43262323016299"/>
    <n v="0"/>
    <x v="92"/>
    <x v="140"/>
    <e v="#N/A"/>
    <e v="#N/A"/>
    <e v="#N/A"/>
    <e v="#N/A"/>
    <x v="0"/>
    <x v="3"/>
    <x v="4"/>
  </r>
  <r>
    <s v="192.168.100.2"/>
    <x v="1155"/>
    <s v="111.221.77.171"/>
    <x v="117"/>
    <n v="3"/>
    <x v="49"/>
    <n v="3"/>
    <n v="194"/>
    <n v="0"/>
    <n v="0"/>
    <n v="76.089108999999993"/>
    <n v="9.0007190000000001"/>
    <n v="172.430669149876"/>
    <n v="0"/>
    <x v="92"/>
    <x v="141"/>
    <e v="#N/A"/>
    <e v="#N/A"/>
    <e v="#N/A"/>
    <e v="#N/A"/>
    <x v="0"/>
    <x v="3"/>
    <x v="5"/>
  </r>
  <r>
    <s v="192.168.100.2"/>
    <x v="1156"/>
    <s v="157.55.56.174"/>
    <x v="231"/>
    <n v="3"/>
    <x v="49"/>
    <n v="3"/>
    <n v="194"/>
    <n v="0"/>
    <n v="0"/>
    <n v="76.529966000000002"/>
    <n v="8.9696689999999997"/>
    <n v="173.02756656906701"/>
    <n v="0"/>
    <x v="92"/>
    <x v="142"/>
    <e v="#N/A"/>
    <e v="#N/A"/>
    <e v="#N/A"/>
    <e v="#N/A"/>
    <x v="0"/>
    <x v="3"/>
    <x v="0"/>
  </r>
  <r>
    <s v="192.168.100.2"/>
    <x v="1157"/>
    <s v="111.221.77.140"/>
    <x v="219"/>
    <n v="3"/>
    <x v="49"/>
    <n v="3"/>
    <n v="194"/>
    <n v="0"/>
    <n v="0"/>
    <n v="77.550019000000006"/>
    <n v="8.9995619999999992"/>
    <n v="172.452837149186"/>
    <n v="0"/>
    <x v="92"/>
    <x v="143"/>
    <e v="#N/A"/>
    <e v="#N/A"/>
    <e v="#N/A"/>
    <e v="#N/A"/>
    <x v="0"/>
    <x v="3"/>
    <x v="0"/>
  </r>
  <r>
    <s v="192.168.100.2"/>
    <x v="1158"/>
    <s v="111.221.77.171"/>
    <x v="116"/>
    <n v="3"/>
    <x v="49"/>
    <n v="3"/>
    <n v="194"/>
    <n v="0"/>
    <n v="0"/>
    <n v="77.709244999999996"/>
    <n v="9.0005760000000095"/>
    <n v="172.433408706287"/>
    <n v="0"/>
    <x v="92"/>
    <x v="141"/>
    <e v="#N/A"/>
    <e v="#N/A"/>
    <e v="#N/A"/>
    <e v="#N/A"/>
    <x v="0"/>
    <x v="3"/>
    <x v="4"/>
  </r>
  <r>
    <s v="192.168.100.2"/>
    <x v="1159"/>
    <s v="157.55.56.174"/>
    <x v="117"/>
    <n v="3"/>
    <x v="49"/>
    <n v="3"/>
    <n v="194"/>
    <n v="0"/>
    <n v="0"/>
    <n v="78.119206000000005"/>
    <n v="9.0005339999999894"/>
    <n v="172.434213347786"/>
    <n v="0"/>
    <x v="92"/>
    <x v="142"/>
    <e v="#N/A"/>
    <e v="#N/A"/>
    <e v="#N/A"/>
    <e v="#N/A"/>
    <x v="0"/>
    <x v="3"/>
    <x v="5"/>
  </r>
  <r>
    <s v="192.168.100.2"/>
    <x v="1160"/>
    <s v="111.221.77.140"/>
    <x v="117"/>
    <n v="3"/>
    <x v="49"/>
    <n v="3"/>
    <n v="194"/>
    <n v="0"/>
    <n v="0"/>
    <n v="79.169920000000005"/>
    <n v="8.9998159999999991"/>
    <n v="172.447970047388"/>
    <n v="0"/>
    <x v="92"/>
    <x v="143"/>
    <e v="#N/A"/>
    <e v="#N/A"/>
    <e v="#N/A"/>
    <e v="#N/A"/>
    <x v="0"/>
    <x v="3"/>
    <x v="5"/>
  </r>
  <r>
    <s v="192.168.100.2"/>
    <x v="1161"/>
    <s v="157.55.56.174"/>
    <x v="116"/>
    <n v="3"/>
    <x v="49"/>
    <n v="3"/>
    <n v="194"/>
    <n v="0"/>
    <n v="0"/>
    <n v="79.730035999999998"/>
    <n v="8.9996130000000001"/>
    <n v="172.451859874419"/>
    <n v="0"/>
    <x v="92"/>
    <x v="142"/>
    <e v="#N/A"/>
    <e v="#N/A"/>
    <e v="#N/A"/>
    <e v="#N/A"/>
    <x v="0"/>
    <x v="3"/>
    <x v="4"/>
  </r>
  <r>
    <s v="192.168.100.2"/>
    <x v="1162"/>
    <s v="111.221.77.140"/>
    <x v="116"/>
    <n v="3"/>
    <x v="49"/>
    <n v="3"/>
    <n v="194"/>
    <n v="0"/>
    <n v="0"/>
    <n v="80.790166999999997"/>
    <n v="8.9996010000000002"/>
    <n v="172.45208982042701"/>
    <n v="0"/>
    <x v="92"/>
    <x v="143"/>
    <e v="#N/A"/>
    <e v="#N/A"/>
    <e v="#N/A"/>
    <e v="#N/A"/>
    <x v="0"/>
    <x v="3"/>
    <x v="4"/>
  </r>
  <r>
    <s v="192.168.100.2"/>
    <x v="1163"/>
    <s v="157.55.235.162"/>
    <x v="224"/>
    <n v="3"/>
    <x v="49"/>
    <n v="3"/>
    <n v="194"/>
    <n v="0"/>
    <n v="0"/>
    <n v="91.702235000000002"/>
    <n v="8.9993949999999892"/>
    <n v="172.45603732250899"/>
    <n v="0"/>
    <x v="92"/>
    <x v="144"/>
    <e v="#N/A"/>
    <e v="#N/A"/>
    <e v="#N/A"/>
    <e v="#N/A"/>
    <x v="0"/>
    <x v="3"/>
    <x v="0"/>
  </r>
  <r>
    <s v="192.168.100.2"/>
    <x v="1164"/>
    <s v="65.55.223.18"/>
    <x v="226"/>
    <n v="3"/>
    <x v="49"/>
    <n v="3"/>
    <n v="194"/>
    <n v="0"/>
    <n v="0"/>
    <n v="92.711808000000005"/>
    <n v="8.999746"/>
    <n v="172.449311347231"/>
    <n v="0"/>
    <x v="92"/>
    <x v="145"/>
    <e v="#N/A"/>
    <e v="#N/A"/>
    <e v="#N/A"/>
    <e v="#N/A"/>
    <x v="0"/>
    <x v="3"/>
    <x v="0"/>
  </r>
  <r>
    <s v="192.168.100.2"/>
    <x v="1165"/>
    <s v="157.55.235.162"/>
    <x v="117"/>
    <n v="3"/>
    <x v="49"/>
    <n v="3"/>
    <n v="194"/>
    <n v="0"/>
    <n v="0"/>
    <n v="93.321201000000002"/>
    <n v="9.0004709999999992"/>
    <n v="172.43542032411401"/>
    <n v="0"/>
    <x v="92"/>
    <x v="144"/>
    <e v="#N/A"/>
    <e v="#N/A"/>
    <e v="#N/A"/>
    <e v="#N/A"/>
    <x v="0"/>
    <x v="3"/>
    <x v="5"/>
  </r>
  <r>
    <s v="192.168.100.2"/>
    <x v="1166"/>
    <s v="157.56.52.44"/>
    <x v="237"/>
    <n v="3"/>
    <x v="49"/>
    <n v="3"/>
    <n v="194"/>
    <n v="0"/>
    <n v="0"/>
    <n v="93.761998000000006"/>
    <n v="9.0002030000000008"/>
    <n v="172.440554951927"/>
    <n v="0"/>
    <x v="92"/>
    <x v="146"/>
    <e v="#N/A"/>
    <e v="#N/A"/>
    <e v="#N/A"/>
    <e v="#N/A"/>
    <x v="0"/>
    <x v="3"/>
    <x v="0"/>
  </r>
  <r>
    <s v="192.168.100.2"/>
    <x v="1167"/>
    <s v="65.55.223.18"/>
    <x v="117"/>
    <n v="3"/>
    <x v="49"/>
    <n v="3"/>
    <n v="194"/>
    <n v="0"/>
    <n v="0"/>
    <n v="94.331363999999994"/>
    <n v="9.0002750000000002"/>
    <n v="172.439175469638"/>
    <n v="0"/>
    <x v="92"/>
    <x v="145"/>
    <e v="#N/A"/>
    <e v="#N/A"/>
    <e v="#N/A"/>
    <e v="#N/A"/>
    <x v="0"/>
    <x v="3"/>
    <x v="5"/>
  </r>
  <r>
    <s v="192.168.100.2"/>
    <x v="1168"/>
    <s v="157.55.235.162"/>
    <x v="116"/>
    <n v="3"/>
    <x v="49"/>
    <n v="3"/>
    <n v="194"/>
    <n v="0"/>
    <n v="0"/>
    <n v="94.941091999999998"/>
    <n v="9.0005570000000006"/>
    <n v="172.43377270984499"/>
    <n v="0"/>
    <x v="92"/>
    <x v="144"/>
    <e v="#N/A"/>
    <e v="#N/A"/>
    <e v="#N/A"/>
    <e v="#N/A"/>
    <x v="0"/>
    <x v="3"/>
    <x v="4"/>
  </r>
  <r>
    <s v="192.168.100.2"/>
    <x v="1169"/>
    <s v="157.56.52.44"/>
    <x v="117"/>
    <n v="3"/>
    <x v="49"/>
    <n v="3"/>
    <n v="194"/>
    <n v="0"/>
    <n v="0"/>
    <n v="95.371003999999999"/>
    <n v="9.0005839999999999"/>
    <n v="172.433255442091"/>
    <n v="0"/>
    <x v="92"/>
    <x v="146"/>
    <e v="#N/A"/>
    <e v="#N/A"/>
    <e v="#N/A"/>
    <e v="#N/A"/>
    <x v="0"/>
    <x v="3"/>
    <x v="5"/>
  </r>
  <r>
    <s v="192.168.100.2"/>
    <x v="1170"/>
    <s v="64.4.23.149"/>
    <x v="229"/>
    <n v="3"/>
    <x v="49"/>
    <n v="3"/>
    <n v="194"/>
    <n v="0"/>
    <n v="0"/>
    <n v="95.831819999999993"/>
    <n v="8.9998749999999994"/>
    <n v="172.446839539438"/>
    <n v="0"/>
    <x v="92"/>
    <x v="147"/>
    <e v="#N/A"/>
    <e v="#N/A"/>
    <e v="#N/A"/>
    <e v="#N/A"/>
    <x v="0"/>
    <x v="3"/>
    <x v="0"/>
  </r>
  <r>
    <s v="192.168.100.2"/>
    <x v="1171"/>
    <s v="65.55.223.18"/>
    <x v="116"/>
    <n v="3"/>
    <x v="49"/>
    <n v="3"/>
    <n v="194"/>
    <n v="0"/>
    <n v="0"/>
    <n v="95.951113000000007"/>
    <n v="9.0004149999999896"/>
    <n v="172.43649320614699"/>
    <n v="0"/>
    <x v="92"/>
    <x v="145"/>
    <e v="#N/A"/>
    <e v="#N/A"/>
    <e v="#N/A"/>
    <e v="#N/A"/>
    <x v="0"/>
    <x v="3"/>
    <x v="4"/>
  </r>
  <r>
    <s v="192.168.100.2"/>
    <x v="1172"/>
    <s v="157.56.52.44"/>
    <x v="116"/>
    <n v="3"/>
    <x v="49"/>
    <n v="3"/>
    <n v="194"/>
    <n v="0"/>
    <n v="0"/>
    <n v="97.010703000000007"/>
    <n v="8.9710289999999908"/>
    <n v="173.00133574420499"/>
    <n v="0"/>
    <x v="92"/>
    <x v="146"/>
    <e v="#N/A"/>
    <e v="#N/A"/>
    <e v="#N/A"/>
    <e v="#N/A"/>
    <x v="0"/>
    <x v="3"/>
    <x v="4"/>
  </r>
  <r>
    <s v="192.168.100.2"/>
    <x v="1173"/>
    <s v="64.4.23.149"/>
    <x v="117"/>
    <n v="3"/>
    <x v="49"/>
    <n v="3"/>
    <n v="194"/>
    <n v="0"/>
    <n v="0"/>
    <n v="97.450884000000002"/>
    <n v="9.0008289999999995"/>
    <n v="172.42856185802401"/>
    <n v="0"/>
    <x v="92"/>
    <x v="147"/>
    <e v="#N/A"/>
    <e v="#N/A"/>
    <e v="#N/A"/>
    <e v="#N/A"/>
    <x v="0"/>
    <x v="3"/>
    <x v="5"/>
  </r>
  <r>
    <s v="192.168.100.2"/>
    <x v="1174"/>
    <s v="64.4.23.169"/>
    <x v="231"/>
    <n v="3"/>
    <x v="49"/>
    <n v="3"/>
    <n v="194"/>
    <n v="0"/>
    <n v="0"/>
    <n v="98.862560000000002"/>
    <n v="8.9991369999999993"/>
    <n v="172.460981536341"/>
    <n v="0"/>
    <x v="92"/>
    <x v="148"/>
    <e v="#N/A"/>
    <e v="#N/A"/>
    <e v="#N/A"/>
    <e v="#N/A"/>
    <x v="0"/>
    <x v="3"/>
    <x v="0"/>
  </r>
  <r>
    <s v="192.168.100.2"/>
    <x v="1175"/>
    <s v="64.4.23.149"/>
    <x v="116"/>
    <n v="3"/>
    <x v="49"/>
    <n v="3"/>
    <n v="194"/>
    <n v="0"/>
    <n v="0"/>
    <n v="99.062089"/>
    <n v="8.9994420000000002"/>
    <n v="172.45513666291799"/>
    <n v="0"/>
    <x v="92"/>
    <x v="147"/>
    <e v="#N/A"/>
    <e v="#N/A"/>
    <e v="#N/A"/>
    <e v="#N/A"/>
    <x v="0"/>
    <x v="3"/>
    <x v="4"/>
  </r>
  <r>
    <s v="192.168.100.2"/>
    <x v="1176"/>
    <s v="64.4.23.169"/>
    <x v="117"/>
    <n v="3"/>
    <x v="49"/>
    <n v="3"/>
    <n v="194"/>
    <n v="0"/>
    <n v="0"/>
    <n v="100.48165299999999"/>
    <n v="8.9998730000000098"/>
    <n v="172.44687786149899"/>
    <n v="0"/>
    <x v="92"/>
    <x v="148"/>
    <e v="#N/A"/>
    <e v="#N/A"/>
    <e v="#N/A"/>
    <e v="#N/A"/>
    <x v="0"/>
    <x v="3"/>
    <x v="5"/>
  </r>
  <r>
    <s v="192.168.100.2"/>
    <x v="1177"/>
    <s v="157.55.56.162"/>
    <x v="230"/>
    <n v="3"/>
    <x v="49"/>
    <n v="3"/>
    <n v="194"/>
    <n v="0"/>
    <n v="0"/>
    <n v="100.88263000000001"/>
    <n v="9"/>
    <n v="172.444444444444"/>
    <n v="0"/>
    <x v="92"/>
    <x v="149"/>
    <e v="#N/A"/>
    <e v="#N/A"/>
    <e v="#N/A"/>
    <e v="#N/A"/>
    <x v="0"/>
    <x v="3"/>
    <x v="0"/>
  </r>
  <r>
    <s v="192.168.100.2"/>
    <x v="1178"/>
    <s v="157.55.235.173"/>
    <x v="228"/>
    <n v="3"/>
    <x v="49"/>
    <n v="3"/>
    <n v="194"/>
    <n v="0"/>
    <n v="0"/>
    <n v="101.892673"/>
    <n v="8.9998399999999901"/>
    <n v="172.447510177959"/>
    <n v="0"/>
    <x v="92"/>
    <x v="150"/>
    <e v="#N/A"/>
    <e v="#N/A"/>
    <e v="#N/A"/>
    <e v="#N/A"/>
    <x v="0"/>
    <x v="3"/>
    <x v="0"/>
  </r>
  <r>
    <s v="192.168.100.2"/>
    <x v="1179"/>
    <s v="64.4.23.169"/>
    <x v="116"/>
    <n v="3"/>
    <x v="49"/>
    <n v="3"/>
    <n v="194"/>
    <n v="0"/>
    <n v="0"/>
    <n v="102.091919"/>
    <n v="9.0008129999999902"/>
    <n v="172.42886837000199"/>
    <n v="0"/>
    <x v="92"/>
    <x v="148"/>
    <e v="#N/A"/>
    <e v="#N/A"/>
    <e v="#N/A"/>
    <e v="#N/A"/>
    <x v="0"/>
    <x v="3"/>
    <x v="4"/>
  </r>
  <r>
    <s v="192.168.100.2"/>
    <x v="1180"/>
    <s v="157.55.56.162"/>
    <x v="117"/>
    <n v="3"/>
    <x v="49"/>
    <n v="3"/>
    <n v="194"/>
    <n v="0"/>
    <n v="0"/>
    <n v="102.502168"/>
    <n v="9.0003930000000008"/>
    <n v="172.43691469916899"/>
    <n v="0"/>
    <x v="92"/>
    <x v="149"/>
    <e v="#N/A"/>
    <e v="#N/A"/>
    <e v="#N/A"/>
    <e v="#N/A"/>
    <x v="0"/>
    <x v="3"/>
    <x v="5"/>
  </r>
  <r>
    <s v="192.168.100.2"/>
    <x v="1181"/>
    <s v="157.55.235.173"/>
    <x v="117"/>
    <n v="3"/>
    <x v="49"/>
    <n v="3"/>
    <n v="194"/>
    <n v="0"/>
    <n v="0"/>
    <n v="103.512019"/>
    <n v="9.0005790000000001"/>
    <n v="172.43335123218199"/>
    <n v="0"/>
    <x v="92"/>
    <x v="150"/>
    <e v="#N/A"/>
    <e v="#N/A"/>
    <e v="#N/A"/>
    <e v="#N/A"/>
    <x v="0"/>
    <x v="3"/>
    <x v="5"/>
  </r>
  <r>
    <s v="192.168.100.2"/>
    <x v="1182"/>
    <s v="157.55.56.162"/>
    <x v="116"/>
    <n v="3"/>
    <x v="49"/>
    <n v="3"/>
    <n v="194"/>
    <n v="0"/>
    <n v="0"/>
    <n v="104.111958"/>
    <n v="9.000629"/>
    <n v="172.43239333606601"/>
    <n v="0"/>
    <x v="92"/>
    <x v="149"/>
    <e v="#N/A"/>
    <e v="#N/A"/>
    <e v="#N/A"/>
    <e v="#N/A"/>
    <x v="0"/>
    <x v="3"/>
    <x v="4"/>
  </r>
  <r>
    <s v="192.168.100.2"/>
    <x v="1183"/>
    <s v="157.55.235.173"/>
    <x v="116"/>
    <n v="3"/>
    <x v="49"/>
    <n v="3"/>
    <n v="194"/>
    <n v="0"/>
    <n v="0"/>
    <n v="105.12193600000001"/>
    <n v="9.000788"/>
    <n v="172.42934729714801"/>
    <n v="0"/>
    <x v="92"/>
    <x v="150"/>
    <e v="#N/A"/>
    <e v="#N/A"/>
    <e v="#N/A"/>
    <e v="#N/A"/>
    <x v="0"/>
    <x v="3"/>
    <x v="4"/>
  </r>
  <r>
    <s v="192.168.100.2"/>
    <x v="1184"/>
    <s v="157.55.235.167"/>
    <x v="221"/>
    <n v="3"/>
    <x v="49"/>
    <n v="3"/>
    <n v="194"/>
    <n v="0"/>
    <n v="0"/>
    <n v="116.09372399999999"/>
    <n v="8.9996820000000106"/>
    <n v="172.450537696776"/>
    <n v="0"/>
    <x v="92"/>
    <x v="151"/>
    <e v="#N/A"/>
    <e v="#N/A"/>
    <e v="#N/A"/>
    <e v="#N/A"/>
    <x v="0"/>
    <x v="3"/>
    <x v="0"/>
  </r>
  <r>
    <s v="192.168.100.2"/>
    <x v="1185"/>
    <s v="157.55.56.145"/>
    <x v="225"/>
    <n v="3"/>
    <x v="49"/>
    <n v="3"/>
    <n v="194"/>
    <n v="0"/>
    <n v="0"/>
    <n v="117.103607"/>
    <n v="9.0009720000000009"/>
    <n v="172.425822455619"/>
    <n v="0"/>
    <x v="92"/>
    <x v="152"/>
    <e v="#N/A"/>
    <e v="#N/A"/>
    <e v="#N/A"/>
    <e v="#N/A"/>
    <x v="0"/>
    <x v="3"/>
    <x v="0"/>
  </r>
  <r>
    <s v="192.168.100.2"/>
    <x v="1186"/>
    <s v="157.55.235.167"/>
    <x v="117"/>
    <n v="3"/>
    <x v="49"/>
    <n v="3"/>
    <n v="194"/>
    <n v="0"/>
    <n v="0"/>
    <n v="117.71293300000001"/>
    <n v="9.03120399999999"/>
    <n v="171.848626163245"/>
    <n v="0"/>
    <x v="92"/>
    <x v="151"/>
    <e v="#N/A"/>
    <e v="#N/A"/>
    <e v="#N/A"/>
    <e v="#N/A"/>
    <x v="0"/>
    <x v="3"/>
    <x v="5"/>
  </r>
  <r>
    <s v="192.168.100.2"/>
    <x v="1187"/>
    <s v="64.4.23.140"/>
    <x v="238"/>
    <n v="3"/>
    <x v="49"/>
    <n v="3"/>
    <n v="194"/>
    <n v="0"/>
    <n v="0"/>
    <n v="118.13345"/>
    <n v="9.0010820000000002"/>
    <n v="172.42371528222901"/>
    <n v="0"/>
    <x v="92"/>
    <x v="153"/>
    <e v="#N/A"/>
    <e v="#N/A"/>
    <e v="#N/A"/>
    <e v="#N/A"/>
    <x v="0"/>
    <x v="3"/>
    <x v="0"/>
  </r>
  <r>
    <s v="192.168.100.2"/>
    <x v="1188"/>
    <s v="157.55.56.145"/>
    <x v="117"/>
    <n v="3"/>
    <x v="49"/>
    <n v="3"/>
    <n v="194"/>
    <n v="0"/>
    <n v="0"/>
    <n v="118.72297500000001"/>
    <n v="9.0015610000000006"/>
    <n v="172.41454010032299"/>
    <n v="0"/>
    <x v="92"/>
    <x v="152"/>
    <e v="#N/A"/>
    <e v="#N/A"/>
    <e v="#N/A"/>
    <e v="#N/A"/>
    <x v="0"/>
    <x v="3"/>
    <x v="5"/>
  </r>
  <r>
    <s v="192.168.100.2"/>
    <x v="1189"/>
    <s v="103.43.75.140"/>
    <x v="117"/>
    <n v="3"/>
    <x v="49"/>
    <n v="3"/>
    <n v="194"/>
    <n v="0"/>
    <n v="0"/>
    <n v="118.803809"/>
    <n v="9.0007359999999998"/>
    <n v="172.43034347413399"/>
    <n v="0"/>
    <x v="92"/>
    <x v="118"/>
    <e v="#N/A"/>
    <e v="#N/A"/>
    <e v="#N/A"/>
    <e v="#N/A"/>
    <x v="0"/>
    <x v="3"/>
    <x v="5"/>
  </r>
  <r>
    <s v="192.168.100.2"/>
    <x v="1190"/>
    <s v="157.55.235.167"/>
    <x v="116"/>
    <n v="3"/>
    <x v="49"/>
    <n v="3"/>
    <n v="194"/>
    <n v="0"/>
    <n v="0"/>
    <n v="119.323106"/>
    <n v="9.0014940000000099"/>
    <n v="172.415823417757"/>
    <n v="0"/>
    <x v="92"/>
    <x v="151"/>
    <e v="#N/A"/>
    <e v="#N/A"/>
    <e v="#N/A"/>
    <e v="#N/A"/>
    <x v="0"/>
    <x v="3"/>
    <x v="4"/>
  </r>
  <r>
    <s v="192.168.100.2"/>
    <x v="1191"/>
    <s v="64.4.23.140"/>
    <x v="117"/>
    <n v="3"/>
    <x v="49"/>
    <n v="3"/>
    <n v="194"/>
    <n v="0"/>
    <n v="0"/>
    <n v="119.762102"/>
    <n v="9.0000119999999999"/>
    <n v="172.44421451882499"/>
    <n v="0"/>
    <x v="92"/>
    <x v="153"/>
    <e v="#N/A"/>
    <e v="#N/A"/>
    <e v="#N/A"/>
    <e v="#N/A"/>
    <x v="0"/>
    <x v="3"/>
    <x v="5"/>
  </r>
  <r>
    <s v="192.168.100.2"/>
    <x v="1192"/>
    <s v="157.55.235.165"/>
    <x v="235"/>
    <n v="3"/>
    <x v="49"/>
    <n v="3"/>
    <n v="194"/>
    <n v="0"/>
    <n v="0"/>
    <n v="120.213461"/>
    <n v="9.0009420000000109"/>
    <n v="172.42639714820899"/>
    <n v="0"/>
    <x v="92"/>
    <x v="154"/>
    <e v="#N/A"/>
    <e v="#N/A"/>
    <e v="#N/A"/>
    <e v="#N/A"/>
    <x v="0"/>
    <x v="3"/>
    <x v="0"/>
  </r>
  <r>
    <s v="192.168.100.2"/>
    <x v="1193"/>
    <s v="157.55.56.145"/>
    <x v="116"/>
    <n v="3"/>
    <x v="49"/>
    <n v="3"/>
    <n v="194"/>
    <n v="0"/>
    <n v="0"/>
    <n v="120.333144"/>
    <n v="9.0013419999999904"/>
    <n v="172.41873489530801"/>
    <n v="0"/>
    <x v="92"/>
    <x v="152"/>
    <e v="#N/A"/>
    <e v="#N/A"/>
    <e v="#N/A"/>
    <e v="#N/A"/>
    <x v="0"/>
    <x v="3"/>
    <x v="4"/>
  </r>
  <r>
    <s v="192.168.100.2"/>
    <x v="1194"/>
    <s v="103.43.75.140"/>
    <x v="116"/>
    <n v="3"/>
    <x v="49"/>
    <n v="3"/>
    <n v="194"/>
    <n v="0"/>
    <n v="0"/>
    <n v="120.80375100000001"/>
    <n v="9.0011749999999893"/>
    <n v="172.421933803087"/>
    <n v="0"/>
    <x v="92"/>
    <x v="118"/>
    <e v="#N/A"/>
    <e v="#N/A"/>
    <e v="#N/A"/>
    <e v="#N/A"/>
    <x v="0"/>
    <x v="3"/>
    <x v="4"/>
  </r>
  <r>
    <s v="192.168.100.2"/>
    <x v="1195"/>
    <s v="64.4.23.140"/>
    <x v="116"/>
    <n v="3"/>
    <x v="49"/>
    <n v="3"/>
    <n v="194"/>
    <n v="0"/>
    <n v="0"/>
    <n v="121.36287900000001"/>
    <n v="9.0016459999999796"/>
    <n v="172.412912038532"/>
    <n v="0"/>
    <x v="92"/>
    <x v="153"/>
    <e v="#N/A"/>
    <e v="#N/A"/>
    <e v="#N/A"/>
    <e v="#N/A"/>
    <x v="0"/>
    <x v="3"/>
    <x v="4"/>
  </r>
  <r>
    <s v="192.168.100.2"/>
    <x v="1196"/>
    <s v="157.55.235.165"/>
    <x v="117"/>
    <n v="3"/>
    <x v="49"/>
    <n v="3"/>
    <n v="194"/>
    <n v="0"/>
    <n v="0"/>
    <n v="121.82393399999999"/>
    <n v="9.0005540000000099"/>
    <n v="172.433830184231"/>
    <n v="0"/>
    <x v="92"/>
    <x v="154"/>
    <e v="#N/A"/>
    <e v="#N/A"/>
    <e v="#N/A"/>
    <e v="#N/A"/>
    <x v="0"/>
    <x v="3"/>
    <x v="5"/>
  </r>
  <r>
    <s v="192.168.100.2"/>
    <x v="1197"/>
    <s v="64.4.23.146"/>
    <x v="217"/>
    <n v="3"/>
    <x v="49"/>
    <n v="3"/>
    <n v="194"/>
    <n v="0"/>
    <n v="0"/>
    <n v="123.24448599999999"/>
    <n v="9.0010130000000004"/>
    <n v="172.425037048608"/>
    <n v="0"/>
    <x v="92"/>
    <x v="155"/>
    <e v="#N/A"/>
    <e v="#N/A"/>
    <e v="#N/A"/>
    <e v="#N/A"/>
    <x v="0"/>
    <x v="3"/>
    <x v="0"/>
  </r>
  <r>
    <s v="192.168.100.2"/>
    <x v="1198"/>
    <s v="157.55.235.165"/>
    <x v="116"/>
    <n v="3"/>
    <x v="49"/>
    <n v="3"/>
    <n v="194"/>
    <n v="0"/>
    <n v="0"/>
    <n v="123.433792"/>
    <n v="9.0017299999999896"/>
    <n v="172.41130316061501"/>
    <n v="0"/>
    <x v="92"/>
    <x v="154"/>
    <e v="#N/A"/>
    <e v="#N/A"/>
    <e v="#N/A"/>
    <e v="#N/A"/>
    <x v="0"/>
    <x v="3"/>
    <x v="4"/>
  </r>
  <r>
    <s v="192.168.100.2"/>
    <x v="1199"/>
    <s v="91.190.218.64"/>
    <x v="223"/>
    <n v="3"/>
    <x v="49"/>
    <n v="3"/>
    <n v="194"/>
    <n v="0"/>
    <n v="0"/>
    <n v="124.743781"/>
    <n v="8.9716069999999899"/>
    <n v="172.990190051794"/>
    <n v="0"/>
    <x v="92"/>
    <x v="156"/>
    <e v="#N/A"/>
    <e v="#N/A"/>
    <e v="#N/A"/>
    <e v="#N/A"/>
    <x v="0"/>
    <x v="3"/>
    <x v="0"/>
  </r>
  <r>
    <s v="192.168.100.2"/>
    <x v="1200"/>
    <s v="64.4.23.146"/>
    <x v="117"/>
    <n v="3"/>
    <x v="49"/>
    <n v="3"/>
    <n v="194"/>
    <n v="0"/>
    <n v="0"/>
    <n v="124.863923"/>
    <n v="8.9915669999999999"/>
    <n v="172.60617643176101"/>
    <n v="0"/>
    <x v="92"/>
    <x v="155"/>
    <e v="#N/A"/>
    <e v="#N/A"/>
    <e v="#N/A"/>
    <e v="#N/A"/>
    <x v="0"/>
    <x v="3"/>
    <x v="5"/>
  </r>
  <r>
    <s v="192.168.100.2"/>
    <x v="1201"/>
    <s v="64.4.23.161"/>
    <x v="224"/>
    <n v="3"/>
    <x v="49"/>
    <n v="3"/>
    <n v="194"/>
    <n v="0"/>
    <n v="0"/>
    <n v="125.26445099999999"/>
    <n v="9.0209480000000202"/>
    <n v="172.04400247069299"/>
    <n v="0"/>
    <x v="92"/>
    <x v="157"/>
    <e v="#N/A"/>
    <e v="#N/A"/>
    <e v="#N/A"/>
    <e v="#N/A"/>
    <x v="0"/>
    <x v="3"/>
    <x v="0"/>
  </r>
  <r>
    <s v="192.168.100.2"/>
    <x v="1202"/>
    <s v="111.221.77.148"/>
    <x v="239"/>
    <n v="3"/>
    <x v="49"/>
    <n v="3"/>
    <n v="194"/>
    <n v="0"/>
    <n v="0"/>
    <n v="126.275519"/>
    <n v="9.0292239999999993"/>
    <n v="171.88631049578601"/>
    <n v="0"/>
    <x v="92"/>
    <x v="158"/>
    <e v="#N/A"/>
    <e v="#N/A"/>
    <e v="#N/A"/>
    <e v="#N/A"/>
    <x v="0"/>
    <x v="3"/>
    <x v="0"/>
  </r>
  <r>
    <s v="192.168.100.2"/>
    <x v="1203"/>
    <s v="91.190.218.64"/>
    <x v="117"/>
    <n v="3"/>
    <x v="49"/>
    <n v="3"/>
    <n v="194"/>
    <n v="0"/>
    <n v="0"/>
    <n v="126.32476200000001"/>
    <n v="8.9906219999999895"/>
    <n v="172.624318984827"/>
    <n v="0"/>
    <x v="92"/>
    <x v="156"/>
    <e v="#N/A"/>
    <e v="#N/A"/>
    <e v="#N/A"/>
    <e v="#N/A"/>
    <x v="0"/>
    <x v="3"/>
    <x v="5"/>
  </r>
  <r>
    <s v="192.168.100.2"/>
    <x v="1204"/>
    <s v="64.4.23.146"/>
    <x v="116"/>
    <n v="3"/>
    <x v="49"/>
    <n v="3"/>
    <n v="194"/>
    <n v="0"/>
    <n v="0"/>
    <n v="126.47482599999999"/>
    <n v="8.99062300000001"/>
    <n v="172.62429978434201"/>
    <n v="0"/>
    <x v="92"/>
    <x v="155"/>
    <e v="#N/A"/>
    <e v="#N/A"/>
    <e v="#N/A"/>
    <e v="#N/A"/>
    <x v="0"/>
    <x v="3"/>
    <x v="4"/>
  </r>
  <r>
    <s v="192.168.100.2"/>
    <x v="1205"/>
    <s v="64.4.23.161"/>
    <x v="117"/>
    <n v="3"/>
    <x v="49"/>
    <n v="3"/>
    <n v="194"/>
    <n v="0"/>
    <n v="0"/>
    <n v="126.874852"/>
    <n v="8.9907000000000004"/>
    <n v="172.62282135985001"/>
    <n v="0"/>
    <x v="92"/>
    <x v="157"/>
    <e v="#N/A"/>
    <e v="#N/A"/>
    <e v="#N/A"/>
    <e v="#N/A"/>
    <x v="0"/>
    <x v="3"/>
    <x v="5"/>
  </r>
  <r>
    <s v="192.168.100.2"/>
    <x v="1206"/>
    <s v="111.221.77.148"/>
    <x v="117"/>
    <n v="3"/>
    <x v="49"/>
    <n v="3"/>
    <n v="194"/>
    <n v="0"/>
    <n v="0"/>
    <n v="127.89499499999999"/>
    <n v="8.9914750000000101"/>
    <n v="172.607942523334"/>
    <n v="0"/>
    <x v="92"/>
    <x v="158"/>
    <e v="#N/A"/>
    <e v="#N/A"/>
    <e v="#N/A"/>
    <e v="#N/A"/>
    <x v="0"/>
    <x v="3"/>
    <x v="5"/>
  </r>
  <r>
    <s v="192.168.100.2"/>
    <x v="1207"/>
    <s v="91.190.218.64"/>
    <x v="116"/>
    <n v="3"/>
    <x v="49"/>
    <n v="3"/>
    <n v="194"/>
    <n v="0"/>
    <n v="0"/>
    <n v="127.93494699999999"/>
    <n v="8.9914000000000005"/>
    <n v="172.60938229864101"/>
    <n v="0"/>
    <x v="92"/>
    <x v="156"/>
    <e v="#N/A"/>
    <e v="#N/A"/>
    <e v="#N/A"/>
    <e v="#N/A"/>
    <x v="0"/>
    <x v="3"/>
    <x v="4"/>
  </r>
  <r>
    <s v="192.168.100.2"/>
    <x v="1208"/>
    <s v="64.4.23.161"/>
    <x v="116"/>
    <n v="3"/>
    <x v="49"/>
    <n v="3"/>
    <n v="194"/>
    <n v="0"/>
    <n v="0"/>
    <n v="128.48503400000001"/>
    <n v="9.02074299999998"/>
    <n v="172.047912239602"/>
    <n v="0"/>
    <x v="92"/>
    <x v="157"/>
    <e v="#N/A"/>
    <e v="#N/A"/>
    <e v="#N/A"/>
    <e v="#N/A"/>
    <x v="0"/>
    <x v="3"/>
    <x v="4"/>
  </r>
  <r>
    <s v="192.168.100.2"/>
    <x v="1209"/>
    <s v="111.221.77.148"/>
    <x v="116"/>
    <n v="3"/>
    <x v="49"/>
    <n v="3"/>
    <n v="194"/>
    <n v="0"/>
    <n v="0"/>
    <n v="129.51487"/>
    <n v="8.9916579999999993"/>
    <n v="172.604429572388"/>
    <n v="0"/>
    <x v="92"/>
    <x v="158"/>
    <e v="#N/A"/>
    <e v="#N/A"/>
    <e v="#N/A"/>
    <e v="#N/A"/>
    <x v="0"/>
    <x v="3"/>
    <x v="4"/>
  </r>
  <r>
    <s v="192.168.100.2"/>
    <x v="1210"/>
    <s v="78.46.49.23"/>
    <x v="117"/>
    <n v="3"/>
    <x v="49"/>
    <n v="3"/>
    <n v="194"/>
    <n v="0"/>
    <n v="0"/>
    <n v="134.806611"/>
    <n v="8.9998170000000108"/>
    <n v="172.44795088611201"/>
    <n v="0"/>
    <x v="92"/>
    <x v="127"/>
    <e v="#N/A"/>
    <e v="#N/A"/>
    <e v="#N/A"/>
    <e v="#N/A"/>
    <x v="0"/>
    <x v="3"/>
    <x v="5"/>
  </r>
  <r>
    <s v="192.168.100.2"/>
    <x v="1211"/>
    <s v="78.46.49.23"/>
    <x v="116"/>
    <n v="3"/>
    <x v="49"/>
    <n v="3"/>
    <n v="194"/>
    <n v="0"/>
    <n v="0"/>
    <n v="136.807467"/>
    <n v="8.9988740000000007"/>
    <n v="172.466021860068"/>
    <n v="0"/>
    <x v="92"/>
    <x v="127"/>
    <e v="#N/A"/>
    <e v="#N/A"/>
    <e v="#N/A"/>
    <e v="#N/A"/>
    <x v="0"/>
    <x v="3"/>
    <x v="4"/>
  </r>
  <r>
    <s v="192.168.100.2"/>
    <x v="1212"/>
    <s v="111.221.77.156"/>
    <x v="217"/>
    <n v="3"/>
    <x v="49"/>
    <n v="3"/>
    <n v="194"/>
    <n v="0"/>
    <n v="0"/>
    <n v="140.467367"/>
    <n v="8.9998880000000003"/>
    <n v="172.446590446459"/>
    <n v="0"/>
    <x v="92"/>
    <x v="159"/>
    <e v="#N/A"/>
    <e v="#N/A"/>
    <e v="#N/A"/>
    <e v="#N/A"/>
    <x v="0"/>
    <x v="3"/>
    <x v="0"/>
  </r>
  <r>
    <s v="192.168.100.2"/>
    <x v="1213"/>
    <s v="157.55.130.151"/>
    <x v="235"/>
    <n v="3"/>
    <x v="49"/>
    <n v="3"/>
    <n v="194"/>
    <n v="0"/>
    <n v="0"/>
    <n v="141.47932399999999"/>
    <n v="8.9981840000000108"/>
    <n v="172.47924692360101"/>
    <n v="0"/>
    <x v="92"/>
    <x v="160"/>
    <e v="#N/A"/>
    <e v="#N/A"/>
    <e v="#N/A"/>
    <e v="#N/A"/>
    <x v="0"/>
    <x v="3"/>
    <x v="0"/>
  </r>
  <r>
    <s v="192.168.100.2"/>
    <x v="1214"/>
    <s v="111.221.77.156"/>
    <x v="117"/>
    <n v="3"/>
    <x v="49"/>
    <n v="3"/>
    <n v="194"/>
    <n v="0"/>
    <n v="0"/>
    <n v="142.08684700000001"/>
    <n v="9.0005029999999806"/>
    <n v="172.43480725466199"/>
    <n v="0"/>
    <x v="92"/>
    <x v="159"/>
    <e v="#N/A"/>
    <e v="#N/A"/>
    <e v="#N/A"/>
    <e v="#N/A"/>
    <x v="0"/>
    <x v="3"/>
    <x v="5"/>
  </r>
  <r>
    <s v="192.168.100.2"/>
    <x v="1215"/>
    <s v="157.55.235.142"/>
    <x v="218"/>
    <n v="3"/>
    <x v="49"/>
    <n v="3"/>
    <n v="194"/>
    <n v="0"/>
    <n v="0"/>
    <n v="142.50737799999999"/>
    <n v="9.0000540000000093"/>
    <n v="172.443409783986"/>
    <n v="0"/>
    <x v="92"/>
    <x v="161"/>
    <e v="#N/A"/>
    <e v="#N/A"/>
    <e v="#N/A"/>
    <e v="#N/A"/>
    <x v="0"/>
    <x v="3"/>
    <x v="0"/>
  </r>
  <r>
    <s v="192.168.100.2"/>
    <x v="1216"/>
    <s v="157.55.130.151"/>
    <x v="117"/>
    <n v="3"/>
    <x v="49"/>
    <n v="3"/>
    <n v="194"/>
    <n v="0"/>
    <n v="0"/>
    <n v="143.09685400000001"/>
    <n v="9.0004930000000094"/>
    <n v="172.43499883839701"/>
    <n v="0"/>
    <x v="92"/>
    <x v="160"/>
    <e v="#N/A"/>
    <e v="#N/A"/>
    <e v="#N/A"/>
    <e v="#N/A"/>
    <x v="0"/>
    <x v="3"/>
    <x v="5"/>
  </r>
  <r>
    <s v="192.168.100.2"/>
    <x v="1217"/>
    <s v="111.221.77.156"/>
    <x v="116"/>
    <n v="3"/>
    <x v="49"/>
    <n v="3"/>
    <n v="194"/>
    <n v="0"/>
    <n v="0"/>
    <n v="143.70660000000001"/>
    <n v="9.0006899999999899"/>
    <n v="172.431224717216"/>
    <n v="0"/>
    <x v="92"/>
    <x v="159"/>
    <e v="#N/A"/>
    <e v="#N/A"/>
    <e v="#N/A"/>
    <e v="#N/A"/>
    <x v="0"/>
    <x v="3"/>
    <x v="4"/>
  </r>
  <r>
    <s v="192.168.100.2"/>
    <x v="1218"/>
    <s v="157.55.235.142"/>
    <x v="117"/>
    <n v="3"/>
    <x v="49"/>
    <n v="3"/>
    <n v="194"/>
    <n v="0"/>
    <n v="0"/>
    <n v="144.12691799999999"/>
    <n v="9.0005520000000008"/>
    <n v="172.43386850050999"/>
    <n v="0"/>
    <x v="92"/>
    <x v="161"/>
    <e v="#N/A"/>
    <e v="#N/A"/>
    <e v="#N/A"/>
    <e v="#N/A"/>
    <x v="0"/>
    <x v="3"/>
    <x v="5"/>
  </r>
  <r>
    <s v="192.168.100.2"/>
    <x v="1219"/>
    <s v="157.56.52.46"/>
    <x v="239"/>
    <n v="3"/>
    <x v="49"/>
    <n v="3"/>
    <n v="194"/>
    <n v="0"/>
    <n v="0"/>
    <n v="144.58745400000001"/>
    <n v="8.9989880000000007"/>
    <n v="172.46383704478799"/>
    <n v="0"/>
    <x v="92"/>
    <x v="162"/>
    <e v="#N/A"/>
    <e v="#N/A"/>
    <e v="#N/A"/>
    <e v="#N/A"/>
    <x v="0"/>
    <x v="3"/>
    <x v="0"/>
  </r>
  <r>
    <s v="192.168.100.2"/>
    <x v="1220"/>
    <s v="157.55.130.151"/>
    <x v="116"/>
    <n v="3"/>
    <x v="49"/>
    <n v="3"/>
    <n v="194"/>
    <n v="0"/>
    <n v="0"/>
    <n v="144.71684400000001"/>
    <n v="9.0005299999999995"/>
    <n v="172.43428998070101"/>
    <n v="0"/>
    <x v="92"/>
    <x v="160"/>
    <e v="#N/A"/>
    <e v="#N/A"/>
    <e v="#N/A"/>
    <e v="#N/A"/>
    <x v="0"/>
    <x v="3"/>
    <x v="4"/>
  </r>
  <r>
    <s v="192.168.100.2"/>
    <x v="1221"/>
    <s v="157.55.235.142"/>
    <x v="116"/>
    <n v="3"/>
    <x v="49"/>
    <n v="3"/>
    <n v="194"/>
    <n v="0"/>
    <n v="0"/>
    <n v="145.74968899999999"/>
    <n v="8.9998070000000006"/>
    <n v="172.44814249905599"/>
    <n v="0"/>
    <x v="92"/>
    <x v="161"/>
    <e v="#N/A"/>
    <e v="#N/A"/>
    <e v="#N/A"/>
    <e v="#N/A"/>
    <x v="0"/>
    <x v="3"/>
    <x v="4"/>
  </r>
  <r>
    <s v="192.168.100.2"/>
    <x v="1222"/>
    <s v="157.56.52.46"/>
    <x v="117"/>
    <n v="3"/>
    <x v="49"/>
    <n v="3"/>
    <n v="194"/>
    <n v="0"/>
    <n v="0"/>
    <n v="146.206851"/>
    <n v="9.0015070000000001"/>
    <n v="172.415574414373"/>
    <n v="0"/>
    <x v="92"/>
    <x v="162"/>
    <e v="#N/A"/>
    <e v="#N/A"/>
    <e v="#N/A"/>
    <e v="#N/A"/>
    <x v="0"/>
    <x v="3"/>
    <x v="5"/>
  </r>
  <r>
    <s v="192.168.100.2"/>
    <x v="1223"/>
    <s v="64.4.23.141"/>
    <x v="237"/>
    <n v="3"/>
    <x v="49"/>
    <n v="3"/>
    <n v="194"/>
    <n v="0"/>
    <n v="0"/>
    <n v="147.66836499999999"/>
    <n v="9.0000980000000101"/>
    <n v="172.442566736495"/>
    <n v="0"/>
    <x v="92"/>
    <x v="163"/>
    <e v="#N/A"/>
    <e v="#N/A"/>
    <e v="#N/A"/>
    <e v="#N/A"/>
    <x v="0"/>
    <x v="3"/>
    <x v="0"/>
  </r>
  <r>
    <s v="192.168.100.2"/>
    <x v="1224"/>
    <s v="157.56.52.46"/>
    <x v="116"/>
    <n v="3"/>
    <x v="49"/>
    <n v="3"/>
    <n v="194"/>
    <n v="0"/>
    <n v="0"/>
    <n v="147.81774999999999"/>
    <n v="9.0005560000000209"/>
    <n v="172.43379186796901"/>
    <n v="0"/>
    <x v="92"/>
    <x v="162"/>
    <e v="#N/A"/>
    <e v="#N/A"/>
    <e v="#N/A"/>
    <e v="#N/A"/>
    <x v="0"/>
    <x v="3"/>
    <x v="4"/>
  </r>
  <r>
    <s v="192.168.100.2"/>
    <x v="1225"/>
    <s v="64.4.23.141"/>
    <x v="117"/>
    <n v="3"/>
    <x v="49"/>
    <n v="3"/>
    <n v="194"/>
    <n v="0"/>
    <n v="0"/>
    <n v="149.287755"/>
    <n v="8.9994539999999894"/>
    <n v="172.45490670878499"/>
    <n v="0"/>
    <x v="92"/>
    <x v="163"/>
    <e v="#N/A"/>
    <e v="#N/A"/>
    <e v="#N/A"/>
    <e v="#N/A"/>
    <x v="0"/>
    <x v="3"/>
    <x v="5"/>
  </r>
  <r>
    <s v="192.168.100.2"/>
    <x v="1226"/>
    <s v="157.55.56.147"/>
    <x v="240"/>
    <n v="3"/>
    <x v="49"/>
    <n v="3"/>
    <n v="194"/>
    <n v="0"/>
    <n v="0"/>
    <n v="149.727462"/>
    <n v="9.0008579999999903"/>
    <n v="172.42800630784299"/>
    <n v="0"/>
    <x v="92"/>
    <x v="164"/>
    <e v="#N/A"/>
    <e v="#N/A"/>
    <e v="#N/A"/>
    <e v="#N/A"/>
    <x v="0"/>
    <x v="3"/>
    <x v="0"/>
  </r>
  <r>
    <s v="192.168.100.2"/>
    <x v="1227"/>
    <s v="157.55.130.143"/>
    <x v="241"/>
    <n v="3"/>
    <x v="49"/>
    <n v="3"/>
    <n v="194"/>
    <n v="0"/>
    <n v="0"/>
    <n v="150.76219499999999"/>
    <n v="9.0291910000000009"/>
    <n v="171.88693870801899"/>
    <n v="0"/>
    <x v="92"/>
    <x v="165"/>
    <e v="#N/A"/>
    <e v="#N/A"/>
    <e v="#N/A"/>
    <e v="#N/A"/>
    <x v="0"/>
    <x v="3"/>
    <x v="0"/>
  </r>
  <r>
    <s v="192.168.100.2"/>
    <x v="1228"/>
    <s v="85.25.103.30"/>
    <x v="117"/>
    <n v="3"/>
    <x v="49"/>
    <n v="3"/>
    <n v="194"/>
    <n v="0"/>
    <n v="0"/>
    <n v="150.80858499999999"/>
    <n v="8.9999490000000204"/>
    <n v="172.44542163516701"/>
    <n v="0"/>
    <x v="92"/>
    <x v="131"/>
    <e v="#N/A"/>
    <e v="#N/A"/>
    <e v="#N/A"/>
    <e v="#N/A"/>
    <x v="0"/>
    <x v="3"/>
    <x v="5"/>
  </r>
  <r>
    <s v="192.168.100.2"/>
    <x v="1229"/>
    <s v="64.4.23.141"/>
    <x v="116"/>
    <n v="3"/>
    <x v="49"/>
    <n v="3"/>
    <n v="194"/>
    <n v="0"/>
    <n v="0"/>
    <n v="150.90774099999999"/>
    <n v="9.0005640000000309"/>
    <n v="172.433638603091"/>
    <n v="0"/>
    <x v="92"/>
    <x v="163"/>
    <e v="#N/A"/>
    <e v="#N/A"/>
    <e v="#N/A"/>
    <e v="#N/A"/>
    <x v="0"/>
    <x v="3"/>
    <x v="4"/>
  </r>
  <r>
    <s v="192.168.100.2"/>
    <x v="1230"/>
    <s v="157.55.56.147"/>
    <x v="117"/>
    <n v="3"/>
    <x v="49"/>
    <n v="3"/>
    <n v="194"/>
    <n v="0"/>
    <n v="0"/>
    <n v="151.34968499999999"/>
    <n v="8.9985900000000107"/>
    <n v="172.47146497395701"/>
    <n v="0"/>
    <x v="92"/>
    <x v="164"/>
    <e v="#N/A"/>
    <e v="#N/A"/>
    <e v="#N/A"/>
    <e v="#N/A"/>
    <x v="0"/>
    <x v="3"/>
    <x v="5"/>
  </r>
  <r>
    <s v="192.168.100.2"/>
    <x v="1231"/>
    <s v="157.55.130.143"/>
    <x v="117"/>
    <n v="3"/>
    <x v="49"/>
    <n v="3"/>
    <n v="194"/>
    <n v="0"/>
    <n v="0"/>
    <n v="152.37777399999999"/>
    <n v="9.0005870000000208"/>
    <n v="172.433197968088"/>
    <n v="0"/>
    <x v="92"/>
    <x v="165"/>
    <e v="#N/A"/>
    <e v="#N/A"/>
    <e v="#N/A"/>
    <e v="#N/A"/>
    <x v="0"/>
    <x v="3"/>
    <x v="5"/>
  </r>
  <r>
    <s v="192.168.100.2"/>
    <x v="1232"/>
    <s v="85.25.103.30"/>
    <x v="116"/>
    <n v="3"/>
    <x v="49"/>
    <n v="3"/>
    <n v="194"/>
    <n v="0"/>
    <n v="0"/>
    <n v="152.807356"/>
    <n v="8.9999730000000095"/>
    <n v="172.44496177932999"/>
    <n v="0"/>
    <x v="92"/>
    <x v="131"/>
    <e v="#N/A"/>
    <e v="#N/A"/>
    <e v="#N/A"/>
    <e v="#N/A"/>
    <x v="0"/>
    <x v="3"/>
    <x v="4"/>
  </r>
  <r>
    <s v="192.168.100.2"/>
    <x v="1233"/>
    <s v="157.55.56.147"/>
    <x v="116"/>
    <n v="3"/>
    <x v="49"/>
    <n v="3"/>
    <n v="194"/>
    <n v="0"/>
    <n v="0"/>
    <n v="152.96786599999999"/>
    <n v="9.0005370000000102"/>
    <n v="172.43415587314399"/>
    <n v="0"/>
    <x v="92"/>
    <x v="164"/>
    <e v="#N/A"/>
    <e v="#N/A"/>
    <e v="#N/A"/>
    <e v="#N/A"/>
    <x v="0"/>
    <x v="3"/>
    <x v="4"/>
  </r>
  <r>
    <s v="192.168.100.2"/>
    <x v="1234"/>
    <s v="157.55.130.143"/>
    <x v="116"/>
    <n v="3"/>
    <x v="49"/>
    <n v="3"/>
    <n v="194"/>
    <n v="0"/>
    <n v="0"/>
    <n v="153.997681"/>
    <n v="8.9995629999999895"/>
    <n v="172.45281798682899"/>
    <n v="0"/>
    <x v="92"/>
    <x v="165"/>
    <e v="#N/A"/>
    <e v="#N/A"/>
    <e v="#N/A"/>
    <e v="#N/A"/>
    <x v="0"/>
    <x v="3"/>
    <x v="4"/>
  </r>
  <r>
    <s v="192.168.100.2"/>
    <x v="1235"/>
    <s v="157.56.52.18"/>
    <x v="226"/>
    <n v="3"/>
    <x v="49"/>
    <n v="3"/>
    <n v="194"/>
    <n v="0"/>
    <n v="0"/>
    <n v="164.909335"/>
    <n v="8.9999170000000106"/>
    <n v="172.44603478009799"/>
    <n v="0"/>
    <x v="92"/>
    <x v="166"/>
    <e v="#N/A"/>
    <e v="#N/A"/>
    <e v="#N/A"/>
    <e v="#N/A"/>
    <x v="0"/>
    <x v="3"/>
    <x v="0"/>
  </r>
  <r>
    <s v="192.168.100.2"/>
    <x v="1236"/>
    <s v="157.55.56.167"/>
    <x v="242"/>
    <n v="3"/>
    <x v="49"/>
    <n v="3"/>
    <n v="194"/>
    <n v="0"/>
    <n v="0"/>
    <n v="165.919375"/>
    <n v="9.0008350000000004"/>
    <n v="172.42844691631399"/>
    <n v="0"/>
    <x v="92"/>
    <x v="167"/>
    <e v="#N/A"/>
    <e v="#N/A"/>
    <e v="#N/A"/>
    <e v="#N/A"/>
    <x v="0"/>
    <x v="3"/>
    <x v="0"/>
  </r>
  <r>
    <s v="192.168.100.2"/>
    <x v="1237"/>
    <s v="157.56.52.18"/>
    <x v="117"/>
    <n v="3"/>
    <x v="49"/>
    <n v="3"/>
    <n v="194"/>
    <n v="0"/>
    <n v="0"/>
    <n v="166.528887"/>
    <n v="9.00136800000001"/>
    <n v="172.41823687243999"/>
    <n v="0"/>
    <x v="92"/>
    <x v="166"/>
    <e v="#N/A"/>
    <e v="#N/A"/>
    <e v="#N/A"/>
    <e v="#N/A"/>
    <x v="0"/>
    <x v="3"/>
    <x v="5"/>
  </r>
  <r>
    <s v="192.168.100.2"/>
    <x v="1238"/>
    <s v="65.55.223.25"/>
    <x v="243"/>
    <n v="3"/>
    <x v="49"/>
    <n v="3"/>
    <n v="194"/>
    <n v="0"/>
    <n v="0"/>
    <n v="166.95022700000001"/>
    <n v="9.0000619999999891"/>
    <n v="172.443256502011"/>
    <n v="0"/>
    <x v="92"/>
    <x v="168"/>
    <e v="#N/A"/>
    <e v="#N/A"/>
    <e v="#N/A"/>
    <e v="#N/A"/>
    <x v="0"/>
    <x v="3"/>
    <x v="0"/>
  </r>
  <r>
    <s v="192.168.100.2"/>
    <x v="1239"/>
    <s v="157.55.56.167"/>
    <x v="117"/>
    <n v="3"/>
    <x v="49"/>
    <n v="3"/>
    <n v="194"/>
    <n v="0"/>
    <n v="0"/>
    <n v="167.559212"/>
    <n v="8.9711299999999898"/>
    <n v="172.999388036959"/>
    <n v="0"/>
    <x v="92"/>
    <x v="167"/>
    <e v="#N/A"/>
    <e v="#N/A"/>
    <e v="#N/A"/>
    <e v="#N/A"/>
    <x v="0"/>
    <x v="3"/>
    <x v="5"/>
  </r>
  <r>
    <s v="192.168.100.2"/>
    <x v="1240"/>
    <s v="157.56.52.18"/>
    <x v="116"/>
    <n v="3"/>
    <x v="49"/>
    <n v="3"/>
    <n v="194"/>
    <n v="0"/>
    <n v="0"/>
    <n v="168.139771"/>
    <n v="9.0303280000000008"/>
    <n v="171.86529658723401"/>
    <n v="0"/>
    <x v="92"/>
    <x v="166"/>
    <e v="#N/A"/>
    <e v="#N/A"/>
    <e v="#N/A"/>
    <e v="#N/A"/>
    <x v="0"/>
    <x v="3"/>
    <x v="4"/>
  </r>
  <r>
    <s v="192.168.100.2"/>
    <x v="1241"/>
    <s v="65.55.223.25"/>
    <x v="117"/>
    <n v="3"/>
    <x v="49"/>
    <n v="3"/>
    <n v="194"/>
    <n v="0"/>
    <n v="0"/>
    <n v="168.56991500000001"/>
    <n v="9.0003679999999804"/>
    <n v="172.437393671015"/>
    <n v="0"/>
    <x v="92"/>
    <x v="168"/>
    <e v="#N/A"/>
    <e v="#N/A"/>
    <e v="#N/A"/>
    <e v="#N/A"/>
    <x v="0"/>
    <x v="3"/>
    <x v="5"/>
  </r>
  <r>
    <s v="192.168.100.2"/>
    <x v="1242"/>
    <s v="157.56.52.43"/>
    <x v="236"/>
    <n v="3"/>
    <x v="49"/>
    <n v="3"/>
    <n v="194"/>
    <n v="0"/>
    <n v="0"/>
    <n v="169.02009899999999"/>
    <n v="9.0001190000000104"/>
    <n v="172.442164375826"/>
    <n v="0"/>
    <x v="92"/>
    <x v="169"/>
    <e v="#N/A"/>
    <e v="#N/A"/>
    <e v="#N/A"/>
    <e v="#N/A"/>
    <x v="0"/>
    <x v="3"/>
    <x v="0"/>
  </r>
  <r>
    <s v="192.168.100.2"/>
    <x v="1243"/>
    <s v="157.55.56.167"/>
    <x v="116"/>
    <n v="3"/>
    <x v="49"/>
    <n v="3"/>
    <n v="194"/>
    <n v="0"/>
    <n v="0"/>
    <n v="169.14970099999999"/>
    <n v="9.0004920000000102"/>
    <n v="172.43501799679399"/>
    <n v="0"/>
    <x v="92"/>
    <x v="167"/>
    <e v="#N/A"/>
    <e v="#N/A"/>
    <e v="#N/A"/>
    <e v="#N/A"/>
    <x v="0"/>
    <x v="3"/>
    <x v="4"/>
  </r>
  <r>
    <s v="192.168.100.2"/>
    <x v="1244"/>
    <s v="65.55.223.25"/>
    <x v="116"/>
    <n v="3"/>
    <x v="49"/>
    <n v="3"/>
    <n v="194"/>
    <n v="0"/>
    <n v="0"/>
    <n v="170.18970400000001"/>
    <n v="9.0005260000000096"/>
    <n v="172.43436661368401"/>
    <n v="0"/>
    <x v="92"/>
    <x v="168"/>
    <e v="#N/A"/>
    <e v="#N/A"/>
    <e v="#N/A"/>
    <e v="#N/A"/>
    <x v="0"/>
    <x v="3"/>
    <x v="4"/>
  </r>
  <r>
    <s v="192.168.100.2"/>
    <x v="1245"/>
    <s v="157.56.52.43"/>
    <x v="117"/>
    <n v="3"/>
    <x v="49"/>
    <n v="3"/>
    <n v="194"/>
    <n v="0"/>
    <n v="0"/>
    <n v="170.63964100000001"/>
    <n v="9.0007259999999896"/>
    <n v="172.430535047951"/>
    <n v="0"/>
    <x v="92"/>
    <x v="169"/>
    <e v="#N/A"/>
    <e v="#N/A"/>
    <e v="#N/A"/>
    <e v="#N/A"/>
    <x v="0"/>
    <x v="3"/>
    <x v="5"/>
  </r>
  <r>
    <s v="192.168.100.2"/>
    <x v="1246"/>
    <s v="65.55.223.24"/>
    <x v="244"/>
    <n v="3"/>
    <x v="49"/>
    <n v="3"/>
    <n v="194"/>
    <n v="0"/>
    <n v="0"/>
    <n v="172.11024"/>
    <n v="8.9999049999999805"/>
    <n v="172.446264710572"/>
    <n v="0"/>
    <x v="92"/>
    <x v="170"/>
    <e v="#N/A"/>
    <e v="#N/A"/>
    <e v="#N/A"/>
    <e v="#N/A"/>
    <x v="0"/>
    <x v="3"/>
    <x v="0"/>
  </r>
  <r>
    <s v="192.168.100.2"/>
    <x v="1247"/>
    <s v="157.56.52.43"/>
    <x v="116"/>
    <n v="3"/>
    <x v="49"/>
    <n v="3"/>
    <n v="194"/>
    <n v="0"/>
    <n v="0"/>
    <n v="172.25961899999999"/>
    <n v="9.0007060000000099"/>
    <n v="172.430918196861"/>
    <n v="0"/>
    <x v="92"/>
    <x v="169"/>
    <e v="#N/A"/>
    <e v="#N/A"/>
    <e v="#N/A"/>
    <e v="#N/A"/>
    <x v="0"/>
    <x v="3"/>
    <x v="4"/>
  </r>
  <r>
    <s v="192.168.100.2"/>
    <x v="1248"/>
    <s v="65.55.223.24"/>
    <x v="117"/>
    <n v="3"/>
    <x v="49"/>
    <n v="3"/>
    <n v="194"/>
    <n v="0"/>
    <n v="0"/>
    <n v="173.72962899999999"/>
    <n v="9.0005240000000093"/>
    <n v="172.43440493020199"/>
    <n v="0"/>
    <x v="92"/>
    <x v="170"/>
    <e v="#N/A"/>
    <e v="#N/A"/>
    <e v="#N/A"/>
    <e v="#N/A"/>
    <x v="0"/>
    <x v="3"/>
    <x v="5"/>
  </r>
  <r>
    <s v="192.168.100.2"/>
    <x v="1249"/>
    <s v="157.56.52.40"/>
    <x v="220"/>
    <n v="3"/>
    <x v="49"/>
    <n v="3"/>
    <n v="194"/>
    <n v="0"/>
    <n v="0"/>
    <n v="174.17855299999999"/>
    <n v="9.0209580000000091"/>
    <n v="172.04381175480501"/>
    <n v="0"/>
    <x v="92"/>
    <x v="171"/>
    <e v="#N/A"/>
    <e v="#N/A"/>
    <e v="#N/A"/>
    <e v="#N/A"/>
    <x v="0"/>
    <x v="3"/>
    <x v="0"/>
  </r>
  <r>
    <s v="192.168.100.2"/>
    <x v="1250"/>
    <s v="157.55.235.152"/>
    <x v="234"/>
    <n v="3"/>
    <x v="49"/>
    <n v="3"/>
    <n v="194"/>
    <n v="0"/>
    <n v="0"/>
    <n v="175.201123"/>
    <n v="8.9990450000000006"/>
    <n v="172.46274465790501"/>
    <n v="0"/>
    <x v="92"/>
    <x v="172"/>
    <e v="#N/A"/>
    <e v="#N/A"/>
    <e v="#N/A"/>
    <e v="#N/A"/>
    <x v="0"/>
    <x v="3"/>
    <x v="0"/>
  </r>
  <r>
    <s v="192.168.100.2"/>
    <x v="1251"/>
    <s v="65.55.223.24"/>
    <x v="116"/>
    <n v="3"/>
    <x v="49"/>
    <n v="3"/>
    <n v="194"/>
    <n v="0"/>
    <n v="0"/>
    <n v="175.34956500000001"/>
    <n v="8.9906900000000007"/>
    <n v="172.62301336159999"/>
    <n v="0"/>
    <x v="92"/>
    <x v="170"/>
    <e v="#N/A"/>
    <e v="#N/A"/>
    <e v="#N/A"/>
    <e v="#N/A"/>
    <x v="0"/>
    <x v="3"/>
    <x v="4"/>
  </r>
  <r>
    <s v="192.168.100.2"/>
    <x v="1252"/>
    <s v="157.56.52.40"/>
    <x v="117"/>
    <n v="3"/>
    <x v="49"/>
    <n v="3"/>
    <n v="194"/>
    <n v="0"/>
    <n v="0"/>
    <n v="175.78285199999999"/>
    <n v="8.9984559999999991"/>
    <n v="172.47403332305001"/>
    <n v="0"/>
    <x v="92"/>
    <x v="171"/>
    <e v="#N/A"/>
    <e v="#N/A"/>
    <e v="#N/A"/>
    <e v="#N/A"/>
    <x v="0"/>
    <x v="3"/>
    <x v="5"/>
  </r>
  <r>
    <s v="192.168.100.2"/>
    <x v="1253"/>
    <s v="157.55.235.152"/>
    <x v="117"/>
    <n v="3"/>
    <x v="49"/>
    <n v="3"/>
    <n v="194"/>
    <n v="0"/>
    <n v="0"/>
    <n v="176.82083499999999"/>
    <n v="9.0002040000000196"/>
    <n v="172.44053579229899"/>
    <n v="0"/>
    <x v="92"/>
    <x v="172"/>
    <e v="#N/A"/>
    <e v="#N/A"/>
    <e v="#N/A"/>
    <e v="#N/A"/>
    <x v="0"/>
    <x v="3"/>
    <x v="5"/>
  </r>
  <r>
    <s v="192.168.100.2"/>
    <x v="1254"/>
    <s v="157.56.52.40"/>
    <x v="116"/>
    <n v="3"/>
    <x v="49"/>
    <n v="3"/>
    <n v="194"/>
    <n v="0"/>
    <n v="0"/>
    <n v="177.40058999999999"/>
    <n v="9.0007750000000009"/>
    <n v="172.42959634031499"/>
    <n v="0"/>
    <x v="92"/>
    <x v="171"/>
    <e v="#N/A"/>
    <e v="#N/A"/>
    <e v="#N/A"/>
    <e v="#N/A"/>
    <x v="0"/>
    <x v="3"/>
    <x v="4"/>
  </r>
  <r>
    <s v="192.168.100.2"/>
    <x v="1255"/>
    <s v="157.55.235.152"/>
    <x v="116"/>
    <n v="3"/>
    <x v="49"/>
    <n v="3"/>
    <n v="194"/>
    <n v="0"/>
    <n v="0"/>
    <n v="178.44074900000001"/>
    <n v="9.0304719999999996"/>
    <n v="171.86255602143501"/>
    <n v="0"/>
    <x v="92"/>
    <x v="172"/>
    <e v="#N/A"/>
    <e v="#N/A"/>
    <e v="#N/A"/>
    <e v="#N/A"/>
    <x v="0"/>
    <x v="3"/>
    <x v="4"/>
  </r>
  <r>
    <s v="192.168.100.2"/>
    <x v="1256"/>
    <s v="91.190.218.58"/>
    <x v="223"/>
    <n v="3"/>
    <x v="49"/>
    <n v="3"/>
    <n v="194"/>
    <n v="0"/>
    <n v="0"/>
    <n v="182.762091"/>
    <n v="9.0299680000000002"/>
    <n v="171.87214838413601"/>
    <n v="0"/>
    <x v="92"/>
    <x v="173"/>
    <e v="#N/A"/>
    <e v="#N/A"/>
    <e v="#N/A"/>
    <e v="#N/A"/>
    <x v="0"/>
    <x v="3"/>
    <x v="0"/>
  </r>
  <r>
    <s v="192.168.100.2"/>
    <x v="1257"/>
    <s v="91.190.218.58"/>
    <x v="117"/>
    <n v="3"/>
    <x v="49"/>
    <n v="3"/>
    <n v="194"/>
    <n v="0"/>
    <n v="0"/>
    <n v="184.38055499999999"/>
    <n v="9.0006509999999995"/>
    <n v="172.43197186514601"/>
    <n v="0"/>
    <x v="92"/>
    <x v="173"/>
    <e v="#N/A"/>
    <e v="#N/A"/>
    <e v="#N/A"/>
    <e v="#N/A"/>
    <x v="0"/>
    <x v="3"/>
    <x v="5"/>
  </r>
  <r>
    <s v="192.168.100.2"/>
    <x v="1258"/>
    <s v="91.190.218.58"/>
    <x v="116"/>
    <n v="3"/>
    <x v="49"/>
    <n v="3"/>
    <n v="194"/>
    <n v="0"/>
    <n v="0"/>
    <n v="186.02151900000001"/>
    <n v="8.9697029999999796"/>
    <n v="173.026910701503"/>
    <n v="0"/>
    <x v="92"/>
    <x v="173"/>
    <e v="#N/A"/>
    <e v="#N/A"/>
    <e v="#N/A"/>
    <e v="#N/A"/>
    <x v="0"/>
    <x v="3"/>
    <x v="4"/>
  </r>
  <r>
    <s v="192.168.100.2"/>
    <x v="1259"/>
    <s v="157.55.235.158"/>
    <x v="230"/>
    <n v="3"/>
    <x v="49"/>
    <n v="3"/>
    <n v="194"/>
    <n v="0"/>
    <n v="0"/>
    <n v="189.49211299999999"/>
    <n v="9.0001260000000194"/>
    <n v="172.44203025601999"/>
    <n v="0"/>
    <x v="92"/>
    <x v="174"/>
    <e v="#N/A"/>
    <e v="#N/A"/>
    <e v="#N/A"/>
    <e v="#N/A"/>
    <x v="0"/>
    <x v="3"/>
    <x v="0"/>
  </r>
  <r>
    <s v="192.168.100.2"/>
    <x v="1260"/>
    <s v="157.55.235.146"/>
    <x v="245"/>
    <n v="3"/>
    <x v="49"/>
    <n v="3"/>
    <n v="194"/>
    <n v="0"/>
    <n v="0"/>
    <n v="190.502163"/>
    <n v="8.9998749999999994"/>
    <n v="172.446839539438"/>
    <n v="0"/>
    <x v="92"/>
    <x v="175"/>
    <e v="#N/A"/>
    <e v="#N/A"/>
    <e v="#N/A"/>
    <e v="#N/A"/>
    <x v="0"/>
    <x v="3"/>
    <x v="0"/>
  </r>
  <r>
    <s v="192.168.100.2"/>
    <x v="1261"/>
    <s v="157.55.235.158"/>
    <x v="117"/>
    <n v="3"/>
    <x v="49"/>
    <n v="3"/>
    <n v="194"/>
    <n v="0"/>
    <n v="0"/>
    <n v="191.111602"/>
    <n v="9.0015889999999992"/>
    <n v="172.41400379421901"/>
    <n v="0"/>
    <x v="92"/>
    <x v="174"/>
    <e v="#N/A"/>
    <e v="#N/A"/>
    <e v="#N/A"/>
    <e v="#N/A"/>
    <x v="0"/>
    <x v="3"/>
    <x v="5"/>
  </r>
  <r>
    <s v="192.168.100.2"/>
    <x v="1262"/>
    <s v="65.55.223.35"/>
    <x v="234"/>
    <n v="3"/>
    <x v="49"/>
    <n v="3"/>
    <n v="194"/>
    <n v="0"/>
    <n v="0"/>
    <n v="191.54971699999999"/>
    <n v="8.9934550000000097"/>
    <n v="172.56994114052901"/>
    <n v="0"/>
    <x v="92"/>
    <x v="176"/>
    <e v="#N/A"/>
    <e v="#N/A"/>
    <e v="#N/A"/>
    <e v="#N/A"/>
    <x v="0"/>
    <x v="3"/>
    <x v="0"/>
  </r>
  <r>
    <s v="192.168.100.2"/>
    <x v="1263"/>
    <s v="157.55.235.146"/>
    <x v="117"/>
    <n v="3"/>
    <x v="49"/>
    <n v="3"/>
    <n v="194"/>
    <n v="0"/>
    <n v="0"/>
    <n v="192.121467"/>
    <n v="9.0015800000000201"/>
    <n v="172.41417617796"/>
    <n v="0"/>
    <x v="92"/>
    <x v="175"/>
    <e v="#N/A"/>
    <e v="#N/A"/>
    <e v="#N/A"/>
    <e v="#N/A"/>
    <x v="0"/>
    <x v="3"/>
    <x v="5"/>
  </r>
  <r>
    <s v="192.168.100.2"/>
    <x v="1264"/>
    <s v="157.55.235.158"/>
    <x v="116"/>
    <n v="3"/>
    <x v="49"/>
    <n v="3"/>
    <n v="194"/>
    <n v="0"/>
    <n v="0"/>
    <n v="192.731616"/>
    <n v="9.0014339999999908"/>
    <n v="172.41697267346501"/>
    <n v="0"/>
    <x v="92"/>
    <x v="174"/>
    <e v="#N/A"/>
    <e v="#N/A"/>
    <e v="#N/A"/>
    <e v="#N/A"/>
    <x v="0"/>
    <x v="3"/>
    <x v="4"/>
  </r>
  <r>
    <s v="192.168.100.2"/>
    <x v="1265"/>
    <s v="65.55.223.35"/>
    <x v="117"/>
    <n v="3"/>
    <x v="49"/>
    <n v="3"/>
    <n v="194"/>
    <n v="0"/>
    <n v="0"/>
    <n v="193.161462"/>
    <n v="9.0016090000000002"/>
    <n v="172.41362072047301"/>
    <n v="0"/>
    <x v="92"/>
    <x v="176"/>
    <e v="#N/A"/>
    <e v="#N/A"/>
    <e v="#N/A"/>
    <e v="#N/A"/>
    <x v="0"/>
    <x v="3"/>
    <x v="5"/>
  </r>
  <r>
    <s v="192.168.100.2"/>
    <x v="1266"/>
    <s v="157.55.56.153"/>
    <x v="232"/>
    <n v="3"/>
    <x v="49"/>
    <n v="3"/>
    <n v="194"/>
    <n v="0"/>
    <n v="0"/>
    <n v="193.61197999999999"/>
    <n v="9.0009999999999994"/>
    <n v="172.425286079324"/>
    <n v="0"/>
    <x v="92"/>
    <x v="177"/>
    <e v="#N/A"/>
    <e v="#N/A"/>
    <e v="#N/A"/>
    <e v="#N/A"/>
    <x v="0"/>
    <x v="3"/>
    <x v="0"/>
  </r>
  <r>
    <s v="192.168.100.2"/>
    <x v="1267"/>
    <s v="157.55.235.146"/>
    <x v="116"/>
    <n v="3"/>
    <x v="49"/>
    <n v="3"/>
    <n v="194"/>
    <n v="0"/>
    <n v="0"/>
    <n v="193.74974700000001"/>
    <n v="8.9999549999999999"/>
    <n v="172.445306670978"/>
    <n v="0"/>
    <x v="92"/>
    <x v="175"/>
    <e v="#N/A"/>
    <e v="#N/A"/>
    <e v="#N/A"/>
    <e v="#N/A"/>
    <x v="0"/>
    <x v="3"/>
    <x v="4"/>
  </r>
  <r>
    <s v="192.168.100.2"/>
    <x v="1268"/>
    <s v="65.55.223.35"/>
    <x v="116"/>
    <n v="3"/>
    <x v="49"/>
    <n v="3"/>
    <n v="194"/>
    <n v="0"/>
    <n v="0"/>
    <n v="194.78188"/>
    <n v="9.0012429999999899"/>
    <n v="172.420631239486"/>
    <n v="0"/>
    <x v="92"/>
    <x v="176"/>
    <e v="#N/A"/>
    <e v="#N/A"/>
    <e v="#N/A"/>
    <e v="#N/A"/>
    <x v="0"/>
    <x v="3"/>
    <x v="4"/>
  </r>
  <r>
    <s v="192.168.100.2"/>
    <x v="1269"/>
    <s v="157.55.56.153"/>
    <x v="117"/>
    <n v="3"/>
    <x v="49"/>
    <n v="3"/>
    <n v="194"/>
    <n v="0"/>
    <n v="0"/>
    <n v="195.23160999999999"/>
    <n v="9.0015680000000202"/>
    <n v="172.41440602348399"/>
    <n v="0"/>
    <x v="92"/>
    <x v="177"/>
    <e v="#N/A"/>
    <e v="#N/A"/>
    <e v="#N/A"/>
    <e v="#N/A"/>
    <x v="0"/>
    <x v="3"/>
    <x v="5"/>
  </r>
  <r>
    <s v="192.168.100.2"/>
    <x v="1270"/>
    <s v="65.55.223.32"/>
    <x v="240"/>
    <n v="3"/>
    <x v="49"/>
    <n v="3"/>
    <n v="194"/>
    <n v="0"/>
    <n v="0"/>
    <n v="196.69313299999999"/>
    <n v="9.0000750000000096"/>
    <n v="172.44300741938201"/>
    <n v="0"/>
    <x v="92"/>
    <x v="178"/>
    <e v="#N/A"/>
    <e v="#N/A"/>
    <e v="#N/A"/>
    <e v="#N/A"/>
    <x v="0"/>
    <x v="3"/>
    <x v="0"/>
  </r>
  <r>
    <s v="192.168.100.2"/>
    <x v="1271"/>
    <s v="157.55.56.153"/>
    <x v="116"/>
    <n v="3"/>
    <x v="49"/>
    <n v="3"/>
    <n v="194"/>
    <n v="0"/>
    <n v="0"/>
    <n v="196.84269499999999"/>
    <n v="9.0005389999999998"/>
    <n v="172.43411755673699"/>
    <n v="0"/>
    <x v="92"/>
    <x v="177"/>
    <e v="#N/A"/>
    <e v="#N/A"/>
    <e v="#N/A"/>
    <e v="#N/A"/>
    <x v="0"/>
    <x v="3"/>
    <x v="4"/>
  </r>
  <r>
    <s v="192.168.100.2"/>
    <x v="1272"/>
    <s v="65.55.223.32"/>
    <x v="117"/>
    <n v="3"/>
    <x v="49"/>
    <n v="3"/>
    <n v="194"/>
    <n v="0"/>
    <n v="0"/>
    <n v="198.312265"/>
    <n v="9.0007500000000107"/>
    <n v="172.43007527150499"/>
    <n v="0"/>
    <x v="92"/>
    <x v="178"/>
    <e v="#N/A"/>
    <e v="#N/A"/>
    <e v="#N/A"/>
    <e v="#N/A"/>
    <x v="0"/>
    <x v="3"/>
    <x v="5"/>
  </r>
  <r>
    <s v="192.168.100.2"/>
    <x v="1273"/>
    <s v="65.55.223.46"/>
    <x v="239"/>
    <n v="3"/>
    <x v="49"/>
    <n v="3"/>
    <n v="194"/>
    <n v="0"/>
    <n v="0"/>
    <n v="198.76308599999999"/>
    <n v="9.0001190000000104"/>
    <n v="172.442164375826"/>
    <n v="0"/>
    <x v="92"/>
    <x v="179"/>
    <e v="#N/A"/>
    <e v="#N/A"/>
    <e v="#N/A"/>
    <e v="#N/A"/>
    <x v="0"/>
    <x v="3"/>
    <x v="0"/>
  </r>
  <r>
    <s v="192.168.100.2"/>
    <x v="1274"/>
    <s v="157.55.130.176"/>
    <x v="246"/>
    <n v="3"/>
    <x v="49"/>
    <n v="3"/>
    <n v="194"/>
    <n v="0"/>
    <n v="0"/>
    <n v="199.823891"/>
    <n v="8.9691599999999898"/>
    <n v="173.03738588675"/>
    <n v="0"/>
    <x v="92"/>
    <x v="180"/>
    <e v="#N/A"/>
    <e v="#N/A"/>
    <e v="#N/A"/>
    <e v="#N/A"/>
    <x v="0"/>
    <x v="3"/>
    <x v="0"/>
  </r>
  <r>
    <s v="192.168.100.2"/>
    <x v="1275"/>
    <s v="65.55.223.32"/>
    <x v="116"/>
    <n v="3"/>
    <x v="49"/>
    <n v="3"/>
    <n v="194"/>
    <n v="0"/>
    <n v="0"/>
    <n v="199.92366100000001"/>
    <n v="9.00037799999998"/>
    <n v="172.437202081957"/>
    <n v="0"/>
    <x v="92"/>
    <x v="178"/>
    <e v="#N/A"/>
    <e v="#N/A"/>
    <e v="#N/A"/>
    <e v="#N/A"/>
    <x v="0"/>
    <x v="3"/>
    <x v="4"/>
  </r>
  <r>
    <s v="192.168.100.2"/>
    <x v="1276"/>
    <s v="65.55.223.46"/>
    <x v="117"/>
    <n v="3"/>
    <x v="49"/>
    <n v="3"/>
    <n v="194"/>
    <n v="0"/>
    <n v="0"/>
    <n v="200.37366299999999"/>
    <n v="9.00030000000001"/>
    <n v="172.43869648789499"/>
    <n v="0"/>
    <x v="92"/>
    <x v="179"/>
    <e v="#N/A"/>
    <e v="#N/A"/>
    <e v="#N/A"/>
    <e v="#N/A"/>
    <x v="0"/>
    <x v="3"/>
    <x v="5"/>
  </r>
  <r>
    <s v="192.168.100.2"/>
    <x v="1277"/>
    <s v="157.55.130.176"/>
    <x v="117"/>
    <n v="3"/>
    <x v="49"/>
    <n v="3"/>
    <n v="194"/>
    <n v="0"/>
    <n v="0"/>
    <n v="201.41354699999999"/>
    <n v="9.0005050000000004"/>
    <n v="172.434768937965"/>
    <n v="0"/>
    <x v="92"/>
    <x v="180"/>
    <e v="#N/A"/>
    <e v="#N/A"/>
    <e v="#N/A"/>
    <e v="#N/A"/>
    <x v="0"/>
    <x v="3"/>
    <x v="5"/>
  </r>
  <r>
    <s v="192.168.100.2"/>
    <x v="1278"/>
    <s v="65.55.223.46"/>
    <x v="116"/>
    <n v="3"/>
    <x v="49"/>
    <n v="3"/>
    <n v="194"/>
    <n v="0"/>
    <n v="0"/>
    <n v="201.99361400000001"/>
    <n v="9.0004119999999794"/>
    <n v="172.43655068234699"/>
    <n v="0"/>
    <x v="92"/>
    <x v="179"/>
    <e v="#N/A"/>
    <e v="#N/A"/>
    <e v="#N/A"/>
    <e v="#N/A"/>
    <x v="0"/>
    <x v="3"/>
    <x v="4"/>
  </r>
  <r>
    <s v="192.168.100.2"/>
    <x v="1279"/>
    <s v="157.55.130.176"/>
    <x v="116"/>
    <n v="3"/>
    <x v="49"/>
    <n v="3"/>
    <n v="194"/>
    <n v="0"/>
    <n v="0"/>
    <n v="203.03356600000001"/>
    <n v="9.000394"/>
    <n v="172.436895540351"/>
    <n v="0"/>
    <x v="92"/>
    <x v="180"/>
    <e v="#N/A"/>
    <e v="#N/A"/>
    <e v="#N/A"/>
    <e v="#N/A"/>
    <x v="0"/>
    <x v="3"/>
    <x v="4"/>
  </r>
  <r>
    <s v="192.168.100.2"/>
    <x v="1280"/>
    <s v="65.55.223.28"/>
    <x v="238"/>
    <n v="3"/>
    <x v="49"/>
    <n v="3"/>
    <n v="194"/>
    <n v="0"/>
    <n v="0"/>
    <n v="214.03506999999999"/>
    <n v="8.9999600000000193"/>
    <n v="172.445210867604"/>
    <n v="0"/>
    <x v="92"/>
    <x v="181"/>
    <e v="#N/A"/>
    <e v="#N/A"/>
    <e v="#N/A"/>
    <e v="#N/A"/>
    <x v="0"/>
    <x v="3"/>
    <x v="0"/>
  </r>
  <r>
    <s v="192.168.100.2"/>
    <x v="1281"/>
    <s v="157.56.52.18"/>
    <x v="245"/>
    <n v="3"/>
    <x v="49"/>
    <n v="3"/>
    <n v="194"/>
    <n v="0"/>
    <n v="0"/>
    <n v="215.045016"/>
    <n v="9.0000870000000095"/>
    <n v="172.44277749759499"/>
    <n v="0"/>
    <x v="92"/>
    <x v="166"/>
    <e v="#N/A"/>
    <e v="#N/A"/>
    <e v="#N/A"/>
    <e v="#N/A"/>
    <x v="0"/>
    <x v="3"/>
    <x v="0"/>
  </r>
  <r>
    <s v="192.168.100.2"/>
    <x v="1282"/>
    <s v="65.55.223.28"/>
    <x v="117"/>
    <n v="3"/>
    <x v="49"/>
    <n v="3"/>
    <n v="194"/>
    <n v="0"/>
    <n v="0"/>
    <n v="215.65462099999999"/>
    <n v="9.0003270000000004"/>
    <n v="172.43817919060101"/>
    <n v="0"/>
    <x v="92"/>
    <x v="181"/>
    <e v="#N/A"/>
    <e v="#N/A"/>
    <e v="#N/A"/>
    <e v="#N/A"/>
    <x v="0"/>
    <x v="3"/>
    <x v="5"/>
  </r>
  <r>
    <s v="192.168.100.2"/>
    <x v="1283"/>
    <s v="65.55.223.12"/>
    <x v="229"/>
    <n v="3"/>
    <x v="49"/>
    <n v="3"/>
    <n v="194"/>
    <n v="0"/>
    <n v="0"/>
    <n v="216.08491900000001"/>
    <n v="9.0002869999999895"/>
    <n v="172.43894555807"/>
    <n v="0"/>
    <x v="92"/>
    <x v="182"/>
    <e v="#N/A"/>
    <e v="#N/A"/>
    <e v="#N/A"/>
    <e v="#N/A"/>
    <x v="0"/>
    <x v="3"/>
    <x v="0"/>
  </r>
  <r>
    <s v="192.168.100.2"/>
    <x v="1284"/>
    <s v="157.56.52.18"/>
    <x v="117"/>
    <n v="3"/>
    <x v="49"/>
    <n v="3"/>
    <n v="194"/>
    <n v="0"/>
    <n v="0"/>
    <n v="216.66444799999999"/>
    <n v="9.0005890000000193"/>
    <n v="172.43315965210701"/>
    <n v="0"/>
    <x v="92"/>
    <x v="166"/>
    <e v="#N/A"/>
    <e v="#N/A"/>
    <e v="#N/A"/>
    <e v="#N/A"/>
    <x v="0"/>
    <x v="3"/>
    <x v="5"/>
  </r>
  <r>
    <s v="192.168.100.2"/>
    <x v="1285"/>
    <s v="65.55.223.28"/>
    <x v="116"/>
    <n v="3"/>
    <x v="49"/>
    <n v="3"/>
    <n v="194"/>
    <n v="0"/>
    <n v="0"/>
    <n v="217.27456599999999"/>
    <n v="9.0004140000000099"/>
    <n v="172.43651236487599"/>
    <n v="0"/>
    <x v="92"/>
    <x v="181"/>
    <e v="#N/A"/>
    <e v="#N/A"/>
    <e v="#N/A"/>
    <e v="#N/A"/>
    <x v="0"/>
    <x v="3"/>
    <x v="4"/>
  </r>
  <r>
    <s v="192.168.100.2"/>
    <x v="1286"/>
    <s v="65.55.223.12"/>
    <x v="117"/>
    <n v="3"/>
    <x v="49"/>
    <n v="3"/>
    <n v="194"/>
    <n v="0"/>
    <n v="0"/>
    <n v="217.72429299999999"/>
    <n v="8.9707470000000207"/>
    <n v="173.006774129289"/>
    <n v="0"/>
    <x v="92"/>
    <x v="182"/>
    <e v="#N/A"/>
    <e v="#N/A"/>
    <e v="#N/A"/>
    <e v="#N/A"/>
    <x v="0"/>
    <x v="3"/>
    <x v="5"/>
  </r>
  <r>
    <s v="192.168.100.2"/>
    <x v="1287"/>
    <s v="157.55.56.169"/>
    <x v="231"/>
    <n v="3"/>
    <x v="49"/>
    <n v="3"/>
    <n v="194"/>
    <n v="0"/>
    <n v="0"/>
    <n v="218.14496199999999"/>
    <n v="9.0001310000000103"/>
    <n v="172.44193445628699"/>
    <n v="0"/>
    <x v="92"/>
    <x v="183"/>
    <e v="#N/A"/>
    <e v="#N/A"/>
    <e v="#N/A"/>
    <e v="#N/A"/>
    <x v="0"/>
    <x v="3"/>
    <x v="0"/>
  </r>
  <r>
    <s v="192.168.100.2"/>
    <x v="1288"/>
    <s v="157.56.52.18"/>
    <x v="116"/>
    <n v="3"/>
    <x v="49"/>
    <n v="3"/>
    <n v="194"/>
    <n v="0"/>
    <n v="0"/>
    <n v="218.28446600000001"/>
    <n v="9.0005849999999992"/>
    <n v="172.43323628408601"/>
    <n v="0"/>
    <x v="92"/>
    <x v="166"/>
    <e v="#N/A"/>
    <e v="#N/A"/>
    <e v="#N/A"/>
    <e v="#N/A"/>
    <x v="0"/>
    <x v="3"/>
    <x v="4"/>
  </r>
  <r>
    <s v="192.168.100.2"/>
    <x v="1289"/>
    <s v="103.43.75.140"/>
    <x v="117"/>
    <n v="3"/>
    <x v="49"/>
    <n v="3"/>
    <n v="194"/>
    <n v="0"/>
    <n v="0"/>
    <n v="218.76114200000001"/>
    <n v="9.0009910000000009"/>
    <n v="172.42545848562699"/>
    <n v="0"/>
    <x v="92"/>
    <x v="118"/>
    <e v="#N/A"/>
    <e v="#N/A"/>
    <e v="#N/A"/>
    <e v="#N/A"/>
    <x v="0"/>
    <x v="3"/>
    <x v="5"/>
  </r>
  <r>
    <s v="192.168.100.2"/>
    <x v="1290"/>
    <s v="65.55.223.12"/>
    <x v="116"/>
    <n v="3"/>
    <x v="49"/>
    <n v="3"/>
    <n v="194"/>
    <n v="0"/>
    <n v="0"/>
    <n v="219.31452899999999"/>
    <n v="9.0003540000000193"/>
    <n v="172.43766189640999"/>
    <n v="0"/>
    <x v="92"/>
    <x v="182"/>
    <e v="#N/A"/>
    <e v="#N/A"/>
    <e v="#N/A"/>
    <e v="#N/A"/>
    <x v="0"/>
    <x v="3"/>
    <x v="4"/>
  </r>
  <r>
    <s v="192.168.100.2"/>
    <x v="1291"/>
    <s v="157.55.56.169"/>
    <x v="117"/>
    <n v="3"/>
    <x v="49"/>
    <n v="3"/>
    <n v="194"/>
    <n v="0"/>
    <n v="0"/>
    <n v="219.76443699999999"/>
    <n v="9.0005500000000005"/>
    <n v="172.433906816806"/>
    <n v="0"/>
    <x v="92"/>
    <x v="183"/>
    <e v="#N/A"/>
    <e v="#N/A"/>
    <e v="#N/A"/>
    <e v="#N/A"/>
    <x v="0"/>
    <x v="3"/>
    <x v="5"/>
  </r>
  <r>
    <s v="192.168.100.2"/>
    <x v="1292"/>
    <s v="103.43.75.140"/>
    <x v="116"/>
    <n v="3"/>
    <x v="49"/>
    <n v="3"/>
    <n v="194"/>
    <n v="0"/>
    <n v="0"/>
    <n v="220.76113799999999"/>
    <n v="9.0011220000000094"/>
    <n v="172.42294905012901"/>
    <n v="0"/>
    <x v="92"/>
    <x v="118"/>
    <e v="#N/A"/>
    <e v="#N/A"/>
    <e v="#N/A"/>
    <e v="#N/A"/>
    <x v="0"/>
    <x v="3"/>
    <x v="4"/>
  </r>
  <r>
    <s v="192.168.100.2"/>
    <x v="1293"/>
    <s v="157.55.235.141"/>
    <x v="220"/>
    <n v="3"/>
    <x v="49"/>
    <n v="3"/>
    <n v="194"/>
    <n v="0"/>
    <n v="0"/>
    <n v="221.22603599999999"/>
    <n v="9.0000970000000091"/>
    <n v="172.442585896574"/>
    <n v="0"/>
    <x v="92"/>
    <x v="184"/>
    <e v="#N/A"/>
    <e v="#N/A"/>
    <e v="#N/A"/>
    <e v="#N/A"/>
    <x v="0"/>
    <x v="3"/>
    <x v="0"/>
  </r>
  <r>
    <s v="192.168.100.2"/>
    <x v="1294"/>
    <s v="157.55.56.169"/>
    <x v="116"/>
    <n v="3"/>
    <x v="49"/>
    <n v="3"/>
    <n v="194"/>
    <n v="0"/>
    <n v="0"/>
    <n v="221.375541"/>
    <n v="8.9904140000000208"/>
    <n v="172.62831277847701"/>
    <n v="0"/>
    <x v="92"/>
    <x v="183"/>
    <e v="#N/A"/>
    <e v="#N/A"/>
    <e v="#N/A"/>
    <e v="#N/A"/>
    <x v="0"/>
    <x v="3"/>
    <x v="4"/>
  </r>
  <r>
    <s v="192.168.100.2"/>
    <x v="1295"/>
    <s v="157.55.235.141"/>
    <x v="117"/>
    <n v="3"/>
    <x v="49"/>
    <n v="3"/>
    <n v="194"/>
    <n v="0"/>
    <n v="0"/>
    <n v="222.84565799999999"/>
    <n v="9.00031600000003"/>
    <n v="172.43838994097499"/>
    <n v="0"/>
    <x v="92"/>
    <x v="184"/>
    <e v="#N/A"/>
    <e v="#N/A"/>
    <e v="#N/A"/>
    <e v="#N/A"/>
    <x v="0"/>
    <x v="3"/>
    <x v="5"/>
  </r>
  <r>
    <s v="192.168.100.2"/>
    <x v="1296"/>
    <s v="157.55.235.140"/>
    <x v="229"/>
    <n v="3"/>
    <x v="49"/>
    <n v="3"/>
    <n v="194"/>
    <n v="0"/>
    <n v="0"/>
    <n v="223.245901"/>
    <n v="9.0001130000000007"/>
    <n v="172.44227933582599"/>
    <n v="0"/>
    <x v="92"/>
    <x v="185"/>
    <e v="#N/A"/>
    <e v="#N/A"/>
    <e v="#N/A"/>
    <e v="#N/A"/>
    <x v="0"/>
    <x v="3"/>
    <x v="0"/>
  </r>
  <r>
    <s v="192.168.100.2"/>
    <x v="1297"/>
    <s v="111.221.77.165"/>
    <x v="246"/>
    <n v="3"/>
    <x v="49"/>
    <n v="3"/>
    <n v="194"/>
    <n v="0"/>
    <n v="0"/>
    <n v="224.285864"/>
    <n v="9.0001399999999894"/>
    <n v="172.44176201703601"/>
    <n v="0"/>
    <x v="92"/>
    <x v="186"/>
    <e v="#N/A"/>
    <e v="#N/A"/>
    <e v="#N/A"/>
    <e v="#N/A"/>
    <x v="0"/>
    <x v="3"/>
    <x v="0"/>
  </r>
  <r>
    <s v="192.168.100.2"/>
    <x v="1298"/>
    <s v="157.55.235.141"/>
    <x v="116"/>
    <n v="3"/>
    <x v="49"/>
    <n v="3"/>
    <n v="194"/>
    <n v="0"/>
    <n v="0"/>
    <n v="224.46545800000001"/>
    <n v="9.0006449999999898"/>
    <n v="172.43208681155599"/>
    <n v="0"/>
    <x v="92"/>
    <x v="184"/>
    <e v="#N/A"/>
    <e v="#N/A"/>
    <e v="#N/A"/>
    <e v="#N/A"/>
    <x v="0"/>
    <x v="3"/>
    <x v="4"/>
  </r>
  <r>
    <s v="192.168.100.2"/>
    <x v="1299"/>
    <s v="157.55.235.140"/>
    <x v="117"/>
    <n v="3"/>
    <x v="49"/>
    <n v="3"/>
    <n v="194"/>
    <n v="0"/>
    <n v="0"/>
    <n v="224.86554599999999"/>
    <n v="8.9903610000000107"/>
    <n v="172.62933045736401"/>
    <n v="0"/>
    <x v="92"/>
    <x v="185"/>
    <e v="#N/A"/>
    <e v="#N/A"/>
    <e v="#N/A"/>
    <e v="#N/A"/>
    <x v="0"/>
    <x v="3"/>
    <x v="5"/>
  </r>
  <r>
    <s v="192.168.100.2"/>
    <x v="1300"/>
    <s v="111.221.77.165"/>
    <x v="117"/>
    <n v="3"/>
    <x v="49"/>
    <n v="3"/>
    <n v="194"/>
    <n v="0"/>
    <n v="0"/>
    <n v="225.90536900000001"/>
    <n v="9.0005500000000005"/>
    <n v="172.433906816806"/>
    <n v="0"/>
    <x v="92"/>
    <x v="186"/>
    <e v="#N/A"/>
    <e v="#N/A"/>
    <e v="#N/A"/>
    <e v="#N/A"/>
    <x v="0"/>
    <x v="3"/>
    <x v="5"/>
  </r>
  <r>
    <s v="192.168.100.2"/>
    <x v="1301"/>
    <s v="157.55.235.140"/>
    <x v="116"/>
    <n v="3"/>
    <x v="49"/>
    <n v="3"/>
    <n v="194"/>
    <n v="0"/>
    <n v="0"/>
    <n v="226.48547600000001"/>
    <n v="9.0003480000000007"/>
    <n v="172.43777685040601"/>
    <n v="0"/>
    <x v="92"/>
    <x v="185"/>
    <e v="#N/A"/>
    <e v="#N/A"/>
    <e v="#N/A"/>
    <e v="#N/A"/>
    <x v="0"/>
    <x v="3"/>
    <x v="4"/>
  </r>
  <r>
    <s v="192.168.100.2"/>
    <x v="1302"/>
    <s v="111.221.77.165"/>
    <x v="116"/>
    <n v="3"/>
    <x v="49"/>
    <n v="3"/>
    <n v="194"/>
    <n v="0"/>
    <n v="0"/>
    <n v="227.54790499999999"/>
    <n v="8.9579890000000297"/>
    <n v="173.253170996302"/>
    <n v="0"/>
    <x v="92"/>
    <x v="186"/>
    <e v="#N/A"/>
    <e v="#N/A"/>
    <e v="#N/A"/>
    <e v="#N/A"/>
    <x v="0"/>
    <x v="3"/>
    <x v="4"/>
  </r>
  <r>
    <s v="192.168.100.2"/>
    <x v="1303"/>
    <s v="78.46.49.23"/>
    <x v="117"/>
    <n v="3"/>
    <x v="49"/>
    <n v="3"/>
    <n v="194"/>
    <n v="0"/>
    <n v="0"/>
    <n v="234.76311100000001"/>
    <n v="8.9990359999999896"/>
    <n v="172.46291713912501"/>
    <n v="0"/>
    <x v="92"/>
    <x v="127"/>
    <e v="#N/A"/>
    <e v="#N/A"/>
    <e v="#N/A"/>
    <e v="#N/A"/>
    <x v="0"/>
    <x v="3"/>
    <x v="5"/>
  </r>
  <r>
    <s v="192.168.100.2"/>
    <x v="1304"/>
    <s v="91.190.218.51"/>
    <x v="223"/>
    <n v="3"/>
    <x v="49"/>
    <n v="3"/>
    <n v="194"/>
    <n v="0"/>
    <n v="0"/>
    <n v="235.776779"/>
    <n v="9.0000629999999795"/>
    <n v="172.443237341783"/>
    <n v="0"/>
    <x v="92"/>
    <x v="187"/>
    <e v="#N/A"/>
    <e v="#N/A"/>
    <e v="#N/A"/>
    <e v="#N/A"/>
    <x v="0"/>
    <x v="3"/>
    <x v="0"/>
  </r>
  <r>
    <s v="192.168.100.2"/>
    <x v="1305"/>
    <s v="78.46.49.23"/>
    <x v="116"/>
    <n v="3"/>
    <x v="49"/>
    <n v="3"/>
    <n v="194"/>
    <n v="0"/>
    <n v="0"/>
    <n v="236.76128800000001"/>
    <n v="9.0009149999999902"/>
    <n v="172.42691437481699"/>
    <n v="0"/>
    <x v="92"/>
    <x v="127"/>
    <e v="#N/A"/>
    <e v="#N/A"/>
    <e v="#N/A"/>
    <e v="#N/A"/>
    <x v="0"/>
    <x v="3"/>
    <x v="4"/>
  </r>
  <r>
    <s v="192.168.100.2"/>
    <x v="1306"/>
    <s v="91.190.218.51"/>
    <x v="117"/>
    <n v="3"/>
    <x v="49"/>
    <n v="3"/>
    <n v="194"/>
    <n v="0"/>
    <n v="0"/>
    <n v="237.39632399999999"/>
    <n v="9.0006800000000204"/>
    <n v="172.431416292991"/>
    <n v="0"/>
    <x v="92"/>
    <x v="187"/>
    <e v="#N/A"/>
    <e v="#N/A"/>
    <e v="#N/A"/>
    <e v="#N/A"/>
    <x v="0"/>
    <x v="3"/>
    <x v="5"/>
  </r>
  <r>
    <s v="192.168.100.2"/>
    <x v="1307"/>
    <s v="111.221.77.153"/>
    <x v="232"/>
    <n v="3"/>
    <x v="49"/>
    <n v="3"/>
    <n v="194"/>
    <n v="0"/>
    <n v="0"/>
    <n v="238.416775"/>
    <n v="9.0300750000000107"/>
    <n v="171.870111820776"/>
    <n v="0"/>
    <x v="92"/>
    <x v="188"/>
    <e v="#N/A"/>
    <e v="#N/A"/>
    <e v="#N/A"/>
    <e v="#N/A"/>
    <x v="0"/>
    <x v="3"/>
    <x v="0"/>
  </r>
  <r>
    <s v="192.168.100.2"/>
    <x v="1308"/>
    <s v="91.190.218.51"/>
    <x v="116"/>
    <n v="3"/>
    <x v="49"/>
    <n v="3"/>
    <n v="194"/>
    <n v="0"/>
    <n v="0"/>
    <n v="239.00752"/>
    <n v="9.0003340000000094"/>
    <n v="172.438045076994"/>
    <n v="0"/>
    <x v="92"/>
    <x v="187"/>
    <e v="#N/A"/>
    <e v="#N/A"/>
    <e v="#N/A"/>
    <e v="#N/A"/>
    <x v="0"/>
    <x v="3"/>
    <x v="4"/>
  </r>
  <r>
    <s v="192.168.100.2"/>
    <x v="1309"/>
    <s v="157.56.52.14"/>
    <x v="218"/>
    <n v="3"/>
    <x v="49"/>
    <n v="3"/>
    <n v="194"/>
    <n v="0"/>
    <n v="0"/>
    <n v="239.42792900000001"/>
    <n v="8.9990119999999898"/>
    <n v="172.46337709073001"/>
    <n v="0"/>
    <x v="92"/>
    <x v="189"/>
    <e v="#N/A"/>
    <e v="#N/A"/>
    <e v="#N/A"/>
    <e v="#N/A"/>
    <x v="0"/>
    <x v="3"/>
    <x v="0"/>
  </r>
  <r>
    <s v="192.168.100.2"/>
    <x v="1310"/>
    <s v="111.221.77.153"/>
    <x v="117"/>
    <n v="3"/>
    <x v="49"/>
    <n v="3"/>
    <n v="194"/>
    <n v="0"/>
    <n v="0"/>
    <n v="240.02735699999999"/>
    <n v="9.0306160000000109"/>
    <n v="171.859815543037"/>
    <n v="0"/>
    <x v="92"/>
    <x v="188"/>
    <e v="#N/A"/>
    <e v="#N/A"/>
    <e v="#N/A"/>
    <e v="#N/A"/>
    <x v="0"/>
    <x v="3"/>
    <x v="5"/>
  </r>
  <r>
    <s v="192.168.100.2"/>
    <x v="1311"/>
    <s v="111.221.77.150"/>
    <x v="224"/>
    <n v="3"/>
    <x v="49"/>
    <n v="3"/>
    <n v="194"/>
    <n v="0"/>
    <n v="0"/>
    <n v="240.45764500000001"/>
    <n v="9.0002909999999794"/>
    <n v="172.438868921016"/>
    <n v="0"/>
    <x v="92"/>
    <x v="190"/>
    <e v="#N/A"/>
    <e v="#N/A"/>
    <e v="#N/A"/>
    <e v="#N/A"/>
    <x v="0"/>
    <x v="3"/>
    <x v="0"/>
  </r>
  <r>
    <s v="192.168.100.2"/>
    <x v="1312"/>
    <s v="157.56.52.14"/>
    <x v="117"/>
    <n v="3"/>
    <x v="49"/>
    <n v="3"/>
    <n v="194"/>
    <n v="0"/>
    <n v="0"/>
    <n v="241.04722899999999"/>
    <n v="9.000731"/>
    <n v="172.430439260989"/>
    <n v="0"/>
    <x v="92"/>
    <x v="189"/>
    <e v="#N/A"/>
    <e v="#N/A"/>
    <e v="#N/A"/>
    <e v="#N/A"/>
    <x v="0"/>
    <x v="3"/>
    <x v="5"/>
  </r>
  <r>
    <s v="192.168.100.2"/>
    <x v="1313"/>
    <s v="111.221.77.153"/>
    <x v="116"/>
    <n v="3"/>
    <x v="49"/>
    <n v="3"/>
    <n v="194"/>
    <n v="0"/>
    <n v="0"/>
    <n v="241.63728"/>
    <n v="9.0003900000000101"/>
    <n v="172.43697217565"/>
    <n v="0"/>
    <x v="92"/>
    <x v="188"/>
    <e v="#N/A"/>
    <e v="#N/A"/>
    <e v="#N/A"/>
    <e v="#N/A"/>
    <x v="0"/>
    <x v="3"/>
    <x v="4"/>
  </r>
  <r>
    <s v="192.168.100.2"/>
    <x v="1314"/>
    <s v="111.221.77.150"/>
    <x v="117"/>
    <n v="3"/>
    <x v="49"/>
    <n v="3"/>
    <n v="194"/>
    <n v="0"/>
    <n v="0"/>
    <n v="242.07744700000001"/>
    <n v="9.0004480000000093"/>
    <n v="172.435860970476"/>
    <n v="0"/>
    <x v="92"/>
    <x v="190"/>
    <e v="#N/A"/>
    <e v="#N/A"/>
    <e v="#N/A"/>
    <e v="#N/A"/>
    <x v="0"/>
    <x v="3"/>
    <x v="5"/>
  </r>
  <r>
    <s v="192.168.100.2"/>
    <x v="1315"/>
    <s v="157.56.52.14"/>
    <x v="116"/>
    <n v="3"/>
    <x v="49"/>
    <n v="3"/>
    <n v="194"/>
    <n v="0"/>
    <n v="0"/>
    <n v="242.65731600000001"/>
    <n v="9.0025369999999896"/>
    <n v="172.39584797041101"/>
    <n v="0"/>
    <x v="92"/>
    <x v="189"/>
    <e v="#N/A"/>
    <e v="#N/A"/>
    <e v="#N/A"/>
    <e v="#N/A"/>
    <x v="0"/>
    <x v="3"/>
    <x v="4"/>
  </r>
  <r>
    <s v="192.168.100.2"/>
    <x v="1316"/>
    <s v="111.221.77.150"/>
    <x v="116"/>
    <n v="3"/>
    <x v="49"/>
    <n v="3"/>
    <n v="194"/>
    <n v="0"/>
    <n v="0"/>
    <n v="243.68742399999999"/>
    <n v="9.0302410000000197"/>
    <n v="171.86695238809199"/>
    <n v="0"/>
    <x v="92"/>
    <x v="190"/>
    <e v="#N/A"/>
    <e v="#N/A"/>
    <e v="#N/A"/>
    <e v="#N/A"/>
    <x v="0"/>
    <x v="3"/>
    <x v="4"/>
  </r>
  <r>
    <s v="192.168.100.2"/>
    <x v="1317"/>
    <s v="85.25.103.30"/>
    <x v="117"/>
    <n v="3"/>
    <x v="49"/>
    <n v="3"/>
    <n v="194"/>
    <n v="0"/>
    <n v="0"/>
    <n v="250.76113699999999"/>
    <n v="9.0011750000000195"/>
    <n v="172.42193380308601"/>
    <n v="0"/>
    <x v="92"/>
    <x v="131"/>
    <e v="#N/A"/>
    <e v="#N/A"/>
    <e v="#N/A"/>
    <e v="#N/A"/>
    <x v="0"/>
    <x v="3"/>
    <x v="5"/>
  </r>
  <r>
    <s v="192.168.100.2"/>
    <x v="1318"/>
    <s v="85.25.103.30"/>
    <x v="116"/>
    <n v="3"/>
    <x v="49"/>
    <n v="3"/>
    <n v="194"/>
    <n v="0"/>
    <n v="0"/>
    <n v="252.76109299999999"/>
    <n v="9.0012660000000206"/>
    <n v="172.420190670956"/>
    <n v="0"/>
    <x v="92"/>
    <x v="131"/>
    <e v="#N/A"/>
    <e v="#N/A"/>
    <e v="#N/A"/>
    <e v="#N/A"/>
    <x v="0"/>
    <x v="3"/>
    <x v="4"/>
  </r>
  <r>
    <s v="192.168.100.2"/>
    <x v="1319"/>
    <s v="91.190.218.59"/>
    <x v="223"/>
    <n v="3"/>
    <x v="49"/>
    <n v="3"/>
    <n v="194"/>
    <n v="0"/>
    <n v="0"/>
    <n v="287.79367400000001"/>
    <n v="9.0000069999999806"/>
    <n v="172.44431032109199"/>
    <n v="0"/>
    <x v="92"/>
    <x v="191"/>
    <e v="#N/A"/>
    <e v="#N/A"/>
    <e v="#N/A"/>
    <e v="#N/A"/>
    <x v="0"/>
    <x v="3"/>
    <x v="0"/>
  </r>
  <r>
    <s v="192.168.100.2"/>
    <x v="1320"/>
    <s v="91.190.218.59"/>
    <x v="117"/>
    <n v="3"/>
    <x v="49"/>
    <n v="3"/>
    <n v="194"/>
    <n v="0"/>
    <n v="0"/>
    <n v="289.41313200000002"/>
    <n v="9.0005719999999805"/>
    <n v="172.433485338488"/>
    <n v="0"/>
    <x v="92"/>
    <x v="191"/>
    <e v="#N/A"/>
    <e v="#N/A"/>
    <e v="#N/A"/>
    <e v="#N/A"/>
    <x v="0"/>
    <x v="3"/>
    <x v="5"/>
  </r>
  <r>
    <s v="192.168.100.2"/>
    <x v="1321"/>
    <s v="91.190.218.59"/>
    <x v="116"/>
    <n v="3"/>
    <x v="49"/>
    <n v="3"/>
    <n v="194"/>
    <n v="0"/>
    <n v="0"/>
    <n v="291.03304400000002"/>
    <n v="9.0005539999999709"/>
    <n v="172.43383018423199"/>
    <n v="0"/>
    <x v="92"/>
    <x v="191"/>
    <e v="#N/A"/>
    <e v="#N/A"/>
    <e v="#N/A"/>
    <e v="#N/A"/>
    <x v="0"/>
    <x v="3"/>
    <x v="4"/>
  </r>
  <r>
    <s v="192.168.100.2"/>
    <x v="1322"/>
    <s v="103.43.75.140"/>
    <x v="117"/>
    <n v="3"/>
    <x v="49"/>
    <n v="3"/>
    <n v="194"/>
    <n v="0"/>
    <n v="0"/>
    <n v="312.50470200000001"/>
    <n v="8.9908140000000003"/>
    <n v="172.62063257008799"/>
    <n v="0"/>
    <x v="92"/>
    <x v="118"/>
    <e v="#N/A"/>
    <e v="#N/A"/>
    <e v="#N/A"/>
    <e v="#N/A"/>
    <x v="0"/>
    <x v="3"/>
    <x v="5"/>
  </r>
  <r>
    <s v="192.168.100.2"/>
    <x v="1323"/>
    <s v="103.43.75.140"/>
    <x v="116"/>
    <n v="3"/>
    <x v="49"/>
    <n v="3"/>
    <n v="194"/>
    <n v="0"/>
    <n v="0"/>
    <n v="314.49585200000001"/>
    <n v="9.0096830000000008"/>
    <n v="172.25911277899601"/>
    <n v="0"/>
    <x v="92"/>
    <x v="118"/>
    <e v="#N/A"/>
    <e v="#N/A"/>
    <e v="#N/A"/>
    <e v="#N/A"/>
    <x v="0"/>
    <x v="3"/>
    <x v="4"/>
  </r>
  <r>
    <s v="192.168.100.2"/>
    <x v="1324"/>
    <s v="78.46.49.23"/>
    <x v="117"/>
    <n v="3"/>
    <x v="49"/>
    <n v="3"/>
    <n v="194"/>
    <n v="0"/>
    <n v="0"/>
    <n v="328.527672"/>
    <n v="8.9997180000000299"/>
    <n v="172.44984787301101"/>
    <n v="0"/>
    <x v="92"/>
    <x v="127"/>
    <e v="#N/A"/>
    <e v="#N/A"/>
    <e v="#N/A"/>
    <e v="#N/A"/>
    <x v="0"/>
    <x v="3"/>
    <x v="5"/>
  </r>
  <r>
    <s v="192.168.100.2"/>
    <x v="1325"/>
    <s v="78.46.49.23"/>
    <x v="116"/>
    <n v="3"/>
    <x v="49"/>
    <n v="3"/>
    <n v="194"/>
    <n v="0"/>
    <n v="0"/>
    <n v="330.52778499999999"/>
    <n v="8.9990389999999802"/>
    <n v="172.46285964534701"/>
    <n v="0"/>
    <x v="92"/>
    <x v="127"/>
    <e v="#N/A"/>
    <e v="#N/A"/>
    <e v="#N/A"/>
    <e v="#N/A"/>
    <x v="0"/>
    <x v="3"/>
    <x v="4"/>
  </r>
  <r>
    <s v="192.168.100.2"/>
    <x v="1326"/>
    <s v="111.221.77.146"/>
    <x v="226"/>
    <n v="3"/>
    <x v="49"/>
    <n v="3"/>
    <n v="194"/>
    <n v="0"/>
    <n v="0"/>
    <n v="332.85863499999999"/>
    <n v="8.9988660000000191"/>
    <n v="172.46617518251699"/>
    <n v="0"/>
    <x v="92"/>
    <x v="192"/>
    <e v="#N/A"/>
    <e v="#N/A"/>
    <e v="#N/A"/>
    <e v="#N/A"/>
    <x v="0"/>
    <x v="3"/>
    <x v="0"/>
  </r>
  <r>
    <s v="192.168.100.2"/>
    <x v="1327"/>
    <s v="111.221.77.146"/>
    <x v="117"/>
    <n v="3"/>
    <x v="49"/>
    <n v="3"/>
    <n v="194"/>
    <n v="0"/>
    <n v="0"/>
    <n v="334.47788700000001"/>
    <n v="8.9995339999999793"/>
    <n v="172.453373696905"/>
    <n v="0"/>
    <x v="92"/>
    <x v="192"/>
    <e v="#N/A"/>
    <e v="#N/A"/>
    <e v="#N/A"/>
    <e v="#N/A"/>
    <x v="0"/>
    <x v="3"/>
    <x v="5"/>
  </r>
  <r>
    <s v="192.168.100.2"/>
    <x v="1328"/>
    <s v="111.221.77.146"/>
    <x v="116"/>
    <n v="3"/>
    <x v="49"/>
    <n v="3"/>
    <n v="194"/>
    <n v="0"/>
    <n v="0"/>
    <n v="336.09790700000002"/>
    <n v="9.0004819999999803"/>
    <n v="172.43520958099799"/>
    <n v="0"/>
    <x v="92"/>
    <x v="192"/>
    <e v="#N/A"/>
    <e v="#N/A"/>
    <e v="#N/A"/>
    <e v="#N/A"/>
    <x v="0"/>
    <x v="3"/>
    <x v="4"/>
  </r>
  <r>
    <s v="192.168.100.2"/>
    <x v="1329"/>
    <s v="85.25.103.30"/>
    <x v="117"/>
    <n v="3"/>
    <x v="49"/>
    <n v="3"/>
    <n v="194"/>
    <n v="0"/>
    <n v="0"/>
    <n v="344.53837800000002"/>
    <n v="9.0056080000000005"/>
    <n v="172.337059307934"/>
    <n v="0"/>
    <x v="92"/>
    <x v="131"/>
    <e v="#N/A"/>
    <e v="#N/A"/>
    <e v="#N/A"/>
    <e v="#N/A"/>
    <x v="0"/>
    <x v="3"/>
    <x v="5"/>
  </r>
  <r>
    <s v="192.168.100.2"/>
    <x v="1330"/>
    <s v="85.25.103.30"/>
    <x v="116"/>
    <n v="3"/>
    <x v="49"/>
    <n v="3"/>
    <n v="194"/>
    <n v="0"/>
    <n v="0"/>
    <n v="346.53857900000003"/>
    <n v="9.0111309999999794"/>
    <n v="172.23143243617301"/>
    <n v="0"/>
    <x v="92"/>
    <x v="131"/>
    <e v="#N/A"/>
    <e v="#N/A"/>
    <e v="#N/A"/>
    <e v="#N/A"/>
    <x v="0"/>
    <x v="3"/>
    <x v="4"/>
  </r>
  <r>
    <s v="192.168.100.2"/>
    <x v="1331"/>
    <s v="157.55.130.174"/>
    <x v="245"/>
    <n v="3"/>
    <x v="49"/>
    <n v="3"/>
    <n v="194"/>
    <n v="0"/>
    <n v="0"/>
    <n v="347.861133"/>
    <n v="8.9961400000000307"/>
    <n v="172.51843568463801"/>
    <n v="0"/>
    <x v="92"/>
    <x v="193"/>
    <e v="#N/A"/>
    <e v="#N/A"/>
    <e v="#N/A"/>
    <e v="#N/A"/>
    <x v="0"/>
    <x v="3"/>
    <x v="0"/>
  </r>
  <r>
    <s v="192.168.100.2"/>
    <x v="1332"/>
    <s v="157.55.56.176"/>
    <x v="217"/>
    <n v="3"/>
    <x v="49"/>
    <n v="3"/>
    <n v="194"/>
    <n v="0"/>
    <n v="0"/>
    <n v="347.862098"/>
    <n v="8.9951780000000099"/>
    <n v="172.53688587374199"/>
    <n v="0"/>
    <x v="92"/>
    <x v="194"/>
    <e v="#N/A"/>
    <e v="#N/A"/>
    <e v="#N/A"/>
    <e v="#N/A"/>
    <x v="0"/>
    <x v="3"/>
    <x v="0"/>
  </r>
  <r>
    <s v="192.168.100.2"/>
    <x v="1333"/>
    <s v="157.55.130.174"/>
    <x v="117"/>
    <n v="3"/>
    <x v="49"/>
    <n v="3"/>
    <n v="194"/>
    <n v="0"/>
    <n v="0"/>
    <n v="349.47873700000002"/>
    <n v="8.9996989999999606"/>
    <n v="172.450211945978"/>
    <n v="0"/>
    <x v="92"/>
    <x v="193"/>
    <e v="#N/A"/>
    <e v="#N/A"/>
    <e v="#N/A"/>
    <e v="#N/A"/>
    <x v="0"/>
    <x v="3"/>
    <x v="5"/>
  </r>
  <r>
    <s v="192.168.100.2"/>
    <x v="1334"/>
    <s v="157.55.56.176"/>
    <x v="117"/>
    <n v="3"/>
    <x v="49"/>
    <n v="3"/>
    <n v="194"/>
    <n v="0"/>
    <n v="0"/>
    <n v="349.47873900000002"/>
    <n v="8.9996939999999803"/>
    <n v="172.45030775490901"/>
    <n v="0"/>
    <x v="92"/>
    <x v="194"/>
    <e v="#N/A"/>
    <e v="#N/A"/>
    <e v="#N/A"/>
    <e v="#N/A"/>
    <x v="0"/>
    <x v="3"/>
    <x v="5"/>
  </r>
  <r>
    <s v="192.168.100.2"/>
    <x v="1335"/>
    <s v="157.55.130.174"/>
    <x v="116"/>
    <n v="3"/>
    <x v="49"/>
    <n v="3"/>
    <n v="194"/>
    <n v="0"/>
    <n v="0"/>
    <n v="351.08874500000002"/>
    <n v="8.9994769999999598"/>
    <n v="172.45446596507901"/>
    <n v="0"/>
    <x v="92"/>
    <x v="193"/>
    <e v="#N/A"/>
    <e v="#N/A"/>
    <e v="#N/A"/>
    <e v="#N/A"/>
    <x v="0"/>
    <x v="3"/>
    <x v="4"/>
  </r>
  <r>
    <s v="192.168.100.2"/>
    <x v="1336"/>
    <s v="157.55.56.176"/>
    <x v="116"/>
    <n v="3"/>
    <x v="49"/>
    <n v="3"/>
    <n v="194"/>
    <n v="0"/>
    <n v="0"/>
    <n v="351.08874900000001"/>
    <n v="8.9994750000000199"/>
    <n v="172.45450429052801"/>
    <n v="0"/>
    <x v="92"/>
    <x v="194"/>
    <e v="#N/A"/>
    <e v="#N/A"/>
    <e v="#N/A"/>
    <e v="#N/A"/>
    <x v="0"/>
    <x v="3"/>
    <x v="4"/>
  </r>
  <r>
    <s v="192.168.100.2"/>
    <x v="1337"/>
    <s v="91.190.219.44"/>
    <x v="223"/>
    <n v="3"/>
    <x v="49"/>
    <n v="3"/>
    <n v="194"/>
    <n v="0"/>
    <n v="0"/>
    <n v="359.81068399999998"/>
    <n v="8.9991810000000196"/>
    <n v="172.46013831703101"/>
    <n v="0"/>
    <x v="92"/>
    <x v="195"/>
    <e v="#N/A"/>
    <e v="#N/A"/>
    <e v="#N/A"/>
    <e v="#N/A"/>
    <x v="0"/>
    <x v="3"/>
    <x v="0"/>
  </r>
  <r>
    <s v="192.168.100.2"/>
    <x v="1338"/>
    <s v="157.56.52.21"/>
    <x v="247"/>
    <n v="3"/>
    <x v="49"/>
    <n v="3"/>
    <n v="194"/>
    <n v="0"/>
    <n v="0"/>
    <n v="360.02174500000001"/>
    <n v="8.9975139999999705"/>
    <n v="172.49209059302399"/>
    <n v="0"/>
    <x v="92"/>
    <x v="196"/>
    <e v="#N/A"/>
    <e v="#N/A"/>
    <e v="#N/A"/>
    <e v="#N/A"/>
    <x v="0"/>
    <x v="3"/>
    <x v="0"/>
  </r>
  <r>
    <s v="192.168.100.2"/>
    <x v="1339"/>
    <s v="91.190.219.44"/>
    <x v="117"/>
    <n v="3"/>
    <x v="49"/>
    <n v="3"/>
    <n v="194"/>
    <n v="0"/>
    <n v="0"/>
    <n v="361.43059599999998"/>
    <n v="8.9996710000000295"/>
    <n v="172.45074847736001"/>
    <n v="0"/>
    <x v="92"/>
    <x v="195"/>
    <e v="#N/A"/>
    <e v="#N/A"/>
    <e v="#N/A"/>
    <e v="#N/A"/>
    <x v="0"/>
    <x v="3"/>
    <x v="5"/>
  </r>
  <r>
    <s v="192.168.100.2"/>
    <x v="1340"/>
    <s v="157.56.52.21"/>
    <x v="117"/>
    <n v="3"/>
    <x v="49"/>
    <n v="3"/>
    <n v="194"/>
    <n v="0"/>
    <n v="0"/>
    <n v="361.63968399999999"/>
    <n v="9.0007070000000304"/>
    <n v="172.43089903937499"/>
    <n v="0"/>
    <x v="92"/>
    <x v="196"/>
    <e v="#N/A"/>
    <e v="#N/A"/>
    <e v="#N/A"/>
    <e v="#N/A"/>
    <x v="0"/>
    <x v="3"/>
    <x v="5"/>
  </r>
  <r>
    <s v="192.168.100.2"/>
    <x v="1341"/>
    <s v="91.190.219.44"/>
    <x v="116"/>
    <n v="3"/>
    <x v="49"/>
    <n v="3"/>
    <n v="194"/>
    <n v="0"/>
    <n v="0"/>
    <n v="363.03982999999999"/>
    <n v="9.0005050000000306"/>
    <n v="172.434768937965"/>
    <n v="0"/>
    <x v="92"/>
    <x v="195"/>
    <e v="#N/A"/>
    <e v="#N/A"/>
    <e v="#N/A"/>
    <e v="#N/A"/>
    <x v="0"/>
    <x v="3"/>
    <x v="4"/>
  </r>
  <r>
    <s v="192.168.100.2"/>
    <x v="1342"/>
    <s v="157.56.52.21"/>
    <x v="116"/>
    <n v="3"/>
    <x v="49"/>
    <n v="3"/>
    <n v="194"/>
    <n v="0"/>
    <n v="0"/>
    <n v="363.24986200000001"/>
    <n v="9.0003770000000092"/>
    <n v="172.437221240843"/>
    <n v="0"/>
    <x v="92"/>
    <x v="196"/>
    <e v="#N/A"/>
    <e v="#N/A"/>
    <e v="#N/A"/>
    <e v="#N/A"/>
    <x v="0"/>
    <x v="3"/>
    <x v="4"/>
  </r>
  <r>
    <s v="192.168.100.2"/>
    <x v="1343"/>
    <s v="64.4.23.170"/>
    <x v="229"/>
    <n v="3"/>
    <x v="49"/>
    <n v="3"/>
    <n v="194"/>
    <n v="0"/>
    <n v="0"/>
    <n v="374.09278799999998"/>
    <n v="9.1829900000000197"/>
    <n v="169.008133516425"/>
    <n v="0"/>
    <x v="92"/>
    <x v="197"/>
    <e v="#N/A"/>
    <e v="#N/A"/>
    <e v="#N/A"/>
    <e v="#N/A"/>
    <x v="0"/>
    <x v="3"/>
    <x v="0"/>
  </r>
  <r>
    <s v="192.168.100.2"/>
    <x v="1344"/>
    <s v="157.56.52.37"/>
    <x v="236"/>
    <n v="3"/>
    <x v="49"/>
    <n v="3"/>
    <n v="194"/>
    <n v="0"/>
    <n v="0"/>
    <n v="374.09388999999999"/>
    <n v="9.1818910000000091"/>
    <n v="169.028362458234"/>
    <n v="0"/>
    <x v="92"/>
    <x v="198"/>
    <e v="#N/A"/>
    <e v="#N/A"/>
    <e v="#N/A"/>
    <e v="#N/A"/>
    <x v="0"/>
    <x v="3"/>
    <x v="0"/>
  </r>
  <r>
    <s v="192.168.100.2"/>
    <x v="1345"/>
    <s v="64.4.23.170"/>
    <x v="117"/>
    <n v="3"/>
    <x v="49"/>
    <n v="3"/>
    <n v="194"/>
    <n v="0"/>
    <n v="0"/>
    <n v="375.71106400000002"/>
    <n v="9.1232919999999904"/>
    <n v="170.11403339934799"/>
    <n v="0"/>
    <x v="92"/>
    <x v="197"/>
    <e v="#N/A"/>
    <e v="#N/A"/>
    <e v="#N/A"/>
    <e v="#N/A"/>
    <x v="0"/>
    <x v="3"/>
    <x v="5"/>
  </r>
  <r>
    <s v="192.168.100.2"/>
    <x v="1346"/>
    <s v="157.56.52.37"/>
    <x v="117"/>
    <n v="3"/>
    <x v="49"/>
    <n v="3"/>
    <n v="194"/>
    <n v="0"/>
    <n v="0"/>
    <n v="375.71106700000001"/>
    <n v="9.1232880000000005"/>
    <n v="170.11410798387601"/>
    <n v="0"/>
    <x v="92"/>
    <x v="198"/>
    <e v="#N/A"/>
    <e v="#N/A"/>
    <e v="#N/A"/>
    <e v="#N/A"/>
    <x v="0"/>
    <x v="3"/>
    <x v="5"/>
  </r>
  <r>
    <s v="192.168.100.2"/>
    <x v="1347"/>
    <s v="64.4.23.170"/>
    <x v="116"/>
    <n v="3"/>
    <x v="49"/>
    <n v="3"/>
    <n v="194"/>
    <n v="0"/>
    <n v="0"/>
    <n v="377.33080000000001"/>
    <n v="8.9992780000000003"/>
    <n v="172.45827943086101"/>
    <n v="0"/>
    <x v="92"/>
    <x v="197"/>
    <e v="#N/A"/>
    <e v="#N/A"/>
    <e v="#N/A"/>
    <e v="#N/A"/>
    <x v="0"/>
    <x v="3"/>
    <x v="4"/>
  </r>
  <r>
    <s v="192.168.100.2"/>
    <x v="1348"/>
    <s v="157.56.52.37"/>
    <x v="116"/>
    <n v="3"/>
    <x v="49"/>
    <n v="3"/>
    <n v="194"/>
    <n v="0"/>
    <n v="0"/>
    <n v="377.330804"/>
    <n v="8.99927700000001"/>
    <n v="172.458298594431"/>
    <n v="0"/>
    <x v="92"/>
    <x v="198"/>
    <e v="#N/A"/>
    <e v="#N/A"/>
    <e v="#N/A"/>
    <e v="#N/A"/>
    <x v="0"/>
    <x v="3"/>
    <x v="4"/>
  </r>
  <r>
    <s v="192.168.100.2"/>
    <x v="1349"/>
    <s v="65.55.223.31"/>
    <x v="248"/>
    <n v="3"/>
    <x v="49"/>
    <n v="3"/>
    <n v="194"/>
    <n v="0"/>
    <n v="0"/>
    <n v="386.237438"/>
    <n v="8.9146390000000206"/>
    <n v="174.09566444586201"/>
    <n v="0"/>
    <x v="92"/>
    <x v="199"/>
    <e v="#N/A"/>
    <e v="#N/A"/>
    <e v="#N/A"/>
    <e v="#N/A"/>
    <x v="0"/>
    <x v="3"/>
    <x v="0"/>
  </r>
  <r>
    <s v="192.168.100.2"/>
    <x v="1350"/>
    <s v="65.55.223.31"/>
    <x v="117"/>
    <n v="3"/>
    <x v="49"/>
    <n v="3"/>
    <n v="194"/>
    <n v="0"/>
    <n v="0"/>
    <n v="387.77174000000002"/>
    <n v="9.0006019999999598"/>
    <n v="172.432910598647"/>
    <n v="0"/>
    <x v="92"/>
    <x v="199"/>
    <e v="#N/A"/>
    <e v="#N/A"/>
    <e v="#N/A"/>
    <e v="#N/A"/>
    <x v="0"/>
    <x v="3"/>
    <x v="5"/>
  </r>
  <r>
    <s v="192.168.100.2"/>
    <x v="1351"/>
    <s v="65.55.223.31"/>
    <x v="116"/>
    <n v="3"/>
    <x v="49"/>
    <n v="3"/>
    <n v="194"/>
    <n v="0"/>
    <n v="0"/>
    <n v="389.39162399999998"/>
    <n v="9.0003890000000393"/>
    <n v="172.43699133448499"/>
    <n v="0"/>
    <x v="92"/>
    <x v="199"/>
    <e v="#N/A"/>
    <e v="#N/A"/>
    <e v="#N/A"/>
    <e v="#N/A"/>
    <x v="0"/>
    <x v="3"/>
    <x v="4"/>
  </r>
  <r>
    <s v="192.168.100.2"/>
    <x v="1352"/>
    <s v="157.56.52.34"/>
    <x v="224"/>
    <n v="3"/>
    <x v="49"/>
    <n v="3"/>
    <n v="194"/>
    <n v="0"/>
    <n v="0"/>
    <n v="400.28421700000001"/>
    <n v="8.9977349999999792"/>
    <n v="172.487853887673"/>
    <n v="0"/>
    <x v="92"/>
    <x v="200"/>
    <e v="#N/A"/>
    <e v="#N/A"/>
    <e v="#N/A"/>
    <e v="#N/A"/>
    <x v="0"/>
    <x v="3"/>
    <x v="0"/>
  </r>
  <r>
    <s v="192.168.100.2"/>
    <x v="1353"/>
    <s v="157.56.52.25"/>
    <x v="243"/>
    <n v="3"/>
    <x v="49"/>
    <n v="3"/>
    <n v="194"/>
    <n v="0"/>
    <n v="0"/>
    <n v="400.285326"/>
    <n v="8.9966289999999791"/>
    <n v="172.509058670754"/>
    <n v="0"/>
    <x v="92"/>
    <x v="201"/>
    <e v="#N/A"/>
    <e v="#N/A"/>
    <e v="#N/A"/>
    <e v="#N/A"/>
    <x v="0"/>
    <x v="3"/>
    <x v="0"/>
  </r>
  <r>
    <s v="192.168.100.2"/>
    <x v="1354"/>
    <s v="157.56.52.34"/>
    <x v="117"/>
    <n v="3"/>
    <x v="49"/>
    <n v="3"/>
    <n v="194"/>
    <n v="0"/>
    <n v="0"/>
    <n v="401.931892"/>
    <n v="8.9701850000000096"/>
    <n v="173.017613349111"/>
    <n v="0"/>
    <x v="92"/>
    <x v="200"/>
    <e v="#N/A"/>
    <e v="#N/A"/>
    <e v="#N/A"/>
    <e v="#N/A"/>
    <x v="0"/>
    <x v="3"/>
    <x v="5"/>
  </r>
  <r>
    <s v="192.168.100.2"/>
    <x v="1355"/>
    <s v="157.56.52.25"/>
    <x v="117"/>
    <n v="3"/>
    <x v="49"/>
    <n v="3"/>
    <n v="194"/>
    <n v="0"/>
    <n v="0"/>
    <n v="401.931895"/>
    <n v="8.9701779999999793"/>
    <n v="173.017748365752"/>
    <n v="0"/>
    <x v="92"/>
    <x v="201"/>
    <e v="#N/A"/>
    <e v="#N/A"/>
    <e v="#N/A"/>
    <e v="#N/A"/>
    <x v="0"/>
    <x v="3"/>
    <x v="5"/>
  </r>
  <r>
    <s v="192.168.100.2"/>
    <x v="1356"/>
    <s v="157.56.52.34"/>
    <x v="116"/>
    <n v="3"/>
    <x v="49"/>
    <n v="3"/>
    <n v="194"/>
    <n v="0"/>
    <n v="0"/>
    <n v="403.522966"/>
    <n v="8.9990870000000296"/>
    <n v="172.46193975010999"/>
    <n v="0"/>
    <x v="92"/>
    <x v="200"/>
    <e v="#N/A"/>
    <e v="#N/A"/>
    <e v="#N/A"/>
    <e v="#N/A"/>
    <x v="0"/>
    <x v="3"/>
    <x v="4"/>
  </r>
  <r>
    <s v="192.168.100.2"/>
    <x v="1357"/>
    <s v="157.56.52.25"/>
    <x v="116"/>
    <n v="3"/>
    <x v="49"/>
    <n v="3"/>
    <n v="194"/>
    <n v="0"/>
    <n v="0"/>
    <n v="403.52296899999999"/>
    <n v="8.9990870000000296"/>
    <n v="172.46193975010999"/>
    <n v="0"/>
    <x v="92"/>
    <x v="201"/>
    <e v="#N/A"/>
    <e v="#N/A"/>
    <e v="#N/A"/>
    <e v="#N/A"/>
    <x v="0"/>
    <x v="3"/>
    <x v="4"/>
  </r>
  <r>
    <s v="192.168.100.2"/>
    <x v="1358"/>
    <s v="103.43.75.140"/>
    <x v="117"/>
    <n v="3"/>
    <x v="49"/>
    <n v="3"/>
    <n v="194"/>
    <n v="0"/>
    <n v="0"/>
    <n v="404.30325499999998"/>
    <n v="8.9997500000000095"/>
    <n v="172.44923470096401"/>
    <n v="0"/>
    <x v="92"/>
    <x v="118"/>
    <e v="#N/A"/>
    <e v="#N/A"/>
    <e v="#N/A"/>
    <e v="#N/A"/>
    <x v="0"/>
    <x v="3"/>
    <x v="5"/>
  </r>
  <r>
    <s v="192.168.100.2"/>
    <x v="1359"/>
    <s v="103.43.75.140"/>
    <x v="116"/>
    <n v="3"/>
    <x v="49"/>
    <n v="3"/>
    <n v="194"/>
    <n v="0"/>
    <n v="0"/>
    <n v="406.30287099999998"/>
    <n v="9.00014500000003"/>
    <n v="172.44166621759899"/>
    <n v="0"/>
    <x v="92"/>
    <x v="118"/>
    <e v="#N/A"/>
    <e v="#N/A"/>
    <e v="#N/A"/>
    <e v="#N/A"/>
    <x v="0"/>
    <x v="3"/>
    <x v="4"/>
  </r>
  <r>
    <s v="192.168.100.2"/>
    <x v="1360"/>
    <s v="91.190.218.66"/>
    <x v="223"/>
    <n v="3"/>
    <x v="49"/>
    <n v="3"/>
    <n v="194"/>
    <n v="0"/>
    <n v="0"/>
    <n v="410.84405700000002"/>
    <n v="8.9989809999999597"/>
    <n v="172.46397119851801"/>
    <n v="0"/>
    <x v="92"/>
    <x v="202"/>
    <e v="#N/A"/>
    <e v="#N/A"/>
    <e v="#N/A"/>
    <e v="#N/A"/>
    <x v="0"/>
    <x v="3"/>
    <x v="0"/>
  </r>
  <r>
    <s v="192.168.100.2"/>
    <x v="1361"/>
    <s v="111.221.77.176"/>
    <x v="235"/>
    <n v="3"/>
    <x v="49"/>
    <n v="3"/>
    <n v="194"/>
    <n v="0"/>
    <n v="0"/>
    <n v="412.42506200000003"/>
    <n v="8.9989779999999708"/>
    <n v="172.46402869303699"/>
    <n v="0"/>
    <x v="92"/>
    <x v="203"/>
    <e v="#N/A"/>
    <e v="#N/A"/>
    <e v="#N/A"/>
    <e v="#N/A"/>
    <x v="0"/>
    <x v="3"/>
    <x v="0"/>
  </r>
  <r>
    <s v="192.168.100.2"/>
    <x v="1362"/>
    <s v="91.190.218.66"/>
    <x v="117"/>
    <n v="3"/>
    <x v="49"/>
    <n v="3"/>
    <n v="194"/>
    <n v="0"/>
    <n v="0"/>
    <n v="412.463302"/>
    <n v="9.0006769999999996"/>
    <n v="172.431473765807"/>
    <n v="0"/>
    <x v="92"/>
    <x v="202"/>
    <e v="#N/A"/>
    <e v="#N/A"/>
    <e v="#N/A"/>
    <e v="#N/A"/>
    <x v="0"/>
    <x v="3"/>
    <x v="5"/>
  </r>
  <r>
    <s v="192.168.100.2"/>
    <x v="1363"/>
    <s v="111.221.77.176"/>
    <x v="117"/>
    <n v="3"/>
    <x v="49"/>
    <n v="3"/>
    <n v="194"/>
    <n v="0"/>
    <n v="0"/>
    <n v="414.04348099999999"/>
    <n v="9.0004220000000092"/>
    <n v="172.436359095162"/>
    <n v="0"/>
    <x v="92"/>
    <x v="203"/>
    <e v="#N/A"/>
    <e v="#N/A"/>
    <e v="#N/A"/>
    <e v="#N/A"/>
    <x v="0"/>
    <x v="3"/>
    <x v="5"/>
  </r>
  <r>
    <s v="192.168.100.2"/>
    <x v="1364"/>
    <s v="91.190.218.66"/>
    <x v="116"/>
    <n v="3"/>
    <x v="49"/>
    <n v="3"/>
    <n v="194"/>
    <n v="0"/>
    <n v="0"/>
    <n v="414.08336500000001"/>
    <n v="9.0006789999999892"/>
    <n v="172.43143545059201"/>
    <n v="0"/>
    <x v="92"/>
    <x v="202"/>
    <e v="#N/A"/>
    <e v="#N/A"/>
    <e v="#N/A"/>
    <e v="#N/A"/>
    <x v="0"/>
    <x v="3"/>
    <x v="4"/>
  </r>
  <r>
    <s v="192.168.100.2"/>
    <x v="1365"/>
    <s v="111.221.77.176"/>
    <x v="116"/>
    <n v="3"/>
    <x v="49"/>
    <n v="3"/>
    <n v="194"/>
    <n v="0"/>
    <n v="0"/>
    <n v="415.66356500000001"/>
    <n v="9.0003800000000105"/>
    <n v="172.43716376419599"/>
    <n v="0"/>
    <x v="92"/>
    <x v="203"/>
    <e v="#N/A"/>
    <e v="#N/A"/>
    <e v="#N/A"/>
    <e v="#N/A"/>
    <x v="0"/>
    <x v="3"/>
    <x v="4"/>
  </r>
  <r>
    <s v="192.168.100.2"/>
    <x v="1366"/>
    <s v="78.46.49.23"/>
    <x v="117"/>
    <n v="3"/>
    <x v="49"/>
    <n v="3"/>
    <n v="194"/>
    <n v="0"/>
    <n v="0"/>
    <n v="420.30521099999999"/>
    <n v="8.9987639999999907"/>
    <n v="172.468130067641"/>
    <n v="0"/>
    <x v="92"/>
    <x v="127"/>
    <e v="#N/A"/>
    <e v="#N/A"/>
    <e v="#N/A"/>
    <e v="#N/A"/>
    <x v="0"/>
    <x v="3"/>
    <x v="5"/>
  </r>
  <r>
    <s v="192.168.100.2"/>
    <x v="1367"/>
    <s v="78.46.49.23"/>
    <x v="116"/>
    <n v="3"/>
    <x v="49"/>
    <n v="3"/>
    <n v="194"/>
    <n v="0"/>
    <n v="0"/>
    <n v="422.33343600000001"/>
    <n v="8.9804399999999909"/>
    <n v="172.82003999803999"/>
    <n v="0"/>
    <x v="92"/>
    <x v="127"/>
    <e v="#N/A"/>
    <e v="#N/A"/>
    <e v="#N/A"/>
    <e v="#N/A"/>
    <x v="0"/>
    <x v="3"/>
    <x v="4"/>
  </r>
  <r>
    <s v="192.168.100.2"/>
    <x v="1368"/>
    <s v="157.55.56.156"/>
    <x v="218"/>
    <n v="3"/>
    <x v="49"/>
    <n v="3"/>
    <n v="194"/>
    <n v="0"/>
    <n v="0"/>
    <n v="426.57599699999997"/>
    <n v="8.9979110000000393"/>
    <n v="172.48448000874799"/>
    <n v="0"/>
    <x v="92"/>
    <x v="114"/>
    <e v="#N/A"/>
    <e v="#N/A"/>
    <e v="#N/A"/>
    <e v="#N/A"/>
    <x v="0"/>
    <x v="3"/>
    <x v="0"/>
  </r>
  <r>
    <s v="192.168.100.2"/>
    <x v="1369"/>
    <s v="157.55.235.176"/>
    <x v="217"/>
    <n v="3"/>
    <x v="49"/>
    <n v="3"/>
    <n v="194"/>
    <n v="0"/>
    <n v="0"/>
    <n v="426.577046"/>
    <n v="8.9968600000000301"/>
    <n v="172.504629392921"/>
    <n v="0"/>
    <x v="92"/>
    <x v="113"/>
    <e v="#N/A"/>
    <e v="#N/A"/>
    <e v="#N/A"/>
    <e v="#N/A"/>
    <x v="0"/>
    <x v="3"/>
    <x v="0"/>
  </r>
  <r>
    <s v="192.168.100.2"/>
    <x v="1370"/>
    <s v="157.55.56.156"/>
    <x v="117"/>
    <n v="3"/>
    <x v="49"/>
    <n v="3"/>
    <n v="194"/>
    <n v="0"/>
    <n v="0"/>
    <n v="428.22424699999999"/>
    <n v="8.9695360000000104"/>
    <n v="173.03013221642701"/>
    <n v="0"/>
    <x v="92"/>
    <x v="114"/>
    <e v="#N/A"/>
    <e v="#N/A"/>
    <e v="#N/A"/>
    <e v="#N/A"/>
    <x v="0"/>
    <x v="3"/>
    <x v="5"/>
  </r>
  <r>
    <s v="192.168.100.2"/>
    <x v="1371"/>
    <s v="157.55.235.176"/>
    <x v="117"/>
    <n v="3"/>
    <x v="49"/>
    <n v="3"/>
    <n v="194"/>
    <n v="0"/>
    <n v="0"/>
    <n v="428.22424899999999"/>
    <n v="8.9695320000000205"/>
    <n v="173.03020937993199"/>
    <n v="0"/>
    <x v="92"/>
    <x v="113"/>
    <e v="#N/A"/>
    <e v="#N/A"/>
    <e v="#N/A"/>
    <e v="#N/A"/>
    <x v="0"/>
    <x v="3"/>
    <x v="5"/>
  </r>
  <r>
    <s v="192.168.100.2"/>
    <x v="1372"/>
    <s v="157.55.56.156"/>
    <x v="116"/>
    <n v="3"/>
    <x v="49"/>
    <n v="3"/>
    <n v="194"/>
    <n v="0"/>
    <n v="0"/>
    <n v="429.814615"/>
    <n v="8.9992679999999705"/>
    <n v="172.45847106675799"/>
    <n v="0"/>
    <x v="92"/>
    <x v="114"/>
    <e v="#N/A"/>
    <e v="#N/A"/>
    <e v="#N/A"/>
    <e v="#N/A"/>
    <x v="0"/>
    <x v="3"/>
    <x v="4"/>
  </r>
  <r>
    <s v="192.168.100.2"/>
    <x v="1373"/>
    <s v="157.55.235.176"/>
    <x v="116"/>
    <n v="3"/>
    <x v="49"/>
    <n v="3"/>
    <n v="194"/>
    <n v="0"/>
    <n v="0"/>
    <n v="429.814616"/>
    <n v="8.9992720000000208"/>
    <n v="172.45839441234801"/>
    <n v="0"/>
    <x v="92"/>
    <x v="113"/>
    <e v="#N/A"/>
    <e v="#N/A"/>
    <e v="#N/A"/>
    <e v="#N/A"/>
    <x v="0"/>
    <x v="3"/>
    <x v="4"/>
  </r>
  <r>
    <s v="192.168.100.2"/>
    <x v="1374"/>
    <s v="85.25.103.30"/>
    <x v="117"/>
    <n v="3"/>
    <x v="49"/>
    <n v="3"/>
    <n v="194"/>
    <n v="0"/>
    <n v="0"/>
    <n v="436.37757599999998"/>
    <n v="9.0083040000000096"/>
    <n v="172.285482372708"/>
    <n v="0"/>
    <x v="92"/>
    <x v="131"/>
    <e v="#N/A"/>
    <e v="#N/A"/>
    <e v="#N/A"/>
    <e v="#N/A"/>
    <x v="0"/>
    <x v="3"/>
    <x v="5"/>
  </r>
  <r>
    <s v="192.168.100.2"/>
    <x v="1375"/>
    <s v="85.25.103.30"/>
    <x v="116"/>
    <n v="3"/>
    <x v="49"/>
    <n v="3"/>
    <n v="194"/>
    <n v="0"/>
    <n v="0"/>
    <n v="438.38641699999999"/>
    <n v="9.0095229999999997"/>
    <n v="172.262171926305"/>
    <n v="0"/>
    <x v="92"/>
    <x v="131"/>
    <e v="#N/A"/>
    <e v="#N/A"/>
    <e v="#N/A"/>
    <e v="#N/A"/>
    <x v="0"/>
    <x v="3"/>
    <x v="4"/>
  </r>
  <r>
    <s v="192.168.100.2"/>
    <x v="1376"/>
    <s v="65.55.223.14"/>
    <x v="218"/>
    <n v="3"/>
    <x v="49"/>
    <n v="3"/>
    <n v="194"/>
    <n v="0"/>
    <n v="0"/>
    <n v="438.61681099999998"/>
    <n v="9.0092190000000301"/>
    <n v="172.26798460554599"/>
    <n v="0"/>
    <x v="92"/>
    <x v="204"/>
    <e v="#N/A"/>
    <e v="#N/A"/>
    <e v="#N/A"/>
    <e v="#N/A"/>
    <x v="0"/>
    <x v="3"/>
    <x v="0"/>
  </r>
  <r>
    <s v="192.168.100.2"/>
    <x v="1377"/>
    <s v="65.55.223.14"/>
    <x v="117"/>
    <n v="3"/>
    <x v="49"/>
    <n v="3"/>
    <n v="194"/>
    <n v="0"/>
    <n v="0"/>
    <n v="440.23547400000001"/>
    <n v="9.0005009999999892"/>
    <n v="172.43484557137501"/>
    <n v="0"/>
    <x v="92"/>
    <x v="204"/>
    <e v="#N/A"/>
    <e v="#N/A"/>
    <e v="#N/A"/>
    <e v="#N/A"/>
    <x v="0"/>
    <x v="3"/>
    <x v="5"/>
  </r>
  <r>
    <s v="192.168.100.2"/>
    <x v="1378"/>
    <s v="65.55.223.14"/>
    <x v="116"/>
    <n v="3"/>
    <x v="49"/>
    <n v="3"/>
    <n v="194"/>
    <n v="0"/>
    <n v="0"/>
    <n v="441.85535299999998"/>
    <n v="9.0005199999999892"/>
    <n v="172.43448156328799"/>
    <n v="0"/>
    <x v="92"/>
    <x v="204"/>
    <e v="#N/A"/>
    <e v="#N/A"/>
    <e v="#N/A"/>
    <e v="#N/A"/>
    <x v="0"/>
    <x v="3"/>
    <x v="4"/>
  </r>
  <r>
    <s v="192.168.100.2"/>
    <x v="1379"/>
    <s v="111.221.77.145"/>
    <x v="221"/>
    <n v="3"/>
    <x v="49"/>
    <n v="3"/>
    <n v="194"/>
    <n v="0"/>
    <n v="0"/>
    <n v="452.567612"/>
    <n v="9.0090749999999993"/>
    <n v="172.27073811684301"/>
    <n v="0"/>
    <x v="92"/>
    <x v="117"/>
    <e v="#N/A"/>
    <e v="#N/A"/>
    <e v="#N/A"/>
    <e v="#N/A"/>
    <x v="0"/>
    <x v="3"/>
    <x v="0"/>
  </r>
  <r>
    <s v="192.168.100.2"/>
    <x v="1380"/>
    <s v="157.55.56.159"/>
    <x v="228"/>
    <n v="3"/>
    <x v="49"/>
    <n v="3"/>
    <n v="194"/>
    <n v="0"/>
    <n v="0"/>
    <n v="452.56875000000002"/>
    <n v="9.007949"/>
    <n v="172.292272081025"/>
    <n v="0"/>
    <x v="92"/>
    <x v="125"/>
    <e v="#N/A"/>
    <e v="#N/A"/>
    <e v="#N/A"/>
    <e v="#N/A"/>
    <x v="0"/>
    <x v="3"/>
    <x v="0"/>
  </r>
  <r>
    <s v="192.168.100.2"/>
    <x v="1381"/>
    <s v="111.221.77.145"/>
    <x v="117"/>
    <n v="3"/>
    <x v="49"/>
    <n v="3"/>
    <n v="194"/>
    <n v="0"/>
    <n v="0"/>
    <n v="454.18726700000002"/>
    <n v="9.02844899999997"/>
    <n v="171.90106517741901"/>
    <n v="0"/>
    <x v="92"/>
    <x v="117"/>
    <e v="#N/A"/>
    <e v="#N/A"/>
    <e v="#N/A"/>
    <e v="#N/A"/>
    <x v="0"/>
    <x v="3"/>
    <x v="5"/>
  </r>
  <r>
    <s v="192.168.100.2"/>
    <x v="1382"/>
    <s v="157.55.56.159"/>
    <x v="117"/>
    <n v="3"/>
    <x v="49"/>
    <n v="3"/>
    <n v="194"/>
    <n v="0"/>
    <n v="0"/>
    <n v="454.18727100000001"/>
    <n v="9.02844899999997"/>
    <n v="171.90106517741901"/>
    <n v="0"/>
    <x v="92"/>
    <x v="125"/>
    <e v="#N/A"/>
    <e v="#N/A"/>
    <e v="#N/A"/>
    <e v="#N/A"/>
    <x v="0"/>
    <x v="3"/>
    <x v="5"/>
  </r>
  <r>
    <s v="192.168.100.2"/>
    <x v="1383"/>
    <s v="111.221.77.145"/>
    <x v="116"/>
    <n v="3"/>
    <x v="49"/>
    <n v="3"/>
    <n v="194"/>
    <n v="0"/>
    <n v="0"/>
    <n v="455.80730399999999"/>
    <n v="8.99844000000002"/>
    <n v="172.47433999671"/>
    <n v="0"/>
    <x v="92"/>
    <x v="117"/>
    <e v="#N/A"/>
    <e v="#N/A"/>
    <e v="#N/A"/>
    <e v="#N/A"/>
    <x v="0"/>
    <x v="3"/>
    <x v="4"/>
  </r>
  <r>
    <s v="192.168.100.2"/>
    <x v="1384"/>
    <s v="157.55.56.159"/>
    <x v="116"/>
    <n v="3"/>
    <x v="49"/>
    <n v="3"/>
    <n v="194"/>
    <n v="0"/>
    <n v="0"/>
    <n v="455.80730399999999"/>
    <n v="8.9984410000000103"/>
    <n v="172.47432082957499"/>
    <n v="0"/>
    <x v="92"/>
    <x v="125"/>
    <e v="#N/A"/>
    <e v="#N/A"/>
    <e v="#N/A"/>
    <e v="#N/A"/>
    <x v="0"/>
    <x v="3"/>
    <x v="4"/>
  </r>
  <r>
    <s v="192.168.100.2"/>
    <x v="1385"/>
    <s v="157.55.130.168"/>
    <x v="232"/>
    <n v="3"/>
    <x v="49"/>
    <n v="3"/>
    <n v="194"/>
    <n v="0"/>
    <n v="0"/>
    <n v="464.628198"/>
    <n v="8.9706699999999806"/>
    <n v="173.00825913783501"/>
    <n v="0"/>
    <x v="92"/>
    <x v="132"/>
    <e v="#N/A"/>
    <e v="#N/A"/>
    <e v="#N/A"/>
    <e v="#N/A"/>
    <x v="0"/>
    <x v="3"/>
    <x v="0"/>
  </r>
  <r>
    <s v="192.168.100.2"/>
    <x v="1386"/>
    <s v="157.55.130.168"/>
    <x v="117"/>
    <n v="3"/>
    <x v="49"/>
    <n v="3"/>
    <n v="194"/>
    <n v="0"/>
    <n v="0"/>
    <n v="466.21816200000001"/>
    <n v="9.0005810000000093"/>
    <n v="172.43331291613299"/>
    <n v="0"/>
    <x v="92"/>
    <x v="132"/>
    <e v="#N/A"/>
    <e v="#N/A"/>
    <e v="#N/A"/>
    <e v="#N/A"/>
    <x v="0"/>
    <x v="3"/>
    <x v="5"/>
  </r>
  <r>
    <s v="192.168.100.2"/>
    <x v="1387"/>
    <s v="91.190.218.52"/>
    <x v="223"/>
    <n v="3"/>
    <x v="49"/>
    <n v="3"/>
    <n v="194"/>
    <n v="0"/>
    <n v="0"/>
    <n v="466.87856299999999"/>
    <n v="9.0000990000000307"/>
    <n v="172.44254757642"/>
    <n v="0"/>
    <x v="92"/>
    <x v="119"/>
    <e v="#N/A"/>
    <e v="#N/A"/>
    <e v="#N/A"/>
    <e v="#N/A"/>
    <x v="0"/>
    <x v="3"/>
    <x v="0"/>
  </r>
  <r>
    <s v="192.168.100.2"/>
    <x v="1388"/>
    <s v="157.55.130.168"/>
    <x v="116"/>
    <n v="3"/>
    <x v="49"/>
    <n v="3"/>
    <n v="194"/>
    <n v="0"/>
    <n v="0"/>
    <n v="467.83791400000001"/>
    <n v="8.9997169999999809"/>
    <n v="172.44986703470801"/>
    <n v="0"/>
    <x v="92"/>
    <x v="132"/>
    <e v="#N/A"/>
    <e v="#N/A"/>
    <e v="#N/A"/>
    <e v="#N/A"/>
    <x v="0"/>
    <x v="3"/>
    <x v="4"/>
  </r>
  <r>
    <s v="192.168.100.2"/>
    <x v="1389"/>
    <s v="91.190.218.52"/>
    <x v="117"/>
    <n v="3"/>
    <x v="49"/>
    <n v="3"/>
    <n v="194"/>
    <n v="0"/>
    <n v="0"/>
    <n v="468.49827800000003"/>
    <n v="9.0005599999999504"/>
    <n v="172.433715235497"/>
    <n v="0"/>
    <x v="92"/>
    <x v="119"/>
    <e v="#N/A"/>
    <e v="#N/A"/>
    <e v="#N/A"/>
    <e v="#N/A"/>
    <x v="0"/>
    <x v="3"/>
    <x v="5"/>
  </r>
  <r>
    <s v="192.168.100.2"/>
    <x v="1390"/>
    <s v="91.190.218.52"/>
    <x v="116"/>
    <n v="3"/>
    <x v="49"/>
    <n v="3"/>
    <n v="194"/>
    <n v="0"/>
    <n v="0"/>
    <n v="470.11791699999998"/>
    <n v="9.0007350000000201"/>
    <n v="172.430362631496"/>
    <n v="0"/>
    <x v="92"/>
    <x v="119"/>
    <e v="#N/A"/>
    <e v="#N/A"/>
    <e v="#N/A"/>
    <e v="#N/A"/>
    <x v="0"/>
    <x v="3"/>
    <x v="4"/>
  </r>
  <r>
    <s v="192.168.100.2"/>
    <x v="1391"/>
    <s v="157.55.235.162"/>
    <x v="224"/>
    <n v="3"/>
    <x v="49"/>
    <n v="3"/>
    <n v="194"/>
    <n v="0"/>
    <n v="0"/>
    <n v="478.81055700000002"/>
    <n v="8.9982269999999893"/>
    <n v="172.478422693715"/>
    <n v="0"/>
    <x v="92"/>
    <x v="144"/>
    <e v="#N/A"/>
    <e v="#N/A"/>
    <e v="#N/A"/>
    <e v="#N/A"/>
    <x v="0"/>
    <x v="3"/>
    <x v="0"/>
  </r>
  <r>
    <s v="192.168.100.2"/>
    <x v="1392"/>
    <s v="157.55.130.149"/>
    <x v="222"/>
    <n v="3"/>
    <x v="49"/>
    <n v="3"/>
    <n v="194"/>
    <n v="0"/>
    <n v="0"/>
    <n v="478.81056000000001"/>
    <n v="8.9982199999999999"/>
    <n v="172.478556870136"/>
    <n v="0"/>
    <x v="92"/>
    <x v="139"/>
    <e v="#N/A"/>
    <e v="#N/A"/>
    <e v="#N/A"/>
    <e v="#N/A"/>
    <x v="0"/>
    <x v="3"/>
    <x v="0"/>
  </r>
  <r>
    <s v="192.168.100.2"/>
    <x v="1393"/>
    <s v="157.55.235.162"/>
    <x v="117"/>
    <n v="3"/>
    <x v="49"/>
    <n v="3"/>
    <n v="194"/>
    <n v="0"/>
    <n v="0"/>
    <n v="480.42903799999999"/>
    <n v="9.0004290000000005"/>
    <n v="172.436224984387"/>
    <n v="0"/>
    <x v="92"/>
    <x v="144"/>
    <e v="#N/A"/>
    <e v="#N/A"/>
    <e v="#N/A"/>
    <e v="#N/A"/>
    <x v="0"/>
    <x v="3"/>
    <x v="5"/>
  </r>
  <r>
    <s v="192.168.100.2"/>
    <x v="1394"/>
    <s v="157.55.130.149"/>
    <x v="117"/>
    <n v="3"/>
    <x v="49"/>
    <n v="3"/>
    <n v="194"/>
    <n v="0"/>
    <n v="0"/>
    <n v="480.42904099999998"/>
    <n v="9.0004250000000106"/>
    <n v="172.43630161908999"/>
    <n v="0"/>
    <x v="92"/>
    <x v="139"/>
    <e v="#N/A"/>
    <e v="#N/A"/>
    <e v="#N/A"/>
    <e v="#N/A"/>
    <x v="0"/>
    <x v="3"/>
    <x v="5"/>
  </r>
  <r>
    <s v="192.168.100.2"/>
    <x v="1395"/>
    <s v="157.55.235.162"/>
    <x v="116"/>
    <n v="3"/>
    <x v="49"/>
    <n v="3"/>
    <n v="194"/>
    <n v="0"/>
    <n v="0"/>
    <n v="482.03912800000001"/>
    <n v="8.9995020000000103"/>
    <n v="172.45398689838601"/>
    <n v="0"/>
    <x v="92"/>
    <x v="144"/>
    <e v="#N/A"/>
    <e v="#N/A"/>
    <e v="#N/A"/>
    <e v="#N/A"/>
    <x v="0"/>
    <x v="3"/>
    <x v="4"/>
  </r>
  <r>
    <s v="192.168.100.2"/>
    <x v="1396"/>
    <s v="157.55.130.149"/>
    <x v="116"/>
    <n v="3"/>
    <x v="49"/>
    <n v="3"/>
    <n v="194"/>
    <n v="0"/>
    <n v="0"/>
    <n v="482.039129"/>
    <n v="8.9994970000000194"/>
    <n v="172.45408271151101"/>
    <n v="0"/>
    <x v="92"/>
    <x v="139"/>
    <e v="#N/A"/>
    <e v="#N/A"/>
    <e v="#N/A"/>
    <e v="#N/A"/>
    <x v="0"/>
    <x v="3"/>
    <x v="4"/>
  </r>
  <r>
    <s v="192.168.100.2"/>
    <x v="1397"/>
    <s v="111.221.77.140"/>
    <x v="219"/>
    <n v="3"/>
    <x v="49"/>
    <n v="3"/>
    <n v="194"/>
    <n v="0"/>
    <n v="0"/>
    <n v="490.85116299999999"/>
    <n v="8.9992720000000208"/>
    <n v="172.45839441234801"/>
    <n v="0"/>
    <x v="92"/>
    <x v="143"/>
    <e v="#N/A"/>
    <e v="#N/A"/>
    <e v="#N/A"/>
    <e v="#N/A"/>
    <x v="0"/>
    <x v="3"/>
    <x v="0"/>
  </r>
  <r>
    <s v="192.168.100.2"/>
    <x v="1398"/>
    <s v="111.221.77.140"/>
    <x v="117"/>
    <n v="3"/>
    <x v="49"/>
    <n v="3"/>
    <n v="194"/>
    <n v="0"/>
    <n v="0"/>
    <n v="492.47007200000002"/>
    <n v="9.00057799999996"/>
    <n v="172.43337039021301"/>
    <n v="0"/>
    <x v="92"/>
    <x v="143"/>
    <e v="#N/A"/>
    <e v="#N/A"/>
    <e v="#N/A"/>
    <e v="#N/A"/>
    <x v="0"/>
    <x v="3"/>
    <x v="5"/>
  </r>
  <r>
    <s v="192.168.100.2"/>
    <x v="1399"/>
    <s v="111.221.77.140"/>
    <x v="116"/>
    <n v="3"/>
    <x v="49"/>
    <n v="3"/>
    <n v="194"/>
    <n v="0"/>
    <n v="0"/>
    <n v="494.08005800000001"/>
    <n v="9.0006070000000005"/>
    <n v="172.43281480904599"/>
    <n v="0"/>
    <x v="92"/>
    <x v="143"/>
    <e v="#N/A"/>
    <e v="#N/A"/>
    <e v="#N/A"/>
    <e v="#N/A"/>
    <x v="0"/>
    <x v="3"/>
    <x v="4"/>
  </r>
  <r>
    <s v="192.168.100.2"/>
    <x v="1400"/>
    <s v="103.43.75.140"/>
    <x v="117"/>
    <n v="3"/>
    <x v="49"/>
    <n v="3"/>
    <n v="194"/>
    <n v="0"/>
    <n v="0"/>
    <n v="499.37075299999998"/>
    <n v="8.97072800000001"/>
    <n v="173.0071405576"/>
    <n v="0"/>
    <x v="92"/>
    <x v="118"/>
    <e v="#N/A"/>
    <e v="#N/A"/>
    <e v="#N/A"/>
    <e v="#N/A"/>
    <x v="0"/>
    <x v="3"/>
    <x v="5"/>
  </r>
  <r>
    <s v="192.168.100.2"/>
    <x v="1401"/>
    <s v="103.43.75.140"/>
    <x v="116"/>
    <n v="3"/>
    <x v="49"/>
    <n v="3"/>
    <n v="194"/>
    <n v="0"/>
    <n v="0"/>
    <n v="501.34073899999999"/>
    <n v="9.0009800000000304"/>
    <n v="172.42566920490799"/>
    <n v="0"/>
    <x v="92"/>
    <x v="118"/>
    <e v="#N/A"/>
    <e v="#N/A"/>
    <e v="#N/A"/>
    <e v="#N/A"/>
    <x v="0"/>
    <x v="3"/>
    <x v="4"/>
  </r>
  <r>
    <s v="192.168.100.2"/>
    <x v="1402"/>
    <s v="157.55.235.165"/>
    <x v="235"/>
    <n v="3"/>
    <x v="49"/>
    <n v="3"/>
    <n v="194"/>
    <n v="0"/>
    <n v="0"/>
    <n v="503.84176500000001"/>
    <n v="8.9988140000000403"/>
    <n v="172.46717178508101"/>
    <n v="0"/>
    <x v="92"/>
    <x v="154"/>
    <e v="#N/A"/>
    <e v="#N/A"/>
    <e v="#N/A"/>
    <e v="#N/A"/>
    <x v="0"/>
    <x v="3"/>
    <x v="0"/>
  </r>
  <r>
    <s v="192.168.100.2"/>
    <x v="1403"/>
    <s v="157.56.52.18"/>
    <x v="226"/>
    <n v="3"/>
    <x v="49"/>
    <n v="3"/>
    <n v="194"/>
    <n v="0"/>
    <n v="0"/>
    <n v="503.841769"/>
    <n v="8.9988140000000403"/>
    <n v="172.46717178508101"/>
    <n v="0"/>
    <x v="92"/>
    <x v="166"/>
    <e v="#N/A"/>
    <e v="#N/A"/>
    <e v="#N/A"/>
    <e v="#N/A"/>
    <x v="0"/>
    <x v="3"/>
    <x v="0"/>
  </r>
  <r>
    <s v="192.168.100.2"/>
    <x v="1404"/>
    <s v="157.55.235.165"/>
    <x v="117"/>
    <n v="3"/>
    <x v="49"/>
    <n v="3"/>
    <n v="194"/>
    <n v="0"/>
    <n v="0"/>
    <n v="505.46101499999997"/>
    <n v="8.9996080000000802"/>
    <n v="172.451955685179"/>
    <n v="0"/>
    <x v="92"/>
    <x v="154"/>
    <e v="#N/A"/>
    <e v="#N/A"/>
    <e v="#N/A"/>
    <e v="#N/A"/>
    <x v="0"/>
    <x v="3"/>
    <x v="5"/>
  </r>
  <r>
    <s v="192.168.100.2"/>
    <x v="1405"/>
    <s v="157.56.52.18"/>
    <x v="117"/>
    <n v="3"/>
    <x v="49"/>
    <n v="3"/>
    <n v="194"/>
    <n v="0"/>
    <n v="0"/>
    <n v="505.46101900000002"/>
    <n v="8.9996070000000294"/>
    <n v="172.45197484734601"/>
    <n v="0"/>
    <x v="92"/>
    <x v="166"/>
    <e v="#N/A"/>
    <e v="#N/A"/>
    <e v="#N/A"/>
    <e v="#N/A"/>
    <x v="0"/>
    <x v="3"/>
    <x v="5"/>
  </r>
  <r>
    <s v="192.168.100.2"/>
    <x v="1406"/>
    <s v="157.55.235.165"/>
    <x v="116"/>
    <n v="3"/>
    <x v="49"/>
    <n v="3"/>
    <n v="194"/>
    <n v="0"/>
    <n v="0"/>
    <n v="507.07104900000002"/>
    <n v="8.9994000000000405"/>
    <n v="172.45594150721101"/>
    <n v="0"/>
    <x v="92"/>
    <x v="154"/>
    <e v="#N/A"/>
    <e v="#N/A"/>
    <e v="#N/A"/>
    <e v="#N/A"/>
    <x v="0"/>
    <x v="3"/>
    <x v="4"/>
  </r>
  <r>
    <s v="192.168.100.2"/>
    <x v="1407"/>
    <s v="157.56.52.18"/>
    <x v="116"/>
    <n v="3"/>
    <x v="49"/>
    <n v="3"/>
    <n v="194"/>
    <n v="0"/>
    <n v="0"/>
    <n v="507.07105200000001"/>
    <n v="8.9993960000000506"/>
    <n v="172.45601815943999"/>
    <n v="0"/>
    <x v="92"/>
    <x v="166"/>
    <e v="#N/A"/>
    <e v="#N/A"/>
    <e v="#N/A"/>
    <e v="#N/A"/>
    <x v="0"/>
    <x v="3"/>
    <x v="4"/>
  </r>
  <r>
    <s v="192.168.100.2"/>
    <x v="1408"/>
    <s v="91.190.218.57"/>
    <x v="223"/>
    <n v="3"/>
    <x v="49"/>
    <n v="3"/>
    <n v="194"/>
    <n v="0"/>
    <n v="0"/>
    <n v="511.90231599999998"/>
    <n v="9.0002400000000193"/>
    <n v="172.43984604854899"/>
    <n v="0"/>
    <x v="92"/>
    <x v="140"/>
    <e v="#N/A"/>
    <e v="#N/A"/>
    <e v="#N/A"/>
    <e v="#N/A"/>
    <x v="0"/>
    <x v="3"/>
    <x v="0"/>
  </r>
  <r>
    <s v="192.168.100.2"/>
    <x v="1409"/>
    <s v="91.190.218.57"/>
    <x v="117"/>
    <n v="3"/>
    <x v="49"/>
    <n v="3"/>
    <n v="194"/>
    <n v="0"/>
    <n v="0"/>
    <n v="513.52204700000004"/>
    <n v="9.0003899999999195"/>
    <n v="172.43697217565199"/>
    <n v="0"/>
    <x v="92"/>
    <x v="140"/>
    <e v="#N/A"/>
    <e v="#N/A"/>
    <e v="#N/A"/>
    <e v="#N/A"/>
    <x v="0"/>
    <x v="3"/>
    <x v="5"/>
  </r>
  <r>
    <s v="192.168.100.2"/>
    <x v="1410"/>
    <s v="91.190.218.57"/>
    <x v="116"/>
    <n v="3"/>
    <x v="49"/>
    <n v="3"/>
    <n v="194"/>
    <n v="0"/>
    <n v="0"/>
    <n v="515.14209300000005"/>
    <n v="9.0081779999999299"/>
    <n v="172.28789217975199"/>
    <n v="0"/>
    <x v="92"/>
    <x v="140"/>
    <e v="#N/A"/>
    <e v="#N/A"/>
    <e v="#N/A"/>
    <e v="#N/A"/>
    <x v="0"/>
    <x v="3"/>
    <x v="4"/>
  </r>
  <r>
    <s v="192.168.100.2"/>
    <x v="1411"/>
    <s v="78.46.49.23"/>
    <x v="117"/>
    <n v="3"/>
    <x v="49"/>
    <n v="3"/>
    <n v="194"/>
    <n v="0"/>
    <n v="0"/>
    <n v="515.34280200000001"/>
    <n v="8.9997049999999508"/>
    <n v="172.450096975402"/>
    <n v="0"/>
    <x v="92"/>
    <x v="127"/>
    <e v="#N/A"/>
    <e v="#N/A"/>
    <e v="#N/A"/>
    <e v="#N/A"/>
    <x v="0"/>
    <x v="3"/>
    <x v="5"/>
  </r>
  <r>
    <s v="192.168.100.2"/>
    <x v="1412"/>
    <s v="64.4.23.141"/>
    <x v="237"/>
    <n v="3"/>
    <x v="49"/>
    <n v="3"/>
    <n v="194"/>
    <n v="0"/>
    <n v="0"/>
    <n v="515.99283100000002"/>
    <n v="8.9996499999999706"/>
    <n v="172.45115087809"/>
    <n v="0"/>
    <x v="92"/>
    <x v="163"/>
    <e v="#N/A"/>
    <e v="#N/A"/>
    <e v="#N/A"/>
    <e v="#N/A"/>
    <x v="0"/>
    <x v="3"/>
    <x v="0"/>
  </r>
  <r>
    <s v="192.168.100.2"/>
    <x v="1413"/>
    <s v="78.46.49.23"/>
    <x v="116"/>
    <n v="3"/>
    <x v="49"/>
    <n v="3"/>
    <n v="194"/>
    <n v="0"/>
    <n v="0"/>
    <n v="517.34157000000005"/>
    <n v="9.0010519999999605"/>
    <n v="172.42428996077399"/>
    <n v="0"/>
    <x v="92"/>
    <x v="127"/>
    <e v="#N/A"/>
    <e v="#N/A"/>
    <e v="#N/A"/>
    <e v="#N/A"/>
    <x v="0"/>
    <x v="3"/>
    <x v="4"/>
  </r>
  <r>
    <s v="192.168.100.2"/>
    <x v="1414"/>
    <s v="64.4.23.141"/>
    <x v="117"/>
    <n v="3"/>
    <x v="49"/>
    <n v="3"/>
    <n v="194"/>
    <n v="0"/>
    <n v="0"/>
    <n v="517.64134799999999"/>
    <n v="8.9710870000000096"/>
    <n v="173.00021725349399"/>
    <n v="0"/>
    <x v="92"/>
    <x v="163"/>
    <e v="#N/A"/>
    <e v="#N/A"/>
    <e v="#N/A"/>
    <e v="#N/A"/>
    <x v="0"/>
    <x v="3"/>
    <x v="5"/>
  </r>
  <r>
    <s v="192.168.100.2"/>
    <x v="1415"/>
    <s v="64.4.23.141"/>
    <x v="116"/>
    <n v="3"/>
    <x v="49"/>
    <n v="3"/>
    <n v="194"/>
    <n v="0"/>
    <n v="0"/>
    <n v="519.23179900000002"/>
    <n v="9.0307480000000204"/>
    <n v="171.85730351461399"/>
    <n v="0"/>
    <x v="92"/>
    <x v="163"/>
    <e v="#N/A"/>
    <e v="#N/A"/>
    <e v="#N/A"/>
    <e v="#N/A"/>
    <x v="0"/>
    <x v="3"/>
    <x v="4"/>
  </r>
  <r>
    <s v="192.168.100.2"/>
    <x v="1416"/>
    <s v="65.55.223.35"/>
    <x v="234"/>
    <n v="3"/>
    <x v="49"/>
    <n v="3"/>
    <n v="194"/>
    <n v="0"/>
    <n v="0"/>
    <n v="528.07350199999996"/>
    <n v="8.9989610000000102"/>
    <n v="172.46435449603601"/>
    <n v="0"/>
    <x v="92"/>
    <x v="176"/>
    <e v="#N/A"/>
    <e v="#N/A"/>
    <e v="#N/A"/>
    <e v="#N/A"/>
    <x v="0"/>
    <x v="3"/>
    <x v="0"/>
  </r>
  <r>
    <s v="192.168.100.2"/>
    <x v="1417"/>
    <s v="65.55.223.46"/>
    <x v="239"/>
    <n v="3"/>
    <x v="49"/>
    <n v="3"/>
    <n v="194"/>
    <n v="0"/>
    <n v="0"/>
    <n v="528.07350599999995"/>
    <n v="8.9989590000000099"/>
    <n v="172.46439282588099"/>
    <n v="0"/>
    <x v="92"/>
    <x v="179"/>
    <e v="#N/A"/>
    <e v="#N/A"/>
    <e v="#N/A"/>
    <e v="#N/A"/>
    <x v="0"/>
    <x v="3"/>
    <x v="0"/>
  </r>
  <r>
    <s v="192.168.100.2"/>
    <x v="1418"/>
    <s v="65.55.223.35"/>
    <x v="117"/>
    <n v="3"/>
    <x v="49"/>
    <n v="3"/>
    <n v="194"/>
    <n v="0"/>
    <n v="0"/>
    <n v="529.69293500000003"/>
    <n v="8.9993259999999999"/>
    <n v="172.457359584485"/>
    <n v="0"/>
    <x v="92"/>
    <x v="176"/>
    <e v="#N/A"/>
    <e v="#N/A"/>
    <e v="#N/A"/>
    <e v="#N/A"/>
    <x v="0"/>
    <x v="3"/>
    <x v="5"/>
  </r>
  <r>
    <s v="192.168.100.2"/>
    <x v="1419"/>
    <s v="65.55.223.46"/>
    <x v="117"/>
    <n v="3"/>
    <x v="49"/>
    <n v="3"/>
    <n v="194"/>
    <n v="0"/>
    <n v="0"/>
    <n v="529.69293700000003"/>
    <n v="8.9993250000000007"/>
    <n v="172.45737874785101"/>
    <n v="0"/>
    <x v="92"/>
    <x v="179"/>
    <e v="#N/A"/>
    <e v="#N/A"/>
    <e v="#N/A"/>
    <e v="#N/A"/>
    <x v="0"/>
    <x v="3"/>
    <x v="5"/>
  </r>
  <r>
    <s v="192.168.100.2"/>
    <x v="1420"/>
    <s v="65.55.223.35"/>
    <x v="116"/>
    <n v="3"/>
    <x v="49"/>
    <n v="3"/>
    <n v="194"/>
    <n v="0"/>
    <n v="0"/>
    <n v="531.31284300000004"/>
    <n v="9.0005529999999698"/>
    <n v="172.433849342369"/>
    <n v="0"/>
    <x v="92"/>
    <x v="176"/>
    <e v="#N/A"/>
    <e v="#N/A"/>
    <e v="#N/A"/>
    <e v="#N/A"/>
    <x v="0"/>
    <x v="3"/>
    <x v="4"/>
  </r>
  <r>
    <s v="192.168.100.2"/>
    <x v="1421"/>
    <s v="65.55.223.46"/>
    <x v="116"/>
    <n v="3"/>
    <x v="49"/>
    <n v="3"/>
    <n v="194"/>
    <n v="0"/>
    <n v="0"/>
    <n v="531.31284700000003"/>
    <n v="9.0005539999999709"/>
    <n v="172.43383018423199"/>
    <n v="0"/>
    <x v="92"/>
    <x v="179"/>
    <e v="#N/A"/>
    <e v="#N/A"/>
    <e v="#N/A"/>
    <e v="#N/A"/>
    <x v="0"/>
    <x v="3"/>
    <x v="4"/>
  </r>
  <r>
    <s v="192.168.100.2"/>
    <x v="1422"/>
    <s v="85.25.103.30"/>
    <x v="117"/>
    <n v="3"/>
    <x v="49"/>
    <n v="3"/>
    <n v="194"/>
    <n v="0"/>
    <n v="0"/>
    <n v="531.34374300000002"/>
    <n v="9.0006529999999394"/>
    <n v="172.431933549711"/>
    <n v="0"/>
    <x v="92"/>
    <x v="131"/>
    <e v="#N/A"/>
    <e v="#N/A"/>
    <e v="#N/A"/>
    <e v="#N/A"/>
    <x v="0"/>
    <x v="3"/>
    <x v="5"/>
  </r>
  <r>
    <s v="192.168.100.2"/>
    <x v="1423"/>
    <s v="85.25.103.30"/>
    <x v="116"/>
    <n v="3"/>
    <x v="49"/>
    <n v="3"/>
    <n v="194"/>
    <n v="0"/>
    <n v="0"/>
    <n v="533.34463900000003"/>
    <n v="8.9998499999999204"/>
    <n v="172.44731856642201"/>
    <n v="0"/>
    <x v="92"/>
    <x v="131"/>
    <e v="#N/A"/>
    <e v="#N/A"/>
    <e v="#N/A"/>
    <e v="#N/A"/>
    <x v="0"/>
    <x v="3"/>
    <x v="4"/>
  </r>
  <r>
    <s v="192.168.100.2"/>
    <x v="1424"/>
    <s v="157.56.52.18"/>
    <x v="245"/>
    <n v="3"/>
    <x v="49"/>
    <n v="3"/>
    <n v="194"/>
    <n v="0"/>
    <n v="0"/>
    <n v="542.08539599999995"/>
    <n v="8.9990020000000204"/>
    <n v="172.463568737955"/>
    <n v="0"/>
    <x v="92"/>
    <x v="166"/>
    <e v="#N/A"/>
    <e v="#N/A"/>
    <e v="#N/A"/>
    <e v="#N/A"/>
    <x v="0"/>
    <x v="3"/>
    <x v="0"/>
  </r>
  <r>
    <s v="192.168.100.2"/>
    <x v="1425"/>
    <s v="157.56.52.18"/>
    <x v="117"/>
    <n v="3"/>
    <x v="49"/>
    <n v="3"/>
    <n v="194"/>
    <n v="0"/>
    <n v="0"/>
    <n v="543.70476699999995"/>
    <n v="8.9996500000000896"/>
    <n v="172.45115087808799"/>
    <n v="0"/>
    <x v="92"/>
    <x v="166"/>
    <e v="#N/A"/>
    <e v="#N/A"/>
    <e v="#N/A"/>
    <e v="#N/A"/>
    <x v="0"/>
    <x v="3"/>
    <x v="5"/>
  </r>
  <r>
    <s v="192.168.100.2"/>
    <x v="1426"/>
    <s v="157.56.52.18"/>
    <x v="116"/>
    <n v="3"/>
    <x v="49"/>
    <n v="3"/>
    <n v="194"/>
    <n v="0"/>
    <n v="0"/>
    <n v="545.32483300000001"/>
    <n v="9.0004810000000397"/>
    <n v="172.43522873944099"/>
    <n v="0"/>
    <x v="92"/>
    <x v="166"/>
    <e v="#N/A"/>
    <e v="#N/A"/>
    <e v="#N/A"/>
    <e v="#N/A"/>
    <x v="0"/>
    <x v="3"/>
    <x v="4"/>
  </r>
  <r>
    <s v="192.168.100.2"/>
    <x v="1427"/>
    <s v="65.55.223.28"/>
    <x v="238"/>
    <n v="3"/>
    <x v="49"/>
    <n v="3"/>
    <n v="194"/>
    <n v="0"/>
    <n v="0"/>
    <n v="554.116309"/>
    <n v="8.9978589999999503"/>
    <n v="172.485476822876"/>
    <n v="0"/>
    <x v="92"/>
    <x v="181"/>
    <e v="#N/A"/>
    <e v="#N/A"/>
    <e v="#N/A"/>
    <e v="#N/A"/>
    <x v="0"/>
    <x v="3"/>
    <x v="0"/>
  </r>
  <r>
    <s v="192.168.100.2"/>
    <x v="1428"/>
    <s v="157.55.56.154"/>
    <x v="234"/>
    <n v="3"/>
    <x v="49"/>
    <n v="3"/>
    <n v="194"/>
    <n v="0"/>
    <n v="0"/>
    <n v="554.11631399999999"/>
    <n v="8.9978509999999705"/>
    <n v="172.48563017991799"/>
    <n v="0"/>
    <x v="92"/>
    <x v="205"/>
    <e v="#N/A"/>
    <e v="#N/A"/>
    <e v="#N/A"/>
    <e v="#N/A"/>
    <x v="0"/>
    <x v="3"/>
    <x v="0"/>
  </r>
  <r>
    <s v="192.168.100.2"/>
    <x v="1429"/>
    <s v="65.55.223.28"/>
    <x v="117"/>
    <n v="3"/>
    <x v="49"/>
    <n v="3"/>
    <n v="194"/>
    <n v="0"/>
    <n v="0"/>
    <n v="555.73576600000001"/>
    <n v="8.9984319999999798"/>
    <n v="172.47449333394999"/>
    <n v="0"/>
    <x v="92"/>
    <x v="181"/>
    <e v="#N/A"/>
    <e v="#N/A"/>
    <e v="#N/A"/>
    <e v="#N/A"/>
    <x v="0"/>
    <x v="3"/>
    <x v="5"/>
  </r>
  <r>
    <s v="192.168.100.2"/>
    <x v="1430"/>
    <s v="157.55.56.154"/>
    <x v="117"/>
    <n v="3"/>
    <x v="49"/>
    <n v="3"/>
    <n v="194"/>
    <n v="0"/>
    <n v="0"/>
    <n v="555.73595599999999"/>
    <n v="8.9982410000000108"/>
    <n v="172.478154341498"/>
    <n v="0"/>
    <x v="92"/>
    <x v="205"/>
    <e v="#N/A"/>
    <e v="#N/A"/>
    <e v="#N/A"/>
    <e v="#N/A"/>
    <x v="0"/>
    <x v="3"/>
    <x v="5"/>
  </r>
  <r>
    <s v="192.168.100.2"/>
    <x v="1431"/>
    <s v="65.55.223.28"/>
    <x v="116"/>
    <n v="3"/>
    <x v="49"/>
    <n v="3"/>
    <n v="194"/>
    <n v="0"/>
    <n v="0"/>
    <n v="557.35584500000004"/>
    <n v="8.9993839999999601"/>
    <n v="172.45624811653801"/>
    <n v="0"/>
    <x v="92"/>
    <x v="181"/>
    <e v="#N/A"/>
    <e v="#N/A"/>
    <e v="#N/A"/>
    <e v="#N/A"/>
    <x v="0"/>
    <x v="3"/>
    <x v="4"/>
  </r>
  <r>
    <s v="192.168.100.2"/>
    <x v="1432"/>
    <s v="157.55.56.154"/>
    <x v="116"/>
    <n v="3"/>
    <x v="49"/>
    <n v="3"/>
    <n v="194"/>
    <n v="0"/>
    <n v="0"/>
    <n v="557.35584600000004"/>
    <n v="8.9993839999999601"/>
    <n v="172.45624811653801"/>
    <n v="0"/>
    <x v="92"/>
    <x v="205"/>
    <e v="#N/A"/>
    <e v="#N/A"/>
    <e v="#N/A"/>
    <e v="#N/A"/>
    <x v="0"/>
    <x v="3"/>
    <x v="4"/>
  </r>
  <r>
    <s v="192.168.100.2"/>
    <x v="1433"/>
    <s v="91.190.218.64"/>
    <x v="223"/>
    <n v="3"/>
    <x v="49"/>
    <n v="3"/>
    <n v="194"/>
    <n v="0"/>
    <n v="0"/>
    <n v="566.92716399999995"/>
    <n v="9.0001440000000894"/>
    <n v="172.441685377477"/>
    <n v="0"/>
    <x v="92"/>
    <x v="156"/>
    <e v="#N/A"/>
    <e v="#N/A"/>
    <e v="#N/A"/>
    <e v="#N/A"/>
    <x v="0"/>
    <x v="3"/>
    <x v="0"/>
  </r>
  <r>
    <s v="192.168.100.2"/>
    <x v="1434"/>
    <s v="157.55.235.170"/>
    <x v="218"/>
    <n v="3"/>
    <x v="49"/>
    <n v="3"/>
    <n v="194"/>
    <n v="0"/>
    <n v="0"/>
    <n v="567.15795600000001"/>
    <n v="9.0045619999999609"/>
    <n v="172.35707855640399"/>
    <n v="0"/>
    <x v="92"/>
    <x v="206"/>
    <e v="#N/A"/>
    <e v="#N/A"/>
    <e v="#N/A"/>
    <e v="#N/A"/>
    <x v="0"/>
    <x v="3"/>
    <x v="0"/>
  </r>
  <r>
    <s v="192.168.100.2"/>
    <x v="1435"/>
    <s v="91.190.218.64"/>
    <x v="117"/>
    <n v="3"/>
    <x v="49"/>
    <n v="3"/>
    <n v="194"/>
    <n v="0"/>
    <n v="0"/>
    <n v="568.53778599999998"/>
    <n v="8.9994910000000292"/>
    <n v="172.454197687402"/>
    <n v="0"/>
    <x v="92"/>
    <x v="156"/>
    <e v="#N/A"/>
    <e v="#N/A"/>
    <e v="#N/A"/>
    <e v="#N/A"/>
    <x v="0"/>
    <x v="3"/>
    <x v="5"/>
  </r>
  <r>
    <s v="192.168.100.2"/>
    <x v="1436"/>
    <s v="157.55.235.170"/>
    <x v="117"/>
    <n v="3"/>
    <x v="49"/>
    <n v="3"/>
    <n v="194"/>
    <n v="0"/>
    <n v="0"/>
    <n v="568.77769000000001"/>
    <n v="8.9994319999999597"/>
    <n v="172.45532829183099"/>
    <n v="0"/>
    <x v="92"/>
    <x v="206"/>
    <e v="#N/A"/>
    <e v="#N/A"/>
    <e v="#N/A"/>
    <e v="#N/A"/>
    <x v="0"/>
    <x v="3"/>
    <x v="5"/>
  </r>
  <r>
    <s v="192.168.100.2"/>
    <x v="1437"/>
    <s v="91.190.218.64"/>
    <x v="116"/>
    <n v="3"/>
    <x v="49"/>
    <n v="3"/>
    <n v="194"/>
    <n v="0"/>
    <n v="0"/>
    <n v="570.16130299999998"/>
    <n v="8.9958639999999797"/>
    <n v="172.523728682426"/>
    <n v="0"/>
    <x v="92"/>
    <x v="156"/>
    <e v="#N/A"/>
    <e v="#N/A"/>
    <e v="#N/A"/>
    <e v="#N/A"/>
    <x v="0"/>
    <x v="3"/>
    <x v="4"/>
  </r>
  <r>
    <s v="192.168.100.2"/>
    <x v="1438"/>
    <s v="157.55.235.170"/>
    <x v="116"/>
    <n v="3"/>
    <x v="49"/>
    <n v="3"/>
    <n v="194"/>
    <n v="0"/>
    <n v="0"/>
    <n v="570.39776600000005"/>
    <n v="9.0003849999999392"/>
    <n v="172.43706796987101"/>
    <n v="0"/>
    <x v="92"/>
    <x v="206"/>
    <e v="#N/A"/>
    <e v="#N/A"/>
    <e v="#N/A"/>
    <e v="#N/A"/>
    <x v="0"/>
    <x v="3"/>
    <x v="4"/>
  </r>
  <r>
    <s v="192.168.100.2"/>
    <x v="1439"/>
    <s v="111.221.77.159"/>
    <x v="234"/>
    <n v="3"/>
    <x v="49"/>
    <n v="3"/>
    <n v="194"/>
    <n v="0"/>
    <n v="0"/>
    <n v="579.34992599999998"/>
    <n v="9.0326320000000404"/>
    <n v="171.82145802020901"/>
    <n v="0"/>
    <x v="92"/>
    <x v="207"/>
    <e v="#N/A"/>
    <e v="#N/A"/>
    <e v="#N/A"/>
    <e v="#N/A"/>
    <x v="0"/>
    <x v="3"/>
    <x v="0"/>
  </r>
  <r>
    <s v="192.168.100.2"/>
    <x v="1440"/>
    <s v="157.55.235.160"/>
    <x v="240"/>
    <n v="3"/>
    <x v="49"/>
    <n v="3"/>
    <n v="194"/>
    <n v="0"/>
    <n v="0"/>
    <n v="580.39940999999999"/>
    <n v="8.9997040000000705"/>
    <n v="172.45011613715201"/>
    <n v="0"/>
    <x v="92"/>
    <x v="208"/>
    <e v="#N/A"/>
    <e v="#N/A"/>
    <e v="#N/A"/>
    <e v="#N/A"/>
    <x v="0"/>
    <x v="3"/>
    <x v="0"/>
  </r>
  <r>
    <s v="192.168.100.2"/>
    <x v="1441"/>
    <s v="111.221.77.159"/>
    <x v="117"/>
    <n v="3"/>
    <x v="49"/>
    <n v="3"/>
    <n v="194"/>
    <n v="0"/>
    <n v="0"/>
    <n v="580.96868199999994"/>
    <n v="9.0004290000000502"/>
    <n v="172.436224984386"/>
    <n v="0"/>
    <x v="92"/>
    <x v="207"/>
    <e v="#N/A"/>
    <e v="#N/A"/>
    <e v="#N/A"/>
    <e v="#N/A"/>
    <x v="0"/>
    <x v="3"/>
    <x v="5"/>
  </r>
  <r>
    <s v="192.168.100.2"/>
    <x v="1442"/>
    <s v="157.55.235.160"/>
    <x v="117"/>
    <n v="3"/>
    <x v="49"/>
    <n v="3"/>
    <n v="194"/>
    <n v="0"/>
    <n v="0"/>
    <n v="582.01864"/>
    <n v="9.0004800000000404"/>
    <n v="172.43524789788901"/>
    <n v="0"/>
    <x v="92"/>
    <x v="208"/>
    <e v="#N/A"/>
    <e v="#N/A"/>
    <e v="#N/A"/>
    <e v="#N/A"/>
    <x v="0"/>
    <x v="3"/>
    <x v="5"/>
  </r>
  <r>
    <s v="192.168.100.2"/>
    <x v="1443"/>
    <s v="111.221.77.159"/>
    <x v="116"/>
    <n v="3"/>
    <x v="49"/>
    <n v="3"/>
    <n v="194"/>
    <n v="0"/>
    <n v="0"/>
    <n v="582.58852400000001"/>
    <n v="9.0006600000000407"/>
    <n v="172.431799445818"/>
    <n v="0"/>
    <x v="92"/>
    <x v="207"/>
    <e v="#N/A"/>
    <e v="#N/A"/>
    <e v="#N/A"/>
    <e v="#N/A"/>
    <x v="0"/>
    <x v="3"/>
    <x v="4"/>
  </r>
  <r>
    <s v="192.168.100.2"/>
    <x v="1444"/>
    <s v="157.55.235.160"/>
    <x v="116"/>
    <n v="3"/>
    <x v="49"/>
    <n v="3"/>
    <n v="194"/>
    <n v="0"/>
    <n v="0"/>
    <n v="583.63853700000004"/>
    <n v="9.0006079999999393"/>
    <n v="172.432795651139"/>
    <n v="0"/>
    <x v="92"/>
    <x v="208"/>
    <e v="#N/A"/>
    <e v="#N/A"/>
    <e v="#N/A"/>
    <e v="#N/A"/>
    <x v="0"/>
    <x v="3"/>
    <x v="4"/>
  </r>
  <r>
    <s v="192.168.100.2"/>
    <x v="1445"/>
    <s v="65.55.223.44"/>
    <x v="221"/>
    <n v="3"/>
    <x v="49"/>
    <n v="3"/>
    <n v="194"/>
    <n v="0"/>
    <n v="0"/>
    <n v="591.50067899999999"/>
    <n v="8.9983660000000292"/>
    <n v="172.47575837657601"/>
    <n v="0"/>
    <x v="92"/>
    <x v="209"/>
    <e v="#N/A"/>
    <e v="#N/A"/>
    <e v="#N/A"/>
    <e v="#N/A"/>
    <x v="0"/>
    <x v="3"/>
    <x v="0"/>
  </r>
  <r>
    <s v="192.168.100.2"/>
    <x v="1446"/>
    <s v="65.55.223.44"/>
    <x v="117"/>
    <n v="3"/>
    <x v="49"/>
    <n v="3"/>
    <n v="194"/>
    <n v="0"/>
    <n v="0"/>
    <n v="593.11958900000002"/>
    <n v="9.0006389999999801"/>
    <n v="172.43220175811999"/>
    <n v="0"/>
    <x v="92"/>
    <x v="209"/>
    <e v="#N/A"/>
    <e v="#N/A"/>
    <e v="#N/A"/>
    <e v="#N/A"/>
    <x v="0"/>
    <x v="3"/>
    <x v="5"/>
  </r>
  <r>
    <s v="192.168.100.2"/>
    <x v="1447"/>
    <s v="65.55.223.44"/>
    <x v="116"/>
    <n v="3"/>
    <x v="49"/>
    <n v="3"/>
    <n v="194"/>
    <n v="0"/>
    <n v="0"/>
    <n v="594.75015599999995"/>
    <n v="8.99980800000003"/>
    <n v="172.448123337742"/>
    <n v="0"/>
    <x v="92"/>
    <x v="209"/>
    <e v="#N/A"/>
    <e v="#N/A"/>
    <e v="#N/A"/>
    <e v="#N/A"/>
    <x v="0"/>
    <x v="3"/>
    <x v="4"/>
  </r>
  <r>
    <s v="192.168.100.2"/>
    <x v="1448"/>
    <s v="103.43.75.140"/>
    <x v="117"/>
    <n v="3"/>
    <x v="49"/>
    <n v="3"/>
    <n v="194"/>
    <n v="0"/>
    <n v="0"/>
    <n v="602.50113299999998"/>
    <n v="8.9999480000000194"/>
    <n v="172.44544079587999"/>
    <n v="0"/>
    <x v="92"/>
    <x v="118"/>
    <e v="#N/A"/>
    <e v="#N/A"/>
    <e v="#N/A"/>
    <e v="#N/A"/>
    <x v="0"/>
    <x v="3"/>
    <x v="5"/>
  </r>
  <r>
    <s v="192.168.100.2"/>
    <x v="1449"/>
    <s v="111.221.77.151"/>
    <x v="219"/>
    <n v="3"/>
    <x v="49"/>
    <n v="3"/>
    <n v="194"/>
    <n v="0"/>
    <n v="0"/>
    <n v="603.64158799999996"/>
    <n v="8.9994050000000207"/>
    <n v="172.45584569202001"/>
    <n v="0"/>
    <x v="92"/>
    <x v="210"/>
    <e v="#N/A"/>
    <e v="#N/A"/>
    <e v="#N/A"/>
    <e v="#N/A"/>
    <x v="0"/>
    <x v="3"/>
    <x v="0"/>
  </r>
  <r>
    <s v="192.168.100.2"/>
    <x v="1450"/>
    <s v="103.43.75.140"/>
    <x v="116"/>
    <n v="3"/>
    <x v="49"/>
    <n v="3"/>
    <n v="194"/>
    <n v="0"/>
    <n v="0"/>
    <n v="604.51140699999996"/>
    <n v="8.9996290000000307"/>
    <n v="172.451553280696"/>
    <n v="0"/>
    <x v="92"/>
    <x v="118"/>
    <e v="#N/A"/>
    <e v="#N/A"/>
    <e v="#N/A"/>
    <e v="#N/A"/>
    <x v="0"/>
    <x v="3"/>
    <x v="4"/>
  </r>
  <r>
    <s v="192.168.100.2"/>
    <x v="1451"/>
    <s v="64.4.23.151"/>
    <x v="219"/>
    <n v="3"/>
    <x v="49"/>
    <n v="3"/>
    <n v="194"/>
    <n v="0"/>
    <n v="0"/>
    <n v="604.69159100000002"/>
    <n v="8.9993959999999298"/>
    <n v="172.45601815944201"/>
    <n v="0"/>
    <x v="92"/>
    <x v="211"/>
    <e v="#N/A"/>
    <e v="#N/A"/>
    <e v="#N/A"/>
    <e v="#N/A"/>
    <x v="0"/>
    <x v="3"/>
    <x v="0"/>
  </r>
  <r>
    <s v="192.168.100.2"/>
    <x v="1452"/>
    <s v="111.221.77.151"/>
    <x v="117"/>
    <n v="3"/>
    <x v="49"/>
    <n v="3"/>
    <n v="194"/>
    <n v="0"/>
    <n v="0"/>
    <n v="605.26060800000005"/>
    <n v="9.0003809999999493"/>
    <n v="172.43714460532399"/>
    <n v="0"/>
    <x v="92"/>
    <x v="210"/>
    <e v="#N/A"/>
    <e v="#N/A"/>
    <e v="#N/A"/>
    <e v="#N/A"/>
    <x v="0"/>
    <x v="3"/>
    <x v="5"/>
  </r>
  <r>
    <s v="192.168.100.2"/>
    <x v="1453"/>
    <s v="64.4.23.151"/>
    <x v="117"/>
    <n v="3"/>
    <x v="49"/>
    <n v="3"/>
    <n v="194"/>
    <n v="0"/>
    <n v="0"/>
    <n v="606.31054300000005"/>
    <n v="9.0005359999999008"/>
    <n v="172.43417503135601"/>
    <n v="0"/>
    <x v="92"/>
    <x v="211"/>
    <e v="#N/A"/>
    <e v="#N/A"/>
    <e v="#N/A"/>
    <e v="#N/A"/>
    <x v="0"/>
    <x v="3"/>
    <x v="5"/>
  </r>
  <r>
    <s v="192.168.100.2"/>
    <x v="1454"/>
    <s v="111.221.77.151"/>
    <x v="116"/>
    <n v="3"/>
    <x v="49"/>
    <n v="3"/>
    <n v="194"/>
    <n v="0"/>
    <n v="0"/>
    <n v="606.88044000000002"/>
    <n v="9.0003909999999205"/>
    <n v="172.43695301682001"/>
    <n v="0"/>
    <x v="92"/>
    <x v="210"/>
    <e v="#N/A"/>
    <e v="#N/A"/>
    <e v="#N/A"/>
    <e v="#N/A"/>
    <x v="0"/>
    <x v="3"/>
    <x v="4"/>
  </r>
  <r>
    <s v="192.168.100.2"/>
    <x v="1455"/>
    <s v="64.4.23.151"/>
    <x v="116"/>
    <n v="3"/>
    <x v="49"/>
    <n v="3"/>
    <n v="194"/>
    <n v="0"/>
    <n v="0"/>
    <n v="607.92055900000003"/>
    <n v="9.0003829999999407"/>
    <n v="172.43710628758899"/>
    <n v="0"/>
    <x v="92"/>
    <x v="211"/>
    <e v="#N/A"/>
    <e v="#N/A"/>
    <e v="#N/A"/>
    <e v="#N/A"/>
    <x v="0"/>
    <x v="3"/>
    <x v="4"/>
  </r>
  <r>
    <s v="192.168.100.2"/>
    <x v="1456"/>
    <s v="157.55.130.170"/>
    <x v="224"/>
    <n v="3"/>
    <x v="49"/>
    <n v="3"/>
    <n v="194"/>
    <n v="0"/>
    <n v="0"/>
    <n v="615.79229099999998"/>
    <n v="8.9987489999999806"/>
    <n v="172.468417554485"/>
    <n v="0"/>
    <x v="92"/>
    <x v="212"/>
    <e v="#N/A"/>
    <e v="#N/A"/>
    <e v="#N/A"/>
    <e v="#N/A"/>
    <x v="0"/>
    <x v="3"/>
    <x v="0"/>
  </r>
  <r>
    <s v="192.168.100.2"/>
    <x v="1457"/>
    <s v="157.55.130.170"/>
    <x v="117"/>
    <n v="3"/>
    <x v="49"/>
    <n v="3"/>
    <n v="194"/>
    <n v="0"/>
    <n v="0"/>
    <n v="617.41134799999998"/>
    <n v="9.0005600000000605"/>
    <n v="172.43371523549499"/>
    <n v="0"/>
    <x v="92"/>
    <x v="212"/>
    <e v="#N/A"/>
    <e v="#N/A"/>
    <e v="#N/A"/>
    <e v="#N/A"/>
    <x v="0"/>
    <x v="3"/>
    <x v="5"/>
  </r>
  <r>
    <s v="192.168.100.2"/>
    <x v="1458"/>
    <s v="91.190.218.58"/>
    <x v="223"/>
    <n v="3"/>
    <x v="49"/>
    <n v="3"/>
    <n v="194"/>
    <n v="0"/>
    <n v="0"/>
    <n v="617.97171000000003"/>
    <n v="9.0299029999999902"/>
    <n v="171.87338557235901"/>
    <n v="0"/>
    <x v="92"/>
    <x v="173"/>
    <e v="#N/A"/>
    <e v="#N/A"/>
    <e v="#N/A"/>
    <e v="#N/A"/>
    <x v="0"/>
    <x v="3"/>
    <x v="0"/>
  </r>
  <r>
    <s v="192.168.100.2"/>
    <x v="1459"/>
    <s v="78.46.49.23"/>
    <x v="117"/>
    <n v="3"/>
    <x v="49"/>
    <n v="3"/>
    <n v="194"/>
    <n v="0"/>
    <n v="0"/>
    <n v="618.51214000000004"/>
    <n v="9.02916999999991"/>
    <n v="171.88733848183301"/>
    <n v="0"/>
    <x v="92"/>
    <x v="127"/>
    <e v="#N/A"/>
    <e v="#N/A"/>
    <e v="#N/A"/>
    <e v="#N/A"/>
    <x v="0"/>
    <x v="3"/>
    <x v="5"/>
  </r>
  <r>
    <s v="192.168.100.2"/>
    <x v="1460"/>
    <s v="157.55.130.170"/>
    <x v="116"/>
    <n v="3"/>
    <x v="49"/>
    <n v="3"/>
    <n v="194"/>
    <n v="0"/>
    <n v="0"/>
    <n v="619.02140699999995"/>
    <n v="9.0005550000000802"/>
    <n v="172.43381102609601"/>
    <n v="0"/>
    <x v="92"/>
    <x v="212"/>
    <e v="#N/A"/>
    <e v="#N/A"/>
    <e v="#N/A"/>
    <e v="#N/A"/>
    <x v="0"/>
    <x v="3"/>
    <x v="4"/>
  </r>
  <r>
    <s v="192.168.100.2"/>
    <x v="1461"/>
    <s v="91.190.218.58"/>
    <x v="117"/>
    <n v="3"/>
    <x v="49"/>
    <n v="3"/>
    <n v="194"/>
    <n v="0"/>
    <n v="0"/>
    <n v="619.59133799999995"/>
    <n v="9.0103280000000705"/>
    <n v="172.246781693184"/>
    <n v="0"/>
    <x v="92"/>
    <x v="173"/>
    <e v="#N/A"/>
    <e v="#N/A"/>
    <e v="#N/A"/>
    <e v="#N/A"/>
    <x v="0"/>
    <x v="3"/>
    <x v="5"/>
  </r>
  <r>
    <s v="192.168.100.2"/>
    <x v="1462"/>
    <s v="78.46.49.23"/>
    <x v="116"/>
    <n v="3"/>
    <x v="49"/>
    <n v="3"/>
    <n v="194"/>
    <n v="0"/>
    <n v="0"/>
    <n v="620.51199599999995"/>
    <n v="8.9997220000000198"/>
    <n v="172.44977122626599"/>
    <n v="0"/>
    <x v="92"/>
    <x v="127"/>
    <e v="#N/A"/>
    <e v="#N/A"/>
    <e v="#N/A"/>
    <e v="#N/A"/>
    <x v="0"/>
    <x v="3"/>
    <x v="4"/>
  </r>
  <r>
    <s v="192.168.100.2"/>
    <x v="1463"/>
    <s v="91.190.218.58"/>
    <x v="116"/>
    <n v="3"/>
    <x v="49"/>
    <n v="3"/>
    <n v="194"/>
    <n v="0"/>
    <n v="0"/>
    <n v="621.20139200000006"/>
    <n v="9.0005649999999395"/>
    <n v="172.43361944500299"/>
    <n v="0"/>
    <x v="92"/>
    <x v="173"/>
    <e v="#N/A"/>
    <e v="#N/A"/>
    <e v="#N/A"/>
    <e v="#N/A"/>
    <x v="0"/>
    <x v="3"/>
    <x v="4"/>
  </r>
  <r>
    <s v="192.168.100.2"/>
    <x v="1464"/>
    <s v="157.55.56.146"/>
    <x v="232"/>
    <n v="3"/>
    <x v="49"/>
    <n v="3"/>
    <n v="194"/>
    <n v="0"/>
    <n v="0"/>
    <n v="627.98303499999997"/>
    <n v="9.0007170000000105"/>
    <n v="172.43070746474999"/>
    <n v="0"/>
    <x v="92"/>
    <x v="122"/>
    <e v="#N/A"/>
    <e v="#N/A"/>
    <e v="#N/A"/>
    <e v="#N/A"/>
    <x v="0"/>
    <x v="3"/>
    <x v="0"/>
  </r>
  <r>
    <s v="192.168.100.2"/>
    <x v="1465"/>
    <s v="157.55.235.151"/>
    <x v="237"/>
    <n v="3"/>
    <x v="49"/>
    <n v="3"/>
    <n v="194"/>
    <n v="0"/>
    <n v="0"/>
    <n v="629.02336500000001"/>
    <n v="8.9996539999999605"/>
    <n v="172.451074230188"/>
    <n v="0"/>
    <x v="92"/>
    <x v="213"/>
    <e v="#N/A"/>
    <e v="#N/A"/>
    <e v="#N/A"/>
    <e v="#N/A"/>
    <x v="0"/>
    <x v="3"/>
    <x v="0"/>
  </r>
  <r>
    <s v="192.168.100.2"/>
    <x v="1466"/>
    <s v="157.55.56.146"/>
    <x v="117"/>
    <n v="3"/>
    <x v="49"/>
    <n v="3"/>
    <n v="194"/>
    <n v="0"/>
    <n v="0"/>
    <n v="629.60248799999999"/>
    <n v="9.0002610000000196"/>
    <n v="172.43944370057699"/>
    <n v="0"/>
    <x v="92"/>
    <x v="122"/>
    <e v="#N/A"/>
    <e v="#N/A"/>
    <e v="#N/A"/>
    <e v="#N/A"/>
    <x v="0"/>
    <x v="3"/>
    <x v="5"/>
  </r>
  <r>
    <s v="192.168.100.2"/>
    <x v="1467"/>
    <s v="157.55.235.151"/>
    <x v="117"/>
    <n v="3"/>
    <x v="49"/>
    <n v="3"/>
    <n v="194"/>
    <n v="0"/>
    <n v="0"/>
    <n v="630.64232400000003"/>
    <n v="9.00049999999999"/>
    <n v="172.434864729737"/>
    <n v="0"/>
    <x v="92"/>
    <x v="213"/>
    <e v="#N/A"/>
    <e v="#N/A"/>
    <e v="#N/A"/>
    <e v="#N/A"/>
    <x v="0"/>
    <x v="3"/>
    <x v="5"/>
  </r>
  <r>
    <s v="192.168.100.2"/>
    <x v="1468"/>
    <s v="157.55.56.146"/>
    <x v="116"/>
    <n v="3"/>
    <x v="49"/>
    <n v="3"/>
    <n v="194"/>
    <n v="0"/>
    <n v="0"/>
    <n v="631.21238200000005"/>
    <n v="9.0004649999999593"/>
    <n v="172.43553527512299"/>
    <n v="0"/>
    <x v="92"/>
    <x v="122"/>
    <e v="#N/A"/>
    <e v="#N/A"/>
    <e v="#N/A"/>
    <e v="#N/A"/>
    <x v="0"/>
    <x v="3"/>
    <x v="4"/>
  </r>
  <r>
    <s v="192.168.100.2"/>
    <x v="1469"/>
    <s v="157.55.235.151"/>
    <x v="116"/>
    <n v="3"/>
    <x v="49"/>
    <n v="3"/>
    <n v="194"/>
    <n v="0"/>
    <n v="0"/>
    <n v="632.25232100000005"/>
    <n v="9.0005609999999496"/>
    <n v="172.43369607739001"/>
    <n v="0"/>
    <x v="92"/>
    <x v="213"/>
    <e v="#N/A"/>
    <e v="#N/A"/>
    <e v="#N/A"/>
    <e v="#N/A"/>
    <x v="0"/>
    <x v="3"/>
    <x v="4"/>
  </r>
  <r>
    <s v="192.168.100.2"/>
    <x v="1470"/>
    <s v="85.25.103.30"/>
    <x v="117"/>
    <n v="3"/>
    <x v="49"/>
    <n v="3"/>
    <n v="194"/>
    <n v="0"/>
    <n v="0"/>
    <n v="634.51403400000004"/>
    <n v="8.9988769999999896"/>
    <n v="172.46596436422001"/>
    <n v="0"/>
    <x v="92"/>
    <x v="131"/>
    <e v="#N/A"/>
    <e v="#N/A"/>
    <e v="#N/A"/>
    <e v="#N/A"/>
    <x v="0"/>
    <x v="3"/>
    <x v="5"/>
  </r>
  <r>
    <s v="192.168.100.2"/>
    <x v="1471"/>
    <s v="85.25.103.30"/>
    <x v="116"/>
    <n v="3"/>
    <x v="49"/>
    <n v="3"/>
    <n v="194"/>
    <n v="0"/>
    <n v="0"/>
    <n v="636.51410299999998"/>
    <n v="9.0279390000000603"/>
    <n v="171.910776091862"/>
    <n v="0"/>
    <x v="92"/>
    <x v="131"/>
    <e v="#N/A"/>
    <e v="#N/A"/>
    <e v="#N/A"/>
    <e v="#N/A"/>
    <x v="0"/>
    <x v="3"/>
    <x v="4"/>
  </r>
  <r>
    <s v="192.168.100.2"/>
    <x v="1472"/>
    <s v="157.55.235.164"/>
    <x v="247"/>
    <n v="3"/>
    <x v="49"/>
    <n v="3"/>
    <n v="194"/>
    <n v="0"/>
    <n v="0"/>
    <n v="640.12460299999998"/>
    <n v="8.9994050000000207"/>
    <n v="172.45584569202001"/>
    <n v="0"/>
    <x v="92"/>
    <x v="214"/>
    <e v="#N/A"/>
    <e v="#N/A"/>
    <e v="#N/A"/>
    <e v="#N/A"/>
    <x v="0"/>
    <x v="3"/>
    <x v="0"/>
  </r>
  <r>
    <s v="192.168.100.2"/>
    <x v="1473"/>
    <s v="157.55.235.164"/>
    <x v="117"/>
    <n v="3"/>
    <x v="49"/>
    <n v="3"/>
    <n v="194"/>
    <n v="0"/>
    <n v="0"/>
    <n v="641.74988599999995"/>
    <n v="9.0001700000000309"/>
    <n v="172.44118722201901"/>
    <n v="0"/>
    <x v="92"/>
    <x v="214"/>
    <e v="#N/A"/>
    <e v="#N/A"/>
    <e v="#N/A"/>
    <e v="#N/A"/>
    <x v="0"/>
    <x v="3"/>
    <x v="5"/>
  </r>
  <r>
    <s v="192.168.100.2"/>
    <x v="1474"/>
    <s v="157.55.235.164"/>
    <x v="116"/>
    <n v="3"/>
    <x v="49"/>
    <n v="3"/>
    <n v="194"/>
    <n v="0"/>
    <n v="0"/>
    <n v="643.36361499999998"/>
    <n v="9.0001740000000208"/>
    <n v="172.44111058297301"/>
    <n v="0"/>
    <x v="92"/>
    <x v="214"/>
    <e v="#N/A"/>
    <e v="#N/A"/>
    <e v="#N/A"/>
    <e v="#N/A"/>
    <x v="0"/>
    <x v="3"/>
    <x v="4"/>
  </r>
  <r>
    <s v="192.168.100.2"/>
    <x v="1475"/>
    <s v="157.55.235.168"/>
    <x v="249"/>
    <n v="3"/>
    <x v="49"/>
    <n v="3"/>
    <n v="194"/>
    <n v="0"/>
    <n v="0"/>
    <n v="652.41518699999995"/>
    <n v="8.9996120000000701"/>
    <n v="172.45187903656199"/>
    <n v="0"/>
    <x v="92"/>
    <x v="215"/>
    <e v="#N/A"/>
    <e v="#N/A"/>
    <e v="#N/A"/>
    <e v="#N/A"/>
    <x v="0"/>
    <x v="3"/>
    <x v="0"/>
  </r>
  <r>
    <s v="192.168.100.2"/>
    <x v="1476"/>
    <s v="157.55.130.172"/>
    <x v="245"/>
    <n v="3"/>
    <x v="49"/>
    <n v="3"/>
    <n v="194"/>
    <n v="0"/>
    <n v="0"/>
    <n v="653.45518200000004"/>
    <n v="8.9997189999999101"/>
    <n v="172.44982871132001"/>
    <n v="0"/>
    <x v="92"/>
    <x v="216"/>
    <e v="#N/A"/>
    <e v="#N/A"/>
    <e v="#N/A"/>
    <e v="#N/A"/>
    <x v="0"/>
    <x v="3"/>
    <x v="0"/>
  </r>
  <r>
    <s v="192.168.100.2"/>
    <x v="1477"/>
    <s v="157.55.235.168"/>
    <x v="117"/>
    <n v="3"/>
    <x v="49"/>
    <n v="3"/>
    <n v="194"/>
    <n v="0"/>
    <n v="0"/>
    <n v="654.03427199999999"/>
    <n v="9.0005600000000605"/>
    <n v="172.43371523549499"/>
    <n v="0"/>
    <x v="92"/>
    <x v="215"/>
    <e v="#N/A"/>
    <e v="#N/A"/>
    <e v="#N/A"/>
    <e v="#N/A"/>
    <x v="0"/>
    <x v="3"/>
    <x v="5"/>
  </r>
  <r>
    <s v="192.168.100.2"/>
    <x v="1478"/>
    <s v="157.55.130.172"/>
    <x v="117"/>
    <n v="3"/>
    <x v="49"/>
    <n v="3"/>
    <n v="194"/>
    <n v="0"/>
    <n v="0"/>
    <n v="655.07410500000003"/>
    <n v="9.0017329999999394"/>
    <n v="172.41124570124501"/>
    <n v="0"/>
    <x v="92"/>
    <x v="216"/>
    <e v="#N/A"/>
    <e v="#N/A"/>
    <e v="#N/A"/>
    <e v="#N/A"/>
    <x v="0"/>
    <x v="3"/>
    <x v="5"/>
  </r>
  <r>
    <s v="192.168.100.2"/>
    <x v="1479"/>
    <s v="157.55.235.168"/>
    <x v="116"/>
    <n v="3"/>
    <x v="49"/>
    <n v="3"/>
    <n v="194"/>
    <n v="0"/>
    <n v="0"/>
    <n v="655.65417100000002"/>
    <n v="9.0015949999999503"/>
    <n v="172.41388887191701"/>
    <n v="0"/>
    <x v="92"/>
    <x v="215"/>
    <e v="#N/A"/>
    <e v="#N/A"/>
    <e v="#N/A"/>
    <e v="#N/A"/>
    <x v="0"/>
    <x v="3"/>
    <x v="4"/>
  </r>
  <r>
    <s v="192.168.100.2"/>
    <x v="1480"/>
    <s v="157.55.130.172"/>
    <x v="116"/>
    <n v="3"/>
    <x v="49"/>
    <n v="3"/>
    <n v="194"/>
    <n v="0"/>
    <n v="0"/>
    <n v="656.69482800000003"/>
    <n v="9.0010229999999201"/>
    <n v="172.42484548700901"/>
    <n v="0"/>
    <x v="92"/>
    <x v="216"/>
    <e v="#N/A"/>
    <e v="#N/A"/>
    <e v="#N/A"/>
    <e v="#N/A"/>
    <x v="0"/>
    <x v="3"/>
    <x v="4"/>
  </r>
  <r>
    <s v="192.168.100.2"/>
    <x v="1481"/>
    <s v="157.55.56.149"/>
    <x v="225"/>
    <n v="3"/>
    <x v="49"/>
    <n v="3"/>
    <n v="194"/>
    <n v="0"/>
    <n v="0"/>
    <n v="664.66733499999998"/>
    <n v="9.0083450000000802"/>
    <n v="172.28469824368301"/>
    <n v="0"/>
    <x v="92"/>
    <x v="217"/>
    <e v="#N/A"/>
    <e v="#N/A"/>
    <e v="#N/A"/>
    <e v="#N/A"/>
    <x v="0"/>
    <x v="3"/>
    <x v="0"/>
  </r>
  <r>
    <s v="192.168.100.2"/>
    <x v="1482"/>
    <s v="91.190.218.51"/>
    <x v="223"/>
    <n v="3"/>
    <x v="49"/>
    <n v="3"/>
    <n v="194"/>
    <n v="0"/>
    <n v="0"/>
    <n v="665.97664999999995"/>
    <n v="8.9999460000000209"/>
    <n v="172.445479117319"/>
    <n v="0"/>
    <x v="92"/>
    <x v="187"/>
    <e v="#N/A"/>
    <e v="#N/A"/>
    <e v="#N/A"/>
    <e v="#N/A"/>
    <x v="0"/>
    <x v="3"/>
    <x v="0"/>
  </r>
  <r>
    <s v="192.168.100.2"/>
    <x v="1483"/>
    <s v="157.55.56.149"/>
    <x v="117"/>
    <n v="3"/>
    <x v="49"/>
    <n v="3"/>
    <n v="194"/>
    <n v="0"/>
    <n v="0"/>
    <n v="666.28619200000003"/>
    <n v="9.0004989999999907"/>
    <n v="172.43488388810499"/>
    <n v="0"/>
    <x v="92"/>
    <x v="217"/>
    <e v="#N/A"/>
    <e v="#N/A"/>
    <e v="#N/A"/>
    <e v="#N/A"/>
    <x v="0"/>
    <x v="3"/>
    <x v="5"/>
  </r>
  <r>
    <s v="192.168.100.2"/>
    <x v="1484"/>
    <s v="91.190.218.51"/>
    <x v="117"/>
    <n v="3"/>
    <x v="49"/>
    <n v="3"/>
    <n v="194"/>
    <n v="0"/>
    <n v="0"/>
    <n v="667.59611700000005"/>
    <n v="9.0006299999999992"/>
    <n v="172.43237417825199"/>
    <n v="0"/>
    <x v="92"/>
    <x v="187"/>
    <e v="#N/A"/>
    <e v="#N/A"/>
    <e v="#N/A"/>
    <e v="#N/A"/>
    <x v="0"/>
    <x v="3"/>
    <x v="5"/>
  </r>
  <r>
    <s v="192.168.100.2"/>
    <x v="1485"/>
    <s v="157.55.56.149"/>
    <x v="116"/>
    <n v="3"/>
    <x v="49"/>
    <n v="3"/>
    <n v="194"/>
    <n v="0"/>
    <n v="0"/>
    <n v="667.90615200000002"/>
    <n v="9.0006250000000101"/>
    <n v="172.43246996736301"/>
    <n v="0"/>
    <x v="92"/>
    <x v="217"/>
    <e v="#N/A"/>
    <e v="#N/A"/>
    <e v="#N/A"/>
    <e v="#N/A"/>
    <x v="0"/>
    <x v="3"/>
    <x v="4"/>
  </r>
  <r>
    <s v="192.168.100.2"/>
    <x v="1486"/>
    <s v="91.190.218.51"/>
    <x v="116"/>
    <n v="3"/>
    <x v="49"/>
    <n v="3"/>
    <n v="194"/>
    <n v="0"/>
    <n v="0"/>
    <n v="669.21606099999997"/>
    <n v="9.0006000000000803"/>
    <n v="172.43294891451501"/>
    <n v="0"/>
    <x v="92"/>
    <x v="187"/>
    <e v="#N/A"/>
    <e v="#N/A"/>
    <e v="#N/A"/>
    <e v="#N/A"/>
    <x v="0"/>
    <x v="3"/>
    <x v="4"/>
  </r>
  <r>
    <s v="192.168.100.2"/>
    <x v="1487"/>
    <s v="157.55.56.146"/>
    <x v="226"/>
    <n v="3"/>
    <x v="49"/>
    <n v="3"/>
    <n v="194"/>
    <n v="0"/>
    <n v="0"/>
    <n v="676.85810900000001"/>
    <n v="9.0007190000000001"/>
    <n v="172.430669149876"/>
    <n v="0"/>
    <x v="92"/>
    <x v="122"/>
    <e v="#N/A"/>
    <e v="#N/A"/>
    <e v="#N/A"/>
    <e v="#N/A"/>
    <x v="0"/>
    <x v="3"/>
    <x v="0"/>
  </r>
  <r>
    <s v="192.168.100.2"/>
    <x v="1488"/>
    <s v="65.55.223.21"/>
    <x v="241"/>
    <n v="3"/>
    <x v="49"/>
    <n v="3"/>
    <n v="194"/>
    <n v="0"/>
    <n v="0"/>
    <n v="677.89819199999999"/>
    <n v="9.0105419999999903"/>
    <n v="172.24269083924199"/>
    <n v="0"/>
    <x v="92"/>
    <x v="218"/>
    <e v="#N/A"/>
    <e v="#N/A"/>
    <e v="#N/A"/>
    <e v="#N/A"/>
    <x v="0"/>
    <x v="3"/>
    <x v="0"/>
  </r>
  <r>
    <s v="192.168.100.2"/>
    <x v="1489"/>
    <s v="157.55.56.146"/>
    <x v="117"/>
    <n v="3"/>
    <x v="49"/>
    <n v="3"/>
    <n v="194"/>
    <n v="0"/>
    <n v="0"/>
    <n v="678.47704499999998"/>
    <n v="9.0015520000000606"/>
    <n v="172.414712485135"/>
    <n v="0"/>
    <x v="92"/>
    <x v="122"/>
    <e v="#N/A"/>
    <e v="#N/A"/>
    <e v="#N/A"/>
    <e v="#N/A"/>
    <x v="0"/>
    <x v="3"/>
    <x v="5"/>
  </r>
  <r>
    <s v="192.168.100.2"/>
    <x v="1490"/>
    <s v="65.55.223.21"/>
    <x v="117"/>
    <n v="3"/>
    <x v="49"/>
    <n v="3"/>
    <n v="194"/>
    <n v="0"/>
    <n v="0"/>
    <n v="679.51717199999996"/>
    <n v="9.0014760000000305"/>
    <n v="172.41616819286"/>
    <n v="0"/>
    <x v="92"/>
    <x v="218"/>
    <e v="#N/A"/>
    <e v="#N/A"/>
    <e v="#N/A"/>
    <e v="#N/A"/>
    <x v="0"/>
    <x v="3"/>
    <x v="5"/>
  </r>
  <r>
    <s v="192.168.100.2"/>
    <x v="1491"/>
    <s v="157.55.56.146"/>
    <x v="116"/>
    <n v="3"/>
    <x v="49"/>
    <n v="3"/>
    <n v="194"/>
    <n v="0"/>
    <n v="0"/>
    <n v="680.09690999999998"/>
    <n v="9.00167399999998"/>
    <n v="172.412375742557"/>
    <n v="0"/>
    <x v="92"/>
    <x v="122"/>
    <e v="#N/A"/>
    <e v="#N/A"/>
    <e v="#N/A"/>
    <e v="#N/A"/>
    <x v="0"/>
    <x v="3"/>
    <x v="4"/>
  </r>
  <r>
    <s v="192.168.100.2"/>
    <x v="1492"/>
    <s v="65.55.223.21"/>
    <x v="116"/>
    <n v="3"/>
    <x v="49"/>
    <n v="3"/>
    <n v="194"/>
    <n v="0"/>
    <n v="0"/>
    <n v="681.12807399999997"/>
    <n v="9.0003770000000696"/>
    <n v="172.43722124084201"/>
    <n v="0"/>
    <x v="92"/>
    <x v="218"/>
    <e v="#N/A"/>
    <e v="#N/A"/>
    <e v="#N/A"/>
    <e v="#N/A"/>
    <x v="0"/>
    <x v="3"/>
    <x v="4"/>
  </r>
  <r>
    <s v="192.168.100.2"/>
    <x v="1493"/>
    <s v="157.55.56.170"/>
    <x v="229"/>
    <n v="3"/>
    <x v="49"/>
    <n v="3"/>
    <n v="194"/>
    <n v="0"/>
    <n v="0"/>
    <n v="689.10991200000001"/>
    <n v="8.9997279999999993"/>
    <n v="172.44965625627799"/>
    <n v="0"/>
    <x v="92"/>
    <x v="219"/>
    <e v="#N/A"/>
    <e v="#N/A"/>
    <e v="#N/A"/>
    <e v="#N/A"/>
    <x v="0"/>
    <x v="3"/>
    <x v="0"/>
  </r>
  <r>
    <s v="192.168.100.2"/>
    <x v="1494"/>
    <s v="157.55.56.170"/>
    <x v="117"/>
    <n v="3"/>
    <x v="49"/>
    <n v="3"/>
    <n v="194"/>
    <n v="0"/>
    <n v="0"/>
    <n v="690.72902699999997"/>
    <n v="9.0007090000000307"/>
    <n v="172.43086072441599"/>
    <n v="0"/>
    <x v="92"/>
    <x v="219"/>
    <e v="#N/A"/>
    <e v="#N/A"/>
    <e v="#N/A"/>
    <e v="#N/A"/>
    <x v="0"/>
    <x v="3"/>
    <x v="5"/>
  </r>
  <r>
    <s v="192.168.100.2"/>
    <x v="1495"/>
    <s v="157.55.56.170"/>
    <x v="116"/>
    <n v="3"/>
    <x v="49"/>
    <n v="3"/>
    <n v="194"/>
    <n v="0"/>
    <n v="0"/>
    <n v="692.34901500000001"/>
    <n v="9.0004810000000397"/>
    <n v="172.43522873944099"/>
    <n v="0"/>
    <x v="92"/>
    <x v="219"/>
    <e v="#N/A"/>
    <e v="#N/A"/>
    <e v="#N/A"/>
    <e v="#N/A"/>
    <x v="0"/>
    <x v="3"/>
    <x v="4"/>
  </r>
  <r>
    <s v="192.168.100.2"/>
    <x v="1496"/>
    <s v="65.55.223.19"/>
    <x v="219"/>
    <n v="3"/>
    <x v="49"/>
    <n v="3"/>
    <n v="194"/>
    <n v="0"/>
    <n v="0"/>
    <n v="701.20088999999996"/>
    <n v="8.9993790000000899"/>
    <n v="172.45634393217401"/>
    <n v="0"/>
    <x v="92"/>
    <x v="220"/>
    <e v="#N/A"/>
    <e v="#N/A"/>
    <e v="#N/A"/>
    <e v="#N/A"/>
    <x v="0"/>
    <x v="3"/>
    <x v="0"/>
  </r>
  <r>
    <s v="192.168.100.2"/>
    <x v="1497"/>
    <s v="103.43.75.140"/>
    <x v="117"/>
    <n v="3"/>
    <x v="49"/>
    <n v="3"/>
    <n v="194"/>
    <n v="0"/>
    <n v="0"/>
    <n v="702.11084300000005"/>
    <n v="8.9995639999999604"/>
    <n v="172.45279882447699"/>
    <n v="0"/>
    <x v="92"/>
    <x v="118"/>
    <e v="#N/A"/>
    <e v="#N/A"/>
    <e v="#N/A"/>
    <e v="#N/A"/>
    <x v="0"/>
    <x v="3"/>
    <x v="5"/>
  </r>
  <r>
    <s v="192.168.100.2"/>
    <x v="1498"/>
    <s v="157.55.56.148"/>
    <x v="236"/>
    <n v="3"/>
    <x v="49"/>
    <n v="3"/>
    <n v="194"/>
    <n v="0"/>
    <n v="0"/>
    <n v="702.23099500000001"/>
    <n v="8.9994970000000194"/>
    <n v="172.45408271151101"/>
    <n v="0"/>
    <x v="92"/>
    <x v="221"/>
    <e v="#N/A"/>
    <e v="#N/A"/>
    <e v="#N/A"/>
    <e v="#N/A"/>
    <x v="0"/>
    <x v="3"/>
    <x v="0"/>
  </r>
  <r>
    <s v="192.168.100.2"/>
    <x v="1499"/>
    <s v="65.55.223.19"/>
    <x v="117"/>
    <n v="3"/>
    <x v="49"/>
    <n v="3"/>
    <n v="194"/>
    <n v="0"/>
    <n v="0"/>
    <n v="702.82007699999997"/>
    <n v="9.0003600000000006"/>
    <n v="172.437546942567"/>
    <n v="0"/>
    <x v="92"/>
    <x v="220"/>
    <e v="#N/A"/>
    <e v="#N/A"/>
    <e v="#N/A"/>
    <e v="#N/A"/>
    <x v="0"/>
    <x v="3"/>
    <x v="5"/>
  </r>
  <r>
    <s v="192.168.100.2"/>
    <x v="1500"/>
    <s v="157.55.56.148"/>
    <x v="117"/>
    <n v="3"/>
    <x v="49"/>
    <n v="3"/>
    <n v="194"/>
    <n v="0"/>
    <n v="0"/>
    <n v="703.84994200000006"/>
    <n v="9.0005709999999208"/>
    <n v="172.43350449655"/>
    <n v="0"/>
    <x v="92"/>
    <x v="221"/>
    <e v="#N/A"/>
    <e v="#N/A"/>
    <e v="#N/A"/>
    <e v="#N/A"/>
    <x v="0"/>
    <x v="3"/>
    <x v="5"/>
  </r>
  <r>
    <s v="192.168.100.2"/>
    <x v="1501"/>
    <s v="103.43.75.140"/>
    <x v="116"/>
    <n v="3"/>
    <x v="49"/>
    <n v="3"/>
    <n v="194"/>
    <n v="0"/>
    <n v="0"/>
    <n v="704.12079900000003"/>
    <n v="8.9997959999999502"/>
    <n v="172.44835327378601"/>
    <n v="0"/>
    <x v="92"/>
    <x v="118"/>
    <e v="#N/A"/>
    <e v="#N/A"/>
    <e v="#N/A"/>
    <e v="#N/A"/>
    <x v="0"/>
    <x v="3"/>
    <x v="4"/>
  </r>
  <r>
    <s v="192.168.100.2"/>
    <x v="1502"/>
    <s v="65.55.223.19"/>
    <x v="116"/>
    <n v="3"/>
    <x v="49"/>
    <n v="3"/>
    <n v="194"/>
    <n v="0"/>
    <n v="0"/>
    <n v="704.43996900000002"/>
    <n v="9.0006569999999293"/>
    <n v="172.43185691889099"/>
    <n v="0"/>
    <x v="92"/>
    <x v="220"/>
    <e v="#N/A"/>
    <e v="#N/A"/>
    <e v="#N/A"/>
    <e v="#N/A"/>
    <x v="0"/>
    <x v="3"/>
    <x v="4"/>
  </r>
  <r>
    <s v="192.168.100.2"/>
    <x v="1503"/>
    <s v="157.55.56.148"/>
    <x v="116"/>
    <n v="3"/>
    <x v="49"/>
    <n v="3"/>
    <n v="194"/>
    <n v="0"/>
    <n v="0"/>
    <n v="705.46092599999997"/>
    <n v="8.9996220000000395"/>
    <n v="172.45168741531501"/>
    <n v="0"/>
    <x v="92"/>
    <x v="221"/>
    <e v="#N/A"/>
    <e v="#N/A"/>
    <e v="#N/A"/>
    <e v="#N/A"/>
    <x v="0"/>
    <x v="3"/>
    <x v="4"/>
  </r>
  <r>
    <s v="192.168.100.2"/>
    <x v="1504"/>
    <s v="91.190.218.59"/>
    <x v="223"/>
    <n v="3"/>
    <x v="49"/>
    <n v="3"/>
    <n v="194"/>
    <n v="0"/>
    <n v="0"/>
    <n v="711.01139799999999"/>
    <n v="8.9998830000000698"/>
    <n v="172.44668625136401"/>
    <n v="0"/>
    <x v="92"/>
    <x v="191"/>
    <e v="#N/A"/>
    <e v="#N/A"/>
    <e v="#N/A"/>
    <e v="#N/A"/>
    <x v="0"/>
    <x v="3"/>
    <x v="0"/>
  </r>
  <r>
    <s v="192.168.100.2"/>
    <x v="1505"/>
    <s v="91.190.218.59"/>
    <x v="117"/>
    <n v="3"/>
    <x v="49"/>
    <n v="3"/>
    <n v="194"/>
    <n v="0"/>
    <n v="0"/>
    <n v="712.63092700000004"/>
    <n v="9.0005229999999301"/>
    <n v="172.43442408846801"/>
    <n v="0"/>
    <x v="92"/>
    <x v="191"/>
    <e v="#N/A"/>
    <e v="#N/A"/>
    <e v="#N/A"/>
    <e v="#N/A"/>
    <x v="0"/>
    <x v="3"/>
    <x v="5"/>
  </r>
  <r>
    <s v="192.168.100.2"/>
    <x v="1506"/>
    <s v="111.221.77.152"/>
    <x v="243"/>
    <n v="3"/>
    <x v="49"/>
    <n v="3"/>
    <n v="194"/>
    <n v="0"/>
    <n v="0"/>
    <n v="713.501848"/>
    <n v="8.9996879999999901"/>
    <n v="172.450422725766"/>
    <n v="0"/>
    <x v="92"/>
    <x v="222"/>
    <e v="#N/A"/>
    <e v="#N/A"/>
    <e v="#N/A"/>
    <e v="#N/A"/>
    <x v="0"/>
    <x v="3"/>
    <x v="0"/>
  </r>
  <r>
    <s v="192.168.100.2"/>
    <x v="1507"/>
    <s v="91.190.218.59"/>
    <x v="116"/>
    <n v="3"/>
    <x v="49"/>
    <n v="3"/>
    <n v="194"/>
    <n v="0"/>
    <n v="0"/>
    <n v="714.25287700000001"/>
    <n v="8.9986289999999407"/>
    <n v="172.47071748374199"/>
    <n v="0"/>
    <x v="92"/>
    <x v="191"/>
    <e v="#N/A"/>
    <e v="#N/A"/>
    <e v="#N/A"/>
    <e v="#N/A"/>
    <x v="0"/>
    <x v="3"/>
    <x v="4"/>
  </r>
  <r>
    <s v="192.168.100.2"/>
    <x v="1508"/>
    <s v="111.221.77.152"/>
    <x v="117"/>
    <n v="3"/>
    <x v="49"/>
    <n v="3"/>
    <n v="194"/>
    <n v="0"/>
    <n v="0"/>
    <n v="715.12078299999996"/>
    <n v="9.0006520000000592"/>
    <n v="172.43195270742501"/>
    <n v="0"/>
    <x v="92"/>
    <x v="222"/>
    <e v="#N/A"/>
    <e v="#N/A"/>
    <e v="#N/A"/>
    <e v="#N/A"/>
    <x v="0"/>
    <x v="3"/>
    <x v="5"/>
  </r>
  <r>
    <s v="192.168.100.2"/>
    <x v="1509"/>
    <s v="111.221.77.152"/>
    <x v="116"/>
    <n v="3"/>
    <x v="49"/>
    <n v="3"/>
    <n v="194"/>
    <n v="0"/>
    <n v="0"/>
    <n v="716.76249600000006"/>
    <n v="8.9875479999999506"/>
    <n v="172.683361468557"/>
    <n v="0"/>
    <x v="92"/>
    <x v="222"/>
    <e v="#N/A"/>
    <e v="#N/A"/>
    <e v="#N/A"/>
    <e v="#N/A"/>
    <x v="0"/>
    <x v="3"/>
    <x v="4"/>
  </r>
  <r>
    <s v="192.168.100.2"/>
    <x v="1510"/>
    <s v="78.46.49.23"/>
    <x v="117"/>
    <n v="3"/>
    <x v="49"/>
    <n v="3"/>
    <n v="194"/>
    <n v="0"/>
    <n v="0"/>
    <n v="718.13268500000004"/>
    <n v="8.9987669999999298"/>
    <n v="172.46807257038799"/>
    <n v="0"/>
    <x v="92"/>
    <x v="127"/>
    <e v="#N/A"/>
    <e v="#N/A"/>
    <e v="#N/A"/>
    <e v="#N/A"/>
    <x v="0"/>
    <x v="3"/>
    <x v="5"/>
  </r>
  <r>
    <s v="192.168.100.2"/>
    <x v="1511"/>
    <s v="78.46.49.23"/>
    <x v="116"/>
    <n v="3"/>
    <x v="49"/>
    <n v="3"/>
    <n v="194"/>
    <n v="0"/>
    <n v="0"/>
    <n v="720.132114"/>
    <n v="8.9992989999999509"/>
    <n v="172.457876996865"/>
    <n v="0"/>
    <x v="92"/>
    <x v="127"/>
    <e v="#N/A"/>
    <e v="#N/A"/>
    <e v="#N/A"/>
    <e v="#N/A"/>
    <x v="0"/>
    <x v="3"/>
    <x v="4"/>
  </r>
  <r>
    <s v="192.168.100.2"/>
    <x v="1512"/>
    <s v="111.221.77.141"/>
    <x v="237"/>
    <n v="3"/>
    <x v="49"/>
    <n v="3"/>
    <n v="194"/>
    <n v="0"/>
    <n v="0"/>
    <n v="725.64276500000005"/>
    <n v="9.0295029999999805"/>
    <n v="171.880999430423"/>
    <n v="0"/>
    <x v="92"/>
    <x v="223"/>
    <e v="#N/A"/>
    <e v="#N/A"/>
    <e v="#N/A"/>
    <e v="#N/A"/>
    <x v="0"/>
    <x v="3"/>
    <x v="0"/>
  </r>
  <r>
    <s v="192.168.100.2"/>
    <x v="1513"/>
    <s v="157.55.235.147"/>
    <x v="234"/>
    <n v="3"/>
    <x v="49"/>
    <n v="3"/>
    <n v="194"/>
    <n v="0"/>
    <n v="0"/>
    <n v="726.66284800000005"/>
    <n v="9.0286509999999698"/>
    <n v="171.89721919697701"/>
    <n v="0"/>
    <x v="92"/>
    <x v="224"/>
    <e v="#N/A"/>
    <e v="#N/A"/>
    <e v="#N/A"/>
    <e v="#N/A"/>
    <x v="0"/>
    <x v="3"/>
    <x v="0"/>
  </r>
  <r>
    <s v="192.168.100.2"/>
    <x v="1514"/>
    <s v="111.221.77.141"/>
    <x v="117"/>
    <n v="3"/>
    <x v="49"/>
    <n v="3"/>
    <n v="194"/>
    <n v="0"/>
    <n v="0"/>
    <n v="727.26190799999995"/>
    <n v="9.0004380000000292"/>
    <n v="172.43605255655299"/>
    <n v="0"/>
    <x v="92"/>
    <x v="223"/>
    <e v="#N/A"/>
    <e v="#N/A"/>
    <e v="#N/A"/>
    <e v="#N/A"/>
    <x v="0"/>
    <x v="3"/>
    <x v="5"/>
  </r>
  <r>
    <s v="192.168.100.2"/>
    <x v="1515"/>
    <s v="157.55.235.147"/>
    <x v="117"/>
    <n v="3"/>
    <x v="49"/>
    <n v="3"/>
    <n v="194"/>
    <n v="0"/>
    <n v="0"/>
    <n v="728.28185599999995"/>
    <n v="9.0004610000000902"/>
    <n v="172.43561190921099"/>
    <n v="0"/>
    <x v="92"/>
    <x v="224"/>
    <e v="#N/A"/>
    <e v="#N/A"/>
    <e v="#N/A"/>
    <e v="#N/A"/>
    <x v="0"/>
    <x v="3"/>
    <x v="5"/>
  </r>
  <r>
    <s v="192.168.100.2"/>
    <x v="1516"/>
    <s v="111.221.77.141"/>
    <x v="116"/>
    <n v="3"/>
    <x v="49"/>
    <n v="3"/>
    <n v="194"/>
    <n v="0"/>
    <n v="0"/>
    <n v="728.87192000000005"/>
    <n v="9.0013909999999004"/>
    <n v="172.41779631614901"/>
    <n v="0"/>
    <x v="92"/>
    <x v="223"/>
    <e v="#N/A"/>
    <e v="#N/A"/>
    <e v="#N/A"/>
    <e v="#N/A"/>
    <x v="0"/>
    <x v="3"/>
    <x v="4"/>
  </r>
  <r>
    <s v="192.168.100.2"/>
    <x v="1517"/>
    <s v="157.55.235.147"/>
    <x v="116"/>
    <n v="3"/>
    <x v="49"/>
    <n v="3"/>
    <n v="194"/>
    <n v="0"/>
    <n v="0"/>
    <n v="729.892381"/>
    <n v="9.0305519999999397"/>
    <n v="171.86103352264701"/>
    <n v="0"/>
    <x v="92"/>
    <x v="224"/>
    <e v="#N/A"/>
    <e v="#N/A"/>
    <e v="#N/A"/>
    <e v="#N/A"/>
    <x v="0"/>
    <x v="3"/>
    <x v="4"/>
  </r>
  <r>
    <s v="192.168.100.2"/>
    <x v="1518"/>
    <s v="85.25.103.30"/>
    <x v="117"/>
    <n v="3"/>
    <x v="49"/>
    <n v="3"/>
    <n v="194"/>
    <n v="0"/>
    <n v="0"/>
    <n v="734.133601"/>
    <n v="8.9997849999999708"/>
    <n v="172.44856404903101"/>
    <n v="0"/>
    <x v="92"/>
    <x v="131"/>
    <e v="#N/A"/>
    <e v="#N/A"/>
    <e v="#N/A"/>
    <e v="#N/A"/>
    <x v="0"/>
    <x v="3"/>
    <x v="5"/>
  </r>
  <r>
    <s v="192.168.100.2"/>
    <x v="1519"/>
    <s v="85.25.103.30"/>
    <x v="116"/>
    <n v="3"/>
    <x v="49"/>
    <n v="3"/>
    <n v="194"/>
    <n v="0"/>
    <n v="0"/>
    <n v="736.16204400000004"/>
    <n v="8.9711879999999802"/>
    <n v="172.99826957143301"/>
    <n v="0"/>
    <x v="92"/>
    <x v="131"/>
    <e v="#N/A"/>
    <e v="#N/A"/>
    <e v="#N/A"/>
    <e v="#N/A"/>
    <x v="0"/>
    <x v="3"/>
    <x v="4"/>
  </r>
  <r>
    <s v="192.168.100.2"/>
    <x v="1520"/>
    <s v="157.55.130.162"/>
    <x v="235"/>
    <n v="3"/>
    <x v="49"/>
    <n v="3"/>
    <n v="194"/>
    <n v="0"/>
    <n v="0"/>
    <n v="737.84590200000002"/>
    <n v="8.9974929999999596"/>
    <n v="172.492493186714"/>
    <n v="0"/>
    <x v="92"/>
    <x v="225"/>
    <e v="#N/A"/>
    <e v="#N/A"/>
    <e v="#N/A"/>
    <e v="#N/A"/>
    <x v="0"/>
    <x v="3"/>
    <x v="0"/>
  </r>
  <r>
    <s v="192.168.100.2"/>
    <x v="1521"/>
    <s v="157.55.130.162"/>
    <x v="117"/>
    <n v="3"/>
    <x v="49"/>
    <n v="3"/>
    <n v="194"/>
    <n v="0"/>
    <n v="0"/>
    <n v="739.46389799999997"/>
    <n v="8.9994179999999897"/>
    <n v="172.455596573023"/>
    <n v="0"/>
    <x v="92"/>
    <x v="225"/>
    <e v="#N/A"/>
    <e v="#N/A"/>
    <e v="#N/A"/>
    <e v="#N/A"/>
    <x v="0"/>
    <x v="3"/>
    <x v="5"/>
  </r>
  <r>
    <s v="192.168.100.2"/>
    <x v="1522"/>
    <s v="157.55.130.162"/>
    <x v="116"/>
    <n v="3"/>
    <x v="49"/>
    <n v="3"/>
    <n v="194"/>
    <n v="0"/>
    <n v="0"/>
    <n v="741.07369700000004"/>
    <n v="8.9996109999999607"/>
    <n v="172.451898198712"/>
    <n v="0"/>
    <x v="92"/>
    <x v="225"/>
    <e v="#N/A"/>
    <e v="#N/A"/>
    <e v="#N/A"/>
    <e v="#N/A"/>
    <x v="0"/>
    <x v="3"/>
    <x v="4"/>
  </r>
  <r>
    <s v="192.168.100.2"/>
    <x v="1523"/>
    <s v="64.4.23.168"/>
    <x v="250"/>
    <n v="3"/>
    <x v="49"/>
    <n v="3"/>
    <n v="194"/>
    <n v="0"/>
    <n v="0"/>
    <n v="749.92459599999995"/>
    <n v="8.9995860000000203"/>
    <n v="172.45237725379801"/>
    <n v="0"/>
    <x v="92"/>
    <x v="226"/>
    <e v="#N/A"/>
    <e v="#N/A"/>
    <e v="#N/A"/>
    <e v="#N/A"/>
    <x v="0"/>
    <x v="3"/>
    <x v="0"/>
  </r>
  <r>
    <s v="192.168.100.2"/>
    <x v="1524"/>
    <s v="157.55.130.140"/>
    <x v="238"/>
    <n v="3"/>
    <x v="49"/>
    <n v="3"/>
    <n v="194"/>
    <n v="0"/>
    <n v="0"/>
    <n v="750.94570799999997"/>
    <n v="9.0042839999999806"/>
    <n v="172.36239994207199"/>
    <n v="0"/>
    <x v="92"/>
    <x v="227"/>
    <e v="#N/A"/>
    <e v="#N/A"/>
    <e v="#N/A"/>
    <e v="#N/A"/>
    <x v="0"/>
    <x v="3"/>
    <x v="0"/>
  </r>
  <r>
    <s v="192.168.100.2"/>
    <x v="1525"/>
    <s v="64.4.23.168"/>
    <x v="117"/>
    <n v="3"/>
    <x v="49"/>
    <n v="3"/>
    <n v="194"/>
    <n v="0"/>
    <n v="0"/>
    <n v="751.53474200000005"/>
    <n v="8.9996029999999791"/>
    <n v="172.45205149604999"/>
    <n v="0"/>
    <x v="92"/>
    <x v="226"/>
    <e v="#N/A"/>
    <e v="#N/A"/>
    <e v="#N/A"/>
    <e v="#N/A"/>
    <x v="0"/>
    <x v="3"/>
    <x v="5"/>
  </r>
  <r>
    <s v="192.168.100.2"/>
    <x v="1526"/>
    <s v="157.55.130.140"/>
    <x v="117"/>
    <n v="3"/>
    <x v="49"/>
    <n v="3"/>
    <n v="194"/>
    <n v="0"/>
    <n v="0"/>
    <n v="752.56474100000003"/>
    <n v="9.0289030000000103"/>
    <n v="171.89242148243201"/>
    <n v="0"/>
    <x v="92"/>
    <x v="227"/>
    <e v="#N/A"/>
    <e v="#N/A"/>
    <e v="#N/A"/>
    <e v="#N/A"/>
    <x v="0"/>
    <x v="3"/>
    <x v="5"/>
  </r>
  <r>
    <s v="192.168.100.2"/>
    <x v="1527"/>
    <s v="64.4.23.168"/>
    <x v="116"/>
    <n v="3"/>
    <x v="49"/>
    <n v="3"/>
    <n v="194"/>
    <n v="0"/>
    <n v="0"/>
    <n v="753.14467300000001"/>
    <n v="9.0053430000000407"/>
    <n v="172.34213066620501"/>
    <n v="0"/>
    <x v="92"/>
    <x v="226"/>
    <e v="#N/A"/>
    <e v="#N/A"/>
    <e v="#N/A"/>
    <e v="#N/A"/>
    <x v="0"/>
    <x v="3"/>
    <x v="4"/>
  </r>
  <r>
    <s v="192.168.100.2"/>
    <x v="1528"/>
    <s v="157.55.130.140"/>
    <x v="116"/>
    <n v="3"/>
    <x v="49"/>
    <n v="3"/>
    <n v="194"/>
    <n v="0"/>
    <n v="0"/>
    <n v="754.174576"/>
    <n v="9.0007000000000499"/>
    <n v="172.43103314186601"/>
    <n v="0"/>
    <x v="92"/>
    <x v="227"/>
    <e v="#N/A"/>
    <e v="#N/A"/>
    <e v="#N/A"/>
    <e v="#N/A"/>
    <x v="0"/>
    <x v="3"/>
    <x v="4"/>
  </r>
  <r>
    <s v="192.168.100.2"/>
    <x v="1529"/>
    <s v="64.4.23.163"/>
    <x v="230"/>
    <n v="3"/>
    <x v="49"/>
    <n v="3"/>
    <n v="194"/>
    <n v="0"/>
    <n v="0"/>
    <n v="762.12575100000004"/>
    <n v="8.9995279999999394"/>
    <n v="172.45348867185101"/>
    <n v="0"/>
    <x v="92"/>
    <x v="228"/>
    <e v="#N/A"/>
    <e v="#N/A"/>
    <e v="#N/A"/>
    <e v="#N/A"/>
    <x v="0"/>
    <x v="3"/>
    <x v="0"/>
  </r>
  <r>
    <s v="192.168.100.2"/>
    <x v="1530"/>
    <s v="64.4.23.163"/>
    <x v="117"/>
    <n v="3"/>
    <x v="49"/>
    <n v="3"/>
    <n v="194"/>
    <n v="0"/>
    <n v="0"/>
    <n v="763.73570700000005"/>
    <n v="8.9995739999999405"/>
    <n v="172.452607201186"/>
    <n v="0"/>
    <x v="92"/>
    <x v="228"/>
    <e v="#N/A"/>
    <e v="#N/A"/>
    <e v="#N/A"/>
    <e v="#N/A"/>
    <x v="0"/>
    <x v="3"/>
    <x v="5"/>
  </r>
  <r>
    <s v="192.168.100.2"/>
    <x v="1531"/>
    <s v="64.4.23.163"/>
    <x v="116"/>
    <n v="3"/>
    <x v="49"/>
    <n v="3"/>
    <n v="194"/>
    <n v="0"/>
    <n v="0"/>
    <n v="765.35576200000003"/>
    <n v="8.9994070000000193"/>
    <n v="172.45580736597401"/>
    <n v="0"/>
    <x v="92"/>
    <x v="228"/>
    <e v="#N/A"/>
    <e v="#N/A"/>
    <e v="#N/A"/>
    <e v="#N/A"/>
    <x v="0"/>
    <x v="3"/>
    <x v="4"/>
  </r>
  <r>
    <s v="192.168.100.2"/>
    <x v="1532"/>
    <s v="157.55.235.149"/>
    <x v="221"/>
    <n v="3"/>
    <x v="49"/>
    <n v="3"/>
    <n v="194"/>
    <n v="0"/>
    <n v="0"/>
    <n v="774.39667799999995"/>
    <n v="8.9994560000000092"/>
    <n v="172.454868383155"/>
    <n v="0"/>
    <x v="92"/>
    <x v="229"/>
    <e v="#N/A"/>
    <e v="#N/A"/>
    <e v="#N/A"/>
    <e v="#N/A"/>
    <x v="0"/>
    <x v="3"/>
    <x v="0"/>
  </r>
  <r>
    <s v="192.168.100.2"/>
    <x v="1533"/>
    <s v="157.55.130.173"/>
    <x v="220"/>
    <n v="3"/>
    <x v="49"/>
    <n v="3"/>
    <n v="194"/>
    <n v="0"/>
    <n v="0"/>
    <n v="775.42731400000002"/>
    <n v="9.0097529999999306"/>
    <n v="172.25777443621499"/>
    <n v="0"/>
    <x v="92"/>
    <x v="230"/>
    <e v="#N/A"/>
    <e v="#N/A"/>
    <e v="#N/A"/>
    <e v="#N/A"/>
    <x v="0"/>
    <x v="3"/>
    <x v="0"/>
  </r>
  <r>
    <s v="192.168.100.2"/>
    <x v="1534"/>
    <s v="157.55.235.149"/>
    <x v="117"/>
    <n v="3"/>
    <x v="49"/>
    <n v="3"/>
    <n v="194"/>
    <n v="0"/>
    <n v="0"/>
    <n v="776.01664300000004"/>
    <n v="8.9994779999999501"/>
    <n v="172.45444680236"/>
    <n v="0"/>
    <x v="92"/>
    <x v="229"/>
    <e v="#N/A"/>
    <e v="#N/A"/>
    <e v="#N/A"/>
    <e v="#N/A"/>
    <x v="0"/>
    <x v="3"/>
    <x v="5"/>
  </r>
  <r>
    <s v="192.168.100.2"/>
    <x v="1535"/>
    <s v="157.55.130.173"/>
    <x v="117"/>
    <n v="3"/>
    <x v="49"/>
    <n v="3"/>
    <n v="194"/>
    <n v="0"/>
    <n v="0"/>
    <n v="777.04658400000005"/>
    <n v="8.9994789999999494"/>
    <n v="172.45442763964499"/>
    <n v="0"/>
    <x v="92"/>
    <x v="230"/>
    <e v="#N/A"/>
    <e v="#N/A"/>
    <e v="#N/A"/>
    <e v="#N/A"/>
    <x v="0"/>
    <x v="3"/>
    <x v="5"/>
  </r>
  <r>
    <s v="192.168.100.2"/>
    <x v="1536"/>
    <s v="157.55.235.149"/>
    <x v="116"/>
    <n v="3"/>
    <x v="49"/>
    <n v="3"/>
    <n v="194"/>
    <n v="0"/>
    <n v="0"/>
    <n v="777.63659399999995"/>
    <n v="8.9994710000000904"/>
    <n v="172.45458094147801"/>
    <n v="0"/>
    <x v="92"/>
    <x v="229"/>
    <e v="#N/A"/>
    <e v="#N/A"/>
    <e v="#N/A"/>
    <e v="#N/A"/>
    <x v="0"/>
    <x v="3"/>
    <x v="4"/>
  </r>
  <r>
    <s v="192.168.100.2"/>
    <x v="1537"/>
    <s v="157.55.130.173"/>
    <x v="116"/>
    <n v="3"/>
    <x v="49"/>
    <n v="3"/>
    <n v="194"/>
    <n v="0"/>
    <n v="0"/>
    <n v="778.66654400000004"/>
    <n v="9.0004159999999693"/>
    <n v="172.436474047422"/>
    <n v="0"/>
    <x v="92"/>
    <x v="230"/>
    <e v="#N/A"/>
    <e v="#N/A"/>
    <e v="#N/A"/>
    <e v="#N/A"/>
    <x v="0"/>
    <x v="3"/>
    <x v="4"/>
  </r>
  <r>
    <s v="192.168.100.2"/>
    <x v="1538"/>
    <s v="91.190.219.44"/>
    <x v="223"/>
    <n v="3"/>
    <x v="49"/>
    <n v="3"/>
    <n v="194"/>
    <n v="0"/>
    <n v="0"/>
    <n v="783.07770800000003"/>
    <n v="9.0002999999999194"/>
    <n v="172.43869648789601"/>
    <n v="0"/>
    <x v="92"/>
    <x v="195"/>
    <e v="#N/A"/>
    <e v="#N/A"/>
    <e v="#N/A"/>
    <e v="#N/A"/>
    <x v="0"/>
    <x v="3"/>
    <x v="0"/>
  </r>
  <r>
    <s v="192.168.100.2"/>
    <x v="1539"/>
    <s v="91.190.219.44"/>
    <x v="117"/>
    <n v="3"/>
    <x v="49"/>
    <n v="3"/>
    <n v="194"/>
    <n v="0"/>
    <n v="0"/>
    <n v="784.69645300000002"/>
    <n v="9.0314109999999292"/>
    <n v="171.84468739159499"/>
    <n v="0"/>
    <x v="92"/>
    <x v="195"/>
    <e v="#N/A"/>
    <e v="#N/A"/>
    <e v="#N/A"/>
    <e v="#N/A"/>
    <x v="0"/>
    <x v="3"/>
    <x v="5"/>
  </r>
  <r>
    <s v="192.168.100.2"/>
    <x v="1540"/>
    <s v="91.190.219.44"/>
    <x v="116"/>
    <n v="3"/>
    <x v="49"/>
    <n v="3"/>
    <n v="194"/>
    <n v="0"/>
    <n v="0"/>
    <n v="786.316599"/>
    <n v="8.9913460000000196"/>
    <n v="172.610418951734"/>
    <n v="0"/>
    <x v="92"/>
    <x v="195"/>
    <e v="#N/A"/>
    <e v="#N/A"/>
    <e v="#N/A"/>
    <e v="#N/A"/>
    <x v="0"/>
    <x v="3"/>
    <x v="4"/>
  </r>
  <r>
    <s v="192.168.100.2"/>
    <x v="1541"/>
    <s v="157.55.130.152"/>
    <x v="237"/>
    <n v="3"/>
    <x v="49"/>
    <n v="3"/>
    <n v="194"/>
    <n v="0"/>
    <n v="0"/>
    <n v="786.707448"/>
    <n v="9.0006190000000306"/>
    <n v="172.432584914437"/>
    <n v="0"/>
    <x v="92"/>
    <x v="231"/>
    <e v="#N/A"/>
    <e v="#N/A"/>
    <e v="#N/A"/>
    <e v="#N/A"/>
    <x v="0"/>
    <x v="3"/>
    <x v="0"/>
  </r>
  <r>
    <s v="192.168.100.2"/>
    <x v="1542"/>
    <s v="157.55.130.152"/>
    <x v="117"/>
    <n v="3"/>
    <x v="49"/>
    <n v="3"/>
    <n v="194"/>
    <n v="0"/>
    <n v="0"/>
    <n v="788.32819199999994"/>
    <n v="8.9999549999999999"/>
    <n v="172.445306670978"/>
    <n v="0"/>
    <x v="92"/>
    <x v="231"/>
    <e v="#N/A"/>
    <e v="#N/A"/>
    <e v="#N/A"/>
    <e v="#N/A"/>
    <x v="0"/>
    <x v="3"/>
    <x v="5"/>
  </r>
  <r>
    <s v="192.168.100.2"/>
    <x v="1543"/>
    <s v="157.55.130.152"/>
    <x v="116"/>
    <n v="3"/>
    <x v="49"/>
    <n v="3"/>
    <n v="194"/>
    <n v="0"/>
    <n v="0"/>
    <n v="789.93852100000004"/>
    <n v="9.0292599999999101"/>
    <n v="171.88562517858799"/>
    <n v="0"/>
    <x v="92"/>
    <x v="231"/>
    <e v="#N/A"/>
    <e v="#N/A"/>
    <e v="#N/A"/>
    <e v="#N/A"/>
    <x v="0"/>
    <x v="3"/>
    <x v="4"/>
  </r>
  <r>
    <s v="192.168.100.2"/>
    <x v="1544"/>
    <s v="157.55.56.151"/>
    <x v="219"/>
    <n v="3"/>
    <x v="49"/>
    <n v="3"/>
    <n v="194"/>
    <n v="0"/>
    <n v="0"/>
    <n v="798.87948300000005"/>
    <n v="8.9995369999999202"/>
    <n v="172.45331620949099"/>
    <n v="0"/>
    <x v="92"/>
    <x v="232"/>
    <e v="#N/A"/>
    <e v="#N/A"/>
    <e v="#N/A"/>
    <e v="#N/A"/>
    <x v="0"/>
    <x v="3"/>
    <x v="0"/>
  </r>
  <r>
    <s v="192.168.100.2"/>
    <x v="1545"/>
    <s v="157.55.130.171"/>
    <x v="238"/>
    <n v="3"/>
    <x v="49"/>
    <n v="3"/>
    <n v="194"/>
    <n v="0"/>
    <n v="0"/>
    <n v="799.91954999999996"/>
    <n v="8.9994700000000893"/>
    <n v="172.45460010422701"/>
    <n v="0"/>
    <x v="92"/>
    <x v="233"/>
    <e v="#N/A"/>
    <e v="#N/A"/>
    <e v="#N/A"/>
    <e v="#N/A"/>
    <x v="0"/>
    <x v="3"/>
    <x v="0"/>
  </r>
  <r>
    <s v="192.168.100.2"/>
    <x v="1546"/>
    <s v="157.55.56.151"/>
    <x v="117"/>
    <n v="3"/>
    <x v="49"/>
    <n v="3"/>
    <n v="194"/>
    <n v="0"/>
    <n v="0"/>
    <n v="800.499459"/>
    <n v="8.9994269999999705"/>
    <n v="172.455424106446"/>
    <n v="0"/>
    <x v="92"/>
    <x v="232"/>
    <e v="#N/A"/>
    <e v="#N/A"/>
    <e v="#N/A"/>
    <e v="#N/A"/>
    <x v="0"/>
    <x v="3"/>
    <x v="5"/>
  </r>
  <r>
    <s v="192.168.100.2"/>
    <x v="1547"/>
    <s v="157.55.130.171"/>
    <x v="117"/>
    <n v="3"/>
    <x v="49"/>
    <n v="3"/>
    <n v="194"/>
    <n v="0"/>
    <n v="0"/>
    <n v="801.53941199999997"/>
    <n v="8.99950000000001"/>
    <n v="172.45402522362301"/>
    <n v="0"/>
    <x v="92"/>
    <x v="233"/>
    <e v="#N/A"/>
    <e v="#N/A"/>
    <e v="#N/A"/>
    <e v="#N/A"/>
    <x v="0"/>
    <x v="3"/>
    <x v="5"/>
  </r>
  <r>
    <s v="192.168.100.2"/>
    <x v="1548"/>
    <s v="157.55.56.151"/>
    <x v="116"/>
    <n v="3"/>
    <x v="49"/>
    <n v="3"/>
    <n v="194"/>
    <n v="0"/>
    <n v="0"/>
    <n v="802.11948099999995"/>
    <n v="8.9995230000000692"/>
    <n v="172.45358448442099"/>
    <n v="0"/>
    <x v="92"/>
    <x v="232"/>
    <e v="#N/A"/>
    <e v="#N/A"/>
    <e v="#N/A"/>
    <e v="#N/A"/>
    <x v="0"/>
    <x v="3"/>
    <x v="4"/>
  </r>
  <r>
    <s v="192.168.100.2"/>
    <x v="1549"/>
    <s v="157.55.130.171"/>
    <x v="116"/>
    <n v="3"/>
    <x v="49"/>
    <n v="3"/>
    <n v="194"/>
    <n v="0"/>
    <n v="0"/>
    <n v="803.15945099999999"/>
    <n v="9.0030590000000092"/>
    <n v="172.385852408609"/>
    <n v="0"/>
    <x v="92"/>
    <x v="233"/>
    <e v="#N/A"/>
    <e v="#N/A"/>
    <e v="#N/A"/>
    <e v="#N/A"/>
    <x v="0"/>
    <x v="3"/>
    <x v="4"/>
  </r>
  <r>
    <s v="192.168.100.2"/>
    <x v="1550"/>
    <s v="103.43.75.140"/>
    <x v="117"/>
    <n v="3"/>
    <x v="49"/>
    <n v="3"/>
    <n v="194"/>
    <n v="0"/>
    <n v="0"/>
    <n v="806.45043099999998"/>
    <n v="8.9994430000000403"/>
    <n v="172.455117500049"/>
    <n v="0"/>
    <x v="92"/>
    <x v="118"/>
    <e v="#N/A"/>
    <e v="#N/A"/>
    <e v="#N/A"/>
    <e v="#N/A"/>
    <x v="0"/>
    <x v="3"/>
    <x v="5"/>
  </r>
  <r>
    <s v="192.168.100.2"/>
    <x v="1551"/>
    <s v="103.43.75.140"/>
    <x v="116"/>
    <n v="3"/>
    <x v="49"/>
    <n v="3"/>
    <n v="194"/>
    <n v="0"/>
    <n v="0"/>
    <n v="808.46033"/>
    <n v="8.9995589999999801"/>
    <n v="172.452894636282"/>
    <n v="0"/>
    <x v="92"/>
    <x v="118"/>
    <e v="#N/A"/>
    <e v="#N/A"/>
    <e v="#N/A"/>
    <e v="#N/A"/>
    <x v="0"/>
    <x v="3"/>
    <x v="4"/>
  </r>
  <r>
    <s v="192.168.100.2"/>
    <x v="1552"/>
    <s v="157.55.130.144"/>
    <x v="239"/>
    <n v="3"/>
    <x v="49"/>
    <n v="3"/>
    <n v="194"/>
    <n v="0"/>
    <n v="0"/>
    <n v="811.09042899999997"/>
    <n v="8.9994249999999703"/>
    <n v="172.455462432323"/>
    <n v="0"/>
    <x v="92"/>
    <x v="234"/>
    <e v="#N/A"/>
    <e v="#N/A"/>
    <e v="#N/A"/>
    <e v="#N/A"/>
    <x v="0"/>
    <x v="3"/>
    <x v="0"/>
  </r>
  <r>
    <s v="192.168.100.2"/>
    <x v="1553"/>
    <s v="157.55.130.144"/>
    <x v="117"/>
    <n v="3"/>
    <x v="49"/>
    <n v="3"/>
    <n v="194"/>
    <n v="0"/>
    <n v="0"/>
    <n v="812.71047099999998"/>
    <n v="8.9994380000000493"/>
    <n v="172.45521331443001"/>
    <n v="0"/>
    <x v="92"/>
    <x v="234"/>
    <e v="#N/A"/>
    <e v="#N/A"/>
    <e v="#N/A"/>
    <e v="#N/A"/>
    <x v="0"/>
    <x v="3"/>
    <x v="5"/>
  </r>
  <r>
    <s v="192.168.100.2"/>
    <x v="1554"/>
    <s v="157.55.130.144"/>
    <x v="116"/>
    <n v="3"/>
    <x v="49"/>
    <n v="3"/>
    <n v="194"/>
    <n v="0"/>
    <n v="0"/>
    <n v="814.330423"/>
    <n v="8.9993460000000596"/>
    <n v="172.45697631805601"/>
    <n v="0"/>
    <x v="92"/>
    <x v="234"/>
    <e v="#N/A"/>
    <e v="#N/A"/>
    <e v="#N/A"/>
    <e v="#N/A"/>
    <x v="0"/>
    <x v="3"/>
    <x v="4"/>
  </r>
  <r>
    <s v="192.168.100.2"/>
    <x v="1555"/>
    <s v="78.46.49.23"/>
    <x v="117"/>
    <n v="3"/>
    <x v="49"/>
    <n v="3"/>
    <n v="194"/>
    <n v="0"/>
    <n v="0"/>
    <n v="822.52142400000002"/>
    <n v="8.9993519999999307"/>
    <n v="172.45686133846201"/>
    <n v="0"/>
    <x v="92"/>
    <x v="127"/>
    <e v="#N/A"/>
    <e v="#N/A"/>
    <e v="#N/A"/>
    <e v="#N/A"/>
    <x v="0"/>
    <x v="3"/>
    <x v="5"/>
  </r>
  <r>
    <s v="192.168.100.2"/>
    <x v="1556"/>
    <s v="157.55.56.164"/>
    <x v="234"/>
    <n v="3"/>
    <x v="49"/>
    <n v="3"/>
    <n v="194"/>
    <n v="0"/>
    <n v="0"/>
    <n v="823.27123200000005"/>
    <n v="8.9997039999999497"/>
    <n v="172.450116137154"/>
    <n v="0"/>
    <x v="92"/>
    <x v="235"/>
    <e v="#N/A"/>
    <e v="#N/A"/>
    <e v="#N/A"/>
    <e v="#N/A"/>
    <x v="0"/>
    <x v="3"/>
    <x v="0"/>
  </r>
  <r>
    <s v="192.168.100.2"/>
    <x v="1557"/>
    <s v="157.55.130.148"/>
    <x v="235"/>
    <n v="3"/>
    <x v="49"/>
    <n v="3"/>
    <n v="194"/>
    <n v="0"/>
    <n v="0"/>
    <n v="824.312138"/>
    <n v="8.9987300000000197"/>
    <n v="172.468781705862"/>
    <n v="0"/>
    <x v="92"/>
    <x v="236"/>
    <e v="#N/A"/>
    <e v="#N/A"/>
    <e v="#N/A"/>
    <e v="#N/A"/>
    <x v="0"/>
    <x v="3"/>
    <x v="0"/>
  </r>
  <r>
    <s v="192.168.100.2"/>
    <x v="1558"/>
    <s v="78.46.49.23"/>
    <x v="116"/>
    <n v="3"/>
    <x v="49"/>
    <n v="3"/>
    <n v="194"/>
    <n v="0"/>
    <n v="0"/>
    <n v="824.54080499999998"/>
    <n v="8.9800099999999894"/>
    <n v="172.828315335952"/>
    <n v="0"/>
    <x v="92"/>
    <x v="127"/>
    <e v="#N/A"/>
    <e v="#N/A"/>
    <e v="#N/A"/>
    <e v="#N/A"/>
    <x v="0"/>
    <x v="3"/>
    <x v="4"/>
  </r>
  <r>
    <s v="192.168.100.2"/>
    <x v="1559"/>
    <s v="157.55.56.164"/>
    <x v="117"/>
    <n v="3"/>
    <x v="49"/>
    <n v="3"/>
    <n v="194"/>
    <n v="0"/>
    <n v="0"/>
    <n v="824.89132900000004"/>
    <n v="8.9994849999999396"/>
    <n v="172.45431266344801"/>
    <n v="0"/>
    <x v="92"/>
    <x v="235"/>
    <e v="#N/A"/>
    <e v="#N/A"/>
    <e v="#N/A"/>
    <e v="#N/A"/>
    <x v="0"/>
    <x v="3"/>
    <x v="5"/>
  </r>
  <r>
    <s v="192.168.100.2"/>
    <x v="1560"/>
    <s v="157.55.130.148"/>
    <x v="117"/>
    <n v="3"/>
    <x v="49"/>
    <n v="3"/>
    <n v="194"/>
    <n v="0"/>
    <n v="0"/>
    <n v="825.93100800000002"/>
    <n v="8.9998049999999203"/>
    <n v="172.44818082169701"/>
    <n v="0"/>
    <x v="92"/>
    <x v="236"/>
    <e v="#N/A"/>
    <e v="#N/A"/>
    <e v="#N/A"/>
    <e v="#N/A"/>
    <x v="0"/>
    <x v="3"/>
    <x v="5"/>
  </r>
  <r>
    <s v="192.168.100.2"/>
    <x v="1561"/>
    <s v="157.55.56.164"/>
    <x v="116"/>
    <n v="3"/>
    <x v="49"/>
    <n v="3"/>
    <n v="194"/>
    <n v="0"/>
    <n v="0"/>
    <n v="826.53021000000001"/>
    <n v="8.9816309999999895"/>
    <n v="172.79712337324901"/>
    <n v="0"/>
    <x v="92"/>
    <x v="235"/>
    <e v="#N/A"/>
    <e v="#N/A"/>
    <e v="#N/A"/>
    <e v="#N/A"/>
    <x v="0"/>
    <x v="3"/>
    <x v="4"/>
  </r>
  <r>
    <s v="192.168.100.2"/>
    <x v="1562"/>
    <s v="157.55.130.148"/>
    <x v="116"/>
    <n v="3"/>
    <x v="49"/>
    <n v="3"/>
    <n v="194"/>
    <n v="0"/>
    <n v="0"/>
    <n v="827.54137600000001"/>
    <n v="8.9994669999999797"/>
    <n v="172.45465759250001"/>
    <n v="0"/>
    <x v="92"/>
    <x v="236"/>
    <e v="#N/A"/>
    <e v="#N/A"/>
    <e v="#N/A"/>
    <e v="#N/A"/>
    <x v="0"/>
    <x v="3"/>
    <x v="4"/>
  </r>
  <r>
    <s v="192.168.100.2"/>
    <x v="1563"/>
    <s v="91.190.218.66"/>
    <x v="223"/>
    <n v="3"/>
    <x v="49"/>
    <n v="3"/>
    <n v="194"/>
    <n v="0"/>
    <n v="0"/>
    <n v="831.11162999999999"/>
    <n v="9.0303059999999995"/>
    <n v="171.865715292483"/>
    <n v="0"/>
    <x v="92"/>
    <x v="202"/>
    <e v="#N/A"/>
    <e v="#N/A"/>
    <e v="#N/A"/>
    <e v="#N/A"/>
    <x v="0"/>
    <x v="3"/>
    <x v="0"/>
  </r>
  <r>
    <s v="192.168.100.2"/>
    <x v="1564"/>
    <s v="91.190.218.66"/>
    <x v="117"/>
    <n v="3"/>
    <x v="49"/>
    <n v="3"/>
    <n v="194"/>
    <n v="0"/>
    <n v="0"/>
    <n v="832.73128499999996"/>
    <n v="9.0005660000000507"/>
    <n v="172.43360028691399"/>
    <n v="0"/>
    <x v="92"/>
    <x v="202"/>
    <e v="#N/A"/>
    <e v="#N/A"/>
    <e v="#N/A"/>
    <e v="#N/A"/>
    <x v="0"/>
    <x v="3"/>
    <x v="5"/>
  </r>
  <r>
    <s v="192.168.100.2"/>
    <x v="1565"/>
    <s v="91.190.218.66"/>
    <x v="116"/>
    <n v="3"/>
    <x v="49"/>
    <n v="3"/>
    <n v="194"/>
    <n v="0"/>
    <n v="0"/>
    <n v="834.35127199999999"/>
    <n v="9.0200370000000003"/>
    <n v="172.06137846219499"/>
    <n v="0"/>
    <x v="92"/>
    <x v="202"/>
    <e v="#N/A"/>
    <e v="#N/A"/>
    <e v="#N/A"/>
    <e v="#N/A"/>
    <x v="0"/>
    <x v="3"/>
    <x v="4"/>
  </r>
  <r>
    <s v="192.168.100.2"/>
    <x v="1566"/>
    <s v="157.55.235.146"/>
    <x v="226"/>
    <n v="3"/>
    <x v="49"/>
    <n v="3"/>
    <n v="194"/>
    <n v="0"/>
    <n v="0"/>
    <n v="835.58329600000002"/>
    <n v="8.9984469999999401"/>
    <n v="172.474205826851"/>
    <n v="0"/>
    <x v="92"/>
    <x v="175"/>
    <e v="#N/A"/>
    <e v="#N/A"/>
    <e v="#N/A"/>
    <e v="#N/A"/>
    <x v="0"/>
    <x v="3"/>
    <x v="0"/>
  </r>
  <r>
    <s v="192.168.100.2"/>
    <x v="1567"/>
    <s v="157.55.235.146"/>
    <x v="117"/>
    <n v="3"/>
    <x v="49"/>
    <n v="3"/>
    <n v="194"/>
    <n v="0"/>
    <n v="0"/>
    <n v="837.20224599999995"/>
    <n v="8.9984640000000091"/>
    <n v="172.47387998662899"/>
    <n v="0"/>
    <x v="92"/>
    <x v="175"/>
    <e v="#N/A"/>
    <e v="#N/A"/>
    <e v="#N/A"/>
    <e v="#N/A"/>
    <x v="0"/>
    <x v="3"/>
    <x v="5"/>
  </r>
  <r>
    <s v="192.168.100.2"/>
    <x v="1568"/>
    <s v="85.25.103.30"/>
    <x v="117"/>
    <n v="3"/>
    <x v="49"/>
    <n v="3"/>
    <n v="194"/>
    <n v="0"/>
    <n v="0"/>
    <n v="838.54191200000002"/>
    <n v="9.0008930000000191"/>
    <n v="172.42733582101201"/>
    <n v="0"/>
    <x v="92"/>
    <x v="131"/>
    <e v="#N/A"/>
    <e v="#N/A"/>
    <e v="#N/A"/>
    <e v="#N/A"/>
    <x v="0"/>
    <x v="3"/>
    <x v="5"/>
  </r>
  <r>
    <s v="192.168.100.2"/>
    <x v="1569"/>
    <s v="157.55.235.146"/>
    <x v="116"/>
    <n v="3"/>
    <x v="49"/>
    <n v="3"/>
    <n v="194"/>
    <n v="0"/>
    <n v="0"/>
    <n v="838.82236599999999"/>
    <n v="9.0003400000000493"/>
    <n v="172.43793012263899"/>
    <n v="0"/>
    <x v="92"/>
    <x v="175"/>
    <e v="#N/A"/>
    <e v="#N/A"/>
    <e v="#N/A"/>
    <e v="#N/A"/>
    <x v="0"/>
    <x v="3"/>
    <x v="4"/>
  </r>
  <r>
    <s v="192.168.100.2"/>
    <x v="1570"/>
    <s v="85.25.103.30"/>
    <x v="116"/>
    <n v="3"/>
    <x v="49"/>
    <n v="3"/>
    <n v="194"/>
    <n v="0"/>
    <n v="0"/>
    <n v="840.54204700000003"/>
    <n v="9.0006760000000003"/>
    <n v="172.43149292342"/>
    <n v="0"/>
    <x v="92"/>
    <x v="131"/>
    <e v="#N/A"/>
    <e v="#N/A"/>
    <e v="#N/A"/>
    <e v="#N/A"/>
    <x v="0"/>
    <x v="3"/>
    <x v="4"/>
  </r>
  <r>
    <s v="192.168.100.2"/>
    <x v="1571"/>
    <s v="157.55.56.152"/>
    <x v="230"/>
    <n v="3"/>
    <x v="49"/>
    <n v="3"/>
    <n v="194"/>
    <n v="0"/>
    <n v="0"/>
    <n v="847.81409199999996"/>
    <n v="8.9995539999999892"/>
    <n v="172.45299044819399"/>
    <n v="0"/>
    <x v="92"/>
    <x v="237"/>
    <e v="#N/A"/>
    <e v="#N/A"/>
    <e v="#N/A"/>
    <e v="#N/A"/>
    <x v="0"/>
    <x v="3"/>
    <x v="0"/>
  </r>
  <r>
    <s v="192.168.100.2"/>
    <x v="1572"/>
    <s v="157.56.52.39"/>
    <x v="217"/>
    <n v="3"/>
    <x v="49"/>
    <n v="3"/>
    <n v="194"/>
    <n v="0"/>
    <n v="0"/>
    <n v="848.845463"/>
    <n v="8.9991929999999893"/>
    <n v="172.45990834956001"/>
    <n v="0"/>
    <x v="92"/>
    <x v="238"/>
    <e v="#N/A"/>
    <e v="#N/A"/>
    <e v="#N/A"/>
    <e v="#N/A"/>
    <x v="0"/>
    <x v="3"/>
    <x v="0"/>
  </r>
  <r>
    <s v="192.168.100.2"/>
    <x v="1573"/>
    <s v="157.55.56.152"/>
    <x v="117"/>
    <n v="3"/>
    <x v="49"/>
    <n v="3"/>
    <n v="194"/>
    <n v="0"/>
    <n v="0"/>
    <n v="849.43274699999995"/>
    <n v="9.0019890000000906"/>
    <n v="172.40634264271901"/>
    <n v="0"/>
    <x v="92"/>
    <x v="237"/>
    <e v="#N/A"/>
    <e v="#N/A"/>
    <e v="#N/A"/>
    <e v="#N/A"/>
    <x v="0"/>
    <x v="3"/>
    <x v="5"/>
  </r>
  <r>
    <s v="192.168.100.2"/>
    <x v="1574"/>
    <s v="65.55.223.22"/>
    <x v="231"/>
    <n v="3"/>
    <x v="49"/>
    <n v="3"/>
    <n v="194"/>
    <n v="0"/>
    <n v="0"/>
    <n v="849.87388399999998"/>
    <n v="8.9998699999999907"/>
    <n v="172.44693534462201"/>
    <n v="0"/>
    <x v="92"/>
    <x v="239"/>
    <e v="#N/A"/>
    <e v="#N/A"/>
    <e v="#N/A"/>
    <e v="#N/A"/>
    <x v="0"/>
    <x v="3"/>
    <x v="0"/>
  </r>
  <r>
    <s v="192.168.100.2"/>
    <x v="1575"/>
    <s v="65.55.223.42"/>
    <x v="245"/>
    <n v="3"/>
    <x v="49"/>
    <n v="3"/>
    <n v="194"/>
    <n v="0"/>
    <n v="0"/>
    <n v="849.87388599999997"/>
    <n v="8.9998719999999803"/>
    <n v="172.44689702253601"/>
    <n v="0"/>
    <x v="92"/>
    <x v="240"/>
    <e v="#N/A"/>
    <e v="#N/A"/>
    <e v="#N/A"/>
    <e v="#N/A"/>
    <x v="0"/>
    <x v="3"/>
    <x v="0"/>
  </r>
  <r>
    <s v="192.168.100.2"/>
    <x v="1576"/>
    <s v="111.221.77.164"/>
    <x v="237"/>
    <n v="3"/>
    <x v="49"/>
    <n v="3"/>
    <n v="194"/>
    <n v="0"/>
    <n v="0"/>
    <n v="849.87388799999997"/>
    <n v="8.9998679999999904"/>
    <n v="172.446973666725"/>
    <n v="0"/>
    <x v="92"/>
    <x v="241"/>
    <e v="#N/A"/>
    <e v="#N/A"/>
    <e v="#N/A"/>
    <e v="#N/A"/>
    <x v="0"/>
    <x v="3"/>
    <x v="0"/>
  </r>
  <r>
    <s v="192.168.100.2"/>
    <x v="1577"/>
    <s v="111.221.77.155"/>
    <x v="238"/>
    <n v="3"/>
    <x v="49"/>
    <n v="3"/>
    <n v="194"/>
    <n v="0"/>
    <n v="0"/>
    <n v="849.87485200000003"/>
    <n v="8.9989059999999199"/>
    <n v="172.465408572999"/>
    <n v="0"/>
    <x v="92"/>
    <x v="242"/>
    <e v="#N/A"/>
    <e v="#N/A"/>
    <e v="#N/A"/>
    <e v="#N/A"/>
    <x v="0"/>
    <x v="3"/>
    <x v="0"/>
  </r>
  <r>
    <s v="192.168.100.2"/>
    <x v="1578"/>
    <s v="157.56.52.39"/>
    <x v="117"/>
    <n v="3"/>
    <x v="49"/>
    <n v="3"/>
    <n v="194"/>
    <n v="0"/>
    <n v="0"/>
    <n v="850.49310400000002"/>
    <n v="9.0009880000000102"/>
    <n v="172.425515954471"/>
    <n v="0"/>
    <x v="92"/>
    <x v="238"/>
    <e v="#N/A"/>
    <e v="#N/A"/>
    <e v="#N/A"/>
    <e v="#N/A"/>
    <x v="0"/>
    <x v="3"/>
    <x v="5"/>
  </r>
  <r>
    <s v="192.168.100.2"/>
    <x v="1579"/>
    <s v="157.55.56.152"/>
    <x v="116"/>
    <n v="3"/>
    <x v="49"/>
    <n v="3"/>
    <n v="194"/>
    <n v="0"/>
    <n v="0"/>
    <n v="851.04425100000003"/>
    <n v="9.0014340000000193"/>
    <n v="172.41697267346501"/>
    <n v="0"/>
    <x v="92"/>
    <x v="237"/>
    <e v="#N/A"/>
    <e v="#N/A"/>
    <e v="#N/A"/>
    <e v="#N/A"/>
    <x v="0"/>
    <x v="3"/>
    <x v="4"/>
  </r>
  <r>
    <s v="192.168.100.2"/>
    <x v="1580"/>
    <s v="65.55.223.22"/>
    <x v="117"/>
    <n v="3"/>
    <x v="49"/>
    <n v="3"/>
    <n v="194"/>
    <n v="0"/>
    <n v="0"/>
    <n v="851.48415999999997"/>
    <n v="9.0006180000000295"/>
    <n v="172.43260407229801"/>
    <n v="0"/>
    <x v="92"/>
    <x v="239"/>
    <e v="#N/A"/>
    <e v="#N/A"/>
    <e v="#N/A"/>
    <e v="#N/A"/>
    <x v="0"/>
    <x v="3"/>
    <x v="5"/>
  </r>
  <r>
    <s v="192.168.100.2"/>
    <x v="1581"/>
    <s v="65.55.223.42"/>
    <x v="117"/>
    <n v="3"/>
    <x v="49"/>
    <n v="3"/>
    <n v="194"/>
    <n v="0"/>
    <n v="0"/>
    <n v="851.48416099999997"/>
    <n v="9.0006150000000407"/>
    <n v="172.43266154590501"/>
    <n v="0"/>
    <x v="92"/>
    <x v="240"/>
    <e v="#N/A"/>
    <e v="#N/A"/>
    <e v="#N/A"/>
    <e v="#N/A"/>
    <x v="0"/>
    <x v="3"/>
    <x v="5"/>
  </r>
  <r>
    <s v="192.168.100.2"/>
    <x v="1582"/>
    <s v="111.221.77.164"/>
    <x v="117"/>
    <n v="3"/>
    <x v="49"/>
    <n v="3"/>
    <n v="194"/>
    <n v="0"/>
    <n v="0"/>
    <n v="851.48416199999997"/>
    <n v="9.0006090000000505"/>
    <n v="172.432776493234"/>
    <n v="0"/>
    <x v="92"/>
    <x v="241"/>
    <e v="#N/A"/>
    <e v="#N/A"/>
    <e v="#N/A"/>
    <e v="#N/A"/>
    <x v="0"/>
    <x v="3"/>
    <x v="5"/>
  </r>
  <r>
    <s v="192.168.100.2"/>
    <x v="1583"/>
    <s v="111.221.77.155"/>
    <x v="117"/>
    <n v="3"/>
    <x v="49"/>
    <n v="3"/>
    <n v="194"/>
    <n v="0"/>
    <n v="0"/>
    <n v="851.48519499999998"/>
    <n v="8.9995840000000307"/>
    <n v="172.45241557832"/>
    <n v="0"/>
    <x v="92"/>
    <x v="242"/>
    <e v="#N/A"/>
    <e v="#N/A"/>
    <e v="#N/A"/>
    <e v="#N/A"/>
    <x v="0"/>
    <x v="3"/>
    <x v="5"/>
  </r>
  <r>
    <s v="192.168.100.2"/>
    <x v="1584"/>
    <s v="157.56.52.39"/>
    <x v="116"/>
    <n v="3"/>
    <x v="49"/>
    <n v="3"/>
    <n v="194"/>
    <n v="0"/>
    <n v="0"/>
    <n v="852.07435299999997"/>
    <n v="9.0014760000000305"/>
    <n v="172.41616819286"/>
    <n v="0"/>
    <x v="92"/>
    <x v="238"/>
    <e v="#N/A"/>
    <e v="#N/A"/>
    <e v="#N/A"/>
    <e v="#N/A"/>
    <x v="0"/>
    <x v="3"/>
    <x v="4"/>
  </r>
  <r>
    <s v="192.168.100.2"/>
    <x v="1585"/>
    <s v="65.55.223.22"/>
    <x v="116"/>
    <n v="3"/>
    <x v="49"/>
    <n v="3"/>
    <n v="194"/>
    <n v="0"/>
    <n v="0"/>
    <n v="853.10435800000005"/>
    <n v="9.0302110000000102"/>
    <n v="171.867523361303"/>
    <n v="0"/>
    <x v="92"/>
    <x v="239"/>
    <e v="#N/A"/>
    <e v="#N/A"/>
    <e v="#N/A"/>
    <e v="#N/A"/>
    <x v="0"/>
    <x v="3"/>
    <x v="4"/>
  </r>
  <r>
    <s v="192.168.100.2"/>
    <x v="1586"/>
    <s v="65.55.223.42"/>
    <x v="116"/>
    <n v="3"/>
    <x v="49"/>
    <n v="3"/>
    <n v="194"/>
    <n v="0"/>
    <n v="0"/>
    <n v="853.10436200000004"/>
    <n v="9.0302140000000009"/>
    <n v="171.86746626381199"/>
    <n v="0"/>
    <x v="92"/>
    <x v="240"/>
    <e v="#N/A"/>
    <e v="#N/A"/>
    <e v="#N/A"/>
    <e v="#N/A"/>
    <x v="0"/>
    <x v="3"/>
    <x v="4"/>
  </r>
  <r>
    <s v="192.168.100.2"/>
    <x v="1587"/>
    <s v="111.221.77.164"/>
    <x v="116"/>
    <n v="3"/>
    <x v="49"/>
    <n v="3"/>
    <n v="194"/>
    <n v="0"/>
    <n v="0"/>
    <n v="853.10436300000003"/>
    <n v="9.0302110000000102"/>
    <n v="171.867523361303"/>
    <n v="0"/>
    <x v="92"/>
    <x v="241"/>
    <e v="#N/A"/>
    <e v="#N/A"/>
    <e v="#N/A"/>
    <e v="#N/A"/>
    <x v="0"/>
    <x v="3"/>
    <x v="4"/>
  </r>
  <r>
    <s v="192.168.100.2"/>
    <x v="1588"/>
    <s v="111.221.77.155"/>
    <x v="116"/>
    <n v="3"/>
    <x v="49"/>
    <n v="3"/>
    <n v="194"/>
    <n v="0"/>
    <n v="0"/>
    <n v="853.10533599999997"/>
    <n v="9.0292390000000804"/>
    <n v="171.88602494628699"/>
    <n v="0"/>
    <x v="92"/>
    <x v="242"/>
    <e v="#N/A"/>
    <e v="#N/A"/>
    <e v="#N/A"/>
    <e v="#N/A"/>
    <x v="0"/>
    <x v="3"/>
    <x v="4"/>
  </r>
  <r>
    <s v="192.168.100.2"/>
    <x v="1589"/>
    <s v="157.55.130.156"/>
    <x v="245"/>
    <n v="3"/>
    <x v="49"/>
    <n v="3"/>
    <n v="194"/>
    <n v="0"/>
    <n v="0"/>
    <n v="860.02717500000006"/>
    <n v="8.9905849999998999"/>
    <n v="172.625029405764"/>
    <n v="0"/>
    <x v="92"/>
    <x v="243"/>
    <e v="#N/A"/>
    <e v="#N/A"/>
    <e v="#N/A"/>
    <e v="#N/A"/>
    <x v="0"/>
    <x v="3"/>
    <x v="0"/>
  </r>
  <r>
    <s v="192.168.100.2"/>
    <x v="1590"/>
    <s v="157.55.130.156"/>
    <x v="117"/>
    <n v="3"/>
    <x v="49"/>
    <n v="3"/>
    <n v="194"/>
    <n v="0"/>
    <n v="0"/>
    <n v="861.64630999999997"/>
    <n v="8.9912739999999793"/>
    <n v="172.611801175229"/>
    <n v="0"/>
    <x v="92"/>
    <x v="243"/>
    <e v="#N/A"/>
    <e v="#N/A"/>
    <e v="#N/A"/>
    <e v="#N/A"/>
    <x v="0"/>
    <x v="3"/>
    <x v="5"/>
  </r>
  <r>
    <s v="192.168.100.2"/>
    <x v="1591"/>
    <s v="157.55.130.156"/>
    <x v="116"/>
    <n v="3"/>
    <x v="49"/>
    <n v="3"/>
    <n v="194"/>
    <n v="0"/>
    <n v="0"/>
    <n v="863.25714700000003"/>
    <n v="9.0004759999999404"/>
    <n v="172.435324531726"/>
    <n v="0"/>
    <x v="92"/>
    <x v="243"/>
    <e v="#N/A"/>
    <e v="#N/A"/>
    <e v="#N/A"/>
    <e v="#N/A"/>
    <x v="0"/>
    <x v="3"/>
    <x v="4"/>
  </r>
  <r>
    <s v="192.168.100.2"/>
    <x v="1592"/>
    <s v="157.55.130.158"/>
    <x v="238"/>
    <n v="3"/>
    <x v="49"/>
    <n v="3"/>
    <n v="194"/>
    <n v="0"/>
    <n v="0"/>
    <n v="872.28885600000001"/>
    <n v="8.9997190000000291"/>
    <n v="172.44982871131799"/>
    <n v="0"/>
    <x v="92"/>
    <x v="244"/>
    <e v="#N/A"/>
    <e v="#N/A"/>
    <e v="#N/A"/>
    <e v="#N/A"/>
    <x v="0"/>
    <x v="3"/>
    <x v="0"/>
  </r>
  <r>
    <s v="192.168.100.2"/>
    <x v="1593"/>
    <s v="65.55.223.13"/>
    <x v="244"/>
    <n v="3"/>
    <x v="49"/>
    <n v="3"/>
    <n v="194"/>
    <n v="0"/>
    <n v="0"/>
    <n v="873.31870900000001"/>
    <n v="8.9998419999999406"/>
    <n v="172.44747185561801"/>
    <n v="0"/>
    <x v="92"/>
    <x v="245"/>
    <e v="#N/A"/>
    <e v="#N/A"/>
    <e v="#N/A"/>
    <e v="#N/A"/>
    <x v="0"/>
    <x v="3"/>
    <x v="0"/>
  </r>
  <r>
    <s v="192.168.100.2"/>
    <x v="1594"/>
    <s v="157.55.130.158"/>
    <x v="117"/>
    <n v="3"/>
    <x v="49"/>
    <n v="3"/>
    <n v="194"/>
    <n v="0"/>
    <n v="0"/>
    <n v="873.89887399999998"/>
    <n v="8.9998010000000495"/>
    <n v="172.448257467025"/>
    <n v="0"/>
    <x v="92"/>
    <x v="244"/>
    <e v="#N/A"/>
    <e v="#N/A"/>
    <e v="#N/A"/>
    <e v="#N/A"/>
    <x v="0"/>
    <x v="3"/>
    <x v="5"/>
  </r>
  <r>
    <s v="192.168.100.2"/>
    <x v="1595"/>
    <s v="64.4.23.174"/>
    <x v="247"/>
    <n v="3"/>
    <x v="49"/>
    <n v="3"/>
    <n v="194"/>
    <n v="0"/>
    <n v="0"/>
    <n v="874.34995700000002"/>
    <n v="8.9977589999999701"/>
    <n v="172.48739380550299"/>
    <n v="0"/>
    <x v="92"/>
    <x v="246"/>
    <e v="#N/A"/>
    <e v="#N/A"/>
    <e v="#N/A"/>
    <e v="#N/A"/>
    <x v="0"/>
    <x v="3"/>
    <x v="0"/>
  </r>
  <r>
    <s v="192.168.100.2"/>
    <x v="1596"/>
    <s v="157.55.56.173"/>
    <x v="248"/>
    <n v="3"/>
    <x v="49"/>
    <n v="3"/>
    <n v="194"/>
    <n v="0"/>
    <n v="0"/>
    <n v="874.34995800000002"/>
    <n v="8.9977519999999895"/>
    <n v="172.487527995882"/>
    <n v="0"/>
    <x v="92"/>
    <x v="247"/>
    <e v="#N/A"/>
    <e v="#N/A"/>
    <e v="#N/A"/>
    <e v="#N/A"/>
    <x v="0"/>
    <x v="3"/>
    <x v="0"/>
  </r>
  <r>
    <s v="192.168.100.2"/>
    <x v="1597"/>
    <s v="157.56.52.35"/>
    <x v="236"/>
    <n v="3"/>
    <x v="49"/>
    <n v="3"/>
    <n v="194"/>
    <n v="0"/>
    <n v="0"/>
    <n v="874.35205399999995"/>
    <n v="8.9956630000000395"/>
    <n v="172.527583569993"/>
    <n v="0"/>
    <x v="92"/>
    <x v="248"/>
    <e v="#N/A"/>
    <e v="#N/A"/>
    <e v="#N/A"/>
    <e v="#N/A"/>
    <x v="0"/>
    <x v="3"/>
    <x v="0"/>
  </r>
  <r>
    <s v="192.168.100.2"/>
    <x v="1598"/>
    <s v="111.221.77.170"/>
    <x v="219"/>
    <n v="3"/>
    <x v="49"/>
    <n v="3"/>
    <n v="194"/>
    <n v="0"/>
    <n v="0"/>
    <n v="874.35308999999995"/>
    <n v="8.9946250000000401"/>
    <n v="172.54749364203499"/>
    <n v="0"/>
    <x v="92"/>
    <x v="249"/>
    <e v="#N/A"/>
    <e v="#N/A"/>
    <e v="#N/A"/>
    <e v="#N/A"/>
    <x v="0"/>
    <x v="3"/>
    <x v="0"/>
  </r>
  <r>
    <s v="192.168.100.2"/>
    <x v="1599"/>
    <s v="65.55.223.13"/>
    <x v="117"/>
    <n v="3"/>
    <x v="49"/>
    <n v="3"/>
    <n v="194"/>
    <n v="0"/>
    <n v="0"/>
    <n v="874.92901300000005"/>
    <n v="8.9996029999999791"/>
    <n v="172.45205149604999"/>
    <n v="0"/>
    <x v="92"/>
    <x v="245"/>
    <e v="#N/A"/>
    <e v="#N/A"/>
    <e v="#N/A"/>
    <e v="#N/A"/>
    <x v="0"/>
    <x v="3"/>
    <x v="5"/>
  </r>
  <r>
    <s v="192.168.100.2"/>
    <x v="1600"/>
    <s v="157.55.130.158"/>
    <x v="116"/>
    <n v="3"/>
    <x v="49"/>
    <n v="3"/>
    <n v="194"/>
    <n v="0"/>
    <n v="0"/>
    <n v="875.50915299999997"/>
    <n v="8.9994290000000792"/>
    <n v="172.455385780585"/>
    <n v="0"/>
    <x v="92"/>
    <x v="244"/>
    <e v="#N/A"/>
    <e v="#N/A"/>
    <e v="#N/A"/>
    <e v="#N/A"/>
    <x v="0"/>
    <x v="3"/>
    <x v="4"/>
  </r>
  <r>
    <s v="192.168.100.2"/>
    <x v="1601"/>
    <s v="64.4.23.174"/>
    <x v="117"/>
    <n v="3"/>
    <x v="49"/>
    <n v="3"/>
    <n v="194"/>
    <n v="0"/>
    <n v="0"/>
    <n v="875.96910600000001"/>
    <n v="8.9994709999999696"/>
    <n v="172.45458094148"/>
    <n v="0"/>
    <x v="92"/>
    <x v="246"/>
    <e v="#N/A"/>
    <e v="#N/A"/>
    <e v="#N/A"/>
    <e v="#N/A"/>
    <x v="0"/>
    <x v="3"/>
    <x v="5"/>
  </r>
  <r>
    <s v="192.168.100.2"/>
    <x v="1602"/>
    <s v="157.55.56.173"/>
    <x v="117"/>
    <n v="3"/>
    <x v="49"/>
    <n v="3"/>
    <n v="194"/>
    <n v="0"/>
    <n v="0"/>
    <n v="875.969111"/>
    <n v="8.9994669999999797"/>
    <n v="172.45465759250001"/>
    <n v="0"/>
    <x v="92"/>
    <x v="247"/>
    <e v="#N/A"/>
    <e v="#N/A"/>
    <e v="#N/A"/>
    <e v="#N/A"/>
    <x v="0"/>
    <x v="3"/>
    <x v="5"/>
  </r>
  <r>
    <s v="192.168.100.2"/>
    <x v="1603"/>
    <s v="157.56.52.35"/>
    <x v="117"/>
    <n v="3"/>
    <x v="49"/>
    <n v="3"/>
    <n v="194"/>
    <n v="0"/>
    <n v="0"/>
    <n v="875.969112"/>
    <n v="8.9994599999999991"/>
    <n v="172.45479173194801"/>
    <n v="0"/>
    <x v="92"/>
    <x v="248"/>
    <e v="#N/A"/>
    <e v="#N/A"/>
    <e v="#N/A"/>
    <e v="#N/A"/>
    <x v="0"/>
    <x v="3"/>
    <x v="5"/>
  </r>
  <r>
    <s v="192.168.100.2"/>
    <x v="1604"/>
    <s v="111.221.77.170"/>
    <x v="117"/>
    <n v="3"/>
    <x v="49"/>
    <n v="3"/>
    <n v="194"/>
    <n v="0"/>
    <n v="0"/>
    <n v="875.97020499999996"/>
    <n v="8.9983740000000108"/>
    <n v="172.475605037088"/>
    <n v="0"/>
    <x v="92"/>
    <x v="249"/>
    <e v="#N/A"/>
    <e v="#N/A"/>
    <e v="#N/A"/>
    <e v="#N/A"/>
    <x v="0"/>
    <x v="3"/>
    <x v="5"/>
  </r>
  <r>
    <s v="192.168.100.2"/>
    <x v="1605"/>
    <s v="91.190.218.52"/>
    <x v="223"/>
    <n v="3"/>
    <x v="49"/>
    <n v="3"/>
    <n v="194"/>
    <n v="0"/>
    <n v="0"/>
    <n v="876.12939700000004"/>
    <n v="9.0000870000000095"/>
    <n v="172.44277749759499"/>
    <n v="0"/>
    <x v="92"/>
    <x v="119"/>
    <e v="#N/A"/>
    <e v="#N/A"/>
    <e v="#N/A"/>
    <e v="#N/A"/>
    <x v="0"/>
    <x v="3"/>
    <x v="0"/>
  </r>
  <r>
    <s v="192.168.100.2"/>
    <x v="1606"/>
    <s v="65.55.223.13"/>
    <x v="116"/>
    <n v="3"/>
    <x v="49"/>
    <n v="3"/>
    <n v="194"/>
    <n v="0"/>
    <n v="0"/>
    <n v="876.53909799999997"/>
    <n v="9.0005370000000102"/>
    <n v="172.43415587314399"/>
    <n v="0"/>
    <x v="92"/>
    <x v="245"/>
    <e v="#N/A"/>
    <e v="#N/A"/>
    <e v="#N/A"/>
    <e v="#N/A"/>
    <x v="0"/>
    <x v="3"/>
    <x v="4"/>
  </r>
  <r>
    <s v="192.168.100.2"/>
    <x v="1607"/>
    <s v="64.4.23.174"/>
    <x v="116"/>
    <n v="3"/>
    <x v="49"/>
    <n v="3"/>
    <n v="194"/>
    <n v="0"/>
    <n v="0"/>
    <n v="877.57904199999996"/>
    <n v="8.9995470000000104"/>
    <n v="172.45312458504799"/>
    <n v="0"/>
    <x v="92"/>
    <x v="246"/>
    <e v="#N/A"/>
    <e v="#N/A"/>
    <e v="#N/A"/>
    <e v="#N/A"/>
    <x v="0"/>
    <x v="3"/>
    <x v="4"/>
  </r>
  <r>
    <s v="192.168.100.2"/>
    <x v="1608"/>
    <s v="157.55.56.173"/>
    <x v="116"/>
    <n v="3"/>
    <x v="49"/>
    <n v="3"/>
    <n v="194"/>
    <n v="0"/>
    <n v="0"/>
    <n v="877.57904499999995"/>
    <n v="8.9995480000000008"/>
    <n v="172.453105422628"/>
    <n v="0"/>
    <x v="92"/>
    <x v="247"/>
    <e v="#N/A"/>
    <e v="#N/A"/>
    <e v="#N/A"/>
    <e v="#N/A"/>
    <x v="0"/>
    <x v="3"/>
    <x v="4"/>
  </r>
  <r>
    <s v="192.168.100.2"/>
    <x v="1609"/>
    <s v="157.56.52.35"/>
    <x v="116"/>
    <n v="3"/>
    <x v="49"/>
    <n v="3"/>
    <n v="194"/>
    <n v="0"/>
    <n v="0"/>
    <n v="877.57904599999995"/>
    <n v="8.9995480000000008"/>
    <n v="172.453105422628"/>
    <n v="0"/>
    <x v="92"/>
    <x v="248"/>
    <e v="#N/A"/>
    <e v="#N/A"/>
    <e v="#N/A"/>
    <e v="#N/A"/>
    <x v="0"/>
    <x v="3"/>
    <x v="4"/>
  </r>
  <r>
    <s v="192.168.100.2"/>
    <x v="1610"/>
    <s v="111.221.77.170"/>
    <x v="116"/>
    <n v="3"/>
    <x v="49"/>
    <n v="3"/>
    <n v="194"/>
    <n v="0"/>
    <n v="0"/>
    <n v="877.58015399999999"/>
    <n v="8.9984409999999606"/>
    <n v="172.47432082957599"/>
    <n v="0"/>
    <x v="92"/>
    <x v="249"/>
    <e v="#N/A"/>
    <e v="#N/A"/>
    <e v="#N/A"/>
    <e v="#N/A"/>
    <x v="0"/>
    <x v="3"/>
    <x v="4"/>
  </r>
  <r>
    <s v="192.168.100.2"/>
    <x v="1611"/>
    <s v="91.190.218.52"/>
    <x v="117"/>
    <n v="3"/>
    <x v="49"/>
    <n v="3"/>
    <n v="194"/>
    <n v="0"/>
    <n v="0"/>
    <n v="877.75018599999999"/>
    <n v="8.9998090000000293"/>
    <n v="172.44810417643299"/>
    <n v="0"/>
    <x v="92"/>
    <x v="119"/>
    <e v="#N/A"/>
    <e v="#N/A"/>
    <e v="#N/A"/>
    <e v="#N/A"/>
    <x v="0"/>
    <x v="3"/>
    <x v="5"/>
  </r>
  <r>
    <s v="192.168.100.2"/>
    <x v="1612"/>
    <s v="91.190.218.52"/>
    <x v="116"/>
    <n v="3"/>
    <x v="49"/>
    <n v="3"/>
    <n v="194"/>
    <n v="0"/>
    <n v="0"/>
    <n v="879.36004400000002"/>
    <n v="8.9995099999999901"/>
    <n v="172.453833597607"/>
    <n v="0"/>
    <x v="92"/>
    <x v="119"/>
    <e v="#N/A"/>
    <e v="#N/A"/>
    <e v="#N/A"/>
    <e v="#N/A"/>
    <x v="0"/>
    <x v="3"/>
    <x v="4"/>
  </r>
  <r>
    <s v="192.168.100.2"/>
    <x v="1613"/>
    <s v="65.55.223.17"/>
    <x v="217"/>
    <n v="3"/>
    <x v="49"/>
    <n v="3"/>
    <n v="194"/>
    <n v="0"/>
    <n v="0"/>
    <n v="884.50958300000002"/>
    <n v="9.0000410000000102"/>
    <n v="172.44365886777601"/>
    <n v="0"/>
    <x v="92"/>
    <x v="250"/>
    <e v="#N/A"/>
    <e v="#N/A"/>
    <e v="#N/A"/>
    <e v="#N/A"/>
    <x v="0"/>
    <x v="3"/>
    <x v="0"/>
  </r>
  <r>
    <s v="192.168.100.2"/>
    <x v="1614"/>
    <s v="65.55.223.17"/>
    <x v="117"/>
    <n v="3"/>
    <x v="49"/>
    <n v="3"/>
    <n v="194"/>
    <n v="0"/>
    <n v="0"/>
    <n v="886.11986400000001"/>
    <n v="9.0006600000000407"/>
    <n v="172.431799445818"/>
    <n v="0"/>
    <x v="92"/>
    <x v="250"/>
    <e v="#N/A"/>
    <e v="#N/A"/>
    <e v="#N/A"/>
    <e v="#N/A"/>
    <x v="0"/>
    <x v="3"/>
    <x v="5"/>
  </r>
  <r>
    <s v="192.168.100.2"/>
    <x v="1615"/>
    <s v="65.55.223.17"/>
    <x v="116"/>
    <n v="3"/>
    <x v="49"/>
    <n v="3"/>
    <n v="194"/>
    <n v="0"/>
    <n v="0"/>
    <n v="887.73010399999998"/>
    <n v="9.0003729999999695"/>
    <n v="172.43729787643301"/>
    <n v="0"/>
    <x v="92"/>
    <x v="250"/>
    <e v="#N/A"/>
    <e v="#N/A"/>
    <e v="#N/A"/>
    <e v="#N/A"/>
    <x v="0"/>
    <x v="3"/>
    <x v="4"/>
  </r>
  <r>
    <s v="192.168.100.2"/>
    <x v="1616"/>
    <s v="157.56.52.41"/>
    <x v="221"/>
    <n v="2"/>
    <x v="77"/>
    <n v="2"/>
    <n v="132"/>
    <n v="0"/>
    <n v="0"/>
    <n v="896.61130100000003"/>
    <n v="3.00009399999999"/>
    <n v="351.98897101224298"/>
    <n v="0"/>
    <x v="92"/>
    <x v="251"/>
    <e v="#N/A"/>
    <e v="#N/A"/>
    <e v="#N/A"/>
    <e v="#N/A"/>
    <x v="0"/>
    <x v="3"/>
    <x v="0"/>
  </r>
  <r>
    <s v="192.168.100.2"/>
    <x v="1617"/>
    <s v="157.55.130.155"/>
    <x v="230"/>
    <n v="2"/>
    <x v="77"/>
    <n v="2"/>
    <n v="132"/>
    <n v="0"/>
    <n v="0"/>
    <n v="897.642878"/>
    <n v="2.9985659999999799"/>
    <n v="352.16833646483201"/>
    <n v="0"/>
    <x v="92"/>
    <x v="252"/>
    <e v="#N/A"/>
    <e v="#N/A"/>
    <e v="#N/A"/>
    <e v="#N/A"/>
    <x v="0"/>
    <x v="3"/>
    <x v="0"/>
  </r>
  <r>
    <s v="192.168.100.2"/>
    <x v="1618"/>
    <s v="157.56.52.41"/>
    <x v="117"/>
    <n v="2"/>
    <x v="77"/>
    <n v="2"/>
    <n v="132"/>
    <n v="0"/>
    <n v="0"/>
    <n v="898.26147100000003"/>
    <n v="2.9703039999999401"/>
    <n v="355.51916571503102"/>
    <n v="0"/>
    <x v="92"/>
    <x v="251"/>
    <e v="#N/A"/>
    <e v="#N/A"/>
    <e v="#N/A"/>
    <e v="#N/A"/>
    <x v="0"/>
    <x v="3"/>
    <x v="5"/>
  </r>
  <r>
    <s v="192.168.100.2"/>
    <x v="1619"/>
    <s v="111.221.77.162"/>
    <x v="219"/>
    <n v="2"/>
    <x v="77"/>
    <n v="2"/>
    <n v="132"/>
    <n v="0"/>
    <n v="0"/>
    <n v="898.68279299999995"/>
    <n v="3.0000760000000399"/>
    <n v="351.99108289256299"/>
    <n v="0"/>
    <x v="92"/>
    <x v="111"/>
    <e v="#N/A"/>
    <e v="#N/A"/>
    <e v="#N/A"/>
    <e v="#N/A"/>
    <x v="0"/>
    <x v="3"/>
    <x v="0"/>
  </r>
  <r>
    <s v="192.168.100.2"/>
    <x v="1620"/>
    <s v="157.55.130.155"/>
    <x v="117"/>
    <n v="2"/>
    <x v="77"/>
    <n v="2"/>
    <n v="132"/>
    <n v="0"/>
    <n v="0"/>
    <n v="899.291877"/>
    <n v="2.9706370000000102"/>
    <n v="355.479313022761"/>
    <n v="0"/>
    <x v="92"/>
    <x v="252"/>
    <e v="#N/A"/>
    <e v="#N/A"/>
    <e v="#N/A"/>
    <e v="#N/A"/>
    <x v="0"/>
    <x v="3"/>
    <x v="5"/>
  </r>
  <r>
    <s v="192.168.100.2"/>
    <x v="1621"/>
    <s v="157.55.235.153"/>
    <x v="225"/>
    <n v="2"/>
    <x v="77"/>
    <n v="2"/>
    <n v="132"/>
    <n v="0"/>
    <n v="0"/>
    <n v="899.72272499999997"/>
    <n v="2.99871700000006"/>
    <n v="352.15060307457497"/>
    <n v="0"/>
    <x v="92"/>
    <x v="121"/>
    <e v="#N/A"/>
    <e v="#N/A"/>
    <e v="#N/A"/>
    <e v="#N/A"/>
    <x v="0"/>
    <x v="3"/>
    <x v="0"/>
  </r>
  <r>
    <s v="192.168.100.2"/>
    <x v="1622"/>
    <s v="157.55.56.161"/>
    <x v="224"/>
    <n v="2"/>
    <x v="77"/>
    <n v="2"/>
    <n v="132"/>
    <n v="0"/>
    <n v="0"/>
    <n v="899.72272799999996"/>
    <n v="2.9987110000000698"/>
    <n v="352.15130767852401"/>
    <n v="0"/>
    <x v="92"/>
    <x v="120"/>
    <e v="#N/A"/>
    <e v="#N/A"/>
    <e v="#N/A"/>
    <e v="#N/A"/>
    <x v="0"/>
    <x v="3"/>
    <x v="0"/>
  </r>
  <r>
    <s v="192.168.100.2"/>
    <x v="1623"/>
    <s v="157.55.130.146"/>
    <x v="226"/>
    <n v="2"/>
    <x v="77"/>
    <n v="2"/>
    <n v="132"/>
    <n v="0"/>
    <n v="0"/>
    <n v="899.72378100000003"/>
    <n v="2.9976619999999898"/>
    <n v="352.27453929095498"/>
    <n v="0"/>
    <x v="92"/>
    <x v="253"/>
    <e v="#N/A"/>
    <e v="#N/A"/>
    <e v="#N/A"/>
    <e v="#N/A"/>
    <x v="0"/>
    <x v="3"/>
    <x v="0"/>
  </r>
  <r>
    <s v="192.168.100.2"/>
    <x v="1624"/>
    <s v="157.56.52.41"/>
    <x v="116"/>
    <n v="2"/>
    <x v="77"/>
    <n v="2"/>
    <n v="132"/>
    <n v="0"/>
    <n v="0"/>
    <n v="899.85187099999996"/>
    <n v="3.0006620000000299"/>
    <n v="351.92234246975801"/>
    <n v="0"/>
    <x v="92"/>
    <x v="251"/>
    <e v="#N/A"/>
    <e v="#N/A"/>
    <e v="#N/A"/>
    <e v="#N/A"/>
    <x v="0"/>
    <x v="3"/>
    <x v="4"/>
  </r>
  <r>
    <s v="192.168.100.2"/>
    <x v="1625"/>
    <s v="111.221.77.162"/>
    <x v="117"/>
    <n v="1"/>
    <x v="18"/>
    <n v="1"/>
    <n v="66"/>
    <n v="0"/>
    <n v="0"/>
    <n v="900.30207299999995"/>
    <n v="0"/>
    <n v="0"/>
    <n v="0"/>
    <x v="92"/>
    <x v="111"/>
    <e v="#N/A"/>
    <e v="#N/A"/>
    <e v="#N/A"/>
    <e v="#N/A"/>
    <x v="0"/>
    <x v="3"/>
    <x v="5"/>
  </r>
  <r>
    <s v="192.168.100.2"/>
    <x v="1626"/>
    <s v="157.55.130.155"/>
    <x v="116"/>
    <n v="1"/>
    <x v="18"/>
    <n v="1"/>
    <n v="66"/>
    <n v="0"/>
    <n v="0"/>
    <n v="900.88197700000001"/>
    <n v="0"/>
    <n v="0"/>
    <n v="0"/>
    <x v="92"/>
    <x v="252"/>
    <e v="#N/A"/>
    <e v="#N/A"/>
    <e v="#N/A"/>
    <e v="#N/A"/>
    <x v="0"/>
    <x v="3"/>
    <x v="4"/>
  </r>
  <r>
    <s v="192.168.100.2"/>
    <x v="1627"/>
    <s v="157.55.235.153"/>
    <x v="117"/>
    <n v="1"/>
    <x v="18"/>
    <n v="1"/>
    <n v="66"/>
    <n v="0"/>
    <n v="0"/>
    <n v="901.34202100000005"/>
    <n v="0"/>
    <n v="0"/>
    <n v="0"/>
    <x v="92"/>
    <x v="121"/>
    <e v="#N/A"/>
    <e v="#N/A"/>
    <e v="#N/A"/>
    <e v="#N/A"/>
    <x v="0"/>
    <x v="3"/>
    <x v="5"/>
  </r>
  <r>
    <s v="192.168.100.2"/>
    <x v="1628"/>
    <s v="157.55.56.161"/>
    <x v="117"/>
    <n v="1"/>
    <x v="18"/>
    <n v="1"/>
    <n v="66"/>
    <n v="0"/>
    <n v="0"/>
    <n v="901.34202300000004"/>
    <n v="0"/>
    <n v="0"/>
    <n v="0"/>
    <x v="92"/>
    <x v="120"/>
    <e v="#N/A"/>
    <e v="#N/A"/>
    <e v="#N/A"/>
    <e v="#N/A"/>
    <x v="0"/>
    <x v="3"/>
    <x v="5"/>
  </r>
  <r>
    <s v="192.168.100.2"/>
    <x v="1629"/>
    <s v="157.55.130.146"/>
    <x v="117"/>
    <n v="1"/>
    <x v="18"/>
    <n v="1"/>
    <n v="66"/>
    <n v="0"/>
    <n v="0"/>
    <n v="901.34202500000004"/>
    <n v="0"/>
    <n v="0"/>
    <n v="0"/>
    <x v="92"/>
    <x v="253"/>
    <e v="#N/A"/>
    <e v="#N/A"/>
    <e v="#N/A"/>
    <e v="#N/A"/>
    <x v="0"/>
    <x v="3"/>
    <x v="5"/>
  </r>
  <r>
    <s v="192.168.100.2"/>
    <x v="1630"/>
    <s v="111.221.77.162"/>
    <x v="116"/>
    <n v="1"/>
    <x v="18"/>
    <n v="1"/>
    <n v="66"/>
    <n v="0"/>
    <n v="0"/>
    <n v="901.913229"/>
    <n v="0"/>
    <n v="0"/>
    <n v="0"/>
    <x v="92"/>
    <x v="111"/>
    <e v="#N/A"/>
    <e v="#N/A"/>
    <e v="#N/A"/>
    <e v="#N/A"/>
    <x v="0"/>
    <x v="3"/>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8:E88" firstHeaderRow="1" firstDataRow="2" firstDataCol="1" rowPageCount="2" colPageCount="1"/>
  <pivotFields count="23">
    <pivotField showAll="0"/>
    <pivotField axis="axisRow" numFmtId="1" showAll="0">
      <items count="1632">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996"/>
        <item x="982"/>
        <item x="1038"/>
        <item x="990"/>
        <item x="989"/>
        <item x="994"/>
        <item x="997"/>
        <item x="1001"/>
        <item x="981"/>
        <item x="983"/>
        <item x="984"/>
        <item x="985"/>
        <item x="986"/>
        <item x="988"/>
        <item x="987"/>
        <item x="991"/>
        <item x="992"/>
        <item x="993"/>
        <item x="995"/>
        <item x="998"/>
        <item x="999"/>
        <item x="1000"/>
        <item x="1039"/>
        <item x="1040"/>
        <item x="1002"/>
        <item x="1003"/>
        <item x="1004"/>
        <item x="1005"/>
        <item x="611"/>
        <item x="612"/>
        <item x="613"/>
        <item x="463"/>
        <item x="466"/>
        <item x="468"/>
        <item x="462"/>
        <item x="464"/>
        <item x="465"/>
        <item x="467"/>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197"/>
        <item x="504"/>
        <item x="200"/>
        <item x="505"/>
        <item x="506"/>
        <item x="507"/>
        <item x="198"/>
        <item x="199"/>
        <item x="201"/>
        <item x="202"/>
        <item x="508"/>
        <item x="509"/>
        <item x="510"/>
        <item x="203"/>
        <item x="204"/>
        <item x="511"/>
        <item x="205"/>
        <item x="206"/>
        <item x="512"/>
        <item x="207"/>
        <item x="208"/>
        <item x="209"/>
        <item x="210"/>
        <item x="211"/>
        <item x="513"/>
        <item x="212"/>
        <item x="514"/>
        <item x="515"/>
        <item x="516"/>
        <item x="517"/>
        <item x="518"/>
        <item x="519"/>
        <item x="213"/>
        <item x="214"/>
        <item x="215"/>
        <item x="216"/>
        <item x="217"/>
        <item x="520"/>
        <item x="218"/>
        <item x="219"/>
        <item x="220"/>
        <item x="521"/>
        <item x="221"/>
        <item x="522"/>
        <item x="222"/>
        <item x="523"/>
        <item x="223"/>
        <item x="224"/>
        <item x="225"/>
        <item x="524"/>
        <item x="226"/>
        <item x="525"/>
        <item x="227"/>
        <item x="526"/>
        <item x="228"/>
        <item x="229"/>
        <item x="230"/>
        <item x="527"/>
        <item x="231"/>
        <item x="232"/>
        <item x="528"/>
        <item x="529"/>
        <item x="233"/>
        <item x="530"/>
        <item x="234"/>
        <item x="531"/>
        <item x="235"/>
        <item x="236"/>
        <item x="532"/>
        <item x="533"/>
        <item x="237"/>
        <item x="238"/>
        <item x="239"/>
        <item x="240"/>
        <item x="534"/>
        <item x="241"/>
        <item x="535"/>
        <item x="242"/>
        <item x="536"/>
        <item x="537"/>
        <item x="538"/>
        <item x="539"/>
        <item x="243"/>
        <item x="540"/>
        <item x="244"/>
        <item x="245"/>
        <item x="246"/>
        <item x="247"/>
        <item x="541"/>
        <item x="248"/>
        <item x="249"/>
        <item x="250"/>
        <item x="542"/>
        <item x="251"/>
        <item x="543"/>
        <item x="252"/>
        <item x="544"/>
        <item x="545"/>
        <item x="253"/>
        <item x="254"/>
        <item x="255"/>
        <item x="256"/>
        <item x="546"/>
        <item x="257"/>
        <item x="547"/>
        <item x="258"/>
        <item x="259"/>
        <item x="260"/>
        <item x="548"/>
        <item x="261"/>
        <item x="549"/>
        <item x="262"/>
        <item x="263"/>
        <item x="550"/>
        <item x="264"/>
        <item x="265"/>
        <item x="266"/>
        <item x="267"/>
        <item x="268"/>
        <item x="551"/>
        <item x="269"/>
        <item x="552"/>
        <item x="553"/>
        <item x="270"/>
        <item x="271"/>
        <item x="272"/>
        <item x="273"/>
        <item x="554"/>
        <item x="274"/>
        <item x="555"/>
        <item x="275"/>
        <item x="556"/>
        <item x="557"/>
        <item x="276"/>
        <item x="558"/>
        <item x="277"/>
        <item x="278"/>
        <item x="279"/>
        <item x="280"/>
        <item x="281"/>
        <item x="282"/>
        <item x="283"/>
        <item x="284"/>
        <item x="559"/>
        <item x="285"/>
        <item x="560"/>
        <item x="286"/>
        <item x="561"/>
        <item x="562"/>
        <item x="563"/>
        <item x="287"/>
        <item x="288"/>
        <item x="289"/>
        <item x="290"/>
        <item x="291"/>
        <item x="564"/>
        <item x="292"/>
        <item x="565"/>
        <item x="293"/>
        <item x="294"/>
        <item x="295"/>
        <item x="566"/>
        <item x="296"/>
        <item x="297"/>
        <item x="298"/>
        <item x="567"/>
        <item x="568"/>
        <item x="299"/>
        <item x="300"/>
        <item x="301"/>
        <item x="302"/>
        <item x="303"/>
        <item x="569"/>
        <item x="304"/>
        <item x="570"/>
        <item x="305"/>
        <item x="306"/>
        <item x="307"/>
        <item x="308"/>
        <item x="571"/>
        <item x="309"/>
        <item x="572"/>
        <item x="310"/>
        <item x="573"/>
        <item x="574"/>
        <item x="311"/>
        <item x="312"/>
        <item x="575"/>
        <item x="313"/>
        <item x="314"/>
        <item x="315"/>
        <item x="316"/>
        <item x="317"/>
        <item x="318"/>
        <item x="576"/>
        <item x="319"/>
        <item x="577"/>
        <item x="320"/>
        <item x="321"/>
        <item x="578"/>
        <item x="579"/>
        <item x="322"/>
        <item x="323"/>
        <item x="324"/>
        <item x="325"/>
        <item x="580"/>
        <item x="326"/>
        <item x="581"/>
        <item x="327"/>
        <item x="328"/>
        <item x="329"/>
        <item x="582"/>
        <item x="330"/>
        <item x="331"/>
        <item x="8"/>
        <item x="9"/>
        <item x="10"/>
        <item x="11"/>
        <item x="12"/>
        <item x="13"/>
        <item x="14"/>
        <item x="15"/>
        <item x="16"/>
        <item x="17"/>
        <item x="332"/>
        <item x="583"/>
        <item x="333"/>
        <item x="334"/>
        <item x="335"/>
        <item x="336"/>
        <item x="584"/>
        <item x="585"/>
        <item x="337"/>
        <item x="586"/>
        <item x="338"/>
        <item x="339"/>
        <item x="587"/>
        <item x="340"/>
        <item x="588"/>
        <item x="341"/>
        <item x="342"/>
        <item x="343"/>
        <item x="344"/>
        <item x="589"/>
        <item x="345"/>
        <item x="590"/>
        <item x="346"/>
        <item x="591"/>
        <item x="592"/>
        <item x="593"/>
        <item x="347"/>
        <item x="594"/>
        <item x="348"/>
        <item x="349"/>
        <item x="350"/>
        <item x="351"/>
        <item x="352"/>
        <item x="353"/>
        <item x="354"/>
        <item x="595"/>
        <item x="355"/>
        <item x="596"/>
        <item x="597"/>
        <item x="356"/>
        <item x="598"/>
        <item x="599"/>
        <item x="600"/>
        <item x="357"/>
        <item x="358"/>
        <item x="359"/>
        <item x="360"/>
        <item x="361"/>
        <item x="601"/>
        <item x="362"/>
        <item x="363"/>
        <item x="364"/>
        <item x="18"/>
        <item x="19"/>
        <item x="20"/>
        <item x="21"/>
        <item x="22"/>
        <item x="23"/>
        <item x="24"/>
        <item x="25"/>
        <item x="26"/>
        <item x="27"/>
        <item x="365"/>
        <item x="366"/>
        <item x="602"/>
        <item x="367"/>
        <item x="603"/>
        <item x="604"/>
        <item x="368"/>
        <item x="369"/>
        <item x="370"/>
        <item x="605"/>
        <item x="371"/>
        <item x="372"/>
        <item x="606"/>
        <item x="607"/>
        <item x="373"/>
        <item x="608"/>
        <item x="374"/>
        <item x="375"/>
        <item x="376"/>
        <item x="609"/>
        <item x="377"/>
        <item x="610"/>
        <item x="378"/>
        <item x="379"/>
        <item x="380"/>
        <item x="381"/>
        <item x="382"/>
        <item x="383"/>
        <item x="384"/>
        <item x="385"/>
        <item x="386"/>
        <item x="387"/>
        <item x="388"/>
        <item x="389"/>
        <item x="390"/>
        <item x="391"/>
        <item x="392"/>
        <item x="393"/>
        <item x="394"/>
        <item x="395"/>
        <item x="396"/>
        <item x="397"/>
        <item x="398"/>
        <item x="28"/>
        <item x="29"/>
        <item x="30"/>
        <item x="31"/>
        <item x="32"/>
        <item x="399"/>
        <item x="33"/>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34"/>
        <item x="35"/>
        <item x="36"/>
        <item x="37"/>
        <item x="38"/>
        <item x="39"/>
        <item x="430"/>
        <item x="431"/>
        <item x="432"/>
        <item x="433"/>
        <item x="434"/>
        <item x="435"/>
        <item x="436"/>
        <item x="437"/>
        <item x="438"/>
        <item x="439"/>
        <item x="440"/>
        <item x="441"/>
        <item x="442"/>
        <item x="443"/>
        <item x="444"/>
        <item x="445"/>
        <item x="446"/>
        <item x="447"/>
        <item x="448"/>
        <item x="449"/>
        <item x="450"/>
        <item x="451"/>
        <item x="452"/>
        <item x="453"/>
        <item x="454"/>
        <item x="455"/>
        <item x="759"/>
        <item x="456"/>
        <item x="760"/>
        <item x="457"/>
        <item x="458"/>
        <item x="459"/>
        <item x="761"/>
        <item x="460"/>
        <item x="762"/>
        <item x="40"/>
        <item x="41"/>
        <item x="42"/>
        <item x="43"/>
        <item x="44"/>
        <item x="45"/>
        <item x="461"/>
        <item x="46"/>
        <item x="47"/>
        <item x="48"/>
        <item x="49"/>
        <item x="50"/>
        <item x="51"/>
        <item x="52"/>
        <item x="53"/>
        <item x="54"/>
        <item x="55"/>
        <item x="96"/>
        <item x="97"/>
        <item x="98"/>
        <item x="99"/>
        <item x="1022"/>
        <item x="1034"/>
        <item x="56"/>
        <item x="57"/>
        <item x="58"/>
        <item x="59"/>
        <item x="60"/>
        <item x="61"/>
        <item x="62"/>
        <item x="63"/>
        <item x="64"/>
        <item x="65"/>
        <item x="100"/>
        <item x="101"/>
        <item x="102"/>
        <item x="103"/>
        <item x="104"/>
        <item x="66"/>
        <item x="67"/>
        <item x="68"/>
        <item x="69"/>
        <item x="70"/>
        <item x="71"/>
        <item x="72"/>
        <item x="73"/>
        <item x="74"/>
        <item x="75"/>
        <item x="105"/>
        <item x="106"/>
        <item x="107"/>
        <item x="108"/>
        <item x="109"/>
        <item x="1036"/>
        <item x="1018"/>
        <item x="76"/>
        <item x="77"/>
        <item x="78"/>
        <item x="79"/>
        <item x="80"/>
        <item x="81"/>
        <item x="82"/>
        <item x="83"/>
        <item x="84"/>
        <item x="85"/>
        <item x="110"/>
        <item x="111"/>
        <item x="112"/>
        <item x="113"/>
        <item x="114"/>
        <item x="115"/>
        <item x="86"/>
        <item x="87"/>
        <item x="88"/>
        <item x="89"/>
        <item x="90"/>
        <item x="91"/>
        <item x="92"/>
        <item x="93"/>
        <item x="94"/>
        <item x="95"/>
        <item x="116"/>
        <item x="117"/>
        <item x="118"/>
        <item x="119"/>
        <item x="120"/>
        <item x="121"/>
        <item x="1033"/>
        <item x="1029"/>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037"/>
        <item x="1023"/>
        <item x="152"/>
        <item x="153"/>
        <item x="154"/>
        <item x="155"/>
        <item x="156"/>
        <item x="157"/>
        <item x="158"/>
        <item x="159"/>
        <item x="160"/>
        <item x="161"/>
        <item x="162"/>
        <item x="163"/>
        <item x="164"/>
        <item x="165"/>
        <item x="166"/>
        <item x="167"/>
        <item x="168"/>
        <item x="169"/>
        <item x="170"/>
        <item x="171"/>
        <item x="1017"/>
        <item x="1027"/>
        <item x="763"/>
        <item x="764"/>
        <item x="765"/>
        <item x="766"/>
        <item x="767"/>
        <item x="768"/>
        <item x="769"/>
        <item x="770"/>
        <item x="771"/>
        <item x="772"/>
        <item x="1026"/>
        <item x="1020"/>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617"/>
        <item x="1030"/>
        <item x="1021"/>
        <item x="821"/>
        <item x="822"/>
        <item x="823"/>
        <item x="824"/>
        <item x="1016"/>
        <item x="1032"/>
        <item x="825"/>
        <item x="826"/>
        <item x="827"/>
        <item x="828"/>
        <item x="1019"/>
        <item x="1014"/>
        <item x="868"/>
        <item x="869"/>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1015"/>
        <item x="1031"/>
        <item x="1024"/>
        <item x="1035"/>
        <item x="1028"/>
        <item x="1025"/>
        <item sd="0" x="2"/>
        <item sd="0" x="1"/>
        <item sd="0" x="0"/>
        <item x="175"/>
        <item sd="0" x="196"/>
        <item x="178"/>
        <item x="173"/>
        <item x="179"/>
        <item sd="0" x="1062"/>
        <item x="177"/>
        <item x="176"/>
        <item x="172"/>
        <item x="749"/>
        <item x="750"/>
        <item x="186"/>
        <item x="751"/>
        <item x="752"/>
        <item x="187"/>
        <item x="753"/>
        <item x="754"/>
        <item x="755"/>
        <item x="756"/>
        <item x="757"/>
        <item x="758"/>
        <item x="180"/>
        <item x="185"/>
        <item x="1042"/>
        <item x="1043"/>
        <item x="1047"/>
        <item x="1048"/>
        <item x="1049"/>
        <item x="1050"/>
        <item x="1051"/>
        <item x="1052"/>
        <item x="1065"/>
        <item x="1066"/>
        <item x="817"/>
        <item x="818"/>
        <item x="819"/>
        <item x="816"/>
        <item x="614"/>
        <item x="615"/>
        <item x="616"/>
        <item x="1056"/>
        <item x="1054"/>
        <item x="1057"/>
        <item x="1058"/>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820"/>
        <item x="174"/>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189"/>
        <item x="194"/>
        <item x="195"/>
        <item x="188"/>
        <item x="192"/>
        <item x="193"/>
        <item x="190"/>
        <item x="191"/>
        <item x="1063"/>
        <item x="1061"/>
        <item x="1064"/>
        <item x="1076"/>
        <item x="1078"/>
        <item x="1081"/>
        <item x="1083"/>
        <item x="1084"/>
        <item x="1067"/>
        <item x="1068"/>
        <item x="1069"/>
        <item x="1071"/>
        <item x="1073"/>
        <item x="1074"/>
        <item x="1070"/>
        <item x="1072"/>
        <item x="1075"/>
        <item x="1077"/>
        <item x="1079"/>
        <item x="1080"/>
        <item x="1082"/>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055"/>
        <item x="3"/>
        <item x="4"/>
        <item x="5"/>
        <item x="6"/>
        <item x="7"/>
        <item x="1059"/>
        <item x="1060"/>
        <item x="1006"/>
        <item x="1007"/>
        <item x="1008"/>
        <item x="1009"/>
        <item x="1010"/>
        <item x="1011"/>
        <item x="1012"/>
        <item x="1013"/>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1053"/>
        <item x="1045"/>
        <item x="1044"/>
        <item x="1046"/>
        <item x="815"/>
        <item x="182"/>
        <item x="181"/>
        <item x="183"/>
        <item x="184"/>
        <item x="1041"/>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t="default"/>
      </items>
    </pivotField>
    <pivotField showAll="0"/>
    <pivotField axis="axisRow" showAll="0">
      <items count="252">
        <item x="116"/>
        <item x="106"/>
        <item x="117"/>
        <item sd="0" x="105"/>
        <item sd="0" x="107"/>
        <item sd="0" x="120"/>
        <item sd="0" x="119"/>
        <item sd="0" x="118"/>
        <item x="161"/>
        <item x="196"/>
        <item x="179"/>
        <item x="180"/>
        <item x="207"/>
        <item x="208"/>
        <item x="170"/>
        <item x="148"/>
        <item x="146"/>
        <item x="145"/>
        <item x="168"/>
        <item x="155"/>
        <item x="156"/>
        <item x="158"/>
        <item x="159"/>
        <item x="166"/>
        <item x="167"/>
        <item x="163"/>
        <item x="169"/>
        <item x="172"/>
        <item x="211"/>
        <item x="215"/>
        <item x="198"/>
        <item x="108"/>
        <item x="7"/>
        <item x="8"/>
        <item x="174"/>
        <item x="194"/>
        <item x="195"/>
        <item x="1"/>
        <item x="178"/>
        <item x="183"/>
        <item x="184"/>
        <item x="189"/>
        <item x="190"/>
        <item x="185"/>
        <item x="186"/>
        <item x="212"/>
        <item x="213"/>
        <item x="126"/>
        <item x="127"/>
        <item x="9"/>
        <item x="15"/>
        <item x="16"/>
        <item x="175"/>
        <item x="17"/>
        <item x="18"/>
        <item x="19"/>
        <item x="176"/>
        <item x="20"/>
        <item x="21"/>
        <item x="124"/>
        <item x="22"/>
        <item x="23"/>
        <item x="125"/>
        <item x="24"/>
        <item x="25"/>
        <item x="2"/>
        <item x="26"/>
        <item x="27"/>
        <item x="4"/>
        <item x="28"/>
        <item x="29"/>
        <item x="30"/>
        <item x="138"/>
        <item x="31"/>
        <item x="32"/>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44"/>
        <item x="10"/>
        <item x="11"/>
        <item x="12"/>
        <item x="13"/>
        <item x="3"/>
        <item x="5"/>
        <item x="139"/>
        <item x="101"/>
        <item x="102"/>
        <item x="103"/>
        <item x="104"/>
        <item x="206"/>
        <item x="201"/>
        <item x="216"/>
        <item x="160"/>
        <item x="141"/>
        <item x="121"/>
        <item x="122"/>
        <item x="123"/>
        <item x="134"/>
        <item x="135"/>
        <item x="136"/>
        <item x="137"/>
        <item x="147"/>
        <item x="149"/>
        <item x="150"/>
        <item x="151"/>
        <item x="114"/>
        <item x="115"/>
        <item x="128"/>
        <item x="129"/>
        <item x="109"/>
        <item x="110"/>
        <item x="130"/>
        <item x="131"/>
        <item x="111"/>
        <item x="112"/>
        <item x="132"/>
        <item x="133"/>
        <item x="154"/>
        <item x="165"/>
        <item x="162"/>
        <item x="193"/>
        <item x="203"/>
        <item x="205"/>
        <item x="173"/>
        <item x="177"/>
        <item x="210"/>
        <item x="214"/>
        <item x="204"/>
        <item x="197"/>
        <item x="199"/>
        <item x="181"/>
        <item x="200"/>
        <item x="188"/>
        <item x="6"/>
        <item x="187"/>
        <item x="14"/>
        <item x="157"/>
        <item x="209"/>
        <item x="171"/>
        <item x="164"/>
        <item x="153"/>
        <item x="152"/>
        <item x="202"/>
        <item x="191"/>
        <item x="182"/>
        <item x="0"/>
        <item x="192"/>
        <item x="143"/>
        <item x="142"/>
        <item x="223"/>
        <item x="113"/>
        <item x="226"/>
        <item x="240"/>
        <item x="231"/>
        <item x="218"/>
        <item x="249"/>
        <item x="239"/>
        <item x="242"/>
        <item x="246"/>
        <item x="222"/>
        <item x="234"/>
        <item x="220"/>
        <item x="233"/>
        <item x="228"/>
        <item x="225"/>
        <item x="229"/>
        <item x="247"/>
        <item x="236"/>
        <item x="224"/>
        <item x="243"/>
        <item x="219"/>
        <item x="237"/>
        <item x="235"/>
        <item x="232"/>
        <item x="250"/>
        <item x="238"/>
        <item x="230"/>
        <item x="227"/>
        <item x="217"/>
        <item x="248"/>
        <item x="241"/>
        <item x="245"/>
        <item x="221"/>
        <item x="244"/>
        <item t="default"/>
      </items>
    </pivotField>
    <pivotField showAll="0"/>
    <pivotField axis="axisPage" dataField="1" showAll="0">
      <items count="113">
        <item x="67"/>
        <item x="1"/>
        <item x="79"/>
        <item x="18"/>
        <item x="71"/>
        <item x="48"/>
        <item x="63"/>
        <item x="77"/>
        <item x="2"/>
        <item x="0"/>
        <item x="78"/>
        <item x="49"/>
        <item x="81"/>
        <item x="68"/>
        <item x="69"/>
        <item x="82"/>
        <item x="80"/>
        <item x="70"/>
        <item x="104"/>
        <item x="55"/>
        <item x="61"/>
        <item x="22"/>
        <item x="50"/>
        <item x="51"/>
        <item x="20"/>
        <item x="19"/>
        <item x="58"/>
        <item x="52"/>
        <item x="53"/>
        <item x="57"/>
        <item x="56"/>
        <item x="59"/>
        <item x="83"/>
        <item x="21"/>
        <item x="91"/>
        <item x="60"/>
        <item x="54"/>
        <item x="74"/>
        <item x="75"/>
        <item x="85"/>
        <item x="14"/>
        <item x="94"/>
        <item x="8"/>
        <item x="76"/>
        <item x="3"/>
        <item x="92"/>
        <item x="6"/>
        <item x="9"/>
        <item x="4"/>
        <item x="30"/>
        <item x="5"/>
        <item x="12"/>
        <item x="11"/>
        <item x="72"/>
        <item x="7"/>
        <item x="13"/>
        <item x="10"/>
        <item x="73"/>
        <item x="86"/>
        <item x="87"/>
        <item x="84"/>
        <item x="89"/>
        <item x="66"/>
        <item x="111"/>
        <item x="110"/>
        <item x="26"/>
        <item x="34"/>
        <item x="35"/>
        <item x="29"/>
        <item x="109"/>
        <item x="27"/>
        <item x="33"/>
        <item x="32"/>
        <item x="37"/>
        <item x="38"/>
        <item x="47"/>
        <item x="46"/>
        <item x="36"/>
        <item x="62"/>
        <item x="28"/>
        <item x="107"/>
        <item x="45"/>
        <item x="39"/>
        <item x="43"/>
        <item x="16"/>
        <item x="23"/>
        <item x="17"/>
        <item x="99"/>
        <item x="108"/>
        <item x="98"/>
        <item x="88"/>
        <item x="106"/>
        <item x="42"/>
        <item x="41"/>
        <item x="93"/>
        <item x="24"/>
        <item x="15"/>
        <item x="40"/>
        <item x="64"/>
        <item x="65"/>
        <item x="25"/>
        <item x="44"/>
        <item x="95"/>
        <item x="100"/>
        <item x="96"/>
        <item x="97"/>
        <item x="31"/>
        <item x="90"/>
        <item x="105"/>
        <item x="103"/>
        <item x="102"/>
        <item x="101"/>
        <item t="default"/>
      </items>
    </pivotField>
    <pivotField showAll="0"/>
    <pivotField showAll="0"/>
    <pivotField showAll="0"/>
    <pivotField showAll="0"/>
    <pivotField showAll="0"/>
    <pivotField showAll="0"/>
    <pivotField showAll="0"/>
    <pivotField showAll="0"/>
    <pivotField axis="axisRow" showAll="0" defaultSubtotal="0">
      <items count="9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h="1" sd="0" x="92"/>
      </items>
    </pivotField>
    <pivotField axis="axisRow" showAll="0" defaultSubtotal="0">
      <items count="254">
        <item x="93"/>
        <item x="94"/>
        <item x="48"/>
        <item x="55"/>
        <item x="45"/>
        <item x="20"/>
        <item x="32"/>
        <item x="2"/>
        <item x="100"/>
        <item x="110"/>
        <item x="82"/>
        <item x="68"/>
        <item x="72"/>
        <item x="73"/>
        <item x="74"/>
        <item x="71"/>
        <item x="9"/>
        <item x="75"/>
        <item x="76"/>
        <item x="106"/>
        <item x="107"/>
        <item x="3"/>
        <item x="4"/>
        <item x="99"/>
        <item x="6"/>
        <item x="7"/>
        <item x="5"/>
        <item x="80"/>
        <item x="79"/>
        <item x="105"/>
        <item x="88"/>
        <item x="81"/>
        <item x="78"/>
        <item x="103"/>
        <item x="104"/>
        <item x="102"/>
        <item x="83"/>
        <item x="69"/>
        <item x="87"/>
        <item x="109"/>
        <item sd="0" x="0"/>
        <item x="86"/>
        <item x="84"/>
        <item x="101"/>
        <item x="70"/>
        <item x="16"/>
        <item x="1"/>
        <item x="77"/>
        <item x="8"/>
        <item x="15"/>
        <item x="13"/>
        <item x="17"/>
        <item x="85"/>
        <item x="12"/>
        <item x="108"/>
        <item x="14"/>
        <item x="18"/>
        <item x="19"/>
        <item x="10"/>
        <item x="11"/>
        <item x="97"/>
        <item x="98"/>
        <item x="67"/>
        <item x="96"/>
        <item x="95"/>
        <item x="65"/>
        <item x="56"/>
        <item x="54"/>
        <item x="58"/>
        <item x="62"/>
        <item x="66"/>
        <item x="51"/>
        <item x="64"/>
        <item x="49"/>
        <item x="53"/>
        <item x="63"/>
        <item x="59"/>
        <item x="52"/>
        <item x="57"/>
        <item x="60"/>
        <item x="50"/>
        <item x="61"/>
        <item x="47"/>
        <item x="30"/>
        <item x="31"/>
        <item x="46"/>
        <item x="92"/>
        <item x="90"/>
        <item x="42"/>
        <item x="43"/>
        <item x="153"/>
        <item x="163"/>
        <item x="155"/>
        <item x="147"/>
        <item x="211"/>
        <item x="130"/>
        <item x="136"/>
        <item x="138"/>
        <item x="157"/>
        <item x="228"/>
        <item x="226"/>
        <item x="148"/>
        <item x="197"/>
        <item x="246"/>
        <item x="182"/>
        <item x="245"/>
        <item x="204"/>
        <item x="250"/>
        <item x="145"/>
        <item x="220"/>
        <item x="218"/>
        <item x="239"/>
        <item x="170"/>
        <item x="168"/>
        <item x="181"/>
        <item x="199"/>
        <item x="178"/>
        <item x="124"/>
        <item x="176"/>
        <item x="133"/>
        <item x="240"/>
        <item x="209"/>
        <item x="179"/>
        <item x="127"/>
        <item x="131"/>
        <item x="187"/>
        <item x="119"/>
        <item x="140"/>
        <item x="173"/>
        <item x="191"/>
        <item x="156"/>
        <item x="202"/>
        <item x="195"/>
        <item x="91"/>
        <item x="89"/>
        <item x="38"/>
        <item x="40"/>
        <item x="39"/>
        <item x="24"/>
        <item x="28"/>
        <item x="21"/>
        <item x="22"/>
        <item x="27"/>
        <item x="26"/>
        <item x="29"/>
        <item x="25"/>
        <item x="23"/>
        <item x="41"/>
        <item x="36"/>
        <item x="37"/>
        <item x="118"/>
        <item x="143"/>
        <item x="223"/>
        <item x="117"/>
        <item x="192"/>
        <item x="158"/>
        <item x="190"/>
        <item x="210"/>
        <item x="222"/>
        <item x="188"/>
        <item x="242"/>
        <item x="159"/>
        <item x="207"/>
        <item x="111"/>
        <item x="241"/>
        <item x="186"/>
        <item x="249"/>
        <item x="141"/>
        <item x="203"/>
        <item x="33"/>
        <item x="35"/>
        <item x="126"/>
        <item x="152"/>
        <item x="122"/>
        <item x="164"/>
        <item x="221"/>
        <item x="217"/>
        <item x="232"/>
        <item x="237"/>
        <item x="177"/>
        <item x="205"/>
        <item x="114"/>
        <item x="125"/>
        <item x="120"/>
        <item x="149"/>
        <item x="235"/>
        <item x="167"/>
        <item x="183"/>
        <item x="219"/>
        <item x="247"/>
        <item x="142"/>
        <item x="194"/>
        <item x="227"/>
        <item x="165"/>
        <item x="234"/>
        <item x="253"/>
        <item x="236"/>
        <item x="139"/>
        <item x="160"/>
        <item x="231"/>
        <item x="252"/>
        <item x="243"/>
        <item x="244"/>
        <item x="225"/>
        <item x="132"/>
        <item x="116"/>
        <item x="212"/>
        <item x="233"/>
        <item x="216"/>
        <item x="230"/>
        <item x="193"/>
        <item x="180"/>
        <item x="185"/>
        <item x="184"/>
        <item x="161"/>
        <item x="175"/>
        <item x="224"/>
        <item x="229"/>
        <item x="213"/>
        <item x="172"/>
        <item x="121"/>
        <item x="174"/>
        <item x="208"/>
        <item x="144"/>
        <item x="214"/>
        <item x="154"/>
        <item x="151"/>
        <item x="215"/>
        <item x="206"/>
        <item x="150"/>
        <item x="113"/>
        <item x="115"/>
        <item x="189"/>
        <item x="128"/>
        <item x="166"/>
        <item x="134"/>
        <item x="112"/>
        <item x="196"/>
        <item x="129"/>
        <item x="135"/>
        <item x="201"/>
        <item x="137"/>
        <item x="200"/>
        <item x="248"/>
        <item x="198"/>
        <item x="238"/>
        <item x="171"/>
        <item x="251"/>
        <item x="169"/>
        <item x="146"/>
        <item x="162"/>
        <item x="123"/>
        <item x="34"/>
        <item x="44"/>
      </items>
    </pivotField>
    <pivotField showAll="0" defaultSubtotal="0"/>
    <pivotField showAll="0" defaultSubtotal="0"/>
    <pivotField showAll="0" defaultSubtotal="0"/>
    <pivotField showAll="0" defaultSubtotal="0"/>
    <pivotField axis="axisRow" showAll="0" defaultSubtotal="0">
      <items count="3">
        <item sd="0" x="1"/>
        <item sd="0" x="2"/>
        <item x="0"/>
      </items>
    </pivotField>
    <pivotField axis="axisCol" showAll="0" defaultSubtotal="0">
      <items count="4">
        <item sd="0" x="0"/>
        <item sd="0" x="2"/>
        <item sd="0" x="1"/>
        <item x="3"/>
      </items>
    </pivotField>
    <pivotField axis="axisPage" multipleItemSelectionAllowed="1" showAll="0" defaultSubtotal="0">
      <items count="8">
        <item h="1" x="4"/>
        <item h="1" x="5"/>
        <item h="1" x="3"/>
        <item h="1" x="7"/>
        <item h="1" x="1"/>
        <item h="1" x="6"/>
        <item h="1" x="2"/>
        <item x="0"/>
      </items>
    </pivotField>
  </pivotFields>
  <rowFields count="5">
    <field x="1"/>
    <field x="3"/>
    <field x="20"/>
    <field x="14"/>
    <field x="15"/>
  </rowFields>
  <rowItems count="79">
    <i>
      <x v="806"/>
    </i>
    <i>
      <x v="807"/>
    </i>
    <i>
      <x v="808"/>
    </i>
    <i>
      <x v="810"/>
    </i>
    <i>
      <x v="814"/>
    </i>
    <i>
      <x v="820"/>
    </i>
    <i r="1">
      <x v="217"/>
    </i>
    <i r="2">
      <x/>
    </i>
    <i>
      <x v="823"/>
    </i>
    <i r="1">
      <x v="217"/>
    </i>
    <i r="2">
      <x/>
    </i>
    <i>
      <x v="831"/>
    </i>
    <i r="1">
      <x v="217"/>
    </i>
    <i r="2">
      <x/>
    </i>
    <i>
      <x v="838"/>
    </i>
    <i r="1">
      <x v="215"/>
    </i>
    <i r="2">
      <x v="2"/>
    </i>
    <i r="3">
      <x v="46"/>
    </i>
    <i>
      <x v="839"/>
    </i>
    <i r="1">
      <x v="215"/>
    </i>
    <i r="2">
      <x v="2"/>
    </i>
    <i r="3">
      <x v="46"/>
    </i>
    <i>
      <x v="850"/>
    </i>
    <i r="1">
      <x v="217"/>
    </i>
    <i r="2">
      <x v="2"/>
    </i>
    <i r="3">
      <x v="47"/>
    </i>
    <i>
      <x v="935"/>
    </i>
    <i r="1">
      <x v="217"/>
    </i>
    <i r="2">
      <x/>
    </i>
    <i>
      <x v="940"/>
    </i>
    <i r="1">
      <x v="217"/>
    </i>
    <i r="2">
      <x/>
    </i>
    <i>
      <x v="941"/>
    </i>
    <i r="1">
      <x v="217"/>
    </i>
    <i r="2">
      <x/>
    </i>
    <i>
      <x v="942"/>
    </i>
    <i r="1">
      <x v="217"/>
    </i>
    <i r="2">
      <x/>
    </i>
    <i>
      <x v="943"/>
    </i>
    <i r="1">
      <x v="217"/>
    </i>
    <i r="2">
      <x v="2"/>
    </i>
    <i r="3">
      <x v="49"/>
    </i>
    <i>
      <x v="944"/>
    </i>
    <i r="1">
      <x v="217"/>
    </i>
    <i r="2">
      <x v="2"/>
    </i>
    <i r="3">
      <x v="49"/>
    </i>
    <i>
      <x v="945"/>
    </i>
    <i r="1">
      <x v="217"/>
    </i>
    <i r="2">
      <x v="2"/>
    </i>
    <i r="3">
      <x v="49"/>
    </i>
    <i>
      <x v="1510"/>
    </i>
    <i r="1">
      <x v="217"/>
    </i>
    <i r="2">
      <x v="2"/>
    </i>
    <i r="3">
      <x v="47"/>
    </i>
    <i>
      <x v="1568"/>
    </i>
    <i r="1">
      <x v="217"/>
    </i>
    <i r="2">
      <x v="2"/>
    </i>
    <i r="3">
      <x v="47"/>
    </i>
    <i>
      <x v="1573"/>
    </i>
    <i r="1">
      <x v="217"/>
    </i>
    <i r="2">
      <x v="2"/>
    </i>
    <i r="3">
      <x v="13"/>
    </i>
    <i>
      <x v="1574"/>
    </i>
    <i r="1">
      <x v="217"/>
    </i>
    <i r="2">
      <x v="2"/>
    </i>
    <i r="3">
      <x v="13"/>
    </i>
    <i>
      <x v="1575"/>
    </i>
    <i r="1">
      <x v="217"/>
    </i>
    <i r="2">
      <x v="2"/>
    </i>
    <i r="3">
      <x v="13"/>
    </i>
    <i>
      <x v="1576"/>
    </i>
    <i r="1">
      <x v="217"/>
    </i>
    <i r="2">
      <x v="2"/>
    </i>
    <i r="3">
      <x v="13"/>
    </i>
    <i>
      <x v="1577"/>
    </i>
    <i r="1">
      <x v="217"/>
    </i>
    <i r="2">
      <x v="2"/>
    </i>
    <i r="3">
      <x v="46"/>
    </i>
    <i t="grand">
      <x/>
    </i>
  </rowItems>
  <colFields count="1">
    <field x="21"/>
  </colFields>
  <colItems count="4">
    <i>
      <x/>
    </i>
    <i>
      <x v="2"/>
    </i>
    <i>
      <x v="3"/>
    </i>
    <i t="grand">
      <x/>
    </i>
  </colItems>
  <pageFields count="2">
    <pageField fld="5" hier="-1"/>
    <pageField fld="22" hier="-1"/>
  </pageFields>
  <dataFields count="1">
    <dataField name="Sum of Bytes" fld="5" baseField="0" baseItem="0" numFmtId="3"/>
  </dataField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W2278" totalsRowShown="0">
  <autoFilter ref="A3:W2278" xr:uid="{00000000-0009-0000-0100-000001000000}">
    <filterColumn colId="22">
      <filters>
        <filter val="HTTP"/>
        <filter val="HTTP/S"/>
        <filter val="Modbus"/>
        <filter val="RDP"/>
        <filter val="SMB"/>
        <filter val="SQL-Server"/>
        <filter val="TCP Netbios"/>
      </filters>
    </filterColumn>
  </autoFilter>
  <tableColumns count="23">
    <tableColumn id="1" xr3:uid="{00000000-0010-0000-0000-000001000000}" name="Address A"/>
    <tableColumn id="2" xr3:uid="{00000000-0010-0000-0000-000002000000}" name="Port A"/>
    <tableColumn id="3" xr3:uid="{00000000-0010-0000-0000-000003000000}" name="Address B"/>
    <tableColumn id="4" xr3:uid="{00000000-0010-0000-0000-000004000000}" name="Port B"/>
    <tableColumn id="5" xr3:uid="{00000000-0010-0000-0000-000005000000}" name="Packets"/>
    <tableColumn id="6" xr3:uid="{00000000-0010-0000-0000-000006000000}" name="Bytes"/>
    <tableColumn id="7" xr3:uid="{00000000-0010-0000-0000-000007000000}" name="Packets A → B"/>
    <tableColumn id="8" xr3:uid="{00000000-0010-0000-0000-000008000000}" name="Bytes A → B"/>
    <tableColumn id="9" xr3:uid="{00000000-0010-0000-0000-000009000000}" name="Packets B → A"/>
    <tableColumn id="10" xr3:uid="{00000000-0010-0000-0000-00000A000000}" name="Bytes B → A"/>
    <tableColumn id="11" xr3:uid="{00000000-0010-0000-0000-00000B000000}" name="Rel Start"/>
    <tableColumn id="12" xr3:uid="{00000000-0010-0000-0000-00000C000000}" name="Duration"/>
    <tableColumn id="13" xr3:uid="{00000000-0010-0000-0000-00000D000000}" name="Bits/s A → B"/>
    <tableColumn id="14" xr3:uid="{00000000-0010-0000-0000-00000E000000}" name="Bits/s B → A"/>
    <tableColumn id="15" xr3:uid="{00000000-0010-0000-0000-00000F000000}" name="FullAddress A" dataDxfId="10" dataCellStyle="Neutral">
      <calculatedColumnFormula>formatIP(Table1[[#This Row],[Address A]])</calculatedColumnFormula>
    </tableColumn>
    <tableColumn id="16" xr3:uid="{00000000-0010-0000-0000-000010000000}" name="FullAddress B" dataDxfId="9" dataCellStyle="Neutral">
      <calculatedColumnFormula>formatIP(Table1[[#This Row],[Address B]])</calculatedColumnFormula>
    </tableColumn>
    <tableColumn id="17" xr3:uid="{00000000-0010-0000-0000-000011000000}" name="Asset Name A" dataDxfId="8" dataCellStyle="Neutral">
      <calculatedColumnFormula>VLOOKUP(Table1[[#This Row],[Address A]],IP_Master[],4,FALSE)</calculatedColumnFormula>
    </tableColumn>
    <tableColumn id="18" xr3:uid="{00000000-0010-0000-0000-000012000000}" name="Asset Name B" dataDxfId="7" dataCellStyle="Neutral">
      <calculatedColumnFormula>VLOOKUP(Table1[[#This Row],[Address B]],IP_Master[],4,FALSE)</calculatedColumnFormula>
    </tableColumn>
    <tableColumn id="19" xr3:uid="{00000000-0010-0000-0000-000013000000}" name="Site A" dataDxfId="6" dataCellStyle="Neutral">
      <calculatedColumnFormula>VLOOKUP(Table1[[#This Row],[Address A]],IP_Master[],2,FALSE)</calculatedColumnFormula>
    </tableColumn>
    <tableColumn id="20" xr3:uid="{00000000-0010-0000-0000-000014000000}" name="Site B" dataDxfId="5" dataCellStyle="Neutral">
      <calculatedColumnFormula>VLOOKUP(Table1[[#This Row],[Address B]],IP_Master[],2,FALSE)</calculatedColumnFormula>
    </tableColumn>
    <tableColumn id="21" xr3:uid="{00000000-0010-0000-0000-000015000000}" name="Network Type A" dataDxfId="4" dataCellStyle="Neutral">
      <calculatedColumnFormula>VLOOKUP(Table1[[#This Row],[Address A]],IP_Master[],3,FALSE)</calculatedColumnFormula>
    </tableColumn>
    <tableColumn id="22" xr3:uid="{00000000-0010-0000-0000-000016000000}" name="Network Type B" dataDxfId="3" dataCellStyle="Neutral">
      <calculatedColumnFormula>VLOOKUP(Table1[[#This Row],[Address B]],IP_Master[],3,FALSE)</calculatedColumnFormula>
    </tableColumn>
    <tableColumn id="23" xr3:uid="{00000000-0010-0000-0000-000017000000}" name="Traffic Type" dataDxfId="2" dataCellStyle="Neutral">
      <calculatedColumnFormula>VLOOKUP(Table1[[#This Row],[Port B]],traffic_types[],2,FALSE)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raffic_types" displayName="traffic_types" ref="A3:C11" totalsRowShown="0">
  <autoFilter ref="A3:C11" xr:uid="{00000000-0009-0000-0100-000003000000}"/>
  <sortState xmlns:xlrd2="http://schemas.microsoft.com/office/spreadsheetml/2017/richdata2" ref="A2:C9">
    <sortCondition ref="A3"/>
  </sortState>
  <tableColumns count="3">
    <tableColumn id="1" xr3:uid="{00000000-0010-0000-0100-000001000000}" name="Port"/>
    <tableColumn id="2" xr3:uid="{00000000-0010-0000-0100-000002000000}" name="Protocol Name"/>
    <tableColumn id="3" xr3:uid="{00000000-0010-0000-0100-000003000000}" name="Notes"/>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IP_Master" displayName="IP_Master" ref="A3:G834" totalsRowShown="0" headerRowDxfId="1">
  <autoFilter ref="A3:G834" xr:uid="{00000000-0009-0000-0100-000002000000}">
    <filterColumn colId="6">
      <filters>
        <filter val="#VALUE!"/>
        <filter val="010.011.009.002"/>
        <filter val="010.011.009.014"/>
        <filter val="010.011.009.015"/>
        <filter val="010.011.009.016"/>
        <filter val="010.011.009.028"/>
        <filter val="010.011.009.035"/>
        <filter val="010.011.009.036"/>
        <filter val="010.011.009.037"/>
        <filter val="010.011.009.041"/>
        <filter val="010.011.009.043"/>
        <filter val="010.011.009.045"/>
        <filter val="010.011.009.047"/>
        <filter val="010.011.009.053"/>
        <filter val="010.011.009.054"/>
        <filter val="010.011.009.057"/>
        <filter val="010.011.009.059"/>
        <filter val="010.011.009.061"/>
        <filter val="010.011.009.063"/>
        <filter val="010.011.009.064"/>
        <filter val="010.011.009.065"/>
        <filter val="010.011.009.067"/>
        <filter val="010.011.009.069"/>
        <filter val="010.011.009.081"/>
        <filter val="010.011.009.084"/>
        <filter val="010.011.009.085"/>
        <filter val="010.011.009.088"/>
        <filter val="010.011.009.089"/>
        <filter val="010.011.009.090"/>
        <filter val="010.011.009.093"/>
        <filter val="010.011.009.095"/>
        <filter val="010.011.009.101"/>
        <filter val="010.011.009.103"/>
        <filter val="010.011.009.105"/>
        <filter val="010.011.009.106"/>
        <filter val="010.011.009.107"/>
        <filter val="010.011.009.108"/>
        <filter val="010.011.009.109"/>
        <filter val="010.011.009.111"/>
        <filter val="010.011.009.113"/>
        <filter val="010.011.009.115"/>
        <filter val="010.011.009.127"/>
        <filter val="010.011.009.128"/>
        <filter val="010.011.009.132"/>
        <filter val="010.011.009.133"/>
        <filter val="010.011.009.136"/>
        <filter val="010.011.009.176"/>
        <filter val="010.011.009.178"/>
        <filter val="010.011.009.180"/>
        <filter val="010.011.009.205"/>
        <filter val="010.011.009.206"/>
        <filter val="010.011.009.207"/>
        <filter val="010.011.009.208"/>
        <filter val="010.011.009.209"/>
        <filter val="010.011.009.210"/>
        <filter val="010.011.009.211"/>
        <filter val="010.011.009.212"/>
        <filter val="010.011.009.213"/>
        <filter val="010.012.000.001"/>
        <filter val="010.012.000.002"/>
        <filter val="010.012.000.003"/>
        <filter val="010.012.000.004"/>
        <filter val="010.012.000.005"/>
        <filter val="010.012.000.006"/>
        <filter val="010.012.000.007"/>
        <filter val="010.012.000.008"/>
        <filter val="010.012.000.009"/>
        <filter val="010.012.000.010"/>
        <filter val="010.012.000.011"/>
        <filter val="010.012.000.012"/>
        <filter val="010.012.000.013"/>
        <filter val="010.012.000.014"/>
        <filter val="010.012.000.015"/>
        <filter val="010.012.000.016"/>
        <filter val="010.012.000.017"/>
        <filter val="010.012.000.018"/>
        <filter val="010.012.000.019"/>
        <filter val="010.012.000.020"/>
        <filter val="010.012.000.021"/>
        <filter val="010.012.000.022"/>
        <filter val="010.012.000.023"/>
        <filter val="010.012.000.024"/>
        <filter val="010.012.000.025"/>
        <filter val="010.012.000.026"/>
        <filter val="010.012.000.027"/>
        <filter val="010.012.000.028"/>
        <filter val="010.012.000.029"/>
        <filter val="010.012.000.030"/>
        <filter val="010.012.000.031"/>
        <filter val="010.012.000.032"/>
        <filter val="010.012.000.033"/>
        <filter val="010.012.000.034"/>
        <filter val="010.012.000.035"/>
        <filter val="010.012.000.036"/>
        <filter val="010.012.000.037"/>
        <filter val="010.012.000.038"/>
        <filter val="010.012.000.039"/>
        <filter val="010.012.000.040"/>
        <filter val="010.012.000.041"/>
        <filter val="010.012.000.042"/>
        <filter val="010.012.000.043"/>
        <filter val="010.012.000.044"/>
        <filter val="010.012.000.045"/>
        <filter val="010.012.000.046"/>
        <filter val="010.012.000.047"/>
        <filter val="010.012.000.048"/>
        <filter val="010.012.000.049"/>
        <filter val="010.012.000.050"/>
        <filter val="010.012.000.051"/>
        <filter val="010.012.000.052"/>
        <filter val="010.012.000.053"/>
        <filter val="010.012.000.054"/>
        <filter val="010.012.000.055"/>
        <filter val="010.012.000.056"/>
        <filter val="010.012.000.057"/>
        <filter val="010.012.000.058"/>
        <filter val="010.012.000.059"/>
        <filter val="010.012.000.060"/>
        <filter val="010.012.000.061"/>
        <filter val="010.012.000.062"/>
        <filter val="010.012.000.063"/>
        <filter val="010.012.000.064"/>
        <filter val="010.012.000.065"/>
        <filter val="010.012.000.066"/>
        <filter val="010.012.000.067"/>
        <filter val="010.012.000.068"/>
        <filter val="010.012.000.069"/>
        <filter val="010.012.000.070"/>
        <filter val="010.012.000.071"/>
        <filter val="010.012.000.072"/>
        <filter val="010.012.000.073"/>
        <filter val="010.012.000.074"/>
        <filter val="010.012.000.075"/>
        <filter val="010.012.000.076"/>
        <filter val="010.012.000.077"/>
        <filter val="010.012.000.078"/>
        <filter val="010.012.000.079"/>
        <filter val="010.012.000.080"/>
        <filter val="010.012.000.087"/>
        <filter val="010.012.000.088"/>
        <filter val="010.012.000.089"/>
        <filter val="010.012.000.090"/>
        <filter val="010.012.000.092"/>
        <filter val="010.012.000.093"/>
        <filter val="010.012.000.094"/>
        <filter val="010.012.000.095"/>
        <filter val="010.012.000.096"/>
        <filter val="010.012.000.097"/>
        <filter val="010.012.000.098"/>
        <filter val="010.012.000.099"/>
        <filter val="010.012.000.102"/>
        <filter val="010.012.000.103"/>
        <filter val="010.012.000.104"/>
        <filter val="010.012.000.105"/>
        <filter val="010.012.000.106"/>
        <filter val="010.012.000.107"/>
        <filter val="010.012.000.108"/>
        <filter val="010.012.000.109"/>
        <filter val="010.012.000.110"/>
        <filter val="010.012.000.111"/>
        <filter val="010.012.000.112"/>
        <filter val="010.012.000.113"/>
        <filter val="010.012.000.114"/>
        <filter val="010.012.000.115"/>
        <filter val="010.012.000.116"/>
        <filter val="010.012.000.117"/>
        <filter val="010.012.000.118"/>
        <filter val="010.012.000.119"/>
        <filter val="010.012.000.120"/>
        <filter val="010.012.000.121"/>
        <filter val="010.012.000.122"/>
        <filter val="010.012.000.123"/>
        <filter val="010.012.000.125"/>
        <filter val="010.012.000.126"/>
        <filter val="010.012.000.127"/>
        <filter val="010.012.000.128"/>
        <filter val="010.012.000.129"/>
        <filter val="010.012.000.130"/>
        <filter val="010.012.000.131"/>
        <filter val="010.012.000.134"/>
        <filter val="010.012.000.135"/>
        <filter val="010.012.000.137"/>
        <filter val="010.012.000.138"/>
        <filter val="010.012.000.139"/>
        <filter val="010.012.000.140"/>
        <filter val="010.012.000.141"/>
        <filter val="010.012.000.142"/>
        <filter val="010.012.000.143"/>
        <filter val="010.012.000.144"/>
        <filter val="010.012.000.145"/>
        <filter val="010.012.000.146"/>
        <filter val="010.012.000.147"/>
        <filter val="010.012.000.148"/>
        <filter val="010.012.000.149"/>
        <filter val="010.012.000.150"/>
        <filter val="010.012.000.151"/>
        <filter val="010.012.000.152"/>
        <filter val="010.012.000.153"/>
        <filter val="010.012.000.154"/>
        <filter val="010.012.000.155"/>
        <filter val="010.012.000.156"/>
        <filter val="010.012.000.157"/>
        <filter val="010.012.000.158"/>
        <filter val="010.012.000.159"/>
        <filter val="010.012.000.161"/>
        <filter val="010.012.000.162"/>
        <filter val="010.012.000.163"/>
        <filter val="010.012.000.164"/>
        <filter val="010.012.000.165"/>
        <filter val="010.012.000.166"/>
        <filter val="010.012.000.167"/>
        <filter val="010.012.000.168"/>
        <filter val="010.012.000.169"/>
        <filter val="010.012.000.170"/>
        <filter val="010.012.000.171"/>
        <filter val="010.012.000.172"/>
        <filter val="010.012.000.173"/>
        <filter val="010.012.000.174"/>
        <filter val="010.012.000.175"/>
        <filter val="010.012.000.176"/>
        <filter val="010.012.000.177"/>
        <filter val="010.012.000.178"/>
        <filter val="010.012.000.179"/>
        <filter val="010.012.000.180"/>
        <filter val="010.012.000.181"/>
        <filter val="010.012.000.182"/>
        <filter val="010.012.000.183"/>
        <filter val="010.012.000.184"/>
        <filter val="010.012.000.186"/>
        <filter val="010.012.000.189"/>
        <filter val="010.012.000.190"/>
        <filter val="010.012.000.192"/>
        <filter val="010.012.000.194"/>
        <filter val="010.012.000.195"/>
        <filter val="010.012.000.196"/>
        <filter val="010.012.000.197"/>
        <filter val="010.012.000.198"/>
        <filter val="010.012.000.199"/>
        <filter val="010.012.000.200"/>
        <filter val="010.012.000.201"/>
        <filter val="010.012.000.202"/>
        <filter val="010.012.000.203"/>
        <filter val="010.012.000.204"/>
        <filter val="010.012.000.205"/>
        <filter val="010.012.000.206"/>
        <filter val="010.012.000.207"/>
        <filter val="010.012.000.208"/>
        <filter val="010.012.000.209"/>
        <filter val="010.012.000.210"/>
        <filter val="010.012.000.211"/>
        <filter val="010.012.000.212"/>
        <filter val="010.012.000.213"/>
        <filter val="010.012.000.214"/>
        <filter val="010.012.000.215"/>
        <filter val="010.012.000.216"/>
        <filter val="010.012.000.217"/>
        <filter val="010.012.000.218"/>
        <filter val="010.012.000.221"/>
        <filter val="010.012.000.222"/>
        <filter val="010.012.000.223"/>
        <filter val="010.012.000.224"/>
        <filter val="010.012.000.225"/>
        <filter val="010.012.000.226"/>
        <filter val="010.012.000.227"/>
        <filter val="010.012.000.228"/>
        <filter val="010.012.000.229"/>
        <filter val="010.012.000.230"/>
        <filter val="010.012.000.231"/>
        <filter val="010.012.000.232"/>
        <filter val="010.012.000.233"/>
        <filter val="010.012.000.234"/>
        <filter val="010.012.000.235"/>
        <filter val="010.012.000.236"/>
        <filter val="010.012.000.237"/>
        <filter val="010.012.000.238"/>
        <filter val="010.012.000.239"/>
        <filter val="010.012.000.240"/>
        <filter val="010.012.000.242"/>
        <filter val="010.012.000.243"/>
        <filter val="010.012.000.244"/>
        <filter val="010.012.000.245"/>
        <filter val="010.012.000.246"/>
        <filter val="010.012.000.247"/>
        <filter val="010.012.000.248"/>
        <filter val="010.012.000.249"/>
        <filter val="010.012.000.250"/>
        <filter val="010.012.000.251"/>
        <filter val="010.012.000.252"/>
        <filter val="010.012.000.253"/>
        <filter val="010.012.000.255"/>
        <filter val="010.012.001.021"/>
        <filter val="010.012.001.022"/>
        <filter val="010.012.001.023"/>
        <filter val="010.012.001.024"/>
        <filter val="010.012.001.025"/>
        <filter val="010.012.001.026"/>
        <filter val="010.012.001.027"/>
        <filter val="010.012.001.028"/>
        <filter val="010.012.001.029"/>
        <filter val="010.012.001.030"/>
        <filter val="010.012.001.031"/>
        <filter val="010.012.001.032"/>
        <filter val="010.012.001.033"/>
        <filter val="010.012.001.034"/>
        <filter val="010.012.001.035"/>
        <filter val="010.012.001.036"/>
        <filter val="010.012.001.037"/>
        <filter val="010.012.001.038"/>
        <filter val="010.012.001.039"/>
        <filter val="010.012.001.040"/>
        <filter val="010.012.001.041"/>
        <filter val="010.012.001.042"/>
        <filter val="010.012.001.043"/>
        <filter val="010.012.001.044"/>
        <filter val="010.012.001.045"/>
        <filter val="010.012.001.046"/>
        <filter val="010.012.001.047"/>
        <filter val="010.012.001.048"/>
        <filter val="010.012.001.049"/>
        <filter val="010.012.001.050"/>
        <filter val="010.012.001.051"/>
        <filter val="010.012.001.052"/>
        <filter val="010.012.001.053"/>
        <filter val="010.012.001.054"/>
        <filter val="010.012.001.055"/>
        <filter val="010.012.001.056"/>
        <filter val="010.012.001.057"/>
        <filter val="010.012.001.058"/>
        <filter val="010.012.001.059"/>
        <filter val="010.012.001.060"/>
        <filter val="010.012.001.061"/>
        <filter val="010.012.001.062"/>
        <filter val="010.012.001.063"/>
        <filter val="010.012.001.064"/>
        <filter val="010.012.001.065"/>
        <filter val="010.012.001.066"/>
        <filter val="010.012.001.067"/>
        <filter val="010.012.001.068"/>
        <filter val="010.012.001.069"/>
        <filter val="010.012.001.070"/>
        <filter val="010.012.001.071"/>
        <filter val="010.012.001.072"/>
        <filter val="010.012.001.073"/>
        <filter val="010.012.001.074"/>
        <filter val="010.012.001.075"/>
        <filter val="010.012.001.076"/>
        <filter val="010.012.001.077"/>
        <filter val="010.012.001.078"/>
        <filter val="010.012.001.079"/>
        <filter val="010.012.001.080"/>
        <filter val="010.012.001.084"/>
        <filter val="010.012.001.085"/>
        <filter val="010.012.001.086"/>
        <filter val="010.012.001.087"/>
        <filter val="010.012.001.091"/>
        <filter val="010.012.001.092"/>
        <filter val="010.012.001.093"/>
        <filter val="010.012.001.094"/>
        <filter val="010.012.001.095"/>
        <filter val="010.012.001.096"/>
        <filter val="010.012.001.097"/>
        <filter val="010.012.001.102"/>
        <filter val="010.012.001.103"/>
        <filter val="010.012.001.104"/>
        <filter val="010.012.001.105"/>
        <filter val="010.012.001.106"/>
        <filter val="010.012.001.107"/>
        <filter val="010.012.001.108"/>
        <filter val="010.012.001.109"/>
        <filter val="010.012.001.110"/>
        <filter val="010.012.001.111"/>
        <filter val="010.012.001.112"/>
        <filter val="010.012.001.113"/>
        <filter val="010.012.001.114"/>
        <filter val="010.012.001.115"/>
        <filter val="010.012.001.116"/>
        <filter val="010.012.001.117"/>
        <filter val="010.012.001.121"/>
        <filter val="010.012.001.122"/>
        <filter val="010.012.001.123"/>
        <filter val="010.012.001.124"/>
        <filter val="010.012.001.125"/>
        <filter val="010.012.001.126"/>
        <filter val="010.012.001.127"/>
        <filter val="010.012.001.128"/>
        <filter val="010.012.001.129"/>
        <filter val="010.012.001.130"/>
        <filter val="010.012.001.131"/>
        <filter val="010.012.001.132"/>
        <filter val="010.012.001.133"/>
        <filter val="010.012.001.134"/>
        <filter val="010.012.001.135"/>
        <filter val="010.012.001.136"/>
        <filter val="010.012.001.137"/>
        <filter val="010.012.001.138"/>
        <filter val="010.012.001.139"/>
        <filter val="010.012.001.141"/>
        <filter val="010.012.001.142"/>
        <filter val="010.012.001.143"/>
        <filter val="010.012.001.144"/>
        <filter val="010.012.001.145"/>
        <filter val="010.012.001.146"/>
        <filter val="010.012.001.147"/>
        <filter val="010.012.001.148"/>
        <filter val="010.012.001.149"/>
        <filter val="010.012.001.150"/>
        <filter val="010.012.001.151"/>
        <filter val="010.012.001.152"/>
        <filter val="010.012.001.153"/>
        <filter val="010.012.001.154"/>
        <filter val="010.012.001.155"/>
        <filter val="010.012.001.156"/>
        <filter val="010.012.001.157"/>
        <filter val="010.012.001.158"/>
        <filter val="010.012.001.159"/>
        <filter val="010.012.001.160"/>
        <filter val="010.012.001.161"/>
        <filter val="010.012.001.162"/>
        <filter val="010.012.001.163"/>
        <filter val="010.012.001.164"/>
        <filter val="010.012.001.165"/>
        <filter val="010.012.001.166"/>
        <filter val="010.012.001.167"/>
        <filter val="010.012.001.168"/>
        <filter val="010.012.001.169"/>
        <filter val="010.012.001.170"/>
        <filter val="010.012.001.171"/>
        <filter val="010.012.001.172"/>
        <filter val="010.012.001.173"/>
        <filter val="010.012.001.174"/>
        <filter val="010.012.001.175"/>
        <filter val="010.012.001.176"/>
        <filter val="010.012.001.177"/>
        <filter val="010.012.001.178"/>
        <filter val="010.012.001.179"/>
        <filter val="010.012.001.180"/>
        <filter val="010.012.001.182"/>
        <filter val="010.012.001.183"/>
        <filter val="010.012.001.184"/>
        <filter val="010.012.001.185"/>
        <filter val="010.012.001.186"/>
        <filter val="010.012.001.187"/>
        <filter val="010.012.001.188"/>
        <filter val="010.012.001.189"/>
        <filter val="010.012.001.190"/>
        <filter val="010.012.001.191"/>
        <filter val="010.012.001.192"/>
        <filter val="010.012.001.193"/>
        <filter val="010.012.001.194"/>
        <filter val="010.012.001.195"/>
        <filter val="010.012.001.196"/>
        <filter val="010.012.001.197"/>
        <filter val="010.012.001.198"/>
        <filter val="010.012.001.199"/>
        <filter val="010.012.001.201"/>
        <filter val="010.012.001.202"/>
        <filter val="010.012.001.203"/>
        <filter val="010.012.001.204"/>
        <filter val="010.012.001.205"/>
        <filter val="010.012.001.206"/>
        <filter val="010.012.001.207"/>
        <filter val="010.012.001.208"/>
        <filter val="010.012.001.209"/>
        <filter val="010.012.001.210"/>
        <filter val="010.012.001.211"/>
        <filter val="010.012.001.212"/>
        <filter val="010.012.001.213"/>
        <filter val="010.012.001.214"/>
        <filter val="010.012.001.215"/>
        <filter val="010.012.001.216"/>
        <filter val="010.012.001.217"/>
        <filter val="010.012.001.218"/>
        <filter val="010.012.001.219"/>
        <filter val="010.012.001.221"/>
        <filter val="010.012.001.222"/>
        <filter val="010.012.001.223"/>
        <filter val="010.012.001.224"/>
        <filter val="010.012.001.225"/>
        <filter val="010.012.001.226"/>
        <filter val="010.012.001.227"/>
        <filter val="010.012.001.228"/>
        <filter val="010.012.001.229"/>
        <filter val="010.012.001.230"/>
        <filter val="010.012.001.231"/>
        <filter val="010.012.001.232"/>
        <filter val="010.012.001.233"/>
        <filter val="010.012.001.234"/>
        <filter val="010.012.001.235"/>
        <filter val="010.012.001.236"/>
        <filter val="010.012.001.237"/>
        <filter val="010.012.001.238"/>
        <filter val="010.012.001.239"/>
        <filter val="010.012.001.240"/>
        <filter val="010.012.001.241"/>
        <filter val="010.012.001.242"/>
        <filter val="010.012.001.243"/>
        <filter val="010.012.001.244"/>
        <filter val="010.012.001.245"/>
        <filter val="010.012.001.246"/>
        <filter val="010.012.001.247"/>
        <filter val="010.012.001.248"/>
        <filter val="010.012.001.249"/>
        <filter val="010.012.001.250"/>
        <filter val="010.012.001.251"/>
        <filter val="010.012.001.252"/>
        <filter val="010.012.001.253"/>
        <filter val="010.012.001.254"/>
        <filter val="010.012.001.255"/>
        <filter val="010.012.002.001"/>
        <filter val="010.012.002.002"/>
        <filter val="010.012.002.003"/>
        <filter val="010.012.002.004"/>
        <filter val="010.012.002.005"/>
        <filter val="010.012.002.006"/>
        <filter val="010.012.002.007"/>
        <filter val="010.012.002.008"/>
        <filter val="010.012.002.009"/>
        <filter val="010.012.002.010"/>
        <filter val="010.012.002.011"/>
        <filter val="010.012.002.012"/>
        <filter val="010.012.002.013"/>
        <filter val="010.012.002.014"/>
        <filter val="010.012.002.015"/>
        <filter val="010.012.002.016"/>
        <filter val="010.012.002.017"/>
        <filter val="010.012.002.018"/>
        <filter val="010.012.002.019"/>
        <filter val="010.012.002.020"/>
        <filter val="010.012.003.001"/>
        <filter val="010.012.003.002"/>
        <filter val="010.012.003.003"/>
        <filter val="010.012.003.004"/>
        <filter val="010.012.003.005"/>
        <filter val="010.012.003.006"/>
        <filter val="010.012.003.007"/>
        <filter val="010.012.003.008"/>
        <filter val="010.012.003.009"/>
        <filter val="010.012.003.010"/>
        <filter val="010.012.003.011"/>
        <filter val="010.012.003.012"/>
        <filter val="010.012.003.013"/>
        <filter val="010.012.003.014"/>
        <filter val="010.012.003.015"/>
        <filter val="010.012.003.016"/>
        <filter val="010.012.003.017"/>
        <filter val="010.012.003.018"/>
        <filter val="010.012.003.019"/>
        <filter val="010.012.003.020"/>
        <filter val="010.012.011.001"/>
        <filter val="010.012.011.002"/>
        <filter val="010.012.011.003"/>
        <filter val="010.012.011.004"/>
        <filter val="010.012.011.005"/>
        <filter val="010.012.011.006"/>
        <filter val="010.012.011.007"/>
        <filter val="010.012.011.008"/>
        <filter val="010.012.011.009"/>
        <filter val="010.012.011.010"/>
        <filter val="010.012.011.011"/>
        <filter val="010.012.011.012"/>
        <filter val="010.012.011.013"/>
        <filter val="010.012.011.014"/>
        <filter val="010.012.011.015"/>
        <filter val="010.012.011.016"/>
        <filter val="010.012.011.017"/>
        <filter val="010.012.011.018"/>
        <filter val="010.012.011.019"/>
        <filter val="010.012.011.020"/>
        <filter val="010.012.012.001"/>
        <filter val="010.012.012.002"/>
        <filter val="010.012.012.003"/>
        <filter val="010.012.012.004"/>
        <filter val="010.012.012.005"/>
        <filter val="010.012.012.006"/>
        <filter val="010.012.012.007"/>
        <filter val="010.012.012.008"/>
        <filter val="010.012.012.009"/>
        <filter val="010.012.012.010"/>
        <filter val="010.012.012.011"/>
        <filter val="010.012.012.012"/>
        <filter val="010.012.012.013"/>
        <filter val="010.012.012.014"/>
        <filter val="010.012.012.015"/>
        <filter val="010.012.012.016"/>
        <filter val="010.012.012.017"/>
        <filter val="010.012.012.018"/>
        <filter val="010.012.012.019"/>
        <filter val="010.012.012.020"/>
        <filter val="010.012.013.001"/>
        <filter val="010.012.013.002"/>
        <filter val="010.012.013.003"/>
        <filter val="010.012.013.004"/>
        <filter val="010.012.013.005"/>
        <filter val="010.012.013.006"/>
        <filter val="010.012.013.007"/>
        <filter val="010.012.013.008"/>
        <filter val="010.012.013.009"/>
        <filter val="010.012.013.010"/>
        <filter val="010.012.013.011"/>
        <filter val="010.012.013.012"/>
        <filter val="010.012.013.013"/>
        <filter val="010.012.013.014"/>
        <filter val="010.012.013.015"/>
        <filter val="010.012.013.016"/>
        <filter val="010.012.013.017"/>
        <filter val="010.012.013.018"/>
        <filter val="010.012.013.019"/>
        <filter val="010.012.013.020"/>
        <filter val="010.012.014.001"/>
        <filter val="010.012.014.002"/>
        <filter val="010.012.014.003"/>
        <filter val="010.012.014.004"/>
        <filter val="010.012.014.005"/>
        <filter val="010.012.014.006"/>
        <filter val="010.012.014.007"/>
        <filter val="010.012.014.008"/>
        <filter val="010.012.014.009"/>
        <filter val="010.012.014.010"/>
        <filter val="010.012.014.011"/>
        <filter val="010.012.014.012"/>
        <filter val="010.012.014.013"/>
        <filter val="010.012.014.014"/>
        <filter val="010.012.014.015"/>
        <filter val="010.012.014.016"/>
        <filter val="010.012.014.017"/>
        <filter val="010.012.014.018"/>
        <filter val="010.012.014.019"/>
        <filter val="010.012.014.020"/>
        <filter val="010.012.015.001"/>
        <filter val="010.012.015.002"/>
        <filter val="010.012.015.003"/>
        <filter val="010.012.015.004"/>
        <filter val="010.012.015.005"/>
        <filter val="010.012.015.006"/>
        <filter val="010.012.015.007"/>
        <filter val="010.012.015.008"/>
        <filter val="010.012.015.009"/>
        <filter val="010.012.015.010"/>
        <filter val="010.012.015.011"/>
        <filter val="010.012.015.012"/>
        <filter val="010.012.015.013"/>
        <filter val="010.012.015.014"/>
        <filter val="010.012.015.015"/>
        <filter val="010.012.015.016"/>
        <filter val="010.012.015.017"/>
        <filter val="010.012.015.018"/>
        <filter val="010.012.015.019"/>
        <filter val="010.012.015.020"/>
        <filter val="010.012.016.001"/>
        <filter val="010.012.016.002"/>
        <filter val="010.012.016.003"/>
        <filter val="010.012.016.004"/>
        <filter val="010.012.016.005"/>
        <filter val="010.012.016.006"/>
        <filter val="010.012.016.007"/>
        <filter val="010.012.016.008"/>
        <filter val="010.012.016.009"/>
        <filter val="010.012.016.010"/>
        <filter val="010.012.016.011"/>
        <filter val="010.012.016.012"/>
        <filter val="010.012.016.013"/>
        <filter val="010.012.016.014"/>
        <filter val="010.012.016.015"/>
        <filter val="010.012.016.016"/>
        <filter val="010.012.016.017"/>
        <filter val="010.012.016.018"/>
        <filter val="010.012.016.019"/>
        <filter val="010.012.016.020"/>
        <filter val="010.012.017.001"/>
        <filter val="010.012.017.002"/>
        <filter val="010.012.017.003"/>
        <filter val="010.012.017.004"/>
        <filter val="010.012.017.005"/>
        <filter val="010.012.017.006"/>
        <filter val="010.012.017.007"/>
        <filter val="010.012.017.008"/>
        <filter val="010.012.017.009"/>
        <filter val="010.012.017.010"/>
        <filter val="010.012.017.011"/>
        <filter val="010.012.017.012"/>
        <filter val="010.012.017.013"/>
        <filter val="010.012.017.014"/>
        <filter val="010.012.017.015"/>
        <filter val="010.012.017.016"/>
        <filter val="010.012.017.017"/>
        <filter val="010.012.017.018"/>
        <filter val="010.012.017.019"/>
        <filter val="010.012.017.020"/>
        <filter val="010.012.017.021"/>
        <filter val="010.012.017.022"/>
        <filter val="010.012.017.023"/>
        <filter val="010.012.018.001"/>
        <filter val="010.012.018.002"/>
        <filter val="010.012.018.003"/>
        <filter val="010.012.018.004"/>
        <filter val="010.012.018.005"/>
        <filter val="010.012.018.006"/>
        <filter val="010.012.018.007"/>
        <filter val="010.012.018.008"/>
        <filter val="010.012.018.009"/>
        <filter val="010.012.018.010"/>
        <filter val="010.012.018.011"/>
        <filter val="010.012.018.012"/>
        <filter val="010.012.018.013"/>
        <filter val="010.012.018.014"/>
        <filter val="010.012.018.015"/>
        <filter val="010.012.018.016"/>
        <filter val="010.012.018.017"/>
        <filter val="010.012.018.018"/>
        <filter val="010.012.018.019"/>
        <filter val="010.012.018.020"/>
        <filter val="010.012.019.001"/>
        <filter val="010.012.019.002"/>
        <filter val="010.012.019.003"/>
        <filter val="010.012.019.004"/>
        <filter val="010.012.019.005"/>
        <filter val="010.012.019.006"/>
        <filter val="010.012.019.007"/>
        <filter val="010.012.019.008"/>
        <filter val="010.012.019.009"/>
        <filter val="010.012.019.010"/>
        <filter val="010.012.019.011"/>
        <filter val="010.012.019.012"/>
        <filter val="010.012.019.013"/>
        <filter val="010.012.019.014"/>
        <filter val="010.012.019.015"/>
        <filter val="010.012.019.016"/>
        <filter val="010.012.019.017"/>
        <filter val="010.012.019.018"/>
        <filter val="010.012.019.019"/>
        <filter val="010.012.019.020"/>
        <filter val="010.012.020.001"/>
        <filter val="010.012.020.002"/>
        <filter val="010.012.020.003"/>
        <filter val="010.012.020.004"/>
        <filter val="010.012.020.005"/>
        <filter val="010.012.020.006"/>
        <filter val="010.012.020.007"/>
        <filter val="010.012.020.008"/>
        <filter val="010.012.020.009"/>
        <filter val="010.012.020.010"/>
        <filter val="010.012.020.011"/>
        <filter val="010.012.020.012"/>
        <filter val="010.012.020.013"/>
        <filter val="010.012.020.014"/>
        <filter val="010.012.020.015"/>
        <filter val="010.012.020.016"/>
        <filter val="010.012.020.017"/>
        <filter val="010.012.020.018"/>
        <filter val="010.012.020.019"/>
        <filter val="010.012.020.020"/>
        <filter val="010.012.021.001"/>
        <filter val="010.012.021.002"/>
        <filter val="010.012.021.003"/>
        <filter val="010.012.021.004"/>
        <filter val="010.012.021.005"/>
        <filter val="010.012.021.006"/>
        <filter val="010.012.021.007"/>
        <filter val="010.012.021.008"/>
        <filter val="010.012.021.009"/>
        <filter val="010.012.021.010"/>
        <filter val="010.012.021.011"/>
        <filter val="010.012.021.012"/>
        <filter val="010.012.021.013"/>
        <filter val="010.012.021.014"/>
        <filter val="010.012.021.015"/>
        <filter val="010.012.021.016"/>
        <filter val="010.012.021.017"/>
        <filter val="010.012.021.018"/>
        <filter val="010.012.021.019"/>
        <filter val="010.012.021.020"/>
        <filter val="010.012.022.001"/>
        <filter val="010.012.022.002"/>
        <filter val="010.012.022.003"/>
        <filter val="010.012.022.004"/>
        <filter val="010.012.022.005"/>
        <filter val="010.012.022.006"/>
        <filter val="010.012.022.007"/>
        <filter val="010.012.022.008"/>
        <filter val="010.012.022.009"/>
        <filter val="010.012.022.010"/>
        <filter val="010.012.022.011"/>
        <filter val="010.012.022.012"/>
        <filter val="010.012.022.013"/>
        <filter val="010.012.022.014"/>
        <filter val="010.012.022.015"/>
        <filter val="010.012.022.016"/>
        <filter val="010.012.022.017"/>
        <filter val="010.012.022.018"/>
        <filter val="010.012.022.019"/>
        <filter val="010.012.022.020"/>
        <filter val="010.012.128.021"/>
        <filter val="010.012.128.022"/>
        <filter val="010.012.128.023"/>
        <filter val="010.012.128.024"/>
        <filter val="010.012.128.025"/>
        <filter val="010.012.128.026"/>
        <filter val="010.012.128.040"/>
        <filter val="010.012.128.041"/>
        <filter val="010.012.128.042"/>
        <filter val="010.012.128.043"/>
        <filter val="010.012.128.060"/>
        <filter val="010.012.128.161"/>
        <filter val="010.012.128.162"/>
        <filter val="010.012.128.178"/>
        <filter val="010.012.128.180"/>
        <filter val="010.012.128.254"/>
        <filter val="010.012.129.021"/>
        <filter val="010.012.129.022"/>
        <filter val="010.012.129.041"/>
        <filter val="010.012.129.042"/>
        <filter val="010.012.129.161"/>
        <filter val="010.012.129.162"/>
        <filter val="010.013.001.182"/>
        <filter val="010.013.001.183"/>
        <filter val="010.013.001.221"/>
        <filter val="010.013.001.222"/>
      </filters>
    </filterColumn>
  </autoFilter>
  <sortState xmlns:xlrd2="http://schemas.microsoft.com/office/spreadsheetml/2017/richdata2" ref="A4:G832">
    <sortCondition ref="G4"/>
  </sortState>
  <tableColumns count="7">
    <tableColumn id="3" xr3:uid="{00000000-0010-0000-0200-000003000000}" name="LAN IP Address"/>
    <tableColumn id="1" xr3:uid="{00000000-0010-0000-0200-000001000000}" name="Plant Area" dataCellStyle="Normal 2"/>
    <tableColumn id="2" xr3:uid="{00000000-0010-0000-0200-000002000000}" name="Network Type" dataCellStyle="Normal 2"/>
    <tableColumn id="5" xr3:uid="{00000000-0010-0000-0200-000005000000}" name="Device"/>
    <tableColumn id="6" xr3:uid="{00000000-0010-0000-0200-000006000000}" name="Comment"/>
    <tableColumn id="7" xr3:uid="{00000000-0010-0000-0200-000007000000}" name="Fix license"/>
    <tableColumn id="8" xr3:uid="{00000000-0010-0000-0200-000008000000}" name="Full IP" dataDxfId="0" dataCellStyle="Normal 2">
      <calculatedColumnFormula>formatIP(IP_Master[[#This Row],[LAN IP Address]])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7"/>
  <sheetViews>
    <sheetView workbookViewId="0">
      <selection activeCell="B24" sqref="B24"/>
    </sheetView>
  </sheetViews>
  <sheetFormatPr defaultColWidth="11" defaultRowHeight="15.6" x14ac:dyDescent="0.6"/>
  <cols>
    <col min="1" max="1" width="15.59765625" customWidth="1"/>
    <col min="2" max="2" width="143.34765625" customWidth="1"/>
  </cols>
  <sheetData>
    <row r="1" spans="1:2" ht="28.2" x14ac:dyDescent="1.05">
      <c r="A1" s="17" t="s">
        <v>0</v>
      </c>
      <c r="B1" s="17"/>
    </row>
    <row r="3" spans="1:2" ht="62.1" customHeight="1" x14ac:dyDescent="0.6">
      <c r="A3" s="15" t="s">
        <v>1</v>
      </c>
      <c r="B3" s="14" t="s">
        <v>2</v>
      </c>
    </row>
    <row r="4" spans="1:2" x14ac:dyDescent="0.6">
      <c r="A4" s="15" t="s">
        <v>3</v>
      </c>
      <c r="B4" s="14" t="s">
        <v>4</v>
      </c>
    </row>
    <row r="5" spans="1:2" x14ac:dyDescent="0.6">
      <c r="B5" s="14" t="s">
        <v>5</v>
      </c>
    </row>
    <row r="6" spans="1:2" x14ac:dyDescent="0.6">
      <c r="B6" s="14" t="s">
        <v>6</v>
      </c>
    </row>
    <row r="7" spans="1:2" x14ac:dyDescent="0.6">
      <c r="B7" s="14" t="s">
        <v>7</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88"/>
  <sheetViews>
    <sheetView zoomScale="110" zoomScaleNormal="110" zoomScalePageLayoutView="110" workbookViewId="0">
      <selection activeCell="A14" sqref="A14"/>
    </sheetView>
  </sheetViews>
  <sheetFormatPr defaultColWidth="11" defaultRowHeight="15.6" x14ac:dyDescent="0.6"/>
  <cols>
    <col min="1" max="1" width="32.09765625" customWidth="1"/>
    <col min="2" max="2" width="26.59765625" customWidth="1"/>
    <col min="3" max="3" width="22.5" customWidth="1"/>
    <col min="4" max="4" width="7.59765625" customWidth="1"/>
    <col min="5" max="6" width="10.59765625" customWidth="1"/>
    <col min="7" max="7" width="14.84765625" customWidth="1"/>
    <col min="8" max="8" width="14.84765625" bestFit="1" customWidth="1"/>
    <col min="9" max="16" width="14.84765625" customWidth="1"/>
    <col min="17" max="44" width="14.84765625" bestFit="1" customWidth="1"/>
    <col min="45" max="45" width="14.84765625" customWidth="1"/>
    <col min="46" max="46" width="14.84765625" bestFit="1" customWidth="1"/>
    <col min="47" max="47" width="14.84765625" customWidth="1"/>
    <col min="48" max="54" width="14.84765625" bestFit="1" customWidth="1"/>
    <col min="55" max="55" width="10.59765625" bestFit="1" customWidth="1"/>
    <col min="56" max="57" width="10.59765625" customWidth="1"/>
    <col min="58" max="144" width="14.84765625" bestFit="1" customWidth="1"/>
    <col min="145" max="145" width="10.59765625" customWidth="1"/>
    <col min="146" max="202" width="14.84765625" bestFit="1" customWidth="1"/>
    <col min="203" max="203" width="10.59765625" customWidth="1"/>
    <col min="204" max="212" width="14.84765625" bestFit="1" customWidth="1"/>
    <col min="213" max="214" width="10.59765625" customWidth="1"/>
    <col min="215" max="255" width="14.84765625" bestFit="1" customWidth="1"/>
    <col min="256" max="256" width="10.59765625" customWidth="1"/>
  </cols>
  <sheetData>
    <row r="1" spans="1:6" ht="54" customHeight="1" x14ac:dyDescent="0.95">
      <c r="A1" s="19" t="s">
        <v>8</v>
      </c>
      <c r="B1" s="19"/>
      <c r="C1" s="19"/>
      <c r="D1" s="19"/>
      <c r="E1" s="19"/>
      <c r="F1" s="19"/>
    </row>
    <row r="2" spans="1:6" ht="60" customHeight="1" x14ac:dyDescent="0.6">
      <c r="A2" s="15" t="s">
        <v>3</v>
      </c>
      <c r="B2" s="18" t="s">
        <v>9</v>
      </c>
      <c r="C2" s="18"/>
      <c r="D2" s="18"/>
      <c r="E2" s="18"/>
      <c r="F2" s="18"/>
    </row>
    <row r="3" spans="1:6" ht="60" customHeight="1" x14ac:dyDescent="0.6">
      <c r="B3" s="18" t="s">
        <v>10</v>
      </c>
      <c r="C3" s="18"/>
      <c r="D3" s="18"/>
      <c r="E3" s="18"/>
      <c r="F3" s="18"/>
    </row>
    <row r="5" spans="1:6" x14ac:dyDescent="0.6">
      <c r="A5" s="1" t="s">
        <v>11</v>
      </c>
      <c r="B5" t="s">
        <v>12</v>
      </c>
    </row>
    <row r="6" spans="1:6" x14ac:dyDescent="0.6">
      <c r="A6" s="1" t="s">
        <v>13</v>
      </c>
      <c r="B6" t="s">
        <v>14</v>
      </c>
    </row>
    <row r="8" spans="1:6" x14ac:dyDescent="0.6">
      <c r="A8" s="1" t="s">
        <v>15</v>
      </c>
      <c r="B8" s="1" t="s">
        <v>16</v>
      </c>
    </row>
    <row r="9" spans="1:6" x14ac:dyDescent="0.6">
      <c r="A9" s="1" t="s">
        <v>17</v>
      </c>
      <c r="B9" t="s">
        <v>18</v>
      </c>
      <c r="C9" t="s">
        <v>19</v>
      </c>
      <c r="D9" t="s">
        <v>14</v>
      </c>
      <c r="E9" t="s">
        <v>20</v>
      </c>
    </row>
    <row r="10" spans="1:6" x14ac:dyDescent="0.6">
      <c r="A10" s="16">
        <v>5450</v>
      </c>
      <c r="B10" s="10">
        <v>236869</v>
      </c>
      <c r="C10" s="10"/>
      <c r="D10" s="10"/>
      <c r="E10" s="10">
        <v>236869</v>
      </c>
    </row>
    <row r="11" spans="1:6" x14ac:dyDescent="0.6">
      <c r="A11" s="16">
        <v>8081</v>
      </c>
      <c r="B11" s="10">
        <v>30285</v>
      </c>
      <c r="C11" s="10"/>
      <c r="D11" s="10"/>
      <c r="E11" s="10">
        <v>30285</v>
      </c>
    </row>
    <row r="12" spans="1:6" x14ac:dyDescent="0.6">
      <c r="A12" s="16">
        <v>8083</v>
      </c>
      <c r="B12" s="10">
        <v>4464</v>
      </c>
      <c r="C12" s="10"/>
      <c r="D12" s="10"/>
      <c r="E12" s="10">
        <v>4464</v>
      </c>
    </row>
    <row r="13" spans="1:6" x14ac:dyDescent="0.6">
      <c r="A13" s="16">
        <v>14000</v>
      </c>
      <c r="B13" s="10">
        <v>47924</v>
      </c>
      <c r="C13" s="10"/>
      <c r="D13" s="10">
        <v>788512</v>
      </c>
      <c r="E13" s="10">
        <v>836436</v>
      </c>
    </row>
    <row r="14" spans="1:6" x14ac:dyDescent="0.6">
      <c r="A14" s="16">
        <v>24800</v>
      </c>
      <c r="B14" s="10">
        <v>70418</v>
      </c>
      <c r="C14" s="10"/>
      <c r="D14" s="10"/>
      <c r="E14" s="10">
        <v>70418</v>
      </c>
    </row>
    <row r="15" spans="1:6" x14ac:dyDescent="0.6">
      <c r="A15" s="16">
        <v>49163</v>
      </c>
      <c r="B15" s="10">
        <v>23576</v>
      </c>
      <c r="C15" s="10"/>
      <c r="D15" s="10"/>
      <c r="E15" s="10">
        <v>23576</v>
      </c>
    </row>
    <row r="16" spans="1:6" x14ac:dyDescent="0.6">
      <c r="A16" s="2">
        <v>14000</v>
      </c>
      <c r="B16" s="10">
        <v>23576</v>
      </c>
      <c r="C16" s="10"/>
      <c r="D16" s="10"/>
      <c r="E16" s="10">
        <v>23576</v>
      </c>
    </row>
    <row r="17" spans="1:5" x14ac:dyDescent="0.6">
      <c r="A17" s="11" t="s">
        <v>18</v>
      </c>
      <c r="B17" s="10">
        <v>23576</v>
      </c>
      <c r="C17" s="10"/>
      <c r="D17" s="10"/>
      <c r="E17" s="10">
        <v>23576</v>
      </c>
    </row>
    <row r="18" spans="1:5" x14ac:dyDescent="0.6">
      <c r="A18" s="16">
        <v>49173</v>
      </c>
      <c r="B18" s="10">
        <v>23838</v>
      </c>
      <c r="C18" s="10"/>
      <c r="D18" s="10"/>
      <c r="E18" s="10">
        <v>23838</v>
      </c>
    </row>
    <row r="19" spans="1:5" x14ac:dyDescent="0.6">
      <c r="A19" s="2">
        <v>14000</v>
      </c>
      <c r="B19" s="10">
        <v>23838</v>
      </c>
      <c r="C19" s="10"/>
      <c r="D19" s="10"/>
      <c r="E19" s="10">
        <v>23838</v>
      </c>
    </row>
    <row r="20" spans="1:5" x14ac:dyDescent="0.6">
      <c r="A20" s="11" t="s">
        <v>18</v>
      </c>
      <c r="B20" s="10">
        <v>23838</v>
      </c>
      <c r="C20" s="10"/>
      <c r="D20" s="10"/>
      <c r="E20" s="10">
        <v>23838</v>
      </c>
    </row>
    <row r="21" spans="1:5" x14ac:dyDescent="0.6">
      <c r="A21" s="16">
        <v>49403</v>
      </c>
      <c r="B21" s="10">
        <v>24084</v>
      </c>
      <c r="C21" s="10"/>
      <c r="D21" s="10"/>
      <c r="E21" s="10">
        <v>24084</v>
      </c>
    </row>
    <row r="22" spans="1:5" x14ac:dyDescent="0.6">
      <c r="A22" s="2">
        <v>14000</v>
      </c>
      <c r="B22" s="10">
        <v>24084</v>
      </c>
      <c r="C22" s="10"/>
      <c r="D22" s="10"/>
      <c r="E22" s="10">
        <v>24084</v>
      </c>
    </row>
    <row r="23" spans="1:5" x14ac:dyDescent="0.6">
      <c r="A23" s="11" t="s">
        <v>18</v>
      </c>
      <c r="B23" s="10">
        <v>24084</v>
      </c>
      <c r="C23" s="10"/>
      <c r="D23" s="10"/>
      <c r="E23" s="10">
        <v>24084</v>
      </c>
    </row>
    <row r="24" spans="1:5" x14ac:dyDescent="0.6">
      <c r="A24" s="16">
        <v>49585</v>
      </c>
      <c r="B24" s="10">
        <v>1072123</v>
      </c>
      <c r="C24" s="10"/>
      <c r="D24" s="10"/>
      <c r="E24" s="10">
        <v>1072123</v>
      </c>
    </row>
    <row r="25" spans="1:5" x14ac:dyDescent="0.6">
      <c r="A25" s="2">
        <v>5900</v>
      </c>
      <c r="B25" s="10">
        <v>1072123</v>
      </c>
      <c r="C25" s="10"/>
      <c r="D25" s="10"/>
      <c r="E25" s="10">
        <v>1072123</v>
      </c>
    </row>
    <row r="26" spans="1:5" x14ac:dyDescent="0.6">
      <c r="A26" s="11" t="s">
        <v>14</v>
      </c>
      <c r="B26" s="10"/>
      <c r="C26" s="10"/>
      <c r="D26" s="10"/>
      <c r="E26" s="10"/>
    </row>
    <row r="27" spans="1:5" x14ac:dyDescent="0.6">
      <c r="A27" s="12" t="s">
        <v>21</v>
      </c>
      <c r="B27" s="10">
        <v>1072123</v>
      </c>
      <c r="C27" s="10"/>
      <c r="D27" s="10"/>
      <c r="E27" s="10">
        <v>1072123</v>
      </c>
    </row>
    <row r="28" spans="1:5" x14ac:dyDescent="0.6">
      <c r="A28" s="16">
        <v>49590</v>
      </c>
      <c r="B28" s="10">
        <v>2679318</v>
      </c>
      <c r="C28" s="10"/>
      <c r="D28" s="10"/>
      <c r="E28" s="10">
        <v>2679318</v>
      </c>
    </row>
    <row r="29" spans="1:5" x14ac:dyDescent="0.6">
      <c r="A29" s="2">
        <v>5900</v>
      </c>
      <c r="B29" s="10">
        <v>2679318</v>
      </c>
      <c r="C29" s="10"/>
      <c r="D29" s="10"/>
      <c r="E29" s="10">
        <v>2679318</v>
      </c>
    </row>
    <row r="30" spans="1:5" x14ac:dyDescent="0.6">
      <c r="A30" s="11" t="s">
        <v>14</v>
      </c>
      <c r="B30" s="10"/>
      <c r="C30" s="10"/>
      <c r="D30" s="10"/>
      <c r="E30" s="10"/>
    </row>
    <row r="31" spans="1:5" x14ac:dyDescent="0.6">
      <c r="A31" s="12" t="s">
        <v>21</v>
      </c>
      <c r="B31" s="10">
        <v>2679318</v>
      </c>
      <c r="C31" s="10"/>
      <c r="D31" s="10"/>
      <c r="E31" s="10">
        <v>2679318</v>
      </c>
    </row>
    <row r="32" spans="1:5" x14ac:dyDescent="0.6">
      <c r="A32" s="16">
        <v>52869</v>
      </c>
      <c r="B32" s="10">
        <v>196282</v>
      </c>
      <c r="C32" s="10"/>
      <c r="D32" s="10"/>
      <c r="E32" s="10">
        <v>196282</v>
      </c>
    </row>
    <row r="33" spans="1:5" x14ac:dyDescent="0.6">
      <c r="A33" s="2">
        <v>14000</v>
      </c>
      <c r="B33" s="10">
        <v>196282</v>
      </c>
      <c r="C33" s="10"/>
      <c r="D33" s="10"/>
      <c r="E33" s="10">
        <v>196282</v>
      </c>
    </row>
    <row r="34" spans="1:5" x14ac:dyDescent="0.6">
      <c r="A34" s="11" t="s">
        <v>14</v>
      </c>
      <c r="B34" s="10"/>
      <c r="C34" s="10"/>
      <c r="D34" s="10"/>
      <c r="E34" s="10"/>
    </row>
    <row r="35" spans="1:5" x14ac:dyDescent="0.6">
      <c r="A35" s="12" t="s">
        <v>22</v>
      </c>
      <c r="B35" s="10">
        <v>196282</v>
      </c>
      <c r="C35" s="10"/>
      <c r="D35" s="10"/>
      <c r="E35" s="10">
        <v>196282</v>
      </c>
    </row>
    <row r="36" spans="1:5" x14ac:dyDescent="0.6">
      <c r="A36" s="16">
        <v>58340</v>
      </c>
      <c r="B36" s="10">
        <v>376260</v>
      </c>
      <c r="C36" s="10"/>
      <c r="D36" s="10"/>
      <c r="E36" s="10">
        <v>376260</v>
      </c>
    </row>
    <row r="37" spans="1:5" x14ac:dyDescent="0.6">
      <c r="A37" s="2">
        <v>14000</v>
      </c>
      <c r="B37" s="10">
        <v>376260</v>
      </c>
      <c r="C37" s="10"/>
      <c r="D37" s="10"/>
      <c r="E37" s="10">
        <v>376260</v>
      </c>
    </row>
    <row r="38" spans="1:5" x14ac:dyDescent="0.6">
      <c r="A38" s="11" t="s">
        <v>18</v>
      </c>
      <c r="B38" s="10">
        <v>376260</v>
      </c>
      <c r="C38" s="10"/>
      <c r="D38" s="10"/>
      <c r="E38" s="10">
        <v>376260</v>
      </c>
    </row>
    <row r="39" spans="1:5" x14ac:dyDescent="0.6">
      <c r="A39" s="16">
        <v>58370</v>
      </c>
      <c r="B39" s="10"/>
      <c r="C39" s="10">
        <v>471867</v>
      </c>
      <c r="D39" s="10"/>
      <c r="E39" s="10">
        <v>471867</v>
      </c>
    </row>
    <row r="40" spans="1:5" x14ac:dyDescent="0.6">
      <c r="A40" s="2">
        <v>14000</v>
      </c>
      <c r="B40" s="10"/>
      <c r="C40" s="10">
        <v>471867</v>
      </c>
      <c r="D40" s="10"/>
      <c r="E40" s="10">
        <v>471867</v>
      </c>
    </row>
    <row r="41" spans="1:5" x14ac:dyDescent="0.6">
      <c r="A41" s="11" t="s">
        <v>18</v>
      </c>
      <c r="B41" s="10"/>
      <c r="C41" s="10">
        <v>471867</v>
      </c>
      <c r="D41" s="10"/>
      <c r="E41" s="10">
        <v>471867</v>
      </c>
    </row>
    <row r="42" spans="1:5" x14ac:dyDescent="0.6">
      <c r="A42" s="16">
        <v>58376</v>
      </c>
      <c r="B42" s="10"/>
      <c r="C42" s="10">
        <v>202444</v>
      </c>
      <c r="D42" s="10"/>
      <c r="E42" s="10">
        <v>202444</v>
      </c>
    </row>
    <row r="43" spans="1:5" x14ac:dyDescent="0.6">
      <c r="A43" s="2">
        <v>14000</v>
      </c>
      <c r="B43" s="10"/>
      <c r="C43" s="10">
        <v>202444</v>
      </c>
      <c r="D43" s="10"/>
      <c r="E43" s="10">
        <v>202444</v>
      </c>
    </row>
    <row r="44" spans="1:5" x14ac:dyDescent="0.6">
      <c r="A44" s="11" t="s">
        <v>18</v>
      </c>
      <c r="B44" s="10"/>
      <c r="C44" s="10">
        <v>202444</v>
      </c>
      <c r="D44" s="10"/>
      <c r="E44" s="10">
        <v>202444</v>
      </c>
    </row>
    <row r="45" spans="1:5" x14ac:dyDescent="0.6">
      <c r="A45" s="16">
        <v>58377</v>
      </c>
      <c r="B45" s="10"/>
      <c r="C45" s="10">
        <v>202324</v>
      </c>
      <c r="D45" s="10"/>
      <c r="E45" s="10">
        <v>202324</v>
      </c>
    </row>
    <row r="46" spans="1:5" x14ac:dyDescent="0.6">
      <c r="A46" s="2">
        <v>14000</v>
      </c>
      <c r="B46" s="10"/>
      <c r="C46" s="10">
        <v>202324</v>
      </c>
      <c r="D46" s="10"/>
      <c r="E46" s="10">
        <v>202324</v>
      </c>
    </row>
    <row r="47" spans="1:5" x14ac:dyDescent="0.6">
      <c r="A47" s="11" t="s">
        <v>18</v>
      </c>
      <c r="B47" s="10"/>
      <c r="C47" s="10">
        <v>202324</v>
      </c>
      <c r="D47" s="10"/>
      <c r="E47" s="10">
        <v>202324</v>
      </c>
    </row>
    <row r="48" spans="1:5" x14ac:dyDescent="0.6">
      <c r="A48" s="16">
        <v>59142</v>
      </c>
      <c r="B48" s="10">
        <v>196952</v>
      </c>
      <c r="C48" s="10"/>
      <c r="D48" s="10"/>
      <c r="E48" s="10">
        <v>196952</v>
      </c>
    </row>
    <row r="49" spans="1:5" x14ac:dyDescent="0.6">
      <c r="A49" s="2">
        <v>14000</v>
      </c>
      <c r="B49" s="10">
        <v>196952</v>
      </c>
      <c r="C49" s="10"/>
      <c r="D49" s="10"/>
      <c r="E49" s="10">
        <v>196952</v>
      </c>
    </row>
    <row r="50" spans="1:5" x14ac:dyDescent="0.6">
      <c r="A50" s="11" t="s">
        <v>14</v>
      </c>
      <c r="B50" s="10"/>
      <c r="C50" s="10"/>
      <c r="D50" s="10"/>
      <c r="E50" s="10"/>
    </row>
    <row r="51" spans="1:5" x14ac:dyDescent="0.6">
      <c r="A51" s="12" t="s">
        <v>23</v>
      </c>
      <c r="B51" s="10">
        <v>196952</v>
      </c>
      <c r="C51" s="10"/>
      <c r="D51" s="10"/>
      <c r="E51" s="10">
        <v>196952</v>
      </c>
    </row>
    <row r="52" spans="1:5" x14ac:dyDescent="0.6">
      <c r="A52" s="16">
        <v>59146</v>
      </c>
      <c r="B52" s="10"/>
      <c r="C52" s="10">
        <v>201904</v>
      </c>
      <c r="D52" s="10"/>
      <c r="E52" s="10">
        <v>201904</v>
      </c>
    </row>
    <row r="53" spans="1:5" x14ac:dyDescent="0.6">
      <c r="A53" s="2">
        <v>14000</v>
      </c>
      <c r="B53" s="10"/>
      <c r="C53" s="10">
        <v>201904</v>
      </c>
      <c r="D53" s="10"/>
      <c r="E53" s="10">
        <v>201904</v>
      </c>
    </row>
    <row r="54" spans="1:5" x14ac:dyDescent="0.6">
      <c r="A54" s="11" t="s">
        <v>14</v>
      </c>
      <c r="B54" s="10"/>
      <c r="C54" s="10"/>
      <c r="D54" s="10"/>
      <c r="E54" s="10"/>
    </row>
    <row r="55" spans="1:5" x14ac:dyDescent="0.6">
      <c r="A55" s="12" t="s">
        <v>23</v>
      </c>
      <c r="B55" s="10"/>
      <c r="C55" s="10">
        <v>201904</v>
      </c>
      <c r="D55" s="10"/>
      <c r="E55" s="10">
        <v>201904</v>
      </c>
    </row>
    <row r="56" spans="1:5" x14ac:dyDescent="0.6">
      <c r="A56" s="16">
        <v>59170</v>
      </c>
      <c r="B56" s="10"/>
      <c r="C56" s="10">
        <v>21644</v>
      </c>
      <c r="D56" s="10"/>
      <c r="E56" s="10">
        <v>21644</v>
      </c>
    </row>
    <row r="57" spans="1:5" x14ac:dyDescent="0.6">
      <c r="A57" s="2">
        <v>14000</v>
      </c>
      <c r="B57" s="10"/>
      <c r="C57" s="10">
        <v>21644</v>
      </c>
      <c r="D57" s="10"/>
      <c r="E57" s="10">
        <v>21644</v>
      </c>
    </row>
    <row r="58" spans="1:5" x14ac:dyDescent="0.6">
      <c r="A58" s="11" t="s">
        <v>14</v>
      </c>
      <c r="B58" s="10"/>
      <c r="C58" s="10"/>
      <c r="D58" s="10"/>
      <c r="E58" s="10"/>
    </row>
    <row r="59" spans="1:5" x14ac:dyDescent="0.6">
      <c r="A59" s="12" t="s">
        <v>23</v>
      </c>
      <c r="B59" s="10"/>
      <c r="C59" s="10">
        <v>21644</v>
      </c>
      <c r="D59" s="10"/>
      <c r="E59" s="10">
        <v>21644</v>
      </c>
    </row>
    <row r="60" spans="1:5" x14ac:dyDescent="0.6">
      <c r="A60" s="16">
        <v>60820</v>
      </c>
      <c r="B60" s="10">
        <v>756602</v>
      </c>
      <c r="C60" s="10"/>
      <c r="D60" s="10"/>
      <c r="E60" s="10">
        <v>756602</v>
      </c>
    </row>
    <row r="61" spans="1:5" x14ac:dyDescent="0.6">
      <c r="A61" s="2">
        <v>14000</v>
      </c>
      <c r="B61" s="10">
        <v>756602</v>
      </c>
      <c r="C61" s="10"/>
      <c r="D61" s="10"/>
      <c r="E61" s="10">
        <v>756602</v>
      </c>
    </row>
    <row r="62" spans="1:5" x14ac:dyDescent="0.6">
      <c r="A62" s="11" t="s">
        <v>14</v>
      </c>
      <c r="B62" s="10"/>
      <c r="C62" s="10"/>
      <c r="D62" s="10"/>
      <c r="E62" s="10"/>
    </row>
    <row r="63" spans="1:5" x14ac:dyDescent="0.6">
      <c r="A63" s="12" t="s">
        <v>22</v>
      </c>
      <c r="B63" s="10">
        <v>756602</v>
      </c>
      <c r="C63" s="10"/>
      <c r="D63" s="10"/>
      <c r="E63" s="10">
        <v>756602</v>
      </c>
    </row>
    <row r="64" spans="1:5" x14ac:dyDescent="0.6">
      <c r="A64" s="16">
        <v>62995</v>
      </c>
      <c r="B64" s="10">
        <v>198016</v>
      </c>
      <c r="C64" s="10"/>
      <c r="D64" s="10"/>
      <c r="E64" s="10">
        <v>198016</v>
      </c>
    </row>
    <row r="65" spans="1:5" x14ac:dyDescent="0.6">
      <c r="A65" s="2">
        <v>14000</v>
      </c>
      <c r="B65" s="10">
        <v>198016</v>
      </c>
      <c r="C65" s="10"/>
      <c r="D65" s="10"/>
      <c r="E65" s="10">
        <v>198016</v>
      </c>
    </row>
    <row r="66" spans="1:5" x14ac:dyDescent="0.6">
      <c r="A66" s="11" t="s">
        <v>14</v>
      </c>
      <c r="B66" s="10"/>
      <c r="C66" s="10"/>
      <c r="D66" s="10"/>
      <c r="E66" s="10"/>
    </row>
    <row r="67" spans="1:5" x14ac:dyDescent="0.6">
      <c r="A67" s="12" t="s">
        <v>22</v>
      </c>
      <c r="B67" s="10">
        <v>198016</v>
      </c>
      <c r="C67" s="10"/>
      <c r="D67" s="10"/>
      <c r="E67" s="10">
        <v>198016</v>
      </c>
    </row>
    <row r="68" spans="1:5" x14ac:dyDescent="0.6">
      <c r="A68" s="16">
        <v>64468</v>
      </c>
      <c r="B68" s="10">
        <v>23200</v>
      </c>
      <c r="C68" s="10"/>
      <c r="D68" s="10"/>
      <c r="E68" s="10">
        <v>23200</v>
      </c>
    </row>
    <row r="69" spans="1:5" x14ac:dyDescent="0.6">
      <c r="A69" s="2">
        <v>14000</v>
      </c>
      <c r="B69" s="10">
        <v>23200</v>
      </c>
      <c r="C69" s="10"/>
      <c r="D69" s="10"/>
      <c r="E69" s="10">
        <v>23200</v>
      </c>
    </row>
    <row r="70" spans="1:5" x14ac:dyDescent="0.6">
      <c r="A70" s="11" t="s">
        <v>14</v>
      </c>
      <c r="B70" s="10"/>
      <c r="C70" s="10"/>
      <c r="D70" s="10"/>
      <c r="E70" s="10"/>
    </row>
    <row r="71" spans="1:5" x14ac:dyDescent="0.6">
      <c r="A71" s="12" t="s">
        <v>24</v>
      </c>
      <c r="B71" s="10">
        <v>23200</v>
      </c>
      <c r="C71" s="10"/>
      <c r="D71" s="10"/>
      <c r="E71" s="10">
        <v>23200</v>
      </c>
    </row>
    <row r="72" spans="1:5" x14ac:dyDescent="0.6">
      <c r="A72" s="16">
        <v>64469</v>
      </c>
      <c r="B72" s="10">
        <v>23500</v>
      </c>
      <c r="C72" s="10"/>
      <c r="D72" s="10"/>
      <c r="E72" s="10">
        <v>23500</v>
      </c>
    </row>
    <row r="73" spans="1:5" x14ac:dyDescent="0.6">
      <c r="A73" s="2">
        <v>14000</v>
      </c>
      <c r="B73" s="10">
        <v>23500</v>
      </c>
      <c r="C73" s="10"/>
      <c r="D73" s="10"/>
      <c r="E73" s="10">
        <v>23500</v>
      </c>
    </row>
    <row r="74" spans="1:5" x14ac:dyDescent="0.6">
      <c r="A74" s="11" t="s">
        <v>14</v>
      </c>
      <c r="B74" s="10"/>
      <c r="C74" s="10"/>
      <c r="D74" s="10"/>
      <c r="E74" s="10"/>
    </row>
    <row r="75" spans="1:5" x14ac:dyDescent="0.6">
      <c r="A75" s="12" t="s">
        <v>24</v>
      </c>
      <c r="B75" s="10">
        <v>23500</v>
      </c>
      <c r="C75" s="10"/>
      <c r="D75" s="10"/>
      <c r="E75" s="10">
        <v>23500</v>
      </c>
    </row>
    <row r="76" spans="1:5" x14ac:dyDescent="0.6">
      <c r="A76" s="16">
        <v>64669</v>
      </c>
      <c r="B76" s="10">
        <v>9173</v>
      </c>
      <c r="C76" s="10"/>
      <c r="D76" s="10"/>
      <c r="E76" s="10">
        <v>9173</v>
      </c>
    </row>
    <row r="77" spans="1:5" x14ac:dyDescent="0.6">
      <c r="A77" s="2">
        <v>14000</v>
      </c>
      <c r="B77" s="10">
        <v>9173</v>
      </c>
      <c r="C77" s="10"/>
      <c r="D77" s="10"/>
      <c r="E77" s="10">
        <v>9173</v>
      </c>
    </row>
    <row r="78" spans="1:5" x14ac:dyDescent="0.6">
      <c r="A78" s="11" t="s">
        <v>14</v>
      </c>
      <c r="B78" s="10"/>
      <c r="C78" s="10"/>
      <c r="D78" s="10"/>
      <c r="E78" s="10"/>
    </row>
    <row r="79" spans="1:5" x14ac:dyDescent="0.6">
      <c r="A79" s="12" t="s">
        <v>24</v>
      </c>
      <c r="B79" s="10">
        <v>9173</v>
      </c>
      <c r="C79" s="10"/>
      <c r="D79" s="10"/>
      <c r="E79" s="10">
        <v>9173</v>
      </c>
    </row>
    <row r="80" spans="1:5" x14ac:dyDescent="0.6">
      <c r="A80" s="16">
        <v>64670</v>
      </c>
      <c r="B80" s="10">
        <v>9337</v>
      </c>
      <c r="C80" s="10"/>
      <c r="D80" s="10"/>
      <c r="E80" s="10">
        <v>9337</v>
      </c>
    </row>
    <row r="81" spans="1:5" x14ac:dyDescent="0.6">
      <c r="A81" s="2">
        <v>14000</v>
      </c>
      <c r="B81" s="10">
        <v>9337</v>
      </c>
      <c r="C81" s="10"/>
      <c r="D81" s="10"/>
      <c r="E81" s="10">
        <v>9337</v>
      </c>
    </row>
    <row r="82" spans="1:5" x14ac:dyDescent="0.6">
      <c r="A82" s="11" t="s">
        <v>14</v>
      </c>
      <c r="B82" s="10"/>
      <c r="C82" s="10"/>
      <c r="D82" s="10"/>
      <c r="E82" s="10"/>
    </row>
    <row r="83" spans="1:5" x14ac:dyDescent="0.6">
      <c r="A83" s="12" t="s">
        <v>24</v>
      </c>
      <c r="B83" s="10">
        <v>9337</v>
      </c>
      <c r="C83" s="10"/>
      <c r="D83" s="10"/>
      <c r="E83" s="10">
        <v>9337</v>
      </c>
    </row>
    <row r="84" spans="1:5" x14ac:dyDescent="0.6">
      <c r="A84" s="16">
        <v>65032</v>
      </c>
      <c r="B84" s="10">
        <v>198546</v>
      </c>
      <c r="C84" s="10"/>
      <c r="D84" s="10"/>
      <c r="E84" s="10">
        <v>198546</v>
      </c>
    </row>
    <row r="85" spans="1:5" x14ac:dyDescent="0.6">
      <c r="A85" s="2">
        <v>14000</v>
      </c>
      <c r="B85" s="10">
        <v>198546</v>
      </c>
      <c r="C85" s="10"/>
      <c r="D85" s="10"/>
      <c r="E85" s="10">
        <v>198546</v>
      </c>
    </row>
    <row r="86" spans="1:5" x14ac:dyDescent="0.6">
      <c r="A86" s="11" t="s">
        <v>14</v>
      </c>
      <c r="B86" s="10"/>
      <c r="C86" s="10"/>
      <c r="D86" s="10"/>
      <c r="E86" s="10"/>
    </row>
    <row r="87" spans="1:5" x14ac:dyDescent="0.6">
      <c r="A87" s="12" t="s">
        <v>21</v>
      </c>
      <c r="B87" s="10">
        <v>198546</v>
      </c>
      <c r="C87" s="10"/>
      <c r="D87" s="10"/>
      <c r="E87" s="10">
        <v>198546</v>
      </c>
    </row>
    <row r="88" spans="1:5" x14ac:dyDescent="0.6">
      <c r="A88" s="16" t="s">
        <v>20</v>
      </c>
      <c r="B88" s="10">
        <v>6200767</v>
      </c>
      <c r="C88" s="10">
        <v>1100183</v>
      </c>
      <c r="D88" s="10">
        <v>788512</v>
      </c>
      <c r="E88" s="10">
        <v>8089462</v>
      </c>
    </row>
  </sheetData>
  <mergeCells count="3">
    <mergeCell ref="B2:F2"/>
    <mergeCell ref="B3:F3"/>
    <mergeCell ref="A1: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W2278"/>
  <sheetViews>
    <sheetView tabSelected="1" workbookViewId="0">
      <selection activeCell="B110" sqref="B110:B115"/>
    </sheetView>
  </sheetViews>
  <sheetFormatPr defaultColWidth="11" defaultRowHeight="15.6" x14ac:dyDescent="0.6"/>
  <cols>
    <col min="1" max="1" width="16.34765625" customWidth="1"/>
    <col min="3" max="3" width="11.59765625" customWidth="1"/>
    <col min="6" max="6" width="10.84765625" style="13"/>
    <col min="7" max="7" width="15.09765625" customWidth="1"/>
    <col min="8" max="8" width="13.5" customWidth="1"/>
    <col min="9" max="9" width="15.09765625" customWidth="1"/>
    <col min="10" max="10" width="13.5" customWidth="1"/>
    <col min="13" max="14" width="13.5" customWidth="1"/>
    <col min="15" max="15" width="14.84765625" style="8" customWidth="1"/>
    <col min="16" max="16" width="15" style="8" bestFit="1" customWidth="1"/>
    <col min="17" max="17" width="17.84765625" style="8" bestFit="1" customWidth="1"/>
    <col min="18" max="18" width="15.09765625" style="8" bestFit="1" customWidth="1"/>
    <col min="19" max="20" width="17.84765625" style="8" bestFit="1" customWidth="1"/>
    <col min="21" max="22" width="26.59765625" style="8" bestFit="1" customWidth="1"/>
  </cols>
  <sheetData>
    <row r="1" spans="1:23" ht="30.6" x14ac:dyDescent="1.1000000000000001">
      <c r="A1" s="20" t="s">
        <v>25</v>
      </c>
      <c r="B1" s="20"/>
      <c r="C1" s="20"/>
      <c r="D1" s="20"/>
      <c r="E1" s="20"/>
      <c r="F1" s="20"/>
      <c r="G1" s="20"/>
      <c r="H1" s="20"/>
      <c r="I1" s="20"/>
      <c r="J1" s="20"/>
      <c r="K1" s="20"/>
    </row>
    <row r="2" spans="1:23" ht="123" customHeight="1" x14ac:dyDescent="0.6">
      <c r="A2" s="15" t="s">
        <v>3</v>
      </c>
      <c r="B2" s="21" t="s">
        <v>26</v>
      </c>
      <c r="C2" s="21"/>
      <c r="D2" s="21"/>
      <c r="E2" s="21"/>
      <c r="F2" s="21"/>
      <c r="G2" s="21"/>
      <c r="H2" s="21"/>
      <c r="I2" s="21"/>
      <c r="J2" s="21"/>
      <c r="K2" s="21"/>
      <c r="L2" s="21"/>
      <c r="M2" s="21"/>
      <c r="N2" s="21"/>
    </row>
    <row r="3" spans="1:23" x14ac:dyDescent="0.6">
      <c r="A3" t="s">
        <v>27</v>
      </c>
      <c r="B3" t="s">
        <v>28</v>
      </c>
      <c r="C3" t="s">
        <v>29</v>
      </c>
      <c r="D3" t="s">
        <v>30</v>
      </c>
      <c r="E3" t="s">
        <v>31</v>
      </c>
      <c r="F3" s="13" t="s">
        <v>11</v>
      </c>
      <c r="G3" t="s">
        <v>32</v>
      </c>
      <c r="H3" t="s">
        <v>33</v>
      </c>
      <c r="I3" t="s">
        <v>34</v>
      </c>
      <c r="J3" t="s">
        <v>35</v>
      </c>
      <c r="K3" t="s">
        <v>36</v>
      </c>
      <c r="L3" t="s">
        <v>37</v>
      </c>
      <c r="M3" t="s">
        <v>38</v>
      </c>
      <c r="N3" t="s">
        <v>39</v>
      </c>
      <c r="O3" s="8" t="s">
        <v>40</v>
      </c>
      <c r="P3" s="8" t="s">
        <v>41</v>
      </c>
      <c r="Q3" s="8" t="s">
        <v>42</v>
      </c>
      <c r="R3" s="8" t="s">
        <v>43</v>
      </c>
      <c r="S3" s="8" t="s">
        <v>44</v>
      </c>
      <c r="T3" s="8" t="s">
        <v>45</v>
      </c>
      <c r="U3" s="8" t="s">
        <v>46</v>
      </c>
      <c r="V3" s="8" t="s">
        <v>47</v>
      </c>
      <c r="W3" t="s">
        <v>13</v>
      </c>
    </row>
    <row r="4" spans="1:23" hidden="1" x14ac:dyDescent="0.6">
      <c r="A4" t="s">
        <v>48</v>
      </c>
      <c r="B4">
        <v>8083</v>
      </c>
      <c r="C4" t="s">
        <v>49</v>
      </c>
      <c r="D4">
        <v>4416</v>
      </c>
      <c r="E4">
        <v>3</v>
      </c>
      <c r="F4">
        <v>186</v>
      </c>
      <c r="G4">
        <v>0</v>
      </c>
      <c r="H4">
        <v>0</v>
      </c>
      <c r="I4">
        <v>3</v>
      </c>
      <c r="J4">
        <v>186</v>
      </c>
      <c r="K4">
        <v>822.22951</v>
      </c>
      <c r="L4">
        <v>9.0268879999999907</v>
      </c>
      <c r="M4">
        <v>0</v>
      </c>
      <c r="N4">
        <v>164.84086209998401</v>
      </c>
      <c r="O4" s="8" t="str">
        <f>formatIP(Table1[[#This Row],[Address A]])</f>
        <v>010.001.001.012</v>
      </c>
      <c r="P4" s="8" t="str">
        <f>formatIP(Table1[[#This Row],[Address B]])</f>
        <v>010.012.000.190</v>
      </c>
      <c r="Q4" s="8" t="e">
        <f>VLOOKUP(Table1[[#This Row],[Address A]],IP_Master[],4,FALSE)</f>
        <v>#N/A</v>
      </c>
      <c r="R4" s="8" t="str">
        <f>VLOOKUP(Table1[[#This Row],[Address B]],IP_Master[],4,FALSE)</f>
        <v>PPPCRF10</v>
      </c>
      <c r="S4" s="8" t="e">
        <f>VLOOKUP(Table1[[#This Row],[Address A]],IP_Master[],2,FALSE)</f>
        <v>#N/A</v>
      </c>
      <c r="T4" s="8" t="str">
        <f>VLOOKUP(Table1[[#This Row],[Address B]],IP_Master[],2,FALSE)</f>
        <v>Refinery</v>
      </c>
      <c r="U4" s="9" t="e">
        <f>VLOOKUP(Table1[[#This Row],[Address A]],IP_Master[],3,FALSE)</f>
        <v>#N/A</v>
      </c>
      <c r="V4" s="9" t="str">
        <f>VLOOKUP(Table1[[#This Row],[Address B]],IP_Master[],3,FALSE)</f>
        <v>iFIX Nodes &amp; Ethernet Switches</v>
      </c>
      <c r="W4" s="9" t="e">
        <f>VLOOKUP(Table1[[#This Row],[Port B]],traffic_types[],2,FALSE)</f>
        <v>#N/A</v>
      </c>
    </row>
    <row r="5" spans="1:23" hidden="1" x14ac:dyDescent="0.6">
      <c r="A5" t="s">
        <v>50</v>
      </c>
      <c r="B5">
        <v>8081</v>
      </c>
      <c r="C5" t="s">
        <v>51</v>
      </c>
      <c r="D5">
        <v>1759</v>
      </c>
      <c r="E5">
        <v>3</v>
      </c>
      <c r="F5">
        <v>186</v>
      </c>
      <c r="G5">
        <v>0</v>
      </c>
      <c r="H5">
        <v>0</v>
      </c>
      <c r="I5">
        <v>3</v>
      </c>
      <c r="J5">
        <v>186</v>
      </c>
      <c r="K5">
        <v>725.65327000000002</v>
      </c>
      <c r="L5">
        <v>8.9811959999999509</v>
      </c>
      <c r="M5">
        <v>0</v>
      </c>
      <c r="N5">
        <v>165.67949302075201</v>
      </c>
      <c r="O5" s="8" t="str">
        <f>formatIP(Table1[[#This Row],[Address A]])</f>
        <v>010.001.002.005</v>
      </c>
      <c r="P5" s="8" t="str">
        <f>formatIP(Table1[[#This Row],[Address B]])</f>
        <v>010.012.000.252</v>
      </c>
      <c r="Q5" s="8" t="e">
        <f>VLOOKUP(Table1[[#This Row],[Address A]],IP_Master[],4,FALSE)</f>
        <v>#N/A</v>
      </c>
      <c r="R5" s="8" t="str">
        <f>VLOOKUP(Table1[[#This Row],[Address B]],IP_Master[],4,FALSE)</f>
        <v>PP_FIX3</v>
      </c>
      <c r="S5" s="8" t="e">
        <f>VLOOKUP(Table1[[#This Row],[Address A]],IP_Master[],2,FALSE)</f>
        <v>#N/A</v>
      </c>
      <c r="T5" s="8" t="str">
        <f>VLOOKUP(Table1[[#This Row],[Address B]],IP_Master[],2,FALSE)</f>
        <v>Other ProcN Devices</v>
      </c>
      <c r="U5" s="9" t="e">
        <f>VLOOKUP(Table1[[#This Row],[Address A]],IP_Master[],3,FALSE)</f>
        <v>#N/A</v>
      </c>
      <c r="V5" s="9" t="str">
        <f>VLOOKUP(Table1[[#This Row],[Address B]],IP_Master[],3,FALSE)</f>
        <v>iFIX Nodes &amp; Ethernet Switches</v>
      </c>
      <c r="W5" s="9" t="e">
        <f>VLOOKUP(Table1[[#This Row],[Port B]],traffic_types[],2,FALSE)</f>
        <v>#N/A</v>
      </c>
    </row>
    <row r="6" spans="1:23" hidden="1" x14ac:dyDescent="0.6">
      <c r="A6" t="s">
        <v>52</v>
      </c>
      <c r="B6">
        <v>8081</v>
      </c>
      <c r="C6" t="s">
        <v>53</v>
      </c>
      <c r="D6">
        <v>2624</v>
      </c>
      <c r="E6">
        <v>3</v>
      </c>
      <c r="F6">
        <v>186</v>
      </c>
      <c r="G6">
        <v>0</v>
      </c>
      <c r="H6">
        <v>0</v>
      </c>
      <c r="I6">
        <v>3</v>
      </c>
      <c r="J6">
        <v>186</v>
      </c>
      <c r="K6">
        <v>108.09550400000001</v>
      </c>
      <c r="L6">
        <v>8.9742199999999901</v>
      </c>
      <c r="M6">
        <v>0</v>
      </c>
      <c r="N6">
        <v>165.80828194539501</v>
      </c>
      <c r="O6" s="8" t="str">
        <f>formatIP(Table1[[#This Row],[Address A]])</f>
        <v>010.001.002.099</v>
      </c>
      <c r="P6" s="8" t="str">
        <f>formatIP(Table1[[#This Row],[Address B]])</f>
        <v>010.012.000.001</v>
      </c>
      <c r="Q6" s="8" t="e">
        <f>VLOOKUP(Table1[[#This Row],[Address A]],IP_Master[],4,FALSE)</f>
        <v>#N/A</v>
      </c>
      <c r="R6" s="8" t="str">
        <f>VLOOKUP(Table1[[#This Row],[Address B]],IP_Master[],4,FALSE)</f>
        <v>PPPCFC1</v>
      </c>
      <c r="S6" s="8" t="e">
        <f>VLOOKUP(Table1[[#This Row],[Address A]],IP_Master[],2,FALSE)</f>
        <v>#N/A</v>
      </c>
      <c r="T6" s="8" t="str">
        <f>VLOOKUP(Table1[[#This Row],[Address B]],IP_Master[],2,FALSE)</f>
        <v>Fume Control</v>
      </c>
      <c r="U6" s="9" t="e">
        <f>VLOOKUP(Table1[[#This Row],[Address A]],IP_Master[],3,FALSE)</f>
        <v>#N/A</v>
      </c>
      <c r="V6" s="9" t="str">
        <f>VLOOKUP(Table1[[#This Row],[Address B]],IP_Master[],3,FALSE)</f>
        <v>iFIX Nodes &amp; Ethernet Switches</v>
      </c>
      <c r="W6" s="9" t="e">
        <f>VLOOKUP(Table1[[#This Row],[Port B]],traffic_types[],2,FALSE)</f>
        <v>#N/A</v>
      </c>
    </row>
    <row r="7" spans="1:23" hidden="1" x14ac:dyDescent="0.6">
      <c r="A7" t="s">
        <v>52</v>
      </c>
      <c r="B7">
        <v>8081</v>
      </c>
      <c r="C7" t="s">
        <v>54</v>
      </c>
      <c r="D7">
        <v>3060</v>
      </c>
      <c r="E7">
        <v>3</v>
      </c>
      <c r="F7">
        <v>186</v>
      </c>
      <c r="G7">
        <v>0</v>
      </c>
      <c r="H7">
        <v>0</v>
      </c>
      <c r="I7">
        <v>3</v>
      </c>
      <c r="J7">
        <v>186</v>
      </c>
      <c r="K7">
        <v>115.75004300000001</v>
      </c>
      <c r="L7">
        <v>8.9493859999999898</v>
      </c>
      <c r="M7">
        <v>0</v>
      </c>
      <c r="N7">
        <v>166.268389809089</v>
      </c>
      <c r="O7" s="8" t="str">
        <f>formatIP(Table1[[#This Row],[Address A]])</f>
        <v>010.001.002.099</v>
      </c>
      <c r="P7" s="8" t="str">
        <f>formatIP(Table1[[#This Row],[Address B]])</f>
        <v>010.012.000.063</v>
      </c>
      <c r="Q7" s="8" t="e">
        <f>VLOOKUP(Table1[[#This Row],[Address A]],IP_Master[],4,FALSE)</f>
        <v>#N/A</v>
      </c>
      <c r="R7" s="8" t="str">
        <f>VLOOKUP(Table1[[#This Row],[Address B]],IP_Master[],4,FALSE)</f>
        <v>PPPCPET3</v>
      </c>
      <c r="S7" s="8" t="e">
        <f>VLOOKUP(Table1[[#This Row],[Address A]],IP_Master[],2,FALSE)</f>
        <v>#N/A</v>
      </c>
      <c r="T7" s="8" t="str">
        <f>VLOOKUP(Table1[[#This Row],[Address B]],IP_Master[],2,FALSE)</f>
        <v>PETs Plant</v>
      </c>
      <c r="U7" s="9" t="e">
        <f>VLOOKUP(Table1[[#This Row],[Address A]],IP_Master[],3,FALSE)</f>
        <v>#N/A</v>
      </c>
      <c r="V7" s="9" t="str">
        <f>VLOOKUP(Table1[[#This Row],[Address B]],IP_Master[],3,FALSE)</f>
        <v>iFIX Nodes &amp; Ethernet Switches</v>
      </c>
      <c r="W7" s="9" t="e">
        <f>VLOOKUP(Table1[[#This Row],[Port B]],traffic_types[],2,FALSE)</f>
        <v>#N/A</v>
      </c>
    </row>
    <row r="8" spans="1:23" hidden="1" x14ac:dyDescent="0.6">
      <c r="A8" t="s">
        <v>52</v>
      </c>
      <c r="B8">
        <v>8081</v>
      </c>
      <c r="C8" t="s">
        <v>53</v>
      </c>
      <c r="D8">
        <v>2630</v>
      </c>
      <c r="E8">
        <v>3</v>
      </c>
      <c r="F8">
        <v>186</v>
      </c>
      <c r="G8">
        <v>0</v>
      </c>
      <c r="H8">
        <v>0</v>
      </c>
      <c r="I8">
        <v>3</v>
      </c>
      <c r="J8">
        <v>186</v>
      </c>
      <c r="K8">
        <v>129.04155600000001</v>
      </c>
      <c r="L8">
        <v>8.9526859999999999</v>
      </c>
      <c r="M8">
        <v>0</v>
      </c>
      <c r="N8">
        <v>166.20710253883601</v>
      </c>
      <c r="O8" s="8" t="str">
        <f>formatIP(Table1[[#This Row],[Address A]])</f>
        <v>010.001.002.099</v>
      </c>
      <c r="P8" s="8" t="str">
        <f>formatIP(Table1[[#This Row],[Address B]])</f>
        <v>010.012.000.001</v>
      </c>
      <c r="Q8" s="8" t="e">
        <f>VLOOKUP(Table1[[#This Row],[Address A]],IP_Master[],4,FALSE)</f>
        <v>#N/A</v>
      </c>
      <c r="R8" s="8" t="str">
        <f>VLOOKUP(Table1[[#This Row],[Address B]],IP_Master[],4,FALSE)</f>
        <v>PPPCFC1</v>
      </c>
      <c r="S8" s="8" t="e">
        <f>VLOOKUP(Table1[[#This Row],[Address A]],IP_Master[],2,FALSE)</f>
        <v>#N/A</v>
      </c>
      <c r="T8" s="8" t="str">
        <f>VLOOKUP(Table1[[#This Row],[Address B]],IP_Master[],2,FALSE)</f>
        <v>Fume Control</v>
      </c>
      <c r="U8" s="9" t="e">
        <f>VLOOKUP(Table1[[#This Row],[Address A]],IP_Master[],3,FALSE)</f>
        <v>#N/A</v>
      </c>
      <c r="V8" s="9" t="str">
        <f>VLOOKUP(Table1[[#This Row],[Address B]],IP_Master[],3,FALSE)</f>
        <v>iFIX Nodes &amp; Ethernet Switches</v>
      </c>
      <c r="W8" s="9" t="e">
        <f>VLOOKUP(Table1[[#This Row],[Port B]],traffic_types[],2,FALSE)</f>
        <v>#N/A</v>
      </c>
    </row>
    <row r="9" spans="1:23" hidden="1" x14ac:dyDescent="0.6">
      <c r="A9" t="s">
        <v>52</v>
      </c>
      <c r="B9">
        <v>8081</v>
      </c>
      <c r="C9" t="s">
        <v>54</v>
      </c>
      <c r="D9">
        <v>3061</v>
      </c>
      <c r="E9">
        <v>3</v>
      </c>
      <c r="F9">
        <v>186</v>
      </c>
      <c r="G9">
        <v>0</v>
      </c>
      <c r="H9">
        <v>0</v>
      </c>
      <c r="I9">
        <v>3</v>
      </c>
      <c r="J9">
        <v>186</v>
      </c>
      <c r="K9">
        <v>136.731537</v>
      </c>
      <c r="L9">
        <v>8.9684010000000001</v>
      </c>
      <c r="M9">
        <v>0</v>
      </c>
      <c r="N9">
        <v>165.91586393159699</v>
      </c>
      <c r="O9" s="8" t="str">
        <f>formatIP(Table1[[#This Row],[Address A]])</f>
        <v>010.001.002.099</v>
      </c>
      <c r="P9" s="8" t="str">
        <f>formatIP(Table1[[#This Row],[Address B]])</f>
        <v>010.012.000.063</v>
      </c>
      <c r="Q9" s="8" t="e">
        <f>VLOOKUP(Table1[[#This Row],[Address A]],IP_Master[],4,FALSE)</f>
        <v>#N/A</v>
      </c>
      <c r="R9" s="8" t="str">
        <f>VLOOKUP(Table1[[#This Row],[Address B]],IP_Master[],4,FALSE)</f>
        <v>PPPCPET3</v>
      </c>
      <c r="S9" s="8" t="e">
        <f>VLOOKUP(Table1[[#This Row],[Address A]],IP_Master[],2,FALSE)</f>
        <v>#N/A</v>
      </c>
      <c r="T9" s="8" t="str">
        <f>VLOOKUP(Table1[[#This Row],[Address B]],IP_Master[],2,FALSE)</f>
        <v>PETs Plant</v>
      </c>
      <c r="U9" s="9" t="e">
        <f>VLOOKUP(Table1[[#This Row],[Address A]],IP_Master[],3,FALSE)</f>
        <v>#N/A</v>
      </c>
      <c r="V9" s="9" t="str">
        <f>VLOOKUP(Table1[[#This Row],[Address B]],IP_Master[],3,FALSE)</f>
        <v>iFIX Nodes &amp; Ethernet Switches</v>
      </c>
      <c r="W9" s="9" t="e">
        <f>VLOOKUP(Table1[[#This Row],[Port B]],traffic_types[],2,FALSE)</f>
        <v>#N/A</v>
      </c>
    </row>
    <row r="10" spans="1:23" hidden="1" x14ac:dyDescent="0.6">
      <c r="A10" t="s">
        <v>52</v>
      </c>
      <c r="B10">
        <v>8081</v>
      </c>
      <c r="C10" t="s">
        <v>55</v>
      </c>
      <c r="D10">
        <v>4245</v>
      </c>
      <c r="E10">
        <v>3</v>
      </c>
      <c r="F10">
        <v>186</v>
      </c>
      <c r="G10">
        <v>0</v>
      </c>
      <c r="H10">
        <v>0</v>
      </c>
      <c r="I10">
        <v>3</v>
      </c>
      <c r="J10">
        <v>186</v>
      </c>
      <c r="K10">
        <v>617.00946499999998</v>
      </c>
      <c r="L10">
        <v>8.9960630000000492</v>
      </c>
      <c r="M10">
        <v>0</v>
      </c>
      <c r="N10">
        <v>165.40568913312299</v>
      </c>
      <c r="O10" s="8" t="str">
        <f>formatIP(Table1[[#This Row],[Address A]])</f>
        <v>010.001.002.099</v>
      </c>
      <c r="P10" s="8" t="str">
        <f>formatIP(Table1[[#This Row],[Address B]])</f>
        <v>010.012.000.064</v>
      </c>
      <c r="Q10" s="8" t="e">
        <f>VLOOKUP(Table1[[#This Row],[Address A]],IP_Master[],4,FALSE)</f>
        <v>#N/A</v>
      </c>
      <c r="R10" s="8" t="str">
        <f>VLOOKUP(Table1[[#This Row],[Address B]],IP_Master[],4,FALSE)</f>
        <v>PPPCPET4</v>
      </c>
      <c r="S10" s="8" t="e">
        <f>VLOOKUP(Table1[[#This Row],[Address A]],IP_Master[],2,FALSE)</f>
        <v>#N/A</v>
      </c>
      <c r="T10" s="8" t="str">
        <f>VLOOKUP(Table1[[#This Row],[Address B]],IP_Master[],2,FALSE)</f>
        <v>PETs Plant</v>
      </c>
      <c r="U10" s="9" t="e">
        <f>VLOOKUP(Table1[[#This Row],[Address A]],IP_Master[],3,FALSE)</f>
        <v>#N/A</v>
      </c>
      <c r="V10" s="9" t="str">
        <f>VLOOKUP(Table1[[#This Row],[Address B]],IP_Master[],3,FALSE)</f>
        <v>iFIX Nodes &amp; Ethernet Switches</v>
      </c>
      <c r="W10" s="9" t="e">
        <f>VLOOKUP(Table1[[#This Row],[Port B]],traffic_types[],2,FALSE)</f>
        <v>#N/A</v>
      </c>
    </row>
    <row r="11" spans="1:23" hidden="1" x14ac:dyDescent="0.6">
      <c r="A11" t="s">
        <v>56</v>
      </c>
      <c r="B11">
        <v>8081</v>
      </c>
      <c r="C11" t="s">
        <v>51</v>
      </c>
      <c r="D11">
        <v>1745</v>
      </c>
      <c r="E11">
        <v>3</v>
      </c>
      <c r="F11">
        <v>186</v>
      </c>
      <c r="G11">
        <v>0</v>
      </c>
      <c r="H11">
        <v>0</v>
      </c>
      <c r="I11">
        <v>3</v>
      </c>
      <c r="J11">
        <v>186</v>
      </c>
      <c r="K11">
        <v>604.63649199999998</v>
      </c>
      <c r="L11">
        <v>9.1373170000000492</v>
      </c>
      <c r="M11">
        <v>0</v>
      </c>
      <c r="N11">
        <v>162.84867866573899</v>
      </c>
      <c r="O11" s="8" t="str">
        <f>formatIP(Table1[[#This Row],[Address A]])</f>
        <v>010.010.010.017</v>
      </c>
      <c r="P11" s="8" t="str">
        <f>formatIP(Table1[[#This Row],[Address B]])</f>
        <v>010.012.000.252</v>
      </c>
      <c r="Q11" s="8" t="e">
        <f>VLOOKUP(Table1[[#This Row],[Address A]],IP_Master[],4,FALSE)</f>
        <v>#N/A</v>
      </c>
      <c r="R11" s="8" t="str">
        <f>VLOOKUP(Table1[[#This Row],[Address B]],IP_Master[],4,FALSE)</f>
        <v>PP_FIX3</v>
      </c>
      <c r="S11" s="8" t="e">
        <f>VLOOKUP(Table1[[#This Row],[Address A]],IP_Master[],2,FALSE)</f>
        <v>#N/A</v>
      </c>
      <c r="T11" s="8" t="str">
        <f>VLOOKUP(Table1[[#This Row],[Address B]],IP_Master[],2,FALSE)</f>
        <v>Other ProcN Devices</v>
      </c>
      <c r="U11" s="9" t="e">
        <f>VLOOKUP(Table1[[#This Row],[Address A]],IP_Master[],3,FALSE)</f>
        <v>#N/A</v>
      </c>
      <c r="V11" s="9" t="str">
        <f>VLOOKUP(Table1[[#This Row],[Address B]],IP_Master[],3,FALSE)</f>
        <v>iFIX Nodes &amp; Ethernet Switches</v>
      </c>
      <c r="W11" s="9" t="e">
        <f>VLOOKUP(Table1[[#This Row],[Port B]],traffic_types[],2,FALSE)</f>
        <v>#N/A</v>
      </c>
    </row>
    <row r="12" spans="1:23" hidden="1" x14ac:dyDescent="0.6">
      <c r="A12" t="s">
        <v>56</v>
      </c>
      <c r="B12">
        <v>8081</v>
      </c>
      <c r="C12" t="s">
        <v>51</v>
      </c>
      <c r="D12">
        <v>1746</v>
      </c>
      <c r="E12">
        <v>3</v>
      </c>
      <c r="F12">
        <v>186</v>
      </c>
      <c r="G12">
        <v>0</v>
      </c>
      <c r="H12">
        <v>0</v>
      </c>
      <c r="I12">
        <v>3</v>
      </c>
      <c r="J12">
        <v>186</v>
      </c>
      <c r="K12">
        <v>625.807502</v>
      </c>
      <c r="L12">
        <v>8.9665690000000495</v>
      </c>
      <c r="M12">
        <v>0</v>
      </c>
      <c r="N12">
        <v>165.94976294723099</v>
      </c>
      <c r="O12" s="8" t="str">
        <f>formatIP(Table1[[#This Row],[Address A]])</f>
        <v>010.010.010.017</v>
      </c>
      <c r="P12" s="8" t="str">
        <f>formatIP(Table1[[#This Row],[Address B]])</f>
        <v>010.012.000.252</v>
      </c>
      <c r="Q12" s="8" t="e">
        <f>VLOOKUP(Table1[[#This Row],[Address A]],IP_Master[],4,FALSE)</f>
        <v>#N/A</v>
      </c>
      <c r="R12" s="8" t="str">
        <f>VLOOKUP(Table1[[#This Row],[Address B]],IP_Master[],4,FALSE)</f>
        <v>PP_FIX3</v>
      </c>
      <c r="S12" s="8" t="e">
        <f>VLOOKUP(Table1[[#This Row],[Address A]],IP_Master[],2,FALSE)</f>
        <v>#N/A</v>
      </c>
      <c r="T12" s="8" t="str">
        <f>VLOOKUP(Table1[[#This Row],[Address B]],IP_Master[],2,FALSE)</f>
        <v>Other ProcN Devices</v>
      </c>
      <c r="U12" s="9" t="e">
        <f>VLOOKUP(Table1[[#This Row],[Address A]],IP_Master[],3,FALSE)</f>
        <v>#N/A</v>
      </c>
      <c r="V12" s="9" t="str">
        <f>VLOOKUP(Table1[[#This Row],[Address B]],IP_Master[],3,FALSE)</f>
        <v>iFIX Nodes &amp; Ethernet Switches</v>
      </c>
      <c r="W12" s="9" t="e">
        <f>VLOOKUP(Table1[[#This Row],[Port B]],traffic_types[],2,FALSE)</f>
        <v>#N/A</v>
      </c>
    </row>
    <row r="13" spans="1:23" hidden="1" x14ac:dyDescent="0.6">
      <c r="A13" t="s">
        <v>57</v>
      </c>
      <c r="B13">
        <v>8081</v>
      </c>
      <c r="C13" t="s">
        <v>53</v>
      </c>
      <c r="D13">
        <v>2548</v>
      </c>
      <c r="E13">
        <v>1</v>
      </c>
      <c r="F13">
        <v>62</v>
      </c>
      <c r="G13">
        <v>0</v>
      </c>
      <c r="H13">
        <v>0</v>
      </c>
      <c r="I13">
        <v>1</v>
      </c>
      <c r="J13">
        <v>62</v>
      </c>
      <c r="K13">
        <v>2.4877159999999998</v>
      </c>
      <c r="L13">
        <v>0</v>
      </c>
      <c r="M13">
        <v>0</v>
      </c>
      <c r="N13">
        <v>0</v>
      </c>
      <c r="O13" s="8" t="str">
        <f>formatIP(Table1[[#This Row],[Address A]])</f>
        <v>010.010.010.018</v>
      </c>
      <c r="P13" s="8" t="str">
        <f>formatIP(Table1[[#This Row],[Address B]])</f>
        <v>010.012.000.001</v>
      </c>
      <c r="Q13" s="8" t="e">
        <f>VLOOKUP(Table1[[#This Row],[Address A]],IP_Master[],4,FALSE)</f>
        <v>#N/A</v>
      </c>
      <c r="R13" s="8" t="str">
        <f>VLOOKUP(Table1[[#This Row],[Address B]],IP_Master[],4,FALSE)</f>
        <v>PPPCFC1</v>
      </c>
      <c r="S13" s="8" t="e">
        <f>VLOOKUP(Table1[[#This Row],[Address A]],IP_Master[],2,FALSE)</f>
        <v>#N/A</v>
      </c>
      <c r="T13" s="8" t="str">
        <f>VLOOKUP(Table1[[#This Row],[Address B]],IP_Master[],2,FALSE)</f>
        <v>Fume Control</v>
      </c>
      <c r="U13" s="9" t="e">
        <f>VLOOKUP(Table1[[#This Row],[Address A]],IP_Master[],3,FALSE)</f>
        <v>#N/A</v>
      </c>
      <c r="V13" s="9" t="str">
        <f>VLOOKUP(Table1[[#This Row],[Address B]],IP_Master[],3,FALSE)</f>
        <v>iFIX Nodes &amp; Ethernet Switches</v>
      </c>
      <c r="W13" s="9" t="e">
        <f>VLOOKUP(Table1[[#This Row],[Port B]],traffic_types[],2,FALSE)</f>
        <v>#N/A</v>
      </c>
    </row>
    <row r="14" spans="1:23" hidden="1" x14ac:dyDescent="0.6">
      <c r="A14" t="s">
        <v>57</v>
      </c>
      <c r="B14">
        <v>8081</v>
      </c>
      <c r="C14" t="s">
        <v>54</v>
      </c>
      <c r="D14">
        <v>3056</v>
      </c>
      <c r="E14">
        <v>3</v>
      </c>
      <c r="F14">
        <v>186</v>
      </c>
      <c r="G14">
        <v>0</v>
      </c>
      <c r="H14">
        <v>0</v>
      </c>
      <c r="I14">
        <v>3</v>
      </c>
      <c r="J14">
        <v>186</v>
      </c>
      <c r="K14">
        <v>26.387826</v>
      </c>
      <c r="L14">
        <v>9.1697260000000007</v>
      </c>
      <c r="M14">
        <v>0</v>
      </c>
      <c r="N14">
        <v>162.27311481280901</v>
      </c>
      <c r="O14" s="8" t="str">
        <f>formatIP(Table1[[#This Row],[Address A]])</f>
        <v>010.010.010.018</v>
      </c>
      <c r="P14" s="8" t="str">
        <f>formatIP(Table1[[#This Row],[Address B]])</f>
        <v>010.012.000.063</v>
      </c>
      <c r="Q14" s="8" t="e">
        <f>VLOOKUP(Table1[[#This Row],[Address A]],IP_Master[],4,FALSE)</f>
        <v>#N/A</v>
      </c>
      <c r="R14" s="8" t="str">
        <f>VLOOKUP(Table1[[#This Row],[Address B]],IP_Master[],4,FALSE)</f>
        <v>PPPCPET3</v>
      </c>
      <c r="S14" s="8" t="e">
        <f>VLOOKUP(Table1[[#This Row],[Address A]],IP_Master[],2,FALSE)</f>
        <v>#N/A</v>
      </c>
      <c r="T14" s="8" t="str">
        <f>VLOOKUP(Table1[[#This Row],[Address B]],IP_Master[],2,FALSE)</f>
        <v>PETs Plant</v>
      </c>
      <c r="U14" s="9" t="e">
        <f>VLOOKUP(Table1[[#This Row],[Address A]],IP_Master[],3,FALSE)</f>
        <v>#N/A</v>
      </c>
      <c r="V14" s="9" t="str">
        <f>VLOOKUP(Table1[[#This Row],[Address B]],IP_Master[],3,FALSE)</f>
        <v>iFIX Nodes &amp; Ethernet Switches</v>
      </c>
      <c r="W14" s="9" t="e">
        <f>VLOOKUP(Table1[[#This Row],[Port B]],traffic_types[],2,FALSE)</f>
        <v>#N/A</v>
      </c>
    </row>
    <row r="15" spans="1:23" hidden="1" x14ac:dyDescent="0.6">
      <c r="A15" t="s">
        <v>57</v>
      </c>
      <c r="B15">
        <v>8081</v>
      </c>
      <c r="C15" t="s">
        <v>54</v>
      </c>
      <c r="D15">
        <v>3057</v>
      </c>
      <c r="E15">
        <v>3</v>
      </c>
      <c r="F15">
        <v>186</v>
      </c>
      <c r="G15">
        <v>0</v>
      </c>
      <c r="H15">
        <v>0</v>
      </c>
      <c r="I15">
        <v>3</v>
      </c>
      <c r="J15">
        <v>186</v>
      </c>
      <c r="K15">
        <v>47.588743000000001</v>
      </c>
      <c r="L15">
        <v>9.2966169999999995</v>
      </c>
      <c r="M15">
        <v>0</v>
      </c>
      <c r="N15">
        <v>160.05822333005699</v>
      </c>
      <c r="O15" s="8" t="str">
        <f>formatIP(Table1[[#This Row],[Address A]])</f>
        <v>010.010.010.018</v>
      </c>
      <c r="P15" s="8" t="str">
        <f>formatIP(Table1[[#This Row],[Address B]])</f>
        <v>010.012.000.063</v>
      </c>
      <c r="Q15" s="8" t="e">
        <f>VLOOKUP(Table1[[#This Row],[Address A]],IP_Master[],4,FALSE)</f>
        <v>#N/A</v>
      </c>
      <c r="R15" s="8" t="str">
        <f>VLOOKUP(Table1[[#This Row],[Address B]],IP_Master[],4,FALSE)</f>
        <v>PPPCPET3</v>
      </c>
      <c r="S15" s="8" t="e">
        <f>VLOOKUP(Table1[[#This Row],[Address A]],IP_Master[],2,FALSE)</f>
        <v>#N/A</v>
      </c>
      <c r="T15" s="8" t="str">
        <f>VLOOKUP(Table1[[#This Row],[Address B]],IP_Master[],2,FALSE)</f>
        <v>PETs Plant</v>
      </c>
      <c r="U15" s="9" t="e">
        <f>VLOOKUP(Table1[[#This Row],[Address A]],IP_Master[],3,FALSE)</f>
        <v>#N/A</v>
      </c>
      <c r="V15" s="9" t="str">
        <f>VLOOKUP(Table1[[#This Row],[Address B]],IP_Master[],3,FALSE)</f>
        <v>iFIX Nodes &amp; Ethernet Switches</v>
      </c>
      <c r="W15" s="9" t="e">
        <f>VLOOKUP(Table1[[#This Row],[Port B]],traffic_types[],2,FALSE)</f>
        <v>#N/A</v>
      </c>
    </row>
    <row r="16" spans="1:23" hidden="1" x14ac:dyDescent="0.6">
      <c r="A16" t="s">
        <v>57</v>
      </c>
      <c r="B16">
        <v>8081</v>
      </c>
      <c r="C16" t="s">
        <v>54</v>
      </c>
      <c r="D16">
        <v>3058</v>
      </c>
      <c r="E16">
        <v>3</v>
      </c>
      <c r="F16">
        <v>186</v>
      </c>
      <c r="G16">
        <v>0</v>
      </c>
      <c r="H16">
        <v>0</v>
      </c>
      <c r="I16">
        <v>3</v>
      </c>
      <c r="J16">
        <v>186</v>
      </c>
      <c r="K16">
        <v>68.919303999999997</v>
      </c>
      <c r="L16">
        <v>9.1853070000000105</v>
      </c>
      <c r="M16">
        <v>0</v>
      </c>
      <c r="N16">
        <v>161.99785156881501</v>
      </c>
      <c r="O16" s="8" t="str">
        <f>formatIP(Table1[[#This Row],[Address A]])</f>
        <v>010.010.010.018</v>
      </c>
      <c r="P16" s="8" t="str">
        <f>formatIP(Table1[[#This Row],[Address B]])</f>
        <v>010.012.000.063</v>
      </c>
      <c r="Q16" s="8" t="e">
        <f>VLOOKUP(Table1[[#This Row],[Address A]],IP_Master[],4,FALSE)</f>
        <v>#N/A</v>
      </c>
      <c r="R16" s="8" t="str">
        <f>VLOOKUP(Table1[[#This Row],[Address B]],IP_Master[],4,FALSE)</f>
        <v>PPPCPET3</v>
      </c>
      <c r="S16" s="8" t="e">
        <f>VLOOKUP(Table1[[#This Row],[Address A]],IP_Master[],2,FALSE)</f>
        <v>#N/A</v>
      </c>
      <c r="T16" s="8" t="str">
        <f>VLOOKUP(Table1[[#This Row],[Address B]],IP_Master[],2,FALSE)</f>
        <v>PETs Plant</v>
      </c>
      <c r="U16" s="9" t="e">
        <f>VLOOKUP(Table1[[#This Row],[Address A]],IP_Master[],3,FALSE)</f>
        <v>#N/A</v>
      </c>
      <c r="V16" s="9" t="str">
        <f>VLOOKUP(Table1[[#This Row],[Address B]],IP_Master[],3,FALSE)</f>
        <v>iFIX Nodes &amp; Ethernet Switches</v>
      </c>
      <c r="W16" s="9" t="e">
        <f>VLOOKUP(Table1[[#This Row],[Port B]],traffic_types[],2,FALSE)</f>
        <v>#N/A</v>
      </c>
    </row>
    <row r="17" spans="1:23" hidden="1" x14ac:dyDescent="0.6">
      <c r="A17" t="s">
        <v>57</v>
      </c>
      <c r="B17">
        <v>8081</v>
      </c>
      <c r="C17" t="s">
        <v>54</v>
      </c>
      <c r="D17">
        <v>3059</v>
      </c>
      <c r="E17">
        <v>3</v>
      </c>
      <c r="F17">
        <v>186</v>
      </c>
      <c r="G17">
        <v>0</v>
      </c>
      <c r="H17">
        <v>0</v>
      </c>
      <c r="I17">
        <v>3</v>
      </c>
      <c r="J17">
        <v>186</v>
      </c>
      <c r="K17">
        <v>90.246626000000006</v>
      </c>
      <c r="L17">
        <v>8.9677930000000003</v>
      </c>
      <c r="M17">
        <v>0</v>
      </c>
      <c r="N17">
        <v>165.92711272439001</v>
      </c>
      <c r="O17" s="8" t="str">
        <f>formatIP(Table1[[#This Row],[Address A]])</f>
        <v>010.010.010.018</v>
      </c>
      <c r="P17" s="8" t="str">
        <f>formatIP(Table1[[#This Row],[Address B]])</f>
        <v>010.012.000.063</v>
      </c>
      <c r="Q17" s="8" t="e">
        <f>VLOOKUP(Table1[[#This Row],[Address A]],IP_Master[],4,FALSE)</f>
        <v>#N/A</v>
      </c>
      <c r="R17" s="8" t="str">
        <f>VLOOKUP(Table1[[#This Row],[Address B]],IP_Master[],4,FALSE)</f>
        <v>PPPCPET3</v>
      </c>
      <c r="S17" s="8" t="e">
        <f>VLOOKUP(Table1[[#This Row],[Address A]],IP_Master[],2,FALSE)</f>
        <v>#N/A</v>
      </c>
      <c r="T17" s="8" t="str">
        <f>VLOOKUP(Table1[[#This Row],[Address B]],IP_Master[],2,FALSE)</f>
        <v>PETs Plant</v>
      </c>
      <c r="U17" s="9" t="e">
        <f>VLOOKUP(Table1[[#This Row],[Address A]],IP_Master[],3,FALSE)</f>
        <v>#N/A</v>
      </c>
      <c r="V17" s="9" t="str">
        <f>VLOOKUP(Table1[[#This Row],[Address B]],IP_Master[],3,FALSE)</f>
        <v>iFIX Nodes &amp; Ethernet Switches</v>
      </c>
      <c r="W17" s="9" t="e">
        <f>VLOOKUP(Table1[[#This Row],[Port B]],traffic_types[],2,FALSE)</f>
        <v>#N/A</v>
      </c>
    </row>
    <row r="18" spans="1:23" hidden="1" x14ac:dyDescent="0.6">
      <c r="A18" t="s">
        <v>58</v>
      </c>
      <c r="B18">
        <v>8083</v>
      </c>
      <c r="C18" t="s">
        <v>49</v>
      </c>
      <c r="D18">
        <v>4383</v>
      </c>
      <c r="E18">
        <v>3</v>
      </c>
      <c r="F18">
        <v>186</v>
      </c>
      <c r="G18">
        <v>0</v>
      </c>
      <c r="H18">
        <v>0</v>
      </c>
      <c r="I18">
        <v>3</v>
      </c>
      <c r="J18">
        <v>186</v>
      </c>
      <c r="K18">
        <v>191.00733299999999</v>
      </c>
      <c r="L18">
        <v>9.1455789999999997</v>
      </c>
      <c r="M18">
        <v>0</v>
      </c>
      <c r="N18">
        <v>162.70156323618201</v>
      </c>
      <c r="O18" s="8" t="str">
        <f>formatIP(Table1[[#This Row],[Address A]])</f>
        <v>010.011.001.012</v>
      </c>
      <c r="P18" s="8" t="str">
        <f>formatIP(Table1[[#This Row],[Address B]])</f>
        <v>010.012.000.190</v>
      </c>
      <c r="Q18" s="8" t="e">
        <f>VLOOKUP(Table1[[#This Row],[Address A]],IP_Master[],4,FALSE)</f>
        <v>#N/A</v>
      </c>
      <c r="R18" s="8" t="str">
        <f>VLOOKUP(Table1[[#This Row],[Address B]],IP_Master[],4,FALSE)</f>
        <v>PPPCRF10</v>
      </c>
      <c r="S18" s="8" t="e">
        <f>VLOOKUP(Table1[[#This Row],[Address A]],IP_Master[],2,FALSE)</f>
        <v>#N/A</v>
      </c>
      <c r="T18" s="8" t="str">
        <f>VLOOKUP(Table1[[#This Row],[Address B]],IP_Master[],2,FALSE)</f>
        <v>Refinery</v>
      </c>
      <c r="U18" s="9" t="e">
        <f>VLOOKUP(Table1[[#This Row],[Address A]],IP_Master[],3,FALSE)</f>
        <v>#N/A</v>
      </c>
      <c r="V18" s="9" t="str">
        <f>VLOOKUP(Table1[[#This Row],[Address B]],IP_Master[],3,FALSE)</f>
        <v>iFIX Nodes &amp; Ethernet Switches</v>
      </c>
      <c r="W18" s="9" t="e">
        <f>VLOOKUP(Table1[[#This Row],[Port B]],traffic_types[],2,FALSE)</f>
        <v>#N/A</v>
      </c>
    </row>
    <row r="19" spans="1:23" hidden="1" x14ac:dyDescent="0.6">
      <c r="A19" t="s">
        <v>59</v>
      </c>
      <c r="B19">
        <v>5450</v>
      </c>
      <c r="C19" t="s">
        <v>53</v>
      </c>
      <c r="D19">
        <v>2557</v>
      </c>
      <c r="E19">
        <v>3</v>
      </c>
      <c r="F19">
        <v>180</v>
      </c>
      <c r="G19">
        <v>2</v>
      </c>
      <c r="H19">
        <v>120</v>
      </c>
      <c r="I19">
        <v>1</v>
      </c>
      <c r="J19">
        <v>60</v>
      </c>
      <c r="K19">
        <v>7.3332999999999995E-2</v>
      </c>
      <c r="L19">
        <v>9.7505579999999998</v>
      </c>
      <c r="M19">
        <v>98.455903754431304</v>
      </c>
      <c r="N19">
        <v>49.227951877215602</v>
      </c>
      <c r="O19" s="8" t="str">
        <f>formatIP(Table1[[#This Row],[Address A]])</f>
        <v>010.011.001.014</v>
      </c>
      <c r="P19" s="8" t="str">
        <f>formatIP(Table1[[#This Row],[Address B]])</f>
        <v>010.012.000.001</v>
      </c>
      <c r="Q19" s="8" t="e">
        <f>VLOOKUP(Table1[[#This Row],[Address A]],IP_Master[],4,FALSE)</f>
        <v>#N/A</v>
      </c>
      <c r="R19" s="8" t="str">
        <f>VLOOKUP(Table1[[#This Row],[Address B]],IP_Master[],4,FALSE)</f>
        <v>PPPCFC1</v>
      </c>
      <c r="S19" s="8" t="e">
        <f>VLOOKUP(Table1[[#This Row],[Address A]],IP_Master[],2,FALSE)</f>
        <v>#N/A</v>
      </c>
      <c r="T19" s="8" t="str">
        <f>VLOOKUP(Table1[[#This Row],[Address B]],IP_Master[],2,FALSE)</f>
        <v>Fume Control</v>
      </c>
      <c r="U19" s="9" t="e">
        <f>VLOOKUP(Table1[[#This Row],[Address A]],IP_Master[],3,FALSE)</f>
        <v>#N/A</v>
      </c>
      <c r="V19" s="9" t="str">
        <f>VLOOKUP(Table1[[#This Row],[Address B]],IP_Master[],3,FALSE)</f>
        <v>iFIX Nodes &amp; Ethernet Switches</v>
      </c>
      <c r="W19" s="9" t="e">
        <f>VLOOKUP(Table1[[#This Row],[Port B]],traffic_types[],2,FALSE)</f>
        <v>#N/A</v>
      </c>
    </row>
    <row r="20" spans="1:23" hidden="1" x14ac:dyDescent="0.6">
      <c r="A20" t="s">
        <v>59</v>
      </c>
      <c r="B20">
        <v>5450</v>
      </c>
      <c r="C20" t="s">
        <v>53</v>
      </c>
      <c r="D20">
        <v>2565</v>
      </c>
      <c r="E20">
        <v>12</v>
      </c>
      <c r="F20">
        <v>2560</v>
      </c>
      <c r="G20">
        <v>5</v>
      </c>
      <c r="H20">
        <v>326</v>
      </c>
      <c r="I20">
        <v>7</v>
      </c>
      <c r="J20">
        <v>2234</v>
      </c>
      <c r="K20">
        <v>9.8825559999999992</v>
      </c>
      <c r="L20">
        <v>9.9413269999999994</v>
      </c>
      <c r="M20">
        <v>262.33922292265402</v>
      </c>
      <c r="N20">
        <v>1797.7479264086201</v>
      </c>
      <c r="O20" s="8" t="str">
        <f>formatIP(Table1[[#This Row],[Address A]])</f>
        <v>010.011.001.014</v>
      </c>
      <c r="P20" s="8" t="str">
        <f>formatIP(Table1[[#This Row],[Address B]])</f>
        <v>010.012.000.001</v>
      </c>
      <c r="Q20" s="8" t="e">
        <f>VLOOKUP(Table1[[#This Row],[Address A]],IP_Master[],4,FALSE)</f>
        <v>#N/A</v>
      </c>
      <c r="R20" s="8" t="str">
        <f>VLOOKUP(Table1[[#This Row],[Address B]],IP_Master[],4,FALSE)</f>
        <v>PPPCFC1</v>
      </c>
      <c r="S20" s="8" t="e">
        <f>VLOOKUP(Table1[[#This Row],[Address A]],IP_Master[],2,FALSE)</f>
        <v>#N/A</v>
      </c>
      <c r="T20" s="8" t="str">
        <f>VLOOKUP(Table1[[#This Row],[Address B]],IP_Master[],2,FALSE)</f>
        <v>Fume Control</v>
      </c>
      <c r="U20" s="9" t="e">
        <f>VLOOKUP(Table1[[#This Row],[Address A]],IP_Master[],3,FALSE)</f>
        <v>#N/A</v>
      </c>
      <c r="V20" s="9" t="str">
        <f>VLOOKUP(Table1[[#This Row],[Address B]],IP_Master[],3,FALSE)</f>
        <v>iFIX Nodes &amp; Ethernet Switches</v>
      </c>
      <c r="W20" s="9" t="e">
        <f>VLOOKUP(Table1[[#This Row],[Port B]],traffic_types[],2,FALSE)</f>
        <v>#N/A</v>
      </c>
    </row>
    <row r="21" spans="1:23" hidden="1" x14ac:dyDescent="0.6">
      <c r="A21" t="s">
        <v>59</v>
      </c>
      <c r="B21">
        <v>5450</v>
      </c>
      <c r="C21" t="s">
        <v>53</v>
      </c>
      <c r="D21">
        <v>2567</v>
      </c>
      <c r="E21">
        <v>12</v>
      </c>
      <c r="F21">
        <v>2560</v>
      </c>
      <c r="G21">
        <v>6</v>
      </c>
      <c r="H21">
        <v>386</v>
      </c>
      <c r="I21">
        <v>6</v>
      </c>
      <c r="J21">
        <v>2174</v>
      </c>
      <c r="K21">
        <v>19.882873</v>
      </c>
      <c r="L21">
        <v>9.9411640000000006</v>
      </c>
      <c r="M21">
        <v>310.62760859794702</v>
      </c>
      <c r="N21">
        <v>1749.49331889103</v>
      </c>
      <c r="O21" s="8" t="str">
        <f>formatIP(Table1[[#This Row],[Address A]])</f>
        <v>010.011.001.014</v>
      </c>
      <c r="P21" s="8" t="str">
        <f>formatIP(Table1[[#This Row],[Address B]])</f>
        <v>010.012.000.001</v>
      </c>
      <c r="Q21" s="8" t="e">
        <f>VLOOKUP(Table1[[#This Row],[Address A]],IP_Master[],4,FALSE)</f>
        <v>#N/A</v>
      </c>
      <c r="R21" s="8" t="str">
        <f>VLOOKUP(Table1[[#This Row],[Address B]],IP_Master[],4,FALSE)</f>
        <v>PPPCFC1</v>
      </c>
      <c r="S21" s="8" t="e">
        <f>VLOOKUP(Table1[[#This Row],[Address A]],IP_Master[],2,FALSE)</f>
        <v>#N/A</v>
      </c>
      <c r="T21" s="8" t="str">
        <f>VLOOKUP(Table1[[#This Row],[Address B]],IP_Master[],2,FALSE)</f>
        <v>Fume Control</v>
      </c>
      <c r="U21" s="9" t="e">
        <f>VLOOKUP(Table1[[#This Row],[Address A]],IP_Master[],3,FALSE)</f>
        <v>#N/A</v>
      </c>
      <c r="V21" s="9" t="str">
        <f>VLOOKUP(Table1[[#This Row],[Address B]],IP_Master[],3,FALSE)</f>
        <v>iFIX Nodes &amp; Ethernet Switches</v>
      </c>
      <c r="W21" s="9" t="e">
        <f>VLOOKUP(Table1[[#This Row],[Port B]],traffic_types[],2,FALSE)</f>
        <v>#N/A</v>
      </c>
    </row>
    <row r="22" spans="1:23" hidden="1" x14ac:dyDescent="0.6">
      <c r="A22" t="s">
        <v>59</v>
      </c>
      <c r="B22">
        <v>5450</v>
      </c>
      <c r="C22" t="s">
        <v>53</v>
      </c>
      <c r="D22">
        <v>2570</v>
      </c>
      <c r="E22">
        <v>12</v>
      </c>
      <c r="F22">
        <v>2560</v>
      </c>
      <c r="G22">
        <v>5</v>
      </c>
      <c r="H22">
        <v>326</v>
      </c>
      <c r="I22">
        <v>7</v>
      </c>
      <c r="J22">
        <v>2234</v>
      </c>
      <c r="K22">
        <v>29.891175</v>
      </c>
      <c r="L22">
        <v>9.9330029999999994</v>
      </c>
      <c r="M22">
        <v>262.55906698105298</v>
      </c>
      <c r="N22">
        <v>1799.2544651400999</v>
      </c>
      <c r="O22" s="8" t="str">
        <f>formatIP(Table1[[#This Row],[Address A]])</f>
        <v>010.011.001.014</v>
      </c>
      <c r="P22" s="8" t="str">
        <f>formatIP(Table1[[#This Row],[Address B]])</f>
        <v>010.012.000.001</v>
      </c>
      <c r="Q22" s="8" t="e">
        <f>VLOOKUP(Table1[[#This Row],[Address A]],IP_Master[],4,FALSE)</f>
        <v>#N/A</v>
      </c>
      <c r="R22" s="8" t="str">
        <f>VLOOKUP(Table1[[#This Row],[Address B]],IP_Master[],4,FALSE)</f>
        <v>PPPCFC1</v>
      </c>
      <c r="S22" s="8" t="e">
        <f>VLOOKUP(Table1[[#This Row],[Address A]],IP_Master[],2,FALSE)</f>
        <v>#N/A</v>
      </c>
      <c r="T22" s="8" t="str">
        <f>VLOOKUP(Table1[[#This Row],[Address B]],IP_Master[],2,FALSE)</f>
        <v>Fume Control</v>
      </c>
      <c r="U22" s="9" t="e">
        <f>VLOOKUP(Table1[[#This Row],[Address A]],IP_Master[],3,FALSE)</f>
        <v>#N/A</v>
      </c>
      <c r="V22" s="9" t="str">
        <f>VLOOKUP(Table1[[#This Row],[Address B]],IP_Master[],3,FALSE)</f>
        <v>iFIX Nodes &amp; Ethernet Switches</v>
      </c>
      <c r="W22" s="9" t="e">
        <f>VLOOKUP(Table1[[#This Row],[Port B]],traffic_types[],2,FALSE)</f>
        <v>#N/A</v>
      </c>
    </row>
    <row r="23" spans="1:23" hidden="1" x14ac:dyDescent="0.6">
      <c r="A23" t="s">
        <v>59</v>
      </c>
      <c r="B23">
        <v>5450</v>
      </c>
      <c r="C23" t="s">
        <v>53</v>
      </c>
      <c r="D23">
        <v>2584</v>
      </c>
      <c r="E23">
        <v>14</v>
      </c>
      <c r="F23">
        <v>2680</v>
      </c>
      <c r="G23">
        <v>6</v>
      </c>
      <c r="H23">
        <v>386</v>
      </c>
      <c r="I23">
        <v>8</v>
      </c>
      <c r="J23">
        <v>2294</v>
      </c>
      <c r="K23">
        <v>40.011088000000001</v>
      </c>
      <c r="L23">
        <v>9.8135739999999991</v>
      </c>
      <c r="M23">
        <v>314.66619602603498</v>
      </c>
      <c r="N23">
        <v>1870.0628333775201</v>
      </c>
      <c r="O23" s="8" t="str">
        <f>formatIP(Table1[[#This Row],[Address A]])</f>
        <v>010.011.001.014</v>
      </c>
      <c r="P23" s="8" t="str">
        <f>formatIP(Table1[[#This Row],[Address B]])</f>
        <v>010.012.000.001</v>
      </c>
      <c r="Q23" s="8" t="e">
        <f>VLOOKUP(Table1[[#This Row],[Address A]],IP_Master[],4,FALSE)</f>
        <v>#N/A</v>
      </c>
      <c r="R23" s="8" t="str">
        <f>VLOOKUP(Table1[[#This Row],[Address B]],IP_Master[],4,FALSE)</f>
        <v>PPPCFC1</v>
      </c>
      <c r="S23" s="8" t="e">
        <f>VLOOKUP(Table1[[#This Row],[Address A]],IP_Master[],2,FALSE)</f>
        <v>#N/A</v>
      </c>
      <c r="T23" s="8" t="str">
        <f>VLOOKUP(Table1[[#This Row],[Address B]],IP_Master[],2,FALSE)</f>
        <v>Fume Control</v>
      </c>
      <c r="U23" s="9" t="e">
        <f>VLOOKUP(Table1[[#This Row],[Address A]],IP_Master[],3,FALSE)</f>
        <v>#N/A</v>
      </c>
      <c r="V23" s="9" t="str">
        <f>VLOOKUP(Table1[[#This Row],[Address B]],IP_Master[],3,FALSE)</f>
        <v>iFIX Nodes &amp; Ethernet Switches</v>
      </c>
      <c r="W23" s="9" t="e">
        <f>VLOOKUP(Table1[[#This Row],[Port B]],traffic_types[],2,FALSE)</f>
        <v>#N/A</v>
      </c>
    </row>
    <row r="24" spans="1:23" hidden="1" x14ac:dyDescent="0.6">
      <c r="A24" t="s">
        <v>59</v>
      </c>
      <c r="B24">
        <v>5450</v>
      </c>
      <c r="C24" t="s">
        <v>53</v>
      </c>
      <c r="D24">
        <v>2587</v>
      </c>
      <c r="E24">
        <v>15</v>
      </c>
      <c r="F24">
        <v>2734</v>
      </c>
      <c r="G24">
        <v>7</v>
      </c>
      <c r="H24">
        <v>446</v>
      </c>
      <c r="I24">
        <v>8</v>
      </c>
      <c r="J24">
        <v>2288</v>
      </c>
      <c r="K24">
        <v>49.885821999999997</v>
      </c>
      <c r="L24">
        <v>9.9388369999999995</v>
      </c>
      <c r="M24">
        <v>358.99572555621899</v>
      </c>
      <c r="N24">
        <v>1841.6641705664399</v>
      </c>
      <c r="O24" s="8" t="str">
        <f>formatIP(Table1[[#This Row],[Address A]])</f>
        <v>010.011.001.014</v>
      </c>
      <c r="P24" s="8" t="str">
        <f>formatIP(Table1[[#This Row],[Address B]])</f>
        <v>010.012.000.001</v>
      </c>
      <c r="Q24" s="8" t="e">
        <f>VLOOKUP(Table1[[#This Row],[Address A]],IP_Master[],4,FALSE)</f>
        <v>#N/A</v>
      </c>
      <c r="R24" s="8" t="str">
        <f>VLOOKUP(Table1[[#This Row],[Address B]],IP_Master[],4,FALSE)</f>
        <v>PPPCFC1</v>
      </c>
      <c r="S24" s="8" t="e">
        <f>VLOOKUP(Table1[[#This Row],[Address A]],IP_Master[],2,FALSE)</f>
        <v>#N/A</v>
      </c>
      <c r="T24" s="8" t="str">
        <f>VLOOKUP(Table1[[#This Row],[Address B]],IP_Master[],2,FALSE)</f>
        <v>Fume Control</v>
      </c>
      <c r="U24" s="9" t="e">
        <f>VLOOKUP(Table1[[#This Row],[Address A]],IP_Master[],3,FALSE)</f>
        <v>#N/A</v>
      </c>
      <c r="V24" s="9" t="str">
        <f>VLOOKUP(Table1[[#This Row],[Address B]],IP_Master[],3,FALSE)</f>
        <v>iFIX Nodes &amp; Ethernet Switches</v>
      </c>
      <c r="W24" s="9" t="e">
        <f>VLOOKUP(Table1[[#This Row],[Port B]],traffic_types[],2,FALSE)</f>
        <v>#N/A</v>
      </c>
    </row>
    <row r="25" spans="1:23" hidden="1" x14ac:dyDescent="0.6">
      <c r="A25" t="s">
        <v>59</v>
      </c>
      <c r="B25">
        <v>5450</v>
      </c>
      <c r="C25" t="s">
        <v>53</v>
      </c>
      <c r="D25">
        <v>2588</v>
      </c>
      <c r="E25">
        <v>14</v>
      </c>
      <c r="F25">
        <v>2680</v>
      </c>
      <c r="G25">
        <v>6</v>
      </c>
      <c r="H25">
        <v>386</v>
      </c>
      <c r="I25">
        <v>8</v>
      </c>
      <c r="J25">
        <v>2294</v>
      </c>
      <c r="K25">
        <v>59.888046000000003</v>
      </c>
      <c r="L25">
        <v>9.9416049999999991</v>
      </c>
      <c r="M25">
        <v>310.613829457115</v>
      </c>
      <c r="N25">
        <v>1845.9795978617101</v>
      </c>
      <c r="O25" s="8" t="str">
        <f>formatIP(Table1[[#This Row],[Address A]])</f>
        <v>010.011.001.014</v>
      </c>
      <c r="P25" s="8" t="str">
        <f>formatIP(Table1[[#This Row],[Address B]])</f>
        <v>010.012.000.001</v>
      </c>
      <c r="Q25" s="8" t="e">
        <f>VLOOKUP(Table1[[#This Row],[Address A]],IP_Master[],4,FALSE)</f>
        <v>#N/A</v>
      </c>
      <c r="R25" s="8" t="str">
        <f>VLOOKUP(Table1[[#This Row],[Address B]],IP_Master[],4,FALSE)</f>
        <v>PPPCFC1</v>
      </c>
      <c r="S25" s="8" t="e">
        <f>VLOOKUP(Table1[[#This Row],[Address A]],IP_Master[],2,FALSE)</f>
        <v>#N/A</v>
      </c>
      <c r="T25" s="8" t="str">
        <f>VLOOKUP(Table1[[#This Row],[Address B]],IP_Master[],2,FALSE)</f>
        <v>Fume Control</v>
      </c>
      <c r="U25" s="9" t="e">
        <f>VLOOKUP(Table1[[#This Row],[Address A]],IP_Master[],3,FALSE)</f>
        <v>#N/A</v>
      </c>
      <c r="V25" s="9" t="str">
        <f>VLOOKUP(Table1[[#This Row],[Address B]],IP_Master[],3,FALSE)</f>
        <v>iFIX Nodes &amp; Ethernet Switches</v>
      </c>
      <c r="W25" s="9" t="e">
        <f>VLOOKUP(Table1[[#This Row],[Port B]],traffic_types[],2,FALSE)</f>
        <v>#N/A</v>
      </c>
    </row>
    <row r="26" spans="1:23" hidden="1" x14ac:dyDescent="0.6">
      <c r="A26" t="s">
        <v>59</v>
      </c>
      <c r="B26">
        <v>5450</v>
      </c>
      <c r="C26" t="s">
        <v>53</v>
      </c>
      <c r="D26">
        <v>2604</v>
      </c>
      <c r="E26">
        <v>12</v>
      </c>
      <c r="F26">
        <v>2560</v>
      </c>
      <c r="G26">
        <v>5</v>
      </c>
      <c r="H26">
        <v>326</v>
      </c>
      <c r="I26">
        <v>7</v>
      </c>
      <c r="J26">
        <v>2234</v>
      </c>
      <c r="K26">
        <v>72.906875999999997</v>
      </c>
      <c r="L26">
        <v>6.9183720000000104</v>
      </c>
      <c r="M26">
        <v>376.96729808689099</v>
      </c>
      <c r="N26">
        <v>2583.2666991598599</v>
      </c>
      <c r="O26" s="8" t="str">
        <f>formatIP(Table1[[#This Row],[Address A]])</f>
        <v>010.011.001.014</v>
      </c>
      <c r="P26" s="8" t="str">
        <f>formatIP(Table1[[#This Row],[Address B]])</f>
        <v>010.012.000.001</v>
      </c>
      <c r="Q26" s="8" t="e">
        <f>VLOOKUP(Table1[[#This Row],[Address A]],IP_Master[],4,FALSE)</f>
        <v>#N/A</v>
      </c>
      <c r="R26" s="8" t="str">
        <f>VLOOKUP(Table1[[#This Row],[Address B]],IP_Master[],4,FALSE)</f>
        <v>PPPCFC1</v>
      </c>
      <c r="S26" s="8" t="e">
        <f>VLOOKUP(Table1[[#This Row],[Address A]],IP_Master[],2,FALSE)</f>
        <v>#N/A</v>
      </c>
      <c r="T26" s="8" t="str">
        <f>VLOOKUP(Table1[[#This Row],[Address B]],IP_Master[],2,FALSE)</f>
        <v>Fume Control</v>
      </c>
      <c r="U26" s="9" t="e">
        <f>VLOOKUP(Table1[[#This Row],[Address A]],IP_Master[],3,FALSE)</f>
        <v>#N/A</v>
      </c>
      <c r="V26" s="9" t="str">
        <f>VLOOKUP(Table1[[#This Row],[Address B]],IP_Master[],3,FALSE)</f>
        <v>iFIX Nodes &amp; Ethernet Switches</v>
      </c>
      <c r="W26" s="9" t="e">
        <f>VLOOKUP(Table1[[#This Row],[Port B]],traffic_types[],2,FALSE)</f>
        <v>#N/A</v>
      </c>
    </row>
    <row r="27" spans="1:23" hidden="1" x14ac:dyDescent="0.6">
      <c r="A27" t="s">
        <v>59</v>
      </c>
      <c r="B27">
        <v>5450</v>
      </c>
      <c r="C27" t="s">
        <v>53</v>
      </c>
      <c r="D27">
        <v>2605</v>
      </c>
      <c r="E27">
        <v>13</v>
      </c>
      <c r="F27">
        <v>2614</v>
      </c>
      <c r="G27">
        <v>6</v>
      </c>
      <c r="H27">
        <v>386</v>
      </c>
      <c r="I27">
        <v>7</v>
      </c>
      <c r="J27">
        <v>2228</v>
      </c>
      <c r="K27">
        <v>79.910095999999996</v>
      </c>
      <c r="L27">
        <v>9.9227510000000105</v>
      </c>
      <c r="M27">
        <v>311.20401993358502</v>
      </c>
      <c r="N27">
        <v>1796.2760528808999</v>
      </c>
      <c r="O27" s="8" t="str">
        <f>formatIP(Table1[[#This Row],[Address A]])</f>
        <v>010.011.001.014</v>
      </c>
      <c r="P27" s="8" t="str">
        <f>formatIP(Table1[[#This Row],[Address B]])</f>
        <v>010.012.000.001</v>
      </c>
      <c r="Q27" s="8" t="e">
        <f>VLOOKUP(Table1[[#This Row],[Address A]],IP_Master[],4,FALSE)</f>
        <v>#N/A</v>
      </c>
      <c r="R27" s="8" t="str">
        <f>VLOOKUP(Table1[[#This Row],[Address B]],IP_Master[],4,FALSE)</f>
        <v>PPPCFC1</v>
      </c>
      <c r="S27" s="8" t="e">
        <f>VLOOKUP(Table1[[#This Row],[Address A]],IP_Master[],2,FALSE)</f>
        <v>#N/A</v>
      </c>
      <c r="T27" s="8" t="str">
        <f>VLOOKUP(Table1[[#This Row],[Address B]],IP_Master[],2,FALSE)</f>
        <v>Fume Control</v>
      </c>
      <c r="U27" s="9" t="e">
        <f>VLOOKUP(Table1[[#This Row],[Address A]],IP_Master[],3,FALSE)</f>
        <v>#N/A</v>
      </c>
      <c r="V27" s="9" t="str">
        <f>VLOOKUP(Table1[[#This Row],[Address B]],IP_Master[],3,FALSE)</f>
        <v>iFIX Nodes &amp; Ethernet Switches</v>
      </c>
      <c r="W27" s="9" t="e">
        <f>VLOOKUP(Table1[[#This Row],[Port B]],traffic_types[],2,FALSE)</f>
        <v>#N/A</v>
      </c>
    </row>
    <row r="28" spans="1:23" hidden="1" x14ac:dyDescent="0.6">
      <c r="A28" t="s">
        <v>59</v>
      </c>
      <c r="B28">
        <v>5450</v>
      </c>
      <c r="C28" t="s">
        <v>53</v>
      </c>
      <c r="D28">
        <v>2607</v>
      </c>
      <c r="E28">
        <v>18</v>
      </c>
      <c r="F28">
        <v>2934</v>
      </c>
      <c r="G28">
        <v>8</v>
      </c>
      <c r="H28">
        <v>506</v>
      </c>
      <c r="I28">
        <v>10</v>
      </c>
      <c r="J28">
        <v>2428</v>
      </c>
      <c r="K28">
        <v>89.889859999999999</v>
      </c>
      <c r="L28">
        <v>9.9434389999999997</v>
      </c>
      <c r="M28">
        <v>407.102613089898</v>
      </c>
      <c r="N28">
        <v>1953.4489023365099</v>
      </c>
      <c r="O28" s="8" t="str">
        <f>formatIP(Table1[[#This Row],[Address A]])</f>
        <v>010.011.001.014</v>
      </c>
      <c r="P28" s="8" t="str">
        <f>formatIP(Table1[[#This Row],[Address B]])</f>
        <v>010.012.000.001</v>
      </c>
      <c r="Q28" s="8" t="e">
        <f>VLOOKUP(Table1[[#This Row],[Address A]],IP_Master[],4,FALSE)</f>
        <v>#N/A</v>
      </c>
      <c r="R28" s="8" t="str">
        <f>VLOOKUP(Table1[[#This Row],[Address B]],IP_Master[],4,FALSE)</f>
        <v>PPPCFC1</v>
      </c>
      <c r="S28" s="8" t="e">
        <f>VLOOKUP(Table1[[#This Row],[Address A]],IP_Master[],2,FALSE)</f>
        <v>#N/A</v>
      </c>
      <c r="T28" s="8" t="str">
        <f>VLOOKUP(Table1[[#This Row],[Address B]],IP_Master[],2,FALSE)</f>
        <v>Fume Control</v>
      </c>
      <c r="U28" s="9" t="e">
        <f>VLOOKUP(Table1[[#This Row],[Address A]],IP_Master[],3,FALSE)</f>
        <v>#N/A</v>
      </c>
      <c r="V28" s="9" t="str">
        <f>VLOOKUP(Table1[[#This Row],[Address B]],IP_Master[],3,FALSE)</f>
        <v>iFIX Nodes &amp; Ethernet Switches</v>
      </c>
      <c r="W28" s="9" t="e">
        <f>VLOOKUP(Table1[[#This Row],[Port B]],traffic_types[],2,FALSE)</f>
        <v>#N/A</v>
      </c>
    </row>
    <row r="29" spans="1:23" hidden="1" x14ac:dyDescent="0.6">
      <c r="A29" t="s">
        <v>59</v>
      </c>
      <c r="B29">
        <v>5450</v>
      </c>
      <c r="C29" t="s">
        <v>53</v>
      </c>
      <c r="D29">
        <v>2619</v>
      </c>
      <c r="E29">
        <v>12</v>
      </c>
      <c r="F29">
        <v>2560</v>
      </c>
      <c r="G29">
        <v>5</v>
      </c>
      <c r="H29">
        <v>326</v>
      </c>
      <c r="I29">
        <v>7</v>
      </c>
      <c r="J29">
        <v>2234</v>
      </c>
      <c r="K29">
        <v>99.899930999999995</v>
      </c>
      <c r="L29">
        <v>9.9318740000000094</v>
      </c>
      <c r="M29">
        <v>262.588913230272</v>
      </c>
      <c r="N29">
        <v>1799.45899434487</v>
      </c>
      <c r="O29" s="8" t="str">
        <f>formatIP(Table1[[#This Row],[Address A]])</f>
        <v>010.011.001.014</v>
      </c>
      <c r="P29" s="8" t="str">
        <f>formatIP(Table1[[#This Row],[Address B]])</f>
        <v>010.012.000.001</v>
      </c>
      <c r="Q29" s="8" t="e">
        <f>VLOOKUP(Table1[[#This Row],[Address A]],IP_Master[],4,FALSE)</f>
        <v>#N/A</v>
      </c>
      <c r="R29" s="8" t="str">
        <f>VLOOKUP(Table1[[#This Row],[Address B]],IP_Master[],4,FALSE)</f>
        <v>PPPCFC1</v>
      </c>
      <c r="S29" s="8" t="e">
        <f>VLOOKUP(Table1[[#This Row],[Address A]],IP_Master[],2,FALSE)</f>
        <v>#N/A</v>
      </c>
      <c r="T29" s="8" t="str">
        <f>VLOOKUP(Table1[[#This Row],[Address B]],IP_Master[],2,FALSE)</f>
        <v>Fume Control</v>
      </c>
      <c r="U29" s="9" t="e">
        <f>VLOOKUP(Table1[[#This Row],[Address A]],IP_Master[],3,FALSE)</f>
        <v>#N/A</v>
      </c>
      <c r="V29" s="9" t="str">
        <f>VLOOKUP(Table1[[#This Row],[Address B]],IP_Master[],3,FALSE)</f>
        <v>iFIX Nodes &amp; Ethernet Switches</v>
      </c>
      <c r="W29" s="9" t="e">
        <f>VLOOKUP(Table1[[#This Row],[Port B]],traffic_types[],2,FALSE)</f>
        <v>#N/A</v>
      </c>
    </row>
    <row r="30" spans="1:23" hidden="1" x14ac:dyDescent="0.6">
      <c r="A30" t="s">
        <v>59</v>
      </c>
      <c r="B30">
        <v>5450</v>
      </c>
      <c r="C30" t="s">
        <v>53</v>
      </c>
      <c r="D30">
        <v>2625</v>
      </c>
      <c r="E30">
        <v>15</v>
      </c>
      <c r="F30">
        <v>2734</v>
      </c>
      <c r="G30">
        <v>7</v>
      </c>
      <c r="H30">
        <v>446</v>
      </c>
      <c r="I30">
        <v>8</v>
      </c>
      <c r="J30">
        <v>2288</v>
      </c>
      <c r="K30">
        <v>109.893427</v>
      </c>
      <c r="L30">
        <v>9.9310200000000002</v>
      </c>
      <c r="M30">
        <v>359.27830172530099</v>
      </c>
      <c r="N30">
        <v>1843.1137989854001</v>
      </c>
      <c r="O30" s="8" t="str">
        <f>formatIP(Table1[[#This Row],[Address A]])</f>
        <v>010.011.001.014</v>
      </c>
      <c r="P30" s="8" t="str">
        <f>formatIP(Table1[[#This Row],[Address B]])</f>
        <v>010.012.000.001</v>
      </c>
      <c r="Q30" s="8" t="e">
        <f>VLOOKUP(Table1[[#This Row],[Address A]],IP_Master[],4,FALSE)</f>
        <v>#N/A</v>
      </c>
      <c r="R30" s="8" t="str">
        <f>VLOOKUP(Table1[[#This Row],[Address B]],IP_Master[],4,FALSE)</f>
        <v>PPPCFC1</v>
      </c>
      <c r="S30" s="8" t="e">
        <f>VLOOKUP(Table1[[#This Row],[Address A]],IP_Master[],2,FALSE)</f>
        <v>#N/A</v>
      </c>
      <c r="T30" s="8" t="str">
        <f>VLOOKUP(Table1[[#This Row],[Address B]],IP_Master[],2,FALSE)</f>
        <v>Fume Control</v>
      </c>
      <c r="U30" s="9" t="e">
        <f>VLOOKUP(Table1[[#This Row],[Address A]],IP_Master[],3,FALSE)</f>
        <v>#N/A</v>
      </c>
      <c r="V30" s="9" t="str">
        <f>VLOOKUP(Table1[[#This Row],[Address B]],IP_Master[],3,FALSE)</f>
        <v>iFIX Nodes &amp; Ethernet Switches</v>
      </c>
      <c r="W30" s="9" t="e">
        <f>VLOOKUP(Table1[[#This Row],[Port B]],traffic_types[],2,FALSE)</f>
        <v>#N/A</v>
      </c>
    </row>
    <row r="31" spans="1:23" hidden="1" x14ac:dyDescent="0.6">
      <c r="A31" t="s">
        <v>59</v>
      </c>
      <c r="B31">
        <v>5450</v>
      </c>
      <c r="C31" t="s">
        <v>53</v>
      </c>
      <c r="D31">
        <v>2626</v>
      </c>
      <c r="E31">
        <v>12</v>
      </c>
      <c r="F31">
        <v>2560</v>
      </c>
      <c r="G31">
        <v>6</v>
      </c>
      <c r="H31">
        <v>386</v>
      </c>
      <c r="I31">
        <v>6</v>
      </c>
      <c r="J31">
        <v>2174</v>
      </c>
      <c r="K31">
        <v>119.892149</v>
      </c>
      <c r="L31">
        <v>9.9327169999999807</v>
      </c>
      <c r="M31">
        <v>310.89177311706402</v>
      </c>
      <c r="N31">
        <v>1750.9811263121701</v>
      </c>
      <c r="O31" s="8" t="str">
        <f>formatIP(Table1[[#This Row],[Address A]])</f>
        <v>010.011.001.014</v>
      </c>
      <c r="P31" s="8" t="str">
        <f>formatIP(Table1[[#This Row],[Address B]])</f>
        <v>010.012.000.001</v>
      </c>
      <c r="Q31" s="8" t="e">
        <f>VLOOKUP(Table1[[#This Row],[Address A]],IP_Master[],4,FALSE)</f>
        <v>#N/A</v>
      </c>
      <c r="R31" s="8" t="str">
        <f>VLOOKUP(Table1[[#This Row],[Address B]],IP_Master[],4,FALSE)</f>
        <v>PPPCFC1</v>
      </c>
      <c r="S31" s="8" t="e">
        <f>VLOOKUP(Table1[[#This Row],[Address A]],IP_Master[],2,FALSE)</f>
        <v>#N/A</v>
      </c>
      <c r="T31" s="8" t="str">
        <f>VLOOKUP(Table1[[#This Row],[Address B]],IP_Master[],2,FALSE)</f>
        <v>Fume Control</v>
      </c>
      <c r="U31" s="9" t="e">
        <f>VLOOKUP(Table1[[#This Row],[Address A]],IP_Master[],3,FALSE)</f>
        <v>#N/A</v>
      </c>
      <c r="V31" s="9" t="str">
        <f>VLOOKUP(Table1[[#This Row],[Address B]],IP_Master[],3,FALSE)</f>
        <v>iFIX Nodes &amp; Ethernet Switches</v>
      </c>
      <c r="W31" s="9" t="e">
        <f>VLOOKUP(Table1[[#This Row],[Port B]],traffic_types[],2,FALSE)</f>
        <v>#N/A</v>
      </c>
    </row>
    <row r="32" spans="1:23" hidden="1" x14ac:dyDescent="0.6">
      <c r="A32" t="s">
        <v>59</v>
      </c>
      <c r="B32">
        <v>5450</v>
      </c>
      <c r="C32" t="s">
        <v>53</v>
      </c>
      <c r="D32">
        <v>2633</v>
      </c>
      <c r="E32">
        <v>13</v>
      </c>
      <c r="F32">
        <v>2614</v>
      </c>
      <c r="G32">
        <v>6</v>
      </c>
      <c r="H32">
        <v>386</v>
      </c>
      <c r="I32">
        <v>7</v>
      </c>
      <c r="J32">
        <v>2228</v>
      </c>
      <c r="K32">
        <v>129.88553099999999</v>
      </c>
      <c r="L32">
        <v>9.9490170000000298</v>
      </c>
      <c r="M32">
        <v>310.38242270568003</v>
      </c>
      <c r="N32">
        <v>1791.5337766535099</v>
      </c>
      <c r="O32" s="8" t="str">
        <f>formatIP(Table1[[#This Row],[Address A]])</f>
        <v>010.011.001.014</v>
      </c>
      <c r="P32" s="8" t="str">
        <f>formatIP(Table1[[#This Row],[Address B]])</f>
        <v>010.012.000.001</v>
      </c>
      <c r="Q32" s="8" t="e">
        <f>VLOOKUP(Table1[[#This Row],[Address A]],IP_Master[],4,FALSE)</f>
        <v>#N/A</v>
      </c>
      <c r="R32" s="8" t="str">
        <f>VLOOKUP(Table1[[#This Row],[Address B]],IP_Master[],4,FALSE)</f>
        <v>PPPCFC1</v>
      </c>
      <c r="S32" s="8" t="e">
        <f>VLOOKUP(Table1[[#This Row],[Address A]],IP_Master[],2,FALSE)</f>
        <v>#N/A</v>
      </c>
      <c r="T32" s="8" t="str">
        <f>VLOOKUP(Table1[[#This Row],[Address B]],IP_Master[],2,FALSE)</f>
        <v>Fume Control</v>
      </c>
      <c r="U32" s="9" t="e">
        <f>VLOOKUP(Table1[[#This Row],[Address A]],IP_Master[],3,FALSE)</f>
        <v>#N/A</v>
      </c>
      <c r="V32" s="9" t="str">
        <f>VLOOKUP(Table1[[#This Row],[Address B]],IP_Master[],3,FALSE)</f>
        <v>iFIX Nodes &amp; Ethernet Switches</v>
      </c>
      <c r="W32" s="9" t="e">
        <f>VLOOKUP(Table1[[#This Row],[Port B]],traffic_types[],2,FALSE)</f>
        <v>#N/A</v>
      </c>
    </row>
    <row r="33" spans="1:23" hidden="1" x14ac:dyDescent="0.6">
      <c r="A33" t="s">
        <v>59</v>
      </c>
      <c r="B33">
        <v>5450</v>
      </c>
      <c r="C33" t="s">
        <v>53</v>
      </c>
      <c r="D33">
        <v>2644</v>
      </c>
      <c r="E33">
        <v>14</v>
      </c>
      <c r="F33">
        <v>2680</v>
      </c>
      <c r="G33">
        <v>6</v>
      </c>
      <c r="H33">
        <v>386</v>
      </c>
      <c r="I33">
        <v>8</v>
      </c>
      <c r="J33">
        <v>2294</v>
      </c>
      <c r="K33">
        <v>139.89819900000001</v>
      </c>
      <c r="L33">
        <v>9.9369570000000103</v>
      </c>
      <c r="M33">
        <v>310.75911871209598</v>
      </c>
      <c r="N33">
        <v>1846.84305265686</v>
      </c>
      <c r="O33" s="8" t="str">
        <f>formatIP(Table1[[#This Row],[Address A]])</f>
        <v>010.011.001.014</v>
      </c>
      <c r="P33" s="8" t="str">
        <f>formatIP(Table1[[#This Row],[Address B]])</f>
        <v>010.012.000.001</v>
      </c>
      <c r="Q33" s="8" t="e">
        <f>VLOOKUP(Table1[[#This Row],[Address A]],IP_Master[],4,FALSE)</f>
        <v>#N/A</v>
      </c>
      <c r="R33" s="8" t="str">
        <f>VLOOKUP(Table1[[#This Row],[Address B]],IP_Master[],4,FALSE)</f>
        <v>PPPCFC1</v>
      </c>
      <c r="S33" s="8" t="e">
        <f>VLOOKUP(Table1[[#This Row],[Address A]],IP_Master[],2,FALSE)</f>
        <v>#N/A</v>
      </c>
      <c r="T33" s="8" t="str">
        <f>VLOOKUP(Table1[[#This Row],[Address B]],IP_Master[],2,FALSE)</f>
        <v>Fume Control</v>
      </c>
      <c r="U33" s="9" t="e">
        <f>VLOOKUP(Table1[[#This Row],[Address A]],IP_Master[],3,FALSE)</f>
        <v>#N/A</v>
      </c>
      <c r="V33" s="9" t="str">
        <f>VLOOKUP(Table1[[#This Row],[Address B]],IP_Master[],3,FALSE)</f>
        <v>iFIX Nodes &amp; Ethernet Switches</v>
      </c>
      <c r="W33" s="9" t="e">
        <f>VLOOKUP(Table1[[#This Row],[Port B]],traffic_types[],2,FALSE)</f>
        <v>#N/A</v>
      </c>
    </row>
    <row r="34" spans="1:23" hidden="1" x14ac:dyDescent="0.6">
      <c r="A34" t="s">
        <v>59</v>
      </c>
      <c r="B34">
        <v>5450</v>
      </c>
      <c r="C34" t="s">
        <v>53</v>
      </c>
      <c r="D34">
        <v>2645</v>
      </c>
      <c r="E34">
        <v>12</v>
      </c>
      <c r="F34">
        <v>2560</v>
      </c>
      <c r="G34">
        <v>5</v>
      </c>
      <c r="H34">
        <v>326</v>
      </c>
      <c r="I34">
        <v>7</v>
      </c>
      <c r="J34">
        <v>2234</v>
      </c>
      <c r="K34">
        <v>149.90254200000001</v>
      </c>
      <c r="L34">
        <v>9.9324130000000004</v>
      </c>
      <c r="M34">
        <v>262.57466337736901</v>
      </c>
      <c r="N34">
        <v>1799.3613435124</v>
      </c>
      <c r="O34" s="8" t="str">
        <f>formatIP(Table1[[#This Row],[Address A]])</f>
        <v>010.011.001.014</v>
      </c>
      <c r="P34" s="8" t="str">
        <f>formatIP(Table1[[#This Row],[Address B]])</f>
        <v>010.012.000.001</v>
      </c>
      <c r="Q34" s="8" t="e">
        <f>VLOOKUP(Table1[[#This Row],[Address A]],IP_Master[],4,FALSE)</f>
        <v>#N/A</v>
      </c>
      <c r="R34" s="8" t="str">
        <f>VLOOKUP(Table1[[#This Row],[Address B]],IP_Master[],4,FALSE)</f>
        <v>PPPCFC1</v>
      </c>
      <c r="S34" s="8" t="e">
        <f>VLOOKUP(Table1[[#This Row],[Address A]],IP_Master[],2,FALSE)</f>
        <v>#N/A</v>
      </c>
      <c r="T34" s="8" t="str">
        <f>VLOOKUP(Table1[[#This Row],[Address B]],IP_Master[],2,FALSE)</f>
        <v>Fume Control</v>
      </c>
      <c r="U34" s="9" t="e">
        <f>VLOOKUP(Table1[[#This Row],[Address A]],IP_Master[],3,FALSE)</f>
        <v>#N/A</v>
      </c>
      <c r="V34" s="9" t="str">
        <f>VLOOKUP(Table1[[#This Row],[Address B]],IP_Master[],3,FALSE)</f>
        <v>iFIX Nodes &amp; Ethernet Switches</v>
      </c>
      <c r="W34" s="9" t="e">
        <f>VLOOKUP(Table1[[#This Row],[Port B]],traffic_types[],2,FALSE)</f>
        <v>#N/A</v>
      </c>
    </row>
    <row r="35" spans="1:23" hidden="1" x14ac:dyDescent="0.6">
      <c r="A35" t="s">
        <v>59</v>
      </c>
      <c r="B35">
        <v>5450</v>
      </c>
      <c r="C35" t="s">
        <v>53</v>
      </c>
      <c r="D35">
        <v>2649</v>
      </c>
      <c r="E35">
        <v>14</v>
      </c>
      <c r="F35">
        <v>2680</v>
      </c>
      <c r="G35">
        <v>6</v>
      </c>
      <c r="H35">
        <v>386</v>
      </c>
      <c r="I35">
        <v>8</v>
      </c>
      <c r="J35">
        <v>2294</v>
      </c>
      <c r="K35">
        <v>159.90230500000001</v>
      </c>
      <c r="L35">
        <v>9.9339519999999801</v>
      </c>
      <c r="M35">
        <v>310.85312270484201</v>
      </c>
      <c r="N35">
        <v>1847.4017188728201</v>
      </c>
      <c r="O35" s="8" t="str">
        <f>formatIP(Table1[[#This Row],[Address A]])</f>
        <v>010.011.001.014</v>
      </c>
      <c r="P35" s="8" t="str">
        <f>formatIP(Table1[[#This Row],[Address B]])</f>
        <v>010.012.000.001</v>
      </c>
      <c r="Q35" s="8" t="e">
        <f>VLOOKUP(Table1[[#This Row],[Address A]],IP_Master[],4,FALSE)</f>
        <v>#N/A</v>
      </c>
      <c r="R35" s="8" t="str">
        <f>VLOOKUP(Table1[[#This Row],[Address B]],IP_Master[],4,FALSE)</f>
        <v>PPPCFC1</v>
      </c>
      <c r="S35" s="8" t="e">
        <f>VLOOKUP(Table1[[#This Row],[Address A]],IP_Master[],2,FALSE)</f>
        <v>#N/A</v>
      </c>
      <c r="T35" s="8" t="str">
        <f>VLOOKUP(Table1[[#This Row],[Address B]],IP_Master[],2,FALSE)</f>
        <v>Fume Control</v>
      </c>
      <c r="U35" s="9" t="e">
        <f>VLOOKUP(Table1[[#This Row],[Address A]],IP_Master[],3,FALSE)</f>
        <v>#N/A</v>
      </c>
      <c r="V35" s="9" t="str">
        <f>VLOOKUP(Table1[[#This Row],[Address B]],IP_Master[],3,FALSE)</f>
        <v>iFIX Nodes &amp; Ethernet Switches</v>
      </c>
      <c r="W35" s="9" t="e">
        <f>VLOOKUP(Table1[[#This Row],[Port B]],traffic_types[],2,FALSE)</f>
        <v>#N/A</v>
      </c>
    </row>
    <row r="36" spans="1:23" hidden="1" x14ac:dyDescent="0.6">
      <c r="A36" t="s">
        <v>59</v>
      </c>
      <c r="B36">
        <v>5450</v>
      </c>
      <c r="C36" t="s">
        <v>53</v>
      </c>
      <c r="D36">
        <v>2663</v>
      </c>
      <c r="E36">
        <v>11</v>
      </c>
      <c r="F36">
        <v>2500</v>
      </c>
      <c r="G36">
        <v>5</v>
      </c>
      <c r="H36">
        <v>326</v>
      </c>
      <c r="I36">
        <v>6</v>
      </c>
      <c r="J36">
        <v>2174</v>
      </c>
      <c r="K36">
        <v>171.19244399999999</v>
      </c>
      <c r="L36">
        <v>8.6350309999999997</v>
      </c>
      <c r="M36">
        <v>302.02555150062602</v>
      </c>
      <c r="N36">
        <v>2014.1213158354601</v>
      </c>
      <c r="O36" s="8" t="str">
        <f>formatIP(Table1[[#This Row],[Address A]])</f>
        <v>010.011.001.014</v>
      </c>
      <c r="P36" s="8" t="str">
        <f>formatIP(Table1[[#This Row],[Address B]])</f>
        <v>010.012.000.001</v>
      </c>
      <c r="Q36" s="8" t="e">
        <f>VLOOKUP(Table1[[#This Row],[Address A]],IP_Master[],4,FALSE)</f>
        <v>#N/A</v>
      </c>
      <c r="R36" s="8" t="str">
        <f>VLOOKUP(Table1[[#This Row],[Address B]],IP_Master[],4,FALSE)</f>
        <v>PPPCFC1</v>
      </c>
      <c r="S36" s="8" t="e">
        <f>VLOOKUP(Table1[[#This Row],[Address A]],IP_Master[],2,FALSE)</f>
        <v>#N/A</v>
      </c>
      <c r="T36" s="8" t="str">
        <f>VLOOKUP(Table1[[#This Row],[Address B]],IP_Master[],2,FALSE)</f>
        <v>Fume Control</v>
      </c>
      <c r="U36" s="9" t="e">
        <f>VLOOKUP(Table1[[#This Row],[Address A]],IP_Master[],3,FALSE)</f>
        <v>#N/A</v>
      </c>
      <c r="V36" s="9" t="str">
        <f>VLOOKUP(Table1[[#This Row],[Address B]],IP_Master[],3,FALSE)</f>
        <v>iFIX Nodes &amp; Ethernet Switches</v>
      </c>
      <c r="W36" s="9" t="e">
        <f>VLOOKUP(Table1[[#This Row],[Port B]],traffic_types[],2,FALSE)</f>
        <v>#N/A</v>
      </c>
    </row>
    <row r="37" spans="1:23" hidden="1" x14ac:dyDescent="0.6">
      <c r="A37" t="s">
        <v>59</v>
      </c>
      <c r="B37">
        <v>5450</v>
      </c>
      <c r="C37" t="s">
        <v>53</v>
      </c>
      <c r="D37">
        <v>2665</v>
      </c>
      <c r="E37">
        <v>13</v>
      </c>
      <c r="F37">
        <v>2620</v>
      </c>
      <c r="G37">
        <v>6</v>
      </c>
      <c r="H37">
        <v>386</v>
      </c>
      <c r="I37">
        <v>7</v>
      </c>
      <c r="J37">
        <v>2234</v>
      </c>
      <c r="K37">
        <v>179.886764</v>
      </c>
      <c r="L37">
        <v>9.9422350000000108</v>
      </c>
      <c r="M37">
        <v>310.59414709066903</v>
      </c>
      <c r="N37">
        <v>1797.5837424884801</v>
      </c>
      <c r="O37" s="8" t="str">
        <f>formatIP(Table1[[#This Row],[Address A]])</f>
        <v>010.011.001.014</v>
      </c>
      <c r="P37" s="8" t="str">
        <f>formatIP(Table1[[#This Row],[Address B]])</f>
        <v>010.012.000.001</v>
      </c>
      <c r="Q37" s="8" t="e">
        <f>VLOOKUP(Table1[[#This Row],[Address A]],IP_Master[],4,FALSE)</f>
        <v>#N/A</v>
      </c>
      <c r="R37" s="8" t="str">
        <f>VLOOKUP(Table1[[#This Row],[Address B]],IP_Master[],4,FALSE)</f>
        <v>PPPCFC1</v>
      </c>
      <c r="S37" s="8" t="e">
        <f>VLOOKUP(Table1[[#This Row],[Address A]],IP_Master[],2,FALSE)</f>
        <v>#N/A</v>
      </c>
      <c r="T37" s="8" t="str">
        <f>VLOOKUP(Table1[[#This Row],[Address B]],IP_Master[],2,FALSE)</f>
        <v>Fume Control</v>
      </c>
      <c r="U37" s="9" t="e">
        <f>VLOOKUP(Table1[[#This Row],[Address A]],IP_Master[],3,FALSE)</f>
        <v>#N/A</v>
      </c>
      <c r="V37" s="9" t="str">
        <f>VLOOKUP(Table1[[#This Row],[Address B]],IP_Master[],3,FALSE)</f>
        <v>iFIX Nodes &amp; Ethernet Switches</v>
      </c>
      <c r="W37" s="9" t="e">
        <f>VLOOKUP(Table1[[#This Row],[Port B]],traffic_types[],2,FALSE)</f>
        <v>#N/A</v>
      </c>
    </row>
    <row r="38" spans="1:23" hidden="1" x14ac:dyDescent="0.6">
      <c r="A38" t="s">
        <v>59</v>
      </c>
      <c r="B38">
        <v>5450</v>
      </c>
      <c r="C38" t="s">
        <v>53</v>
      </c>
      <c r="D38">
        <v>2667</v>
      </c>
      <c r="E38">
        <v>12</v>
      </c>
      <c r="F38">
        <v>2560</v>
      </c>
      <c r="G38">
        <v>5</v>
      </c>
      <c r="H38">
        <v>326</v>
      </c>
      <c r="I38">
        <v>7</v>
      </c>
      <c r="J38">
        <v>2234</v>
      </c>
      <c r="K38">
        <v>189.888295</v>
      </c>
      <c r="L38">
        <v>9.9409010000000002</v>
      </c>
      <c r="M38">
        <v>262.35046501318101</v>
      </c>
      <c r="N38">
        <v>1797.82496576518</v>
      </c>
      <c r="O38" s="8" t="str">
        <f>formatIP(Table1[[#This Row],[Address A]])</f>
        <v>010.011.001.014</v>
      </c>
      <c r="P38" s="8" t="str">
        <f>formatIP(Table1[[#This Row],[Address B]])</f>
        <v>010.012.000.001</v>
      </c>
      <c r="Q38" s="8" t="e">
        <f>VLOOKUP(Table1[[#This Row],[Address A]],IP_Master[],4,FALSE)</f>
        <v>#N/A</v>
      </c>
      <c r="R38" s="8" t="str">
        <f>VLOOKUP(Table1[[#This Row],[Address B]],IP_Master[],4,FALSE)</f>
        <v>PPPCFC1</v>
      </c>
      <c r="S38" s="8" t="e">
        <f>VLOOKUP(Table1[[#This Row],[Address A]],IP_Master[],2,FALSE)</f>
        <v>#N/A</v>
      </c>
      <c r="T38" s="8" t="str">
        <f>VLOOKUP(Table1[[#This Row],[Address B]],IP_Master[],2,FALSE)</f>
        <v>Fume Control</v>
      </c>
      <c r="U38" s="9" t="e">
        <f>VLOOKUP(Table1[[#This Row],[Address A]],IP_Master[],3,FALSE)</f>
        <v>#N/A</v>
      </c>
      <c r="V38" s="9" t="str">
        <f>VLOOKUP(Table1[[#This Row],[Address B]],IP_Master[],3,FALSE)</f>
        <v>iFIX Nodes &amp; Ethernet Switches</v>
      </c>
      <c r="W38" s="9" t="e">
        <f>VLOOKUP(Table1[[#This Row],[Port B]],traffic_types[],2,FALSE)</f>
        <v>#N/A</v>
      </c>
    </row>
    <row r="39" spans="1:23" hidden="1" x14ac:dyDescent="0.6">
      <c r="A39" t="s">
        <v>59</v>
      </c>
      <c r="B39">
        <v>5450</v>
      </c>
      <c r="C39" t="s">
        <v>53</v>
      </c>
      <c r="D39">
        <v>2682</v>
      </c>
      <c r="E39">
        <v>12</v>
      </c>
      <c r="F39">
        <v>2560</v>
      </c>
      <c r="G39">
        <v>5</v>
      </c>
      <c r="H39">
        <v>326</v>
      </c>
      <c r="I39">
        <v>7</v>
      </c>
      <c r="J39">
        <v>2234</v>
      </c>
      <c r="K39">
        <v>199.88744700000001</v>
      </c>
      <c r="L39">
        <v>9.9421429999999908</v>
      </c>
      <c r="M39">
        <v>262.31769146752401</v>
      </c>
      <c r="N39">
        <v>1797.60037649831</v>
      </c>
      <c r="O39" s="8" t="str">
        <f>formatIP(Table1[[#This Row],[Address A]])</f>
        <v>010.011.001.014</v>
      </c>
      <c r="P39" s="8" t="str">
        <f>formatIP(Table1[[#This Row],[Address B]])</f>
        <v>010.012.000.001</v>
      </c>
      <c r="Q39" s="8" t="e">
        <f>VLOOKUP(Table1[[#This Row],[Address A]],IP_Master[],4,FALSE)</f>
        <v>#N/A</v>
      </c>
      <c r="R39" s="8" t="str">
        <f>VLOOKUP(Table1[[#This Row],[Address B]],IP_Master[],4,FALSE)</f>
        <v>PPPCFC1</v>
      </c>
      <c r="S39" s="8" t="e">
        <f>VLOOKUP(Table1[[#This Row],[Address A]],IP_Master[],2,FALSE)</f>
        <v>#N/A</v>
      </c>
      <c r="T39" s="8" t="str">
        <f>VLOOKUP(Table1[[#This Row],[Address B]],IP_Master[],2,FALSE)</f>
        <v>Fume Control</v>
      </c>
      <c r="U39" s="9" t="e">
        <f>VLOOKUP(Table1[[#This Row],[Address A]],IP_Master[],3,FALSE)</f>
        <v>#N/A</v>
      </c>
      <c r="V39" s="9" t="str">
        <f>VLOOKUP(Table1[[#This Row],[Address B]],IP_Master[],3,FALSE)</f>
        <v>iFIX Nodes &amp; Ethernet Switches</v>
      </c>
      <c r="W39" s="9" t="e">
        <f>VLOOKUP(Table1[[#This Row],[Port B]],traffic_types[],2,FALSE)</f>
        <v>#N/A</v>
      </c>
    </row>
    <row r="40" spans="1:23" hidden="1" x14ac:dyDescent="0.6">
      <c r="A40" t="s">
        <v>59</v>
      </c>
      <c r="B40">
        <v>5450</v>
      </c>
      <c r="C40" t="s">
        <v>53</v>
      </c>
      <c r="D40">
        <v>2684</v>
      </c>
      <c r="E40">
        <v>17</v>
      </c>
      <c r="F40">
        <v>3053</v>
      </c>
      <c r="G40">
        <v>8</v>
      </c>
      <c r="H40">
        <v>506</v>
      </c>
      <c r="I40">
        <v>9</v>
      </c>
      <c r="J40">
        <v>2547</v>
      </c>
      <c r="K40">
        <v>209.88974200000001</v>
      </c>
      <c r="L40">
        <v>9.9400569999999995</v>
      </c>
      <c r="M40">
        <v>407.24112547845601</v>
      </c>
      <c r="N40">
        <v>2049.8876414893798</v>
      </c>
      <c r="O40" s="8" t="str">
        <f>formatIP(Table1[[#This Row],[Address A]])</f>
        <v>010.011.001.014</v>
      </c>
      <c r="P40" s="8" t="str">
        <f>formatIP(Table1[[#This Row],[Address B]])</f>
        <v>010.012.000.001</v>
      </c>
      <c r="Q40" s="8" t="e">
        <f>VLOOKUP(Table1[[#This Row],[Address A]],IP_Master[],4,FALSE)</f>
        <v>#N/A</v>
      </c>
      <c r="R40" s="8" t="str">
        <f>VLOOKUP(Table1[[#This Row],[Address B]],IP_Master[],4,FALSE)</f>
        <v>PPPCFC1</v>
      </c>
      <c r="S40" s="8" t="e">
        <f>VLOOKUP(Table1[[#This Row],[Address A]],IP_Master[],2,FALSE)</f>
        <v>#N/A</v>
      </c>
      <c r="T40" s="8" t="str">
        <f>VLOOKUP(Table1[[#This Row],[Address B]],IP_Master[],2,FALSE)</f>
        <v>Fume Control</v>
      </c>
      <c r="U40" s="9" t="e">
        <f>VLOOKUP(Table1[[#This Row],[Address A]],IP_Master[],3,FALSE)</f>
        <v>#N/A</v>
      </c>
      <c r="V40" s="9" t="str">
        <f>VLOOKUP(Table1[[#This Row],[Address B]],IP_Master[],3,FALSE)</f>
        <v>iFIX Nodes &amp; Ethernet Switches</v>
      </c>
      <c r="W40" s="9" t="e">
        <f>VLOOKUP(Table1[[#This Row],[Port B]],traffic_types[],2,FALSE)</f>
        <v>#N/A</v>
      </c>
    </row>
    <row r="41" spans="1:23" hidden="1" x14ac:dyDescent="0.6">
      <c r="A41" t="s">
        <v>59</v>
      </c>
      <c r="B41">
        <v>5450</v>
      </c>
      <c r="C41" t="s">
        <v>53</v>
      </c>
      <c r="D41">
        <v>2686</v>
      </c>
      <c r="E41">
        <v>14</v>
      </c>
      <c r="F41">
        <v>2680</v>
      </c>
      <c r="G41">
        <v>6</v>
      </c>
      <c r="H41">
        <v>386</v>
      </c>
      <c r="I41">
        <v>8</v>
      </c>
      <c r="J41">
        <v>2294</v>
      </c>
      <c r="K41">
        <v>219.89132599999999</v>
      </c>
      <c r="L41">
        <v>9.9478830000000205</v>
      </c>
      <c r="M41">
        <v>310.41780447156401</v>
      </c>
      <c r="N41">
        <v>1844.8146203569099</v>
      </c>
      <c r="O41" s="8" t="str">
        <f>formatIP(Table1[[#This Row],[Address A]])</f>
        <v>010.011.001.014</v>
      </c>
      <c r="P41" s="8" t="str">
        <f>formatIP(Table1[[#This Row],[Address B]])</f>
        <v>010.012.000.001</v>
      </c>
      <c r="Q41" s="8" t="e">
        <f>VLOOKUP(Table1[[#This Row],[Address A]],IP_Master[],4,FALSE)</f>
        <v>#N/A</v>
      </c>
      <c r="R41" s="8" t="str">
        <f>VLOOKUP(Table1[[#This Row],[Address B]],IP_Master[],4,FALSE)</f>
        <v>PPPCFC1</v>
      </c>
      <c r="S41" s="8" t="e">
        <f>VLOOKUP(Table1[[#This Row],[Address A]],IP_Master[],2,FALSE)</f>
        <v>#N/A</v>
      </c>
      <c r="T41" s="8" t="str">
        <f>VLOOKUP(Table1[[#This Row],[Address B]],IP_Master[],2,FALSE)</f>
        <v>Fume Control</v>
      </c>
      <c r="U41" s="9" t="e">
        <f>VLOOKUP(Table1[[#This Row],[Address A]],IP_Master[],3,FALSE)</f>
        <v>#N/A</v>
      </c>
      <c r="V41" s="9" t="str">
        <f>VLOOKUP(Table1[[#This Row],[Address B]],IP_Master[],3,FALSE)</f>
        <v>iFIX Nodes &amp; Ethernet Switches</v>
      </c>
      <c r="W41" s="9" t="e">
        <f>VLOOKUP(Table1[[#This Row],[Port B]],traffic_types[],2,FALSE)</f>
        <v>#N/A</v>
      </c>
    </row>
    <row r="42" spans="1:23" hidden="1" x14ac:dyDescent="0.6">
      <c r="A42" t="s">
        <v>59</v>
      </c>
      <c r="B42">
        <v>5450</v>
      </c>
      <c r="C42" t="s">
        <v>53</v>
      </c>
      <c r="D42">
        <v>2695</v>
      </c>
      <c r="E42">
        <v>14</v>
      </c>
      <c r="F42">
        <v>2680</v>
      </c>
      <c r="G42">
        <v>6</v>
      </c>
      <c r="H42">
        <v>386</v>
      </c>
      <c r="I42">
        <v>8</v>
      </c>
      <c r="J42">
        <v>2294</v>
      </c>
      <c r="K42">
        <v>229.94118</v>
      </c>
      <c r="L42">
        <v>9.88408200000001</v>
      </c>
      <c r="M42">
        <v>312.421527866725</v>
      </c>
      <c r="N42">
        <v>1856.7227588763401</v>
      </c>
      <c r="O42" s="8" t="str">
        <f>formatIP(Table1[[#This Row],[Address A]])</f>
        <v>010.011.001.014</v>
      </c>
      <c r="P42" s="8" t="str">
        <f>formatIP(Table1[[#This Row],[Address B]])</f>
        <v>010.012.000.001</v>
      </c>
      <c r="Q42" s="8" t="e">
        <f>VLOOKUP(Table1[[#This Row],[Address A]],IP_Master[],4,FALSE)</f>
        <v>#N/A</v>
      </c>
      <c r="R42" s="8" t="str">
        <f>VLOOKUP(Table1[[#This Row],[Address B]],IP_Master[],4,FALSE)</f>
        <v>PPPCFC1</v>
      </c>
      <c r="S42" s="8" t="e">
        <f>VLOOKUP(Table1[[#This Row],[Address A]],IP_Master[],2,FALSE)</f>
        <v>#N/A</v>
      </c>
      <c r="T42" s="8" t="str">
        <f>VLOOKUP(Table1[[#This Row],[Address B]],IP_Master[],2,FALSE)</f>
        <v>Fume Control</v>
      </c>
      <c r="U42" s="9" t="e">
        <f>VLOOKUP(Table1[[#This Row],[Address A]],IP_Master[],3,FALSE)</f>
        <v>#N/A</v>
      </c>
      <c r="V42" s="9" t="str">
        <f>VLOOKUP(Table1[[#This Row],[Address B]],IP_Master[],3,FALSE)</f>
        <v>iFIX Nodes &amp; Ethernet Switches</v>
      </c>
      <c r="W42" s="9" t="e">
        <f>VLOOKUP(Table1[[#This Row],[Port B]],traffic_types[],2,FALSE)</f>
        <v>#N/A</v>
      </c>
    </row>
    <row r="43" spans="1:23" hidden="1" x14ac:dyDescent="0.6">
      <c r="A43" t="s">
        <v>59</v>
      </c>
      <c r="B43">
        <v>5450</v>
      </c>
      <c r="C43" t="s">
        <v>53</v>
      </c>
      <c r="D43">
        <v>2703</v>
      </c>
      <c r="E43">
        <v>12</v>
      </c>
      <c r="F43">
        <v>2560</v>
      </c>
      <c r="G43">
        <v>5</v>
      </c>
      <c r="H43">
        <v>326</v>
      </c>
      <c r="I43">
        <v>7</v>
      </c>
      <c r="J43">
        <v>2234</v>
      </c>
      <c r="K43">
        <v>239.90909400000001</v>
      </c>
      <c r="L43">
        <v>9.9215160000000004</v>
      </c>
      <c r="M43">
        <v>262.863054396123</v>
      </c>
      <c r="N43">
        <v>1801.3376181623901</v>
      </c>
      <c r="O43" s="8" t="str">
        <f>formatIP(Table1[[#This Row],[Address A]])</f>
        <v>010.011.001.014</v>
      </c>
      <c r="P43" s="8" t="str">
        <f>formatIP(Table1[[#This Row],[Address B]])</f>
        <v>010.012.000.001</v>
      </c>
      <c r="Q43" s="8" t="e">
        <f>VLOOKUP(Table1[[#This Row],[Address A]],IP_Master[],4,FALSE)</f>
        <v>#N/A</v>
      </c>
      <c r="R43" s="8" t="str">
        <f>VLOOKUP(Table1[[#This Row],[Address B]],IP_Master[],4,FALSE)</f>
        <v>PPPCFC1</v>
      </c>
      <c r="S43" s="8" t="e">
        <f>VLOOKUP(Table1[[#This Row],[Address A]],IP_Master[],2,FALSE)</f>
        <v>#N/A</v>
      </c>
      <c r="T43" s="8" t="str">
        <f>VLOOKUP(Table1[[#This Row],[Address B]],IP_Master[],2,FALSE)</f>
        <v>Fume Control</v>
      </c>
      <c r="U43" s="9" t="e">
        <f>VLOOKUP(Table1[[#This Row],[Address A]],IP_Master[],3,FALSE)</f>
        <v>#N/A</v>
      </c>
      <c r="V43" s="9" t="str">
        <f>VLOOKUP(Table1[[#This Row],[Address B]],IP_Master[],3,FALSE)</f>
        <v>iFIX Nodes &amp; Ethernet Switches</v>
      </c>
      <c r="W43" s="9" t="e">
        <f>VLOOKUP(Table1[[#This Row],[Port B]],traffic_types[],2,FALSE)</f>
        <v>#N/A</v>
      </c>
    </row>
    <row r="44" spans="1:23" hidden="1" x14ac:dyDescent="0.6">
      <c r="A44" t="s">
        <v>59</v>
      </c>
      <c r="B44">
        <v>5450</v>
      </c>
      <c r="C44" t="s">
        <v>53</v>
      </c>
      <c r="D44">
        <v>2706</v>
      </c>
      <c r="E44">
        <v>12</v>
      </c>
      <c r="F44">
        <v>2560</v>
      </c>
      <c r="G44">
        <v>5</v>
      </c>
      <c r="H44">
        <v>326</v>
      </c>
      <c r="I44">
        <v>7</v>
      </c>
      <c r="J44">
        <v>2234</v>
      </c>
      <c r="K44">
        <v>249.886021</v>
      </c>
      <c r="L44">
        <v>9.9448030000000092</v>
      </c>
      <c r="M44">
        <v>262.24752767852698</v>
      </c>
      <c r="N44">
        <v>1797.1195608399701</v>
      </c>
      <c r="O44" s="8" t="str">
        <f>formatIP(Table1[[#This Row],[Address A]])</f>
        <v>010.011.001.014</v>
      </c>
      <c r="P44" s="8" t="str">
        <f>formatIP(Table1[[#This Row],[Address B]])</f>
        <v>010.012.000.001</v>
      </c>
      <c r="Q44" s="8" t="e">
        <f>VLOOKUP(Table1[[#This Row],[Address A]],IP_Master[],4,FALSE)</f>
        <v>#N/A</v>
      </c>
      <c r="R44" s="8" t="str">
        <f>VLOOKUP(Table1[[#This Row],[Address B]],IP_Master[],4,FALSE)</f>
        <v>PPPCFC1</v>
      </c>
      <c r="S44" s="8" t="e">
        <f>VLOOKUP(Table1[[#This Row],[Address A]],IP_Master[],2,FALSE)</f>
        <v>#N/A</v>
      </c>
      <c r="T44" s="8" t="str">
        <f>VLOOKUP(Table1[[#This Row],[Address B]],IP_Master[],2,FALSE)</f>
        <v>Fume Control</v>
      </c>
      <c r="U44" s="9" t="e">
        <f>VLOOKUP(Table1[[#This Row],[Address A]],IP_Master[],3,FALSE)</f>
        <v>#N/A</v>
      </c>
      <c r="V44" s="9" t="str">
        <f>VLOOKUP(Table1[[#This Row],[Address B]],IP_Master[],3,FALSE)</f>
        <v>iFIX Nodes &amp; Ethernet Switches</v>
      </c>
      <c r="W44" s="9" t="e">
        <f>VLOOKUP(Table1[[#This Row],[Port B]],traffic_types[],2,FALSE)</f>
        <v>#N/A</v>
      </c>
    </row>
    <row r="45" spans="1:23" hidden="1" x14ac:dyDescent="0.6">
      <c r="A45" t="s">
        <v>59</v>
      </c>
      <c r="B45">
        <v>5450</v>
      </c>
      <c r="C45" t="s">
        <v>53</v>
      </c>
      <c r="D45">
        <v>2708</v>
      </c>
      <c r="E45">
        <v>12</v>
      </c>
      <c r="F45">
        <v>2560</v>
      </c>
      <c r="G45">
        <v>5</v>
      </c>
      <c r="H45">
        <v>326</v>
      </c>
      <c r="I45">
        <v>7</v>
      </c>
      <c r="J45">
        <v>2234</v>
      </c>
      <c r="K45">
        <v>259.89214900000002</v>
      </c>
      <c r="L45">
        <v>9.9385309999999496</v>
      </c>
      <c r="M45">
        <v>262.41302663341401</v>
      </c>
      <c r="N45">
        <v>1798.2536855799001</v>
      </c>
      <c r="O45" s="8" t="str">
        <f>formatIP(Table1[[#This Row],[Address A]])</f>
        <v>010.011.001.014</v>
      </c>
      <c r="P45" s="8" t="str">
        <f>formatIP(Table1[[#This Row],[Address B]])</f>
        <v>010.012.000.001</v>
      </c>
      <c r="Q45" s="8" t="e">
        <f>VLOOKUP(Table1[[#This Row],[Address A]],IP_Master[],4,FALSE)</f>
        <v>#N/A</v>
      </c>
      <c r="R45" s="8" t="str">
        <f>VLOOKUP(Table1[[#This Row],[Address B]],IP_Master[],4,FALSE)</f>
        <v>PPPCFC1</v>
      </c>
      <c r="S45" s="8" t="e">
        <f>VLOOKUP(Table1[[#This Row],[Address A]],IP_Master[],2,FALSE)</f>
        <v>#N/A</v>
      </c>
      <c r="T45" s="8" t="str">
        <f>VLOOKUP(Table1[[#This Row],[Address B]],IP_Master[],2,FALSE)</f>
        <v>Fume Control</v>
      </c>
      <c r="U45" s="9" t="e">
        <f>VLOOKUP(Table1[[#This Row],[Address A]],IP_Master[],3,FALSE)</f>
        <v>#N/A</v>
      </c>
      <c r="V45" s="9" t="str">
        <f>VLOOKUP(Table1[[#This Row],[Address B]],IP_Master[],3,FALSE)</f>
        <v>iFIX Nodes &amp; Ethernet Switches</v>
      </c>
      <c r="W45" s="9" t="e">
        <f>VLOOKUP(Table1[[#This Row],[Port B]],traffic_types[],2,FALSE)</f>
        <v>#N/A</v>
      </c>
    </row>
    <row r="46" spans="1:23" hidden="1" x14ac:dyDescent="0.6">
      <c r="A46" t="s">
        <v>59</v>
      </c>
      <c r="B46">
        <v>5450</v>
      </c>
      <c r="C46" t="s">
        <v>53</v>
      </c>
      <c r="D46">
        <v>2723</v>
      </c>
      <c r="E46">
        <v>12</v>
      </c>
      <c r="F46">
        <v>2560</v>
      </c>
      <c r="G46">
        <v>5</v>
      </c>
      <c r="H46">
        <v>326</v>
      </c>
      <c r="I46">
        <v>7</v>
      </c>
      <c r="J46">
        <v>2234</v>
      </c>
      <c r="K46">
        <v>271.086476</v>
      </c>
      <c r="L46">
        <v>8.7392830000000004</v>
      </c>
      <c r="M46">
        <v>298.42265091999002</v>
      </c>
      <c r="N46">
        <v>2045.0190250161299</v>
      </c>
      <c r="O46" s="8" t="str">
        <f>formatIP(Table1[[#This Row],[Address A]])</f>
        <v>010.011.001.014</v>
      </c>
      <c r="P46" s="8" t="str">
        <f>formatIP(Table1[[#This Row],[Address B]])</f>
        <v>010.012.000.001</v>
      </c>
      <c r="Q46" s="8" t="e">
        <f>VLOOKUP(Table1[[#This Row],[Address A]],IP_Master[],4,FALSE)</f>
        <v>#N/A</v>
      </c>
      <c r="R46" s="8" t="str">
        <f>VLOOKUP(Table1[[#This Row],[Address B]],IP_Master[],4,FALSE)</f>
        <v>PPPCFC1</v>
      </c>
      <c r="S46" s="8" t="e">
        <f>VLOOKUP(Table1[[#This Row],[Address A]],IP_Master[],2,FALSE)</f>
        <v>#N/A</v>
      </c>
      <c r="T46" s="8" t="str">
        <f>VLOOKUP(Table1[[#This Row],[Address B]],IP_Master[],2,FALSE)</f>
        <v>Fume Control</v>
      </c>
      <c r="U46" s="9" t="e">
        <f>VLOOKUP(Table1[[#This Row],[Address A]],IP_Master[],3,FALSE)</f>
        <v>#N/A</v>
      </c>
      <c r="V46" s="9" t="str">
        <f>VLOOKUP(Table1[[#This Row],[Address B]],IP_Master[],3,FALSE)</f>
        <v>iFIX Nodes &amp; Ethernet Switches</v>
      </c>
      <c r="W46" s="9" t="e">
        <f>VLOOKUP(Table1[[#This Row],[Port B]],traffic_types[],2,FALSE)</f>
        <v>#N/A</v>
      </c>
    </row>
    <row r="47" spans="1:23" hidden="1" x14ac:dyDescent="0.6">
      <c r="A47" t="s">
        <v>59</v>
      </c>
      <c r="B47">
        <v>5450</v>
      </c>
      <c r="C47" t="s">
        <v>53</v>
      </c>
      <c r="D47">
        <v>2725</v>
      </c>
      <c r="E47">
        <v>12</v>
      </c>
      <c r="F47">
        <v>2560</v>
      </c>
      <c r="G47">
        <v>5</v>
      </c>
      <c r="H47">
        <v>326</v>
      </c>
      <c r="I47">
        <v>7</v>
      </c>
      <c r="J47">
        <v>2234</v>
      </c>
      <c r="K47">
        <v>279.880943</v>
      </c>
      <c r="L47">
        <v>9.9483690000000102</v>
      </c>
      <c r="M47">
        <v>262.15352486422597</v>
      </c>
      <c r="N47">
        <v>1796.4753820450301</v>
      </c>
      <c r="O47" s="8" t="str">
        <f>formatIP(Table1[[#This Row],[Address A]])</f>
        <v>010.011.001.014</v>
      </c>
      <c r="P47" s="8" t="str">
        <f>formatIP(Table1[[#This Row],[Address B]])</f>
        <v>010.012.000.001</v>
      </c>
      <c r="Q47" s="8" t="e">
        <f>VLOOKUP(Table1[[#This Row],[Address A]],IP_Master[],4,FALSE)</f>
        <v>#N/A</v>
      </c>
      <c r="R47" s="8" t="str">
        <f>VLOOKUP(Table1[[#This Row],[Address B]],IP_Master[],4,FALSE)</f>
        <v>PPPCFC1</v>
      </c>
      <c r="S47" s="8" t="e">
        <f>VLOOKUP(Table1[[#This Row],[Address A]],IP_Master[],2,FALSE)</f>
        <v>#N/A</v>
      </c>
      <c r="T47" s="8" t="str">
        <f>VLOOKUP(Table1[[#This Row],[Address B]],IP_Master[],2,FALSE)</f>
        <v>Fume Control</v>
      </c>
      <c r="U47" s="9" t="e">
        <f>VLOOKUP(Table1[[#This Row],[Address A]],IP_Master[],3,FALSE)</f>
        <v>#N/A</v>
      </c>
      <c r="V47" s="9" t="str">
        <f>VLOOKUP(Table1[[#This Row],[Address B]],IP_Master[],3,FALSE)</f>
        <v>iFIX Nodes &amp; Ethernet Switches</v>
      </c>
      <c r="W47" s="9" t="e">
        <f>VLOOKUP(Table1[[#This Row],[Port B]],traffic_types[],2,FALSE)</f>
        <v>#N/A</v>
      </c>
    </row>
    <row r="48" spans="1:23" hidden="1" x14ac:dyDescent="0.6">
      <c r="A48" t="s">
        <v>59</v>
      </c>
      <c r="B48">
        <v>5450</v>
      </c>
      <c r="C48" t="s">
        <v>53</v>
      </c>
      <c r="D48">
        <v>2728</v>
      </c>
      <c r="E48">
        <v>14</v>
      </c>
      <c r="F48">
        <v>2680</v>
      </c>
      <c r="G48">
        <v>6</v>
      </c>
      <c r="H48">
        <v>386</v>
      </c>
      <c r="I48">
        <v>8</v>
      </c>
      <c r="J48">
        <v>2294</v>
      </c>
      <c r="K48">
        <v>289.89209199999999</v>
      </c>
      <c r="L48">
        <v>9.9375669999999996</v>
      </c>
      <c r="M48">
        <v>310.74004331241201</v>
      </c>
      <c r="N48">
        <v>1846.7296874577</v>
      </c>
      <c r="O48" s="8" t="str">
        <f>formatIP(Table1[[#This Row],[Address A]])</f>
        <v>010.011.001.014</v>
      </c>
      <c r="P48" s="8" t="str">
        <f>formatIP(Table1[[#This Row],[Address B]])</f>
        <v>010.012.000.001</v>
      </c>
      <c r="Q48" s="8" t="e">
        <f>VLOOKUP(Table1[[#This Row],[Address A]],IP_Master[],4,FALSE)</f>
        <v>#N/A</v>
      </c>
      <c r="R48" s="8" t="str">
        <f>VLOOKUP(Table1[[#This Row],[Address B]],IP_Master[],4,FALSE)</f>
        <v>PPPCFC1</v>
      </c>
      <c r="S48" s="8" t="e">
        <f>VLOOKUP(Table1[[#This Row],[Address A]],IP_Master[],2,FALSE)</f>
        <v>#N/A</v>
      </c>
      <c r="T48" s="8" t="str">
        <f>VLOOKUP(Table1[[#This Row],[Address B]],IP_Master[],2,FALSE)</f>
        <v>Fume Control</v>
      </c>
      <c r="U48" s="9" t="e">
        <f>VLOOKUP(Table1[[#This Row],[Address A]],IP_Master[],3,FALSE)</f>
        <v>#N/A</v>
      </c>
      <c r="V48" s="9" t="str">
        <f>VLOOKUP(Table1[[#This Row],[Address B]],IP_Master[],3,FALSE)</f>
        <v>iFIX Nodes &amp; Ethernet Switches</v>
      </c>
      <c r="W48" s="9" t="e">
        <f>VLOOKUP(Table1[[#This Row],[Port B]],traffic_types[],2,FALSE)</f>
        <v>#N/A</v>
      </c>
    </row>
    <row r="49" spans="1:23" hidden="1" x14ac:dyDescent="0.6">
      <c r="A49" t="s">
        <v>59</v>
      </c>
      <c r="B49">
        <v>5450</v>
      </c>
      <c r="C49" t="s">
        <v>53</v>
      </c>
      <c r="D49">
        <v>2742</v>
      </c>
      <c r="E49">
        <v>14</v>
      </c>
      <c r="F49">
        <v>2680</v>
      </c>
      <c r="G49">
        <v>6</v>
      </c>
      <c r="H49">
        <v>386</v>
      </c>
      <c r="I49">
        <v>8</v>
      </c>
      <c r="J49">
        <v>2294</v>
      </c>
      <c r="K49">
        <v>299.89944800000001</v>
      </c>
      <c r="L49">
        <v>9.9258909999999805</v>
      </c>
      <c r="M49">
        <v>311.10557228565199</v>
      </c>
      <c r="N49">
        <v>1848.9020280396001</v>
      </c>
      <c r="O49" s="8" t="str">
        <f>formatIP(Table1[[#This Row],[Address A]])</f>
        <v>010.011.001.014</v>
      </c>
      <c r="P49" s="8" t="str">
        <f>formatIP(Table1[[#This Row],[Address B]])</f>
        <v>010.012.000.001</v>
      </c>
      <c r="Q49" s="8" t="e">
        <f>VLOOKUP(Table1[[#This Row],[Address A]],IP_Master[],4,FALSE)</f>
        <v>#N/A</v>
      </c>
      <c r="R49" s="8" t="str">
        <f>VLOOKUP(Table1[[#This Row],[Address B]],IP_Master[],4,FALSE)</f>
        <v>PPPCFC1</v>
      </c>
      <c r="S49" s="8" t="e">
        <f>VLOOKUP(Table1[[#This Row],[Address A]],IP_Master[],2,FALSE)</f>
        <v>#N/A</v>
      </c>
      <c r="T49" s="8" t="str">
        <f>VLOOKUP(Table1[[#This Row],[Address B]],IP_Master[],2,FALSE)</f>
        <v>Fume Control</v>
      </c>
      <c r="U49" s="9" t="e">
        <f>VLOOKUP(Table1[[#This Row],[Address A]],IP_Master[],3,FALSE)</f>
        <v>#N/A</v>
      </c>
      <c r="V49" s="9" t="str">
        <f>VLOOKUP(Table1[[#This Row],[Address B]],IP_Master[],3,FALSE)</f>
        <v>iFIX Nodes &amp; Ethernet Switches</v>
      </c>
      <c r="W49" s="9" t="e">
        <f>VLOOKUP(Table1[[#This Row],[Port B]],traffic_types[],2,FALSE)</f>
        <v>#N/A</v>
      </c>
    </row>
    <row r="50" spans="1:23" hidden="1" x14ac:dyDescent="0.6">
      <c r="A50" t="s">
        <v>59</v>
      </c>
      <c r="B50">
        <v>5450</v>
      </c>
      <c r="C50" t="s">
        <v>53</v>
      </c>
      <c r="D50">
        <v>2745</v>
      </c>
      <c r="E50">
        <v>12</v>
      </c>
      <c r="F50">
        <v>2560</v>
      </c>
      <c r="G50">
        <v>5</v>
      </c>
      <c r="H50">
        <v>326</v>
      </c>
      <c r="I50">
        <v>7</v>
      </c>
      <c r="J50">
        <v>2234</v>
      </c>
      <c r="K50">
        <v>309.88874700000002</v>
      </c>
      <c r="L50">
        <v>9.9454899999999498</v>
      </c>
      <c r="M50">
        <v>262.22941252768999</v>
      </c>
      <c r="N50">
        <v>1796.99542204558</v>
      </c>
      <c r="O50" s="8" t="str">
        <f>formatIP(Table1[[#This Row],[Address A]])</f>
        <v>010.011.001.014</v>
      </c>
      <c r="P50" s="8" t="str">
        <f>formatIP(Table1[[#This Row],[Address B]])</f>
        <v>010.012.000.001</v>
      </c>
      <c r="Q50" s="8" t="e">
        <f>VLOOKUP(Table1[[#This Row],[Address A]],IP_Master[],4,FALSE)</f>
        <v>#N/A</v>
      </c>
      <c r="R50" s="8" t="str">
        <f>VLOOKUP(Table1[[#This Row],[Address B]],IP_Master[],4,FALSE)</f>
        <v>PPPCFC1</v>
      </c>
      <c r="S50" s="8" t="e">
        <f>VLOOKUP(Table1[[#This Row],[Address A]],IP_Master[],2,FALSE)</f>
        <v>#N/A</v>
      </c>
      <c r="T50" s="8" t="str">
        <f>VLOOKUP(Table1[[#This Row],[Address B]],IP_Master[],2,FALSE)</f>
        <v>Fume Control</v>
      </c>
      <c r="U50" s="9" t="e">
        <f>VLOOKUP(Table1[[#This Row],[Address A]],IP_Master[],3,FALSE)</f>
        <v>#N/A</v>
      </c>
      <c r="V50" s="9" t="str">
        <f>VLOOKUP(Table1[[#This Row],[Address B]],IP_Master[],3,FALSE)</f>
        <v>iFIX Nodes &amp; Ethernet Switches</v>
      </c>
      <c r="W50" s="9" t="e">
        <f>VLOOKUP(Table1[[#This Row],[Port B]],traffic_types[],2,FALSE)</f>
        <v>#N/A</v>
      </c>
    </row>
    <row r="51" spans="1:23" hidden="1" x14ac:dyDescent="0.6">
      <c r="A51" t="s">
        <v>59</v>
      </c>
      <c r="B51">
        <v>5450</v>
      </c>
      <c r="C51" t="s">
        <v>53</v>
      </c>
      <c r="D51">
        <v>2747</v>
      </c>
      <c r="E51">
        <v>12</v>
      </c>
      <c r="F51">
        <v>2560</v>
      </c>
      <c r="G51">
        <v>5</v>
      </c>
      <c r="H51">
        <v>326</v>
      </c>
      <c r="I51">
        <v>7</v>
      </c>
      <c r="J51">
        <v>2234</v>
      </c>
      <c r="K51">
        <v>319.93496099999999</v>
      </c>
      <c r="L51">
        <v>9.8999180000000102</v>
      </c>
      <c r="M51">
        <v>263.43652543384701</v>
      </c>
      <c r="N51">
        <v>1805.2674779730501</v>
      </c>
      <c r="O51" s="8" t="str">
        <f>formatIP(Table1[[#This Row],[Address A]])</f>
        <v>010.011.001.014</v>
      </c>
      <c r="P51" s="8" t="str">
        <f>formatIP(Table1[[#This Row],[Address B]])</f>
        <v>010.012.000.001</v>
      </c>
      <c r="Q51" s="8" t="e">
        <f>VLOOKUP(Table1[[#This Row],[Address A]],IP_Master[],4,FALSE)</f>
        <v>#N/A</v>
      </c>
      <c r="R51" s="8" t="str">
        <f>VLOOKUP(Table1[[#This Row],[Address B]],IP_Master[],4,FALSE)</f>
        <v>PPPCFC1</v>
      </c>
      <c r="S51" s="8" t="e">
        <f>VLOOKUP(Table1[[#This Row],[Address A]],IP_Master[],2,FALSE)</f>
        <v>#N/A</v>
      </c>
      <c r="T51" s="8" t="str">
        <f>VLOOKUP(Table1[[#This Row],[Address B]],IP_Master[],2,FALSE)</f>
        <v>Fume Control</v>
      </c>
      <c r="U51" s="9" t="e">
        <f>VLOOKUP(Table1[[#This Row],[Address A]],IP_Master[],3,FALSE)</f>
        <v>#N/A</v>
      </c>
      <c r="V51" s="9" t="str">
        <f>VLOOKUP(Table1[[#This Row],[Address B]],IP_Master[],3,FALSE)</f>
        <v>iFIX Nodes &amp; Ethernet Switches</v>
      </c>
      <c r="W51" s="9" t="e">
        <f>VLOOKUP(Table1[[#This Row],[Port B]],traffic_types[],2,FALSE)</f>
        <v>#N/A</v>
      </c>
    </row>
    <row r="52" spans="1:23" hidden="1" x14ac:dyDescent="0.6">
      <c r="A52" t="s">
        <v>59</v>
      </c>
      <c r="B52">
        <v>5450</v>
      </c>
      <c r="C52" t="s">
        <v>53</v>
      </c>
      <c r="D52">
        <v>2756</v>
      </c>
      <c r="E52">
        <v>14</v>
      </c>
      <c r="F52">
        <v>2680</v>
      </c>
      <c r="G52">
        <v>6</v>
      </c>
      <c r="H52">
        <v>386</v>
      </c>
      <c r="I52">
        <v>8</v>
      </c>
      <c r="J52">
        <v>2294</v>
      </c>
      <c r="K52">
        <v>329.89731999999998</v>
      </c>
      <c r="L52">
        <v>9.9311410000000304</v>
      </c>
      <c r="M52">
        <v>310.94110938511398</v>
      </c>
      <c r="N52">
        <v>1847.92462416956</v>
      </c>
      <c r="O52" s="8" t="str">
        <f>formatIP(Table1[[#This Row],[Address A]])</f>
        <v>010.011.001.014</v>
      </c>
      <c r="P52" s="8" t="str">
        <f>formatIP(Table1[[#This Row],[Address B]])</f>
        <v>010.012.000.001</v>
      </c>
      <c r="Q52" s="8" t="e">
        <f>VLOOKUP(Table1[[#This Row],[Address A]],IP_Master[],4,FALSE)</f>
        <v>#N/A</v>
      </c>
      <c r="R52" s="8" t="str">
        <f>VLOOKUP(Table1[[#This Row],[Address B]],IP_Master[],4,FALSE)</f>
        <v>PPPCFC1</v>
      </c>
      <c r="S52" s="8" t="e">
        <f>VLOOKUP(Table1[[#This Row],[Address A]],IP_Master[],2,FALSE)</f>
        <v>#N/A</v>
      </c>
      <c r="T52" s="8" t="str">
        <f>VLOOKUP(Table1[[#This Row],[Address B]],IP_Master[],2,FALSE)</f>
        <v>Fume Control</v>
      </c>
      <c r="U52" s="9" t="e">
        <f>VLOOKUP(Table1[[#This Row],[Address A]],IP_Master[],3,FALSE)</f>
        <v>#N/A</v>
      </c>
      <c r="V52" s="9" t="str">
        <f>VLOOKUP(Table1[[#This Row],[Address B]],IP_Master[],3,FALSE)</f>
        <v>iFIX Nodes &amp; Ethernet Switches</v>
      </c>
      <c r="W52" s="9" t="e">
        <f>VLOOKUP(Table1[[#This Row],[Port B]],traffic_types[],2,FALSE)</f>
        <v>#N/A</v>
      </c>
    </row>
    <row r="53" spans="1:23" hidden="1" x14ac:dyDescent="0.6">
      <c r="A53" t="s">
        <v>59</v>
      </c>
      <c r="B53">
        <v>5450</v>
      </c>
      <c r="C53" t="s">
        <v>53</v>
      </c>
      <c r="D53">
        <v>2764</v>
      </c>
      <c r="E53">
        <v>14</v>
      </c>
      <c r="F53">
        <v>2680</v>
      </c>
      <c r="G53">
        <v>6</v>
      </c>
      <c r="H53">
        <v>386</v>
      </c>
      <c r="I53">
        <v>8</v>
      </c>
      <c r="J53">
        <v>2294</v>
      </c>
      <c r="K53">
        <v>339.90444500000001</v>
      </c>
      <c r="L53">
        <v>9.9213019999999705</v>
      </c>
      <c r="M53">
        <v>311.24947108756601</v>
      </c>
      <c r="N53">
        <v>1849.7572193649601</v>
      </c>
      <c r="O53" s="8" t="str">
        <f>formatIP(Table1[[#This Row],[Address A]])</f>
        <v>010.011.001.014</v>
      </c>
      <c r="P53" s="8" t="str">
        <f>formatIP(Table1[[#This Row],[Address B]])</f>
        <v>010.012.000.001</v>
      </c>
      <c r="Q53" s="8" t="e">
        <f>VLOOKUP(Table1[[#This Row],[Address A]],IP_Master[],4,FALSE)</f>
        <v>#N/A</v>
      </c>
      <c r="R53" s="8" t="str">
        <f>VLOOKUP(Table1[[#This Row],[Address B]],IP_Master[],4,FALSE)</f>
        <v>PPPCFC1</v>
      </c>
      <c r="S53" s="8" t="e">
        <f>VLOOKUP(Table1[[#This Row],[Address A]],IP_Master[],2,FALSE)</f>
        <v>#N/A</v>
      </c>
      <c r="T53" s="8" t="str">
        <f>VLOOKUP(Table1[[#This Row],[Address B]],IP_Master[],2,FALSE)</f>
        <v>Fume Control</v>
      </c>
      <c r="U53" s="9" t="e">
        <f>VLOOKUP(Table1[[#This Row],[Address A]],IP_Master[],3,FALSE)</f>
        <v>#N/A</v>
      </c>
      <c r="V53" s="9" t="str">
        <f>VLOOKUP(Table1[[#This Row],[Address B]],IP_Master[],3,FALSE)</f>
        <v>iFIX Nodes &amp; Ethernet Switches</v>
      </c>
      <c r="W53" s="9" t="e">
        <f>VLOOKUP(Table1[[#This Row],[Port B]],traffic_types[],2,FALSE)</f>
        <v>#N/A</v>
      </c>
    </row>
    <row r="54" spans="1:23" hidden="1" x14ac:dyDescent="0.6">
      <c r="A54" t="s">
        <v>59</v>
      </c>
      <c r="B54">
        <v>5450</v>
      </c>
      <c r="C54" t="s">
        <v>53</v>
      </c>
      <c r="D54">
        <v>2766</v>
      </c>
      <c r="E54">
        <v>12</v>
      </c>
      <c r="F54">
        <v>2560</v>
      </c>
      <c r="G54">
        <v>5</v>
      </c>
      <c r="H54">
        <v>326</v>
      </c>
      <c r="I54">
        <v>7</v>
      </c>
      <c r="J54">
        <v>2234</v>
      </c>
      <c r="K54">
        <v>349.888351</v>
      </c>
      <c r="L54">
        <v>9.9501789999999897</v>
      </c>
      <c r="M54">
        <v>262.10583749297399</v>
      </c>
      <c r="N54">
        <v>1796.14859189971</v>
      </c>
      <c r="O54" s="8" t="str">
        <f>formatIP(Table1[[#This Row],[Address A]])</f>
        <v>010.011.001.014</v>
      </c>
      <c r="P54" s="8" t="str">
        <f>formatIP(Table1[[#This Row],[Address B]])</f>
        <v>010.012.000.001</v>
      </c>
      <c r="Q54" s="8" t="e">
        <f>VLOOKUP(Table1[[#This Row],[Address A]],IP_Master[],4,FALSE)</f>
        <v>#N/A</v>
      </c>
      <c r="R54" s="8" t="str">
        <f>VLOOKUP(Table1[[#This Row],[Address B]],IP_Master[],4,FALSE)</f>
        <v>PPPCFC1</v>
      </c>
      <c r="S54" s="8" t="e">
        <f>VLOOKUP(Table1[[#This Row],[Address A]],IP_Master[],2,FALSE)</f>
        <v>#N/A</v>
      </c>
      <c r="T54" s="8" t="str">
        <f>VLOOKUP(Table1[[#This Row],[Address B]],IP_Master[],2,FALSE)</f>
        <v>Fume Control</v>
      </c>
      <c r="U54" s="9" t="e">
        <f>VLOOKUP(Table1[[#This Row],[Address A]],IP_Master[],3,FALSE)</f>
        <v>#N/A</v>
      </c>
      <c r="V54" s="9" t="str">
        <f>VLOOKUP(Table1[[#This Row],[Address B]],IP_Master[],3,FALSE)</f>
        <v>iFIX Nodes &amp; Ethernet Switches</v>
      </c>
      <c r="W54" s="9" t="e">
        <f>VLOOKUP(Table1[[#This Row],[Port B]],traffic_types[],2,FALSE)</f>
        <v>#N/A</v>
      </c>
    </row>
    <row r="55" spans="1:23" hidden="1" x14ac:dyDescent="0.6">
      <c r="A55" t="s">
        <v>59</v>
      </c>
      <c r="B55">
        <v>5450</v>
      </c>
      <c r="C55" t="s">
        <v>53</v>
      </c>
      <c r="D55">
        <v>2770</v>
      </c>
      <c r="E55">
        <v>12</v>
      </c>
      <c r="F55">
        <v>2560</v>
      </c>
      <c r="G55">
        <v>5</v>
      </c>
      <c r="H55">
        <v>326</v>
      </c>
      <c r="I55">
        <v>7</v>
      </c>
      <c r="J55">
        <v>2234</v>
      </c>
      <c r="K55">
        <v>359.93607300000002</v>
      </c>
      <c r="L55">
        <v>9.9026329999999803</v>
      </c>
      <c r="M55">
        <v>263.36429917174598</v>
      </c>
      <c r="N55">
        <v>1804.7725286800001</v>
      </c>
      <c r="O55" s="8" t="str">
        <f>formatIP(Table1[[#This Row],[Address A]])</f>
        <v>010.011.001.014</v>
      </c>
      <c r="P55" s="8" t="str">
        <f>formatIP(Table1[[#This Row],[Address B]])</f>
        <v>010.012.000.001</v>
      </c>
      <c r="Q55" s="8" t="e">
        <f>VLOOKUP(Table1[[#This Row],[Address A]],IP_Master[],4,FALSE)</f>
        <v>#N/A</v>
      </c>
      <c r="R55" s="8" t="str">
        <f>VLOOKUP(Table1[[#This Row],[Address B]],IP_Master[],4,FALSE)</f>
        <v>PPPCFC1</v>
      </c>
      <c r="S55" s="8" t="e">
        <f>VLOOKUP(Table1[[#This Row],[Address A]],IP_Master[],2,FALSE)</f>
        <v>#N/A</v>
      </c>
      <c r="T55" s="8" t="str">
        <f>VLOOKUP(Table1[[#This Row],[Address B]],IP_Master[],2,FALSE)</f>
        <v>Fume Control</v>
      </c>
      <c r="U55" s="9" t="e">
        <f>VLOOKUP(Table1[[#This Row],[Address A]],IP_Master[],3,FALSE)</f>
        <v>#N/A</v>
      </c>
      <c r="V55" s="9" t="str">
        <f>VLOOKUP(Table1[[#This Row],[Address B]],IP_Master[],3,FALSE)</f>
        <v>iFIX Nodes &amp; Ethernet Switches</v>
      </c>
      <c r="W55" s="9" t="e">
        <f>VLOOKUP(Table1[[#This Row],[Port B]],traffic_types[],2,FALSE)</f>
        <v>#N/A</v>
      </c>
    </row>
    <row r="56" spans="1:23" hidden="1" x14ac:dyDescent="0.6">
      <c r="A56" t="s">
        <v>59</v>
      </c>
      <c r="B56">
        <v>5450</v>
      </c>
      <c r="C56" t="s">
        <v>53</v>
      </c>
      <c r="D56">
        <v>2784</v>
      </c>
      <c r="E56">
        <v>12</v>
      </c>
      <c r="F56">
        <v>2560</v>
      </c>
      <c r="G56">
        <v>5</v>
      </c>
      <c r="H56">
        <v>326</v>
      </c>
      <c r="I56">
        <v>7</v>
      </c>
      <c r="J56">
        <v>2234</v>
      </c>
      <c r="K56">
        <v>370.17626300000001</v>
      </c>
      <c r="L56">
        <v>9.65042599999998</v>
      </c>
      <c r="M56">
        <v>270.24713727663499</v>
      </c>
      <c r="N56">
        <v>1851.93897139878</v>
      </c>
      <c r="O56" s="8" t="str">
        <f>formatIP(Table1[[#This Row],[Address A]])</f>
        <v>010.011.001.014</v>
      </c>
      <c r="P56" s="8" t="str">
        <f>formatIP(Table1[[#This Row],[Address B]])</f>
        <v>010.012.000.001</v>
      </c>
      <c r="Q56" s="8" t="e">
        <f>VLOOKUP(Table1[[#This Row],[Address A]],IP_Master[],4,FALSE)</f>
        <v>#N/A</v>
      </c>
      <c r="R56" s="8" t="str">
        <f>VLOOKUP(Table1[[#This Row],[Address B]],IP_Master[],4,FALSE)</f>
        <v>PPPCFC1</v>
      </c>
      <c r="S56" s="8" t="e">
        <f>VLOOKUP(Table1[[#This Row],[Address A]],IP_Master[],2,FALSE)</f>
        <v>#N/A</v>
      </c>
      <c r="T56" s="8" t="str">
        <f>VLOOKUP(Table1[[#This Row],[Address B]],IP_Master[],2,FALSE)</f>
        <v>Fume Control</v>
      </c>
      <c r="U56" s="9" t="e">
        <f>VLOOKUP(Table1[[#This Row],[Address A]],IP_Master[],3,FALSE)</f>
        <v>#N/A</v>
      </c>
      <c r="V56" s="9" t="str">
        <f>VLOOKUP(Table1[[#This Row],[Address B]],IP_Master[],3,FALSE)</f>
        <v>iFIX Nodes &amp; Ethernet Switches</v>
      </c>
      <c r="W56" s="9" t="e">
        <f>VLOOKUP(Table1[[#This Row],[Port B]],traffic_types[],2,FALSE)</f>
        <v>#N/A</v>
      </c>
    </row>
    <row r="57" spans="1:23" hidden="1" x14ac:dyDescent="0.6">
      <c r="A57" t="s">
        <v>59</v>
      </c>
      <c r="B57">
        <v>5450</v>
      </c>
      <c r="C57" t="s">
        <v>53</v>
      </c>
      <c r="D57">
        <v>2786</v>
      </c>
      <c r="E57">
        <v>12</v>
      </c>
      <c r="F57">
        <v>2560</v>
      </c>
      <c r="G57">
        <v>5</v>
      </c>
      <c r="H57">
        <v>326</v>
      </c>
      <c r="I57">
        <v>7</v>
      </c>
      <c r="J57">
        <v>2234</v>
      </c>
      <c r="K57">
        <v>379.89674300000001</v>
      </c>
      <c r="L57">
        <v>9.942183</v>
      </c>
      <c r="M57">
        <v>262.31663609491</v>
      </c>
      <c r="N57">
        <v>1797.5931442823</v>
      </c>
      <c r="O57" s="8" t="str">
        <f>formatIP(Table1[[#This Row],[Address A]])</f>
        <v>010.011.001.014</v>
      </c>
      <c r="P57" s="8" t="str">
        <f>formatIP(Table1[[#This Row],[Address B]])</f>
        <v>010.012.000.001</v>
      </c>
      <c r="Q57" s="8" t="e">
        <f>VLOOKUP(Table1[[#This Row],[Address A]],IP_Master[],4,FALSE)</f>
        <v>#N/A</v>
      </c>
      <c r="R57" s="8" t="str">
        <f>VLOOKUP(Table1[[#This Row],[Address B]],IP_Master[],4,FALSE)</f>
        <v>PPPCFC1</v>
      </c>
      <c r="S57" s="8" t="e">
        <f>VLOOKUP(Table1[[#This Row],[Address A]],IP_Master[],2,FALSE)</f>
        <v>#N/A</v>
      </c>
      <c r="T57" s="8" t="str">
        <f>VLOOKUP(Table1[[#This Row],[Address B]],IP_Master[],2,FALSE)</f>
        <v>Fume Control</v>
      </c>
      <c r="U57" s="9" t="e">
        <f>VLOOKUP(Table1[[#This Row],[Address A]],IP_Master[],3,FALSE)</f>
        <v>#N/A</v>
      </c>
      <c r="V57" s="9" t="str">
        <f>VLOOKUP(Table1[[#This Row],[Address B]],IP_Master[],3,FALSE)</f>
        <v>iFIX Nodes &amp; Ethernet Switches</v>
      </c>
      <c r="W57" s="9" t="e">
        <f>VLOOKUP(Table1[[#This Row],[Port B]],traffic_types[],2,FALSE)</f>
        <v>#N/A</v>
      </c>
    </row>
    <row r="58" spans="1:23" hidden="1" x14ac:dyDescent="0.6">
      <c r="A58" t="s">
        <v>59</v>
      </c>
      <c r="B58">
        <v>5450</v>
      </c>
      <c r="C58" t="s">
        <v>53</v>
      </c>
      <c r="D58">
        <v>2788</v>
      </c>
      <c r="E58">
        <v>12</v>
      </c>
      <c r="F58">
        <v>2560</v>
      </c>
      <c r="G58">
        <v>5</v>
      </c>
      <c r="H58">
        <v>326</v>
      </c>
      <c r="I58">
        <v>7</v>
      </c>
      <c r="J58">
        <v>2234</v>
      </c>
      <c r="K58">
        <v>389.89226500000001</v>
      </c>
      <c r="L58">
        <v>9.9468579999999598</v>
      </c>
      <c r="M58">
        <v>262.19334788935498</v>
      </c>
      <c r="N58">
        <v>1796.7482797080299</v>
      </c>
      <c r="O58" s="8" t="str">
        <f>formatIP(Table1[[#This Row],[Address A]])</f>
        <v>010.011.001.014</v>
      </c>
      <c r="P58" s="8" t="str">
        <f>formatIP(Table1[[#This Row],[Address B]])</f>
        <v>010.012.000.001</v>
      </c>
      <c r="Q58" s="8" t="e">
        <f>VLOOKUP(Table1[[#This Row],[Address A]],IP_Master[],4,FALSE)</f>
        <v>#N/A</v>
      </c>
      <c r="R58" s="8" t="str">
        <f>VLOOKUP(Table1[[#This Row],[Address B]],IP_Master[],4,FALSE)</f>
        <v>PPPCFC1</v>
      </c>
      <c r="S58" s="8" t="e">
        <f>VLOOKUP(Table1[[#This Row],[Address A]],IP_Master[],2,FALSE)</f>
        <v>#N/A</v>
      </c>
      <c r="T58" s="8" t="str">
        <f>VLOOKUP(Table1[[#This Row],[Address B]],IP_Master[],2,FALSE)</f>
        <v>Fume Control</v>
      </c>
      <c r="U58" s="9" t="e">
        <f>VLOOKUP(Table1[[#This Row],[Address A]],IP_Master[],3,FALSE)</f>
        <v>#N/A</v>
      </c>
      <c r="V58" s="9" t="str">
        <f>VLOOKUP(Table1[[#This Row],[Address B]],IP_Master[],3,FALSE)</f>
        <v>iFIX Nodes &amp; Ethernet Switches</v>
      </c>
      <c r="W58" s="9" t="e">
        <f>VLOOKUP(Table1[[#This Row],[Port B]],traffic_types[],2,FALSE)</f>
        <v>#N/A</v>
      </c>
    </row>
    <row r="59" spans="1:23" hidden="1" x14ac:dyDescent="0.6">
      <c r="A59" t="s">
        <v>59</v>
      </c>
      <c r="B59">
        <v>5450</v>
      </c>
      <c r="C59" t="s">
        <v>53</v>
      </c>
      <c r="D59">
        <v>2802</v>
      </c>
      <c r="E59">
        <v>12</v>
      </c>
      <c r="F59">
        <v>2560</v>
      </c>
      <c r="G59">
        <v>5</v>
      </c>
      <c r="H59">
        <v>326</v>
      </c>
      <c r="I59">
        <v>7</v>
      </c>
      <c r="J59">
        <v>2234</v>
      </c>
      <c r="K59">
        <v>399.91182099999997</v>
      </c>
      <c r="L59">
        <v>9.9146029999999996</v>
      </c>
      <c r="M59">
        <v>263.04633680239101</v>
      </c>
      <c r="N59">
        <v>1802.5936086397001</v>
      </c>
      <c r="O59" s="8" t="str">
        <f>formatIP(Table1[[#This Row],[Address A]])</f>
        <v>010.011.001.014</v>
      </c>
      <c r="P59" s="8" t="str">
        <f>formatIP(Table1[[#This Row],[Address B]])</f>
        <v>010.012.000.001</v>
      </c>
      <c r="Q59" s="8" t="e">
        <f>VLOOKUP(Table1[[#This Row],[Address A]],IP_Master[],4,FALSE)</f>
        <v>#N/A</v>
      </c>
      <c r="R59" s="8" t="str">
        <f>VLOOKUP(Table1[[#This Row],[Address B]],IP_Master[],4,FALSE)</f>
        <v>PPPCFC1</v>
      </c>
      <c r="S59" s="8" t="e">
        <f>VLOOKUP(Table1[[#This Row],[Address A]],IP_Master[],2,FALSE)</f>
        <v>#N/A</v>
      </c>
      <c r="T59" s="8" t="str">
        <f>VLOOKUP(Table1[[#This Row],[Address B]],IP_Master[],2,FALSE)</f>
        <v>Fume Control</v>
      </c>
      <c r="U59" s="9" t="e">
        <f>VLOOKUP(Table1[[#This Row],[Address A]],IP_Master[],3,FALSE)</f>
        <v>#N/A</v>
      </c>
      <c r="V59" s="9" t="str">
        <f>VLOOKUP(Table1[[#This Row],[Address B]],IP_Master[],3,FALSE)</f>
        <v>iFIX Nodes &amp; Ethernet Switches</v>
      </c>
      <c r="W59" s="9" t="e">
        <f>VLOOKUP(Table1[[#This Row],[Port B]],traffic_types[],2,FALSE)</f>
        <v>#N/A</v>
      </c>
    </row>
    <row r="60" spans="1:23" hidden="1" x14ac:dyDescent="0.6">
      <c r="A60" t="s">
        <v>59</v>
      </c>
      <c r="B60">
        <v>5450</v>
      </c>
      <c r="C60" t="s">
        <v>53</v>
      </c>
      <c r="D60">
        <v>2805</v>
      </c>
      <c r="E60">
        <v>14</v>
      </c>
      <c r="F60">
        <v>2680</v>
      </c>
      <c r="G60">
        <v>6</v>
      </c>
      <c r="H60">
        <v>386</v>
      </c>
      <c r="I60">
        <v>8</v>
      </c>
      <c r="J60">
        <v>2294</v>
      </c>
      <c r="K60">
        <v>409.900869</v>
      </c>
      <c r="L60">
        <v>9.9392439999999702</v>
      </c>
      <c r="M60">
        <v>310.68761366558698</v>
      </c>
      <c r="N60">
        <v>1846.41809779497</v>
      </c>
      <c r="O60" s="8" t="str">
        <f>formatIP(Table1[[#This Row],[Address A]])</f>
        <v>010.011.001.014</v>
      </c>
      <c r="P60" s="8" t="str">
        <f>formatIP(Table1[[#This Row],[Address B]])</f>
        <v>010.012.000.001</v>
      </c>
      <c r="Q60" s="8" t="e">
        <f>VLOOKUP(Table1[[#This Row],[Address A]],IP_Master[],4,FALSE)</f>
        <v>#N/A</v>
      </c>
      <c r="R60" s="8" t="str">
        <f>VLOOKUP(Table1[[#This Row],[Address B]],IP_Master[],4,FALSE)</f>
        <v>PPPCFC1</v>
      </c>
      <c r="S60" s="8" t="e">
        <f>VLOOKUP(Table1[[#This Row],[Address A]],IP_Master[],2,FALSE)</f>
        <v>#N/A</v>
      </c>
      <c r="T60" s="8" t="str">
        <f>VLOOKUP(Table1[[#This Row],[Address B]],IP_Master[],2,FALSE)</f>
        <v>Fume Control</v>
      </c>
      <c r="U60" s="9" t="e">
        <f>VLOOKUP(Table1[[#This Row],[Address A]],IP_Master[],3,FALSE)</f>
        <v>#N/A</v>
      </c>
      <c r="V60" s="9" t="str">
        <f>VLOOKUP(Table1[[#This Row],[Address B]],IP_Master[],3,FALSE)</f>
        <v>iFIX Nodes &amp; Ethernet Switches</v>
      </c>
      <c r="W60" s="9" t="e">
        <f>VLOOKUP(Table1[[#This Row],[Port B]],traffic_types[],2,FALSE)</f>
        <v>#N/A</v>
      </c>
    </row>
    <row r="61" spans="1:23" hidden="1" x14ac:dyDescent="0.6">
      <c r="A61" t="s">
        <v>59</v>
      </c>
      <c r="B61">
        <v>5450</v>
      </c>
      <c r="C61" t="s">
        <v>53</v>
      </c>
      <c r="D61">
        <v>2806</v>
      </c>
      <c r="E61">
        <v>14</v>
      </c>
      <c r="F61">
        <v>2680</v>
      </c>
      <c r="G61">
        <v>6</v>
      </c>
      <c r="H61">
        <v>386</v>
      </c>
      <c r="I61">
        <v>8</v>
      </c>
      <c r="J61">
        <v>2294</v>
      </c>
      <c r="K61">
        <v>419.93906099999998</v>
      </c>
      <c r="L61">
        <v>9.9009300000000202</v>
      </c>
      <c r="M61">
        <v>311.88989317165101</v>
      </c>
      <c r="N61">
        <v>1853.56325112893</v>
      </c>
      <c r="O61" s="8" t="str">
        <f>formatIP(Table1[[#This Row],[Address A]])</f>
        <v>010.011.001.014</v>
      </c>
      <c r="P61" s="8" t="str">
        <f>formatIP(Table1[[#This Row],[Address B]])</f>
        <v>010.012.000.001</v>
      </c>
      <c r="Q61" s="8" t="e">
        <f>VLOOKUP(Table1[[#This Row],[Address A]],IP_Master[],4,FALSE)</f>
        <v>#N/A</v>
      </c>
      <c r="R61" s="8" t="str">
        <f>VLOOKUP(Table1[[#This Row],[Address B]],IP_Master[],4,FALSE)</f>
        <v>PPPCFC1</v>
      </c>
      <c r="S61" s="8" t="e">
        <f>VLOOKUP(Table1[[#This Row],[Address A]],IP_Master[],2,FALSE)</f>
        <v>#N/A</v>
      </c>
      <c r="T61" s="8" t="str">
        <f>VLOOKUP(Table1[[#This Row],[Address B]],IP_Master[],2,FALSE)</f>
        <v>Fume Control</v>
      </c>
      <c r="U61" s="9" t="e">
        <f>VLOOKUP(Table1[[#This Row],[Address A]],IP_Master[],3,FALSE)</f>
        <v>#N/A</v>
      </c>
      <c r="V61" s="9" t="str">
        <f>VLOOKUP(Table1[[#This Row],[Address B]],IP_Master[],3,FALSE)</f>
        <v>iFIX Nodes &amp; Ethernet Switches</v>
      </c>
      <c r="W61" s="9" t="e">
        <f>VLOOKUP(Table1[[#This Row],[Port B]],traffic_types[],2,FALSE)</f>
        <v>#N/A</v>
      </c>
    </row>
    <row r="62" spans="1:23" hidden="1" x14ac:dyDescent="0.6">
      <c r="A62" t="s">
        <v>59</v>
      </c>
      <c r="B62">
        <v>5450</v>
      </c>
      <c r="C62" t="s">
        <v>53</v>
      </c>
      <c r="D62">
        <v>2815</v>
      </c>
      <c r="E62">
        <v>12</v>
      </c>
      <c r="F62">
        <v>2560</v>
      </c>
      <c r="G62">
        <v>5</v>
      </c>
      <c r="H62">
        <v>326</v>
      </c>
      <c r="I62">
        <v>7</v>
      </c>
      <c r="J62">
        <v>2234</v>
      </c>
      <c r="K62">
        <v>429.91667799999999</v>
      </c>
      <c r="L62">
        <v>9.9114759999999897</v>
      </c>
      <c r="M62">
        <v>263.129326045889</v>
      </c>
      <c r="N62">
        <v>1803.1623140690699</v>
      </c>
      <c r="O62" s="8" t="str">
        <f>formatIP(Table1[[#This Row],[Address A]])</f>
        <v>010.011.001.014</v>
      </c>
      <c r="P62" s="8" t="str">
        <f>formatIP(Table1[[#This Row],[Address B]])</f>
        <v>010.012.000.001</v>
      </c>
      <c r="Q62" s="8" t="e">
        <f>VLOOKUP(Table1[[#This Row],[Address A]],IP_Master[],4,FALSE)</f>
        <v>#N/A</v>
      </c>
      <c r="R62" s="8" t="str">
        <f>VLOOKUP(Table1[[#This Row],[Address B]],IP_Master[],4,FALSE)</f>
        <v>PPPCFC1</v>
      </c>
      <c r="S62" s="8" t="e">
        <f>VLOOKUP(Table1[[#This Row],[Address A]],IP_Master[],2,FALSE)</f>
        <v>#N/A</v>
      </c>
      <c r="T62" s="8" t="str">
        <f>VLOOKUP(Table1[[#This Row],[Address B]],IP_Master[],2,FALSE)</f>
        <v>Fume Control</v>
      </c>
      <c r="U62" s="9" t="e">
        <f>VLOOKUP(Table1[[#This Row],[Address A]],IP_Master[],3,FALSE)</f>
        <v>#N/A</v>
      </c>
      <c r="V62" s="9" t="str">
        <f>VLOOKUP(Table1[[#This Row],[Address B]],IP_Master[],3,FALSE)</f>
        <v>iFIX Nodes &amp; Ethernet Switches</v>
      </c>
      <c r="W62" s="9" t="e">
        <f>VLOOKUP(Table1[[#This Row],[Port B]],traffic_types[],2,FALSE)</f>
        <v>#N/A</v>
      </c>
    </row>
    <row r="63" spans="1:23" hidden="1" x14ac:dyDescent="0.6">
      <c r="A63" t="s">
        <v>59</v>
      </c>
      <c r="B63">
        <v>5450</v>
      </c>
      <c r="C63" t="s">
        <v>53</v>
      </c>
      <c r="D63">
        <v>2822</v>
      </c>
      <c r="E63">
        <v>13</v>
      </c>
      <c r="F63">
        <v>2614</v>
      </c>
      <c r="G63">
        <v>6</v>
      </c>
      <c r="H63">
        <v>386</v>
      </c>
      <c r="I63">
        <v>7</v>
      </c>
      <c r="J63">
        <v>2228</v>
      </c>
      <c r="K63">
        <v>439.90064000000001</v>
      </c>
      <c r="L63">
        <v>9.9260629999999992</v>
      </c>
      <c r="M63">
        <v>311.10018141130098</v>
      </c>
      <c r="N63">
        <v>1795.67669477818</v>
      </c>
      <c r="O63" s="8" t="str">
        <f>formatIP(Table1[[#This Row],[Address A]])</f>
        <v>010.011.001.014</v>
      </c>
      <c r="P63" s="8" t="str">
        <f>formatIP(Table1[[#This Row],[Address B]])</f>
        <v>010.012.000.001</v>
      </c>
      <c r="Q63" s="8" t="e">
        <f>VLOOKUP(Table1[[#This Row],[Address A]],IP_Master[],4,FALSE)</f>
        <v>#N/A</v>
      </c>
      <c r="R63" s="8" t="str">
        <f>VLOOKUP(Table1[[#This Row],[Address B]],IP_Master[],4,FALSE)</f>
        <v>PPPCFC1</v>
      </c>
      <c r="S63" s="8" t="e">
        <f>VLOOKUP(Table1[[#This Row],[Address A]],IP_Master[],2,FALSE)</f>
        <v>#N/A</v>
      </c>
      <c r="T63" s="8" t="str">
        <f>VLOOKUP(Table1[[#This Row],[Address B]],IP_Master[],2,FALSE)</f>
        <v>Fume Control</v>
      </c>
      <c r="U63" s="9" t="e">
        <f>VLOOKUP(Table1[[#This Row],[Address A]],IP_Master[],3,FALSE)</f>
        <v>#N/A</v>
      </c>
      <c r="V63" s="9" t="str">
        <f>VLOOKUP(Table1[[#This Row],[Address B]],IP_Master[],3,FALSE)</f>
        <v>iFIX Nodes &amp; Ethernet Switches</v>
      </c>
      <c r="W63" s="9" t="e">
        <f>VLOOKUP(Table1[[#This Row],[Port B]],traffic_types[],2,FALSE)</f>
        <v>#N/A</v>
      </c>
    </row>
    <row r="64" spans="1:23" hidden="1" x14ac:dyDescent="0.6">
      <c r="A64" t="s">
        <v>59</v>
      </c>
      <c r="B64">
        <v>5450</v>
      </c>
      <c r="C64" t="s">
        <v>53</v>
      </c>
      <c r="D64">
        <v>2823</v>
      </c>
      <c r="E64">
        <v>14</v>
      </c>
      <c r="F64">
        <v>2680</v>
      </c>
      <c r="G64">
        <v>6</v>
      </c>
      <c r="H64">
        <v>386</v>
      </c>
      <c r="I64">
        <v>8</v>
      </c>
      <c r="J64">
        <v>2294</v>
      </c>
      <c r="K64">
        <v>449.88612499999999</v>
      </c>
      <c r="L64">
        <v>9.9713060000000304</v>
      </c>
      <c r="M64">
        <v>309.68862052774102</v>
      </c>
      <c r="N64">
        <v>1840.4810764006199</v>
      </c>
      <c r="O64" s="8" t="str">
        <f>formatIP(Table1[[#This Row],[Address A]])</f>
        <v>010.011.001.014</v>
      </c>
      <c r="P64" s="8" t="str">
        <f>formatIP(Table1[[#This Row],[Address B]])</f>
        <v>010.012.000.001</v>
      </c>
      <c r="Q64" s="8" t="e">
        <f>VLOOKUP(Table1[[#This Row],[Address A]],IP_Master[],4,FALSE)</f>
        <v>#N/A</v>
      </c>
      <c r="R64" s="8" t="str">
        <f>VLOOKUP(Table1[[#This Row],[Address B]],IP_Master[],4,FALSE)</f>
        <v>PPPCFC1</v>
      </c>
      <c r="S64" s="8" t="e">
        <f>VLOOKUP(Table1[[#This Row],[Address A]],IP_Master[],2,FALSE)</f>
        <v>#N/A</v>
      </c>
      <c r="T64" s="8" t="str">
        <f>VLOOKUP(Table1[[#This Row],[Address B]],IP_Master[],2,FALSE)</f>
        <v>Fume Control</v>
      </c>
      <c r="U64" s="9" t="e">
        <f>VLOOKUP(Table1[[#This Row],[Address A]],IP_Master[],3,FALSE)</f>
        <v>#N/A</v>
      </c>
      <c r="V64" s="9" t="str">
        <f>VLOOKUP(Table1[[#This Row],[Address B]],IP_Master[],3,FALSE)</f>
        <v>iFIX Nodes &amp; Ethernet Switches</v>
      </c>
      <c r="W64" s="9" t="e">
        <f>VLOOKUP(Table1[[#This Row],[Port B]],traffic_types[],2,FALSE)</f>
        <v>#N/A</v>
      </c>
    </row>
    <row r="65" spans="1:23" hidden="1" x14ac:dyDescent="0.6">
      <c r="A65" t="s">
        <v>59</v>
      </c>
      <c r="B65">
        <v>5450</v>
      </c>
      <c r="C65" t="s">
        <v>53</v>
      </c>
      <c r="D65">
        <v>2828</v>
      </c>
      <c r="E65">
        <v>12</v>
      </c>
      <c r="F65">
        <v>2560</v>
      </c>
      <c r="G65">
        <v>5</v>
      </c>
      <c r="H65">
        <v>326</v>
      </c>
      <c r="I65">
        <v>7</v>
      </c>
      <c r="J65">
        <v>2234</v>
      </c>
      <c r="K65">
        <v>459.93802499999998</v>
      </c>
      <c r="L65">
        <v>9.9196320000000409</v>
      </c>
      <c r="M65">
        <v>262.91297902986599</v>
      </c>
      <c r="N65">
        <v>1801.67973973227</v>
      </c>
      <c r="O65" s="8" t="str">
        <f>formatIP(Table1[[#This Row],[Address A]])</f>
        <v>010.011.001.014</v>
      </c>
      <c r="P65" s="8" t="str">
        <f>formatIP(Table1[[#This Row],[Address B]])</f>
        <v>010.012.000.001</v>
      </c>
      <c r="Q65" s="8" t="e">
        <f>VLOOKUP(Table1[[#This Row],[Address A]],IP_Master[],4,FALSE)</f>
        <v>#N/A</v>
      </c>
      <c r="R65" s="8" t="str">
        <f>VLOOKUP(Table1[[#This Row],[Address B]],IP_Master[],4,FALSE)</f>
        <v>PPPCFC1</v>
      </c>
      <c r="S65" s="8" t="e">
        <f>VLOOKUP(Table1[[#This Row],[Address A]],IP_Master[],2,FALSE)</f>
        <v>#N/A</v>
      </c>
      <c r="T65" s="8" t="str">
        <f>VLOOKUP(Table1[[#This Row],[Address B]],IP_Master[],2,FALSE)</f>
        <v>Fume Control</v>
      </c>
      <c r="U65" s="9" t="e">
        <f>VLOOKUP(Table1[[#This Row],[Address A]],IP_Master[],3,FALSE)</f>
        <v>#N/A</v>
      </c>
      <c r="V65" s="9" t="str">
        <f>VLOOKUP(Table1[[#This Row],[Address B]],IP_Master[],3,FALSE)</f>
        <v>iFIX Nodes &amp; Ethernet Switches</v>
      </c>
      <c r="W65" s="9" t="e">
        <f>VLOOKUP(Table1[[#This Row],[Port B]],traffic_types[],2,FALSE)</f>
        <v>#N/A</v>
      </c>
    </row>
    <row r="66" spans="1:23" hidden="1" x14ac:dyDescent="0.6">
      <c r="A66" t="s">
        <v>59</v>
      </c>
      <c r="B66">
        <v>5450</v>
      </c>
      <c r="C66" t="s">
        <v>53</v>
      </c>
      <c r="D66">
        <v>2840</v>
      </c>
      <c r="E66">
        <v>12</v>
      </c>
      <c r="F66">
        <v>2560</v>
      </c>
      <c r="G66">
        <v>5</v>
      </c>
      <c r="H66">
        <v>326</v>
      </c>
      <c r="I66">
        <v>7</v>
      </c>
      <c r="J66">
        <v>2234</v>
      </c>
      <c r="K66">
        <v>469.930813</v>
      </c>
      <c r="L66">
        <v>9.9580730000000095</v>
      </c>
      <c r="M66">
        <v>261.89805999614498</v>
      </c>
      <c r="N66">
        <v>1794.7247424275699</v>
      </c>
      <c r="O66" s="8" t="str">
        <f>formatIP(Table1[[#This Row],[Address A]])</f>
        <v>010.011.001.014</v>
      </c>
      <c r="P66" s="8" t="str">
        <f>formatIP(Table1[[#This Row],[Address B]])</f>
        <v>010.012.000.001</v>
      </c>
      <c r="Q66" s="8" t="e">
        <f>VLOOKUP(Table1[[#This Row],[Address A]],IP_Master[],4,FALSE)</f>
        <v>#N/A</v>
      </c>
      <c r="R66" s="8" t="str">
        <f>VLOOKUP(Table1[[#This Row],[Address B]],IP_Master[],4,FALSE)</f>
        <v>PPPCFC1</v>
      </c>
      <c r="S66" s="8" t="e">
        <f>VLOOKUP(Table1[[#This Row],[Address A]],IP_Master[],2,FALSE)</f>
        <v>#N/A</v>
      </c>
      <c r="T66" s="8" t="str">
        <f>VLOOKUP(Table1[[#This Row],[Address B]],IP_Master[],2,FALSE)</f>
        <v>Fume Control</v>
      </c>
      <c r="U66" s="9" t="e">
        <f>VLOOKUP(Table1[[#This Row],[Address A]],IP_Master[],3,FALSE)</f>
        <v>#N/A</v>
      </c>
      <c r="V66" s="9" t="str">
        <f>VLOOKUP(Table1[[#This Row],[Address B]],IP_Master[],3,FALSE)</f>
        <v>iFIX Nodes &amp; Ethernet Switches</v>
      </c>
      <c r="W66" s="9" t="e">
        <f>VLOOKUP(Table1[[#This Row],[Port B]],traffic_types[],2,FALSE)</f>
        <v>#N/A</v>
      </c>
    </row>
    <row r="67" spans="1:23" hidden="1" x14ac:dyDescent="0.6">
      <c r="A67" t="s">
        <v>59</v>
      </c>
      <c r="B67">
        <v>5450</v>
      </c>
      <c r="C67" t="s">
        <v>53</v>
      </c>
      <c r="D67">
        <v>2841</v>
      </c>
      <c r="E67">
        <v>12</v>
      </c>
      <c r="F67">
        <v>2560</v>
      </c>
      <c r="G67">
        <v>5</v>
      </c>
      <c r="H67">
        <v>326</v>
      </c>
      <c r="I67">
        <v>7</v>
      </c>
      <c r="J67">
        <v>2234</v>
      </c>
      <c r="K67">
        <v>479.975009</v>
      </c>
      <c r="L67">
        <v>9.92940599999997</v>
      </c>
      <c r="M67">
        <v>262.65418092482099</v>
      </c>
      <c r="N67">
        <v>1799.9062582394199</v>
      </c>
      <c r="O67" s="8" t="str">
        <f>formatIP(Table1[[#This Row],[Address A]])</f>
        <v>010.011.001.014</v>
      </c>
      <c r="P67" s="8" t="str">
        <f>formatIP(Table1[[#This Row],[Address B]])</f>
        <v>010.012.000.001</v>
      </c>
      <c r="Q67" s="8" t="e">
        <f>VLOOKUP(Table1[[#This Row],[Address A]],IP_Master[],4,FALSE)</f>
        <v>#N/A</v>
      </c>
      <c r="R67" s="8" t="str">
        <f>VLOOKUP(Table1[[#This Row],[Address B]],IP_Master[],4,FALSE)</f>
        <v>PPPCFC1</v>
      </c>
      <c r="S67" s="8" t="e">
        <f>VLOOKUP(Table1[[#This Row],[Address A]],IP_Master[],2,FALSE)</f>
        <v>#N/A</v>
      </c>
      <c r="T67" s="8" t="str">
        <f>VLOOKUP(Table1[[#This Row],[Address B]],IP_Master[],2,FALSE)</f>
        <v>Fume Control</v>
      </c>
      <c r="U67" s="9" t="e">
        <f>VLOOKUP(Table1[[#This Row],[Address A]],IP_Master[],3,FALSE)</f>
        <v>#N/A</v>
      </c>
      <c r="V67" s="9" t="str">
        <f>VLOOKUP(Table1[[#This Row],[Address B]],IP_Master[],3,FALSE)</f>
        <v>iFIX Nodes &amp; Ethernet Switches</v>
      </c>
      <c r="W67" s="9" t="e">
        <f>VLOOKUP(Table1[[#This Row],[Port B]],traffic_types[],2,FALSE)</f>
        <v>#N/A</v>
      </c>
    </row>
    <row r="68" spans="1:23" hidden="1" x14ac:dyDescent="0.6">
      <c r="A68" t="s">
        <v>59</v>
      </c>
      <c r="B68">
        <v>5450</v>
      </c>
      <c r="C68" t="s">
        <v>53</v>
      </c>
      <c r="D68">
        <v>2844</v>
      </c>
      <c r="E68">
        <v>18</v>
      </c>
      <c r="F68">
        <v>2934</v>
      </c>
      <c r="G68">
        <v>8</v>
      </c>
      <c r="H68">
        <v>506</v>
      </c>
      <c r="I68">
        <v>10</v>
      </c>
      <c r="J68">
        <v>2428</v>
      </c>
      <c r="K68">
        <v>490.00445200000001</v>
      </c>
      <c r="L68">
        <v>9.9033010000000008</v>
      </c>
      <c r="M68">
        <v>408.75259673516899</v>
      </c>
      <c r="N68">
        <v>1961.3662151640101</v>
      </c>
      <c r="O68" s="8" t="str">
        <f>formatIP(Table1[[#This Row],[Address A]])</f>
        <v>010.011.001.014</v>
      </c>
      <c r="P68" s="8" t="str">
        <f>formatIP(Table1[[#This Row],[Address B]])</f>
        <v>010.012.000.001</v>
      </c>
      <c r="Q68" s="8" t="e">
        <f>VLOOKUP(Table1[[#This Row],[Address A]],IP_Master[],4,FALSE)</f>
        <v>#N/A</v>
      </c>
      <c r="R68" s="8" t="str">
        <f>VLOOKUP(Table1[[#This Row],[Address B]],IP_Master[],4,FALSE)</f>
        <v>PPPCFC1</v>
      </c>
      <c r="S68" s="8" t="e">
        <f>VLOOKUP(Table1[[#This Row],[Address A]],IP_Master[],2,FALSE)</f>
        <v>#N/A</v>
      </c>
      <c r="T68" s="8" t="str">
        <f>VLOOKUP(Table1[[#This Row],[Address B]],IP_Master[],2,FALSE)</f>
        <v>Fume Control</v>
      </c>
      <c r="U68" s="9" t="e">
        <f>VLOOKUP(Table1[[#This Row],[Address A]],IP_Master[],3,FALSE)</f>
        <v>#N/A</v>
      </c>
      <c r="V68" s="9" t="str">
        <f>VLOOKUP(Table1[[#This Row],[Address B]],IP_Master[],3,FALSE)</f>
        <v>iFIX Nodes &amp; Ethernet Switches</v>
      </c>
      <c r="W68" s="9" t="e">
        <f>VLOOKUP(Table1[[#This Row],[Port B]],traffic_types[],2,FALSE)</f>
        <v>#N/A</v>
      </c>
    </row>
    <row r="69" spans="1:23" hidden="1" x14ac:dyDescent="0.6">
      <c r="A69" t="s">
        <v>59</v>
      </c>
      <c r="B69">
        <v>5450</v>
      </c>
      <c r="C69" t="s">
        <v>53</v>
      </c>
      <c r="D69">
        <v>2859</v>
      </c>
      <c r="E69">
        <v>12</v>
      </c>
      <c r="F69">
        <v>2560</v>
      </c>
      <c r="G69">
        <v>5</v>
      </c>
      <c r="H69">
        <v>326</v>
      </c>
      <c r="I69">
        <v>7</v>
      </c>
      <c r="J69">
        <v>2234</v>
      </c>
      <c r="K69">
        <v>499.977349</v>
      </c>
      <c r="L69">
        <v>9.9272770000000001</v>
      </c>
      <c r="M69">
        <v>262.71050963924898</v>
      </c>
      <c r="N69">
        <v>1800.2922654419699</v>
      </c>
      <c r="O69" s="8" t="str">
        <f>formatIP(Table1[[#This Row],[Address A]])</f>
        <v>010.011.001.014</v>
      </c>
      <c r="P69" s="8" t="str">
        <f>formatIP(Table1[[#This Row],[Address B]])</f>
        <v>010.012.000.001</v>
      </c>
      <c r="Q69" s="8" t="e">
        <f>VLOOKUP(Table1[[#This Row],[Address A]],IP_Master[],4,FALSE)</f>
        <v>#N/A</v>
      </c>
      <c r="R69" s="8" t="str">
        <f>VLOOKUP(Table1[[#This Row],[Address B]],IP_Master[],4,FALSE)</f>
        <v>PPPCFC1</v>
      </c>
      <c r="S69" s="8" t="e">
        <f>VLOOKUP(Table1[[#This Row],[Address A]],IP_Master[],2,FALSE)</f>
        <v>#N/A</v>
      </c>
      <c r="T69" s="8" t="str">
        <f>VLOOKUP(Table1[[#This Row],[Address B]],IP_Master[],2,FALSE)</f>
        <v>Fume Control</v>
      </c>
      <c r="U69" s="9" t="e">
        <f>VLOOKUP(Table1[[#This Row],[Address A]],IP_Master[],3,FALSE)</f>
        <v>#N/A</v>
      </c>
      <c r="V69" s="9" t="str">
        <f>VLOOKUP(Table1[[#This Row],[Address B]],IP_Master[],3,FALSE)</f>
        <v>iFIX Nodes &amp; Ethernet Switches</v>
      </c>
      <c r="W69" s="9" t="e">
        <f>VLOOKUP(Table1[[#This Row],[Port B]],traffic_types[],2,FALSE)</f>
        <v>#N/A</v>
      </c>
    </row>
    <row r="70" spans="1:23" hidden="1" x14ac:dyDescent="0.6">
      <c r="A70" t="s">
        <v>59</v>
      </c>
      <c r="B70">
        <v>5450</v>
      </c>
      <c r="C70" t="s">
        <v>53</v>
      </c>
      <c r="D70">
        <v>2860</v>
      </c>
      <c r="E70">
        <v>14</v>
      </c>
      <c r="F70">
        <v>2680</v>
      </c>
      <c r="G70">
        <v>6</v>
      </c>
      <c r="H70">
        <v>386</v>
      </c>
      <c r="I70">
        <v>8</v>
      </c>
      <c r="J70">
        <v>2294</v>
      </c>
      <c r="K70">
        <v>509.96604600000001</v>
      </c>
      <c r="L70">
        <v>9.9390479999999606</v>
      </c>
      <c r="M70">
        <v>310.69374048701798</v>
      </c>
      <c r="N70">
        <v>1846.45450952647</v>
      </c>
      <c r="O70" s="8" t="str">
        <f>formatIP(Table1[[#This Row],[Address A]])</f>
        <v>010.011.001.014</v>
      </c>
      <c r="P70" s="8" t="str">
        <f>formatIP(Table1[[#This Row],[Address B]])</f>
        <v>010.012.000.001</v>
      </c>
      <c r="Q70" s="8" t="e">
        <f>VLOOKUP(Table1[[#This Row],[Address A]],IP_Master[],4,FALSE)</f>
        <v>#N/A</v>
      </c>
      <c r="R70" s="8" t="str">
        <f>VLOOKUP(Table1[[#This Row],[Address B]],IP_Master[],4,FALSE)</f>
        <v>PPPCFC1</v>
      </c>
      <c r="S70" s="8" t="e">
        <f>VLOOKUP(Table1[[#This Row],[Address A]],IP_Master[],2,FALSE)</f>
        <v>#N/A</v>
      </c>
      <c r="T70" s="8" t="str">
        <f>VLOOKUP(Table1[[#This Row],[Address B]],IP_Master[],2,FALSE)</f>
        <v>Fume Control</v>
      </c>
      <c r="U70" s="9" t="e">
        <f>VLOOKUP(Table1[[#This Row],[Address A]],IP_Master[],3,FALSE)</f>
        <v>#N/A</v>
      </c>
      <c r="V70" s="9" t="str">
        <f>VLOOKUP(Table1[[#This Row],[Address B]],IP_Master[],3,FALSE)</f>
        <v>iFIX Nodes &amp; Ethernet Switches</v>
      </c>
      <c r="W70" s="9" t="e">
        <f>VLOOKUP(Table1[[#This Row],[Port B]],traffic_types[],2,FALSE)</f>
        <v>#N/A</v>
      </c>
    </row>
    <row r="71" spans="1:23" hidden="1" x14ac:dyDescent="0.6">
      <c r="A71" t="s">
        <v>59</v>
      </c>
      <c r="B71">
        <v>5450</v>
      </c>
      <c r="C71" t="s">
        <v>53</v>
      </c>
      <c r="D71">
        <v>2861</v>
      </c>
      <c r="E71">
        <v>14</v>
      </c>
      <c r="F71">
        <v>2801</v>
      </c>
      <c r="G71">
        <v>6</v>
      </c>
      <c r="H71">
        <v>386</v>
      </c>
      <c r="I71">
        <v>8</v>
      </c>
      <c r="J71">
        <v>2415</v>
      </c>
      <c r="K71">
        <v>519.96346800000003</v>
      </c>
      <c r="L71">
        <v>9.9415450000000192</v>
      </c>
      <c r="M71">
        <v>310.61570409830603</v>
      </c>
      <c r="N71">
        <v>1943.35991035598</v>
      </c>
      <c r="O71" s="8" t="str">
        <f>formatIP(Table1[[#This Row],[Address A]])</f>
        <v>010.011.001.014</v>
      </c>
      <c r="P71" s="8" t="str">
        <f>formatIP(Table1[[#This Row],[Address B]])</f>
        <v>010.012.000.001</v>
      </c>
      <c r="Q71" s="8" t="e">
        <f>VLOOKUP(Table1[[#This Row],[Address A]],IP_Master[],4,FALSE)</f>
        <v>#N/A</v>
      </c>
      <c r="R71" s="8" t="str">
        <f>VLOOKUP(Table1[[#This Row],[Address B]],IP_Master[],4,FALSE)</f>
        <v>PPPCFC1</v>
      </c>
      <c r="S71" s="8" t="e">
        <f>VLOOKUP(Table1[[#This Row],[Address A]],IP_Master[],2,FALSE)</f>
        <v>#N/A</v>
      </c>
      <c r="T71" s="8" t="str">
        <f>VLOOKUP(Table1[[#This Row],[Address B]],IP_Master[],2,FALSE)</f>
        <v>Fume Control</v>
      </c>
      <c r="U71" s="9" t="e">
        <f>VLOOKUP(Table1[[#This Row],[Address A]],IP_Master[],3,FALSE)</f>
        <v>#N/A</v>
      </c>
      <c r="V71" s="9" t="str">
        <f>VLOOKUP(Table1[[#This Row],[Address B]],IP_Master[],3,FALSE)</f>
        <v>iFIX Nodes &amp; Ethernet Switches</v>
      </c>
      <c r="W71" s="9" t="e">
        <f>VLOOKUP(Table1[[#This Row],[Port B]],traffic_types[],2,FALSE)</f>
        <v>#N/A</v>
      </c>
    </row>
    <row r="72" spans="1:23" hidden="1" x14ac:dyDescent="0.6">
      <c r="A72" t="s">
        <v>59</v>
      </c>
      <c r="B72">
        <v>5450</v>
      </c>
      <c r="C72" t="s">
        <v>53</v>
      </c>
      <c r="D72">
        <v>2875</v>
      </c>
      <c r="E72">
        <v>12</v>
      </c>
      <c r="F72">
        <v>2560</v>
      </c>
      <c r="G72">
        <v>6</v>
      </c>
      <c r="H72">
        <v>386</v>
      </c>
      <c r="I72">
        <v>6</v>
      </c>
      <c r="J72">
        <v>2174</v>
      </c>
      <c r="K72">
        <v>529.96288900000002</v>
      </c>
      <c r="L72">
        <v>9.9421810000000104</v>
      </c>
      <c r="M72">
        <v>310.59583405290999</v>
      </c>
      <c r="N72">
        <v>1749.31436070214</v>
      </c>
      <c r="O72" s="8" t="str">
        <f>formatIP(Table1[[#This Row],[Address A]])</f>
        <v>010.011.001.014</v>
      </c>
      <c r="P72" s="8" t="str">
        <f>formatIP(Table1[[#This Row],[Address B]])</f>
        <v>010.012.000.001</v>
      </c>
      <c r="Q72" s="8" t="e">
        <f>VLOOKUP(Table1[[#This Row],[Address A]],IP_Master[],4,FALSE)</f>
        <v>#N/A</v>
      </c>
      <c r="R72" s="8" t="str">
        <f>VLOOKUP(Table1[[#This Row],[Address B]],IP_Master[],4,FALSE)</f>
        <v>PPPCFC1</v>
      </c>
      <c r="S72" s="8" t="e">
        <f>VLOOKUP(Table1[[#This Row],[Address A]],IP_Master[],2,FALSE)</f>
        <v>#N/A</v>
      </c>
      <c r="T72" s="8" t="str">
        <f>VLOOKUP(Table1[[#This Row],[Address B]],IP_Master[],2,FALSE)</f>
        <v>Fume Control</v>
      </c>
      <c r="U72" s="9" t="e">
        <f>VLOOKUP(Table1[[#This Row],[Address A]],IP_Master[],3,FALSE)</f>
        <v>#N/A</v>
      </c>
      <c r="V72" s="9" t="str">
        <f>VLOOKUP(Table1[[#This Row],[Address B]],IP_Master[],3,FALSE)</f>
        <v>iFIX Nodes &amp; Ethernet Switches</v>
      </c>
      <c r="W72" s="9" t="e">
        <f>VLOOKUP(Table1[[#This Row],[Port B]],traffic_types[],2,FALSE)</f>
        <v>#N/A</v>
      </c>
    </row>
    <row r="73" spans="1:23" hidden="1" x14ac:dyDescent="0.6">
      <c r="A73" t="s">
        <v>59</v>
      </c>
      <c r="B73">
        <v>5450</v>
      </c>
      <c r="C73" t="s">
        <v>53</v>
      </c>
      <c r="D73">
        <v>2877</v>
      </c>
      <c r="E73">
        <v>12</v>
      </c>
      <c r="F73">
        <v>2560</v>
      </c>
      <c r="G73">
        <v>5</v>
      </c>
      <c r="H73">
        <v>326</v>
      </c>
      <c r="I73">
        <v>7</v>
      </c>
      <c r="J73">
        <v>2234</v>
      </c>
      <c r="K73">
        <v>539.96293700000001</v>
      </c>
      <c r="L73">
        <v>9.9422489999999506</v>
      </c>
      <c r="M73">
        <v>262.31489474866402</v>
      </c>
      <c r="N73">
        <v>1797.58121125312</v>
      </c>
      <c r="O73" s="8" t="str">
        <f>formatIP(Table1[[#This Row],[Address A]])</f>
        <v>010.011.001.014</v>
      </c>
      <c r="P73" s="8" t="str">
        <f>formatIP(Table1[[#This Row],[Address B]])</f>
        <v>010.012.000.001</v>
      </c>
      <c r="Q73" s="8" t="e">
        <f>VLOOKUP(Table1[[#This Row],[Address A]],IP_Master[],4,FALSE)</f>
        <v>#N/A</v>
      </c>
      <c r="R73" s="8" t="str">
        <f>VLOOKUP(Table1[[#This Row],[Address B]],IP_Master[],4,FALSE)</f>
        <v>PPPCFC1</v>
      </c>
      <c r="S73" s="8" t="e">
        <f>VLOOKUP(Table1[[#This Row],[Address A]],IP_Master[],2,FALSE)</f>
        <v>#N/A</v>
      </c>
      <c r="T73" s="8" t="str">
        <f>VLOOKUP(Table1[[#This Row],[Address B]],IP_Master[],2,FALSE)</f>
        <v>Fume Control</v>
      </c>
      <c r="U73" s="9" t="e">
        <f>VLOOKUP(Table1[[#This Row],[Address A]],IP_Master[],3,FALSE)</f>
        <v>#N/A</v>
      </c>
      <c r="V73" s="9" t="str">
        <f>VLOOKUP(Table1[[#This Row],[Address B]],IP_Master[],3,FALSE)</f>
        <v>iFIX Nodes &amp; Ethernet Switches</v>
      </c>
      <c r="W73" s="9" t="e">
        <f>VLOOKUP(Table1[[#This Row],[Port B]],traffic_types[],2,FALSE)</f>
        <v>#N/A</v>
      </c>
    </row>
    <row r="74" spans="1:23" hidden="1" x14ac:dyDescent="0.6">
      <c r="A74" t="s">
        <v>59</v>
      </c>
      <c r="B74">
        <v>5450</v>
      </c>
      <c r="C74" t="s">
        <v>53</v>
      </c>
      <c r="D74">
        <v>2879</v>
      </c>
      <c r="E74">
        <v>12</v>
      </c>
      <c r="F74">
        <v>2560</v>
      </c>
      <c r="G74">
        <v>5</v>
      </c>
      <c r="H74">
        <v>326</v>
      </c>
      <c r="I74">
        <v>7</v>
      </c>
      <c r="J74">
        <v>2234</v>
      </c>
      <c r="K74">
        <v>549.96412499999997</v>
      </c>
      <c r="L74">
        <v>9.9412020000000894</v>
      </c>
      <c r="M74">
        <v>262.34252155825601</v>
      </c>
      <c r="N74">
        <v>1797.77053116915</v>
      </c>
      <c r="O74" s="8" t="str">
        <f>formatIP(Table1[[#This Row],[Address A]])</f>
        <v>010.011.001.014</v>
      </c>
      <c r="P74" s="8" t="str">
        <f>formatIP(Table1[[#This Row],[Address B]])</f>
        <v>010.012.000.001</v>
      </c>
      <c r="Q74" s="8" t="e">
        <f>VLOOKUP(Table1[[#This Row],[Address A]],IP_Master[],4,FALSE)</f>
        <v>#N/A</v>
      </c>
      <c r="R74" s="8" t="str">
        <f>VLOOKUP(Table1[[#This Row],[Address B]],IP_Master[],4,FALSE)</f>
        <v>PPPCFC1</v>
      </c>
      <c r="S74" s="8" t="e">
        <f>VLOOKUP(Table1[[#This Row],[Address A]],IP_Master[],2,FALSE)</f>
        <v>#N/A</v>
      </c>
      <c r="T74" s="8" t="str">
        <f>VLOOKUP(Table1[[#This Row],[Address B]],IP_Master[],2,FALSE)</f>
        <v>Fume Control</v>
      </c>
      <c r="U74" s="9" t="e">
        <f>VLOOKUP(Table1[[#This Row],[Address A]],IP_Master[],3,FALSE)</f>
        <v>#N/A</v>
      </c>
      <c r="V74" s="9" t="str">
        <f>VLOOKUP(Table1[[#This Row],[Address B]],IP_Master[],3,FALSE)</f>
        <v>iFIX Nodes &amp; Ethernet Switches</v>
      </c>
      <c r="W74" s="9" t="e">
        <f>VLOOKUP(Table1[[#This Row],[Port B]],traffic_types[],2,FALSE)</f>
        <v>#N/A</v>
      </c>
    </row>
    <row r="75" spans="1:23" hidden="1" x14ac:dyDescent="0.6">
      <c r="A75" t="s">
        <v>59</v>
      </c>
      <c r="B75">
        <v>5450</v>
      </c>
      <c r="C75" t="s">
        <v>53</v>
      </c>
      <c r="D75">
        <v>2887</v>
      </c>
      <c r="E75">
        <v>13</v>
      </c>
      <c r="F75">
        <v>2614</v>
      </c>
      <c r="G75">
        <v>6</v>
      </c>
      <c r="H75">
        <v>386</v>
      </c>
      <c r="I75">
        <v>7</v>
      </c>
      <c r="J75">
        <v>2228</v>
      </c>
      <c r="K75">
        <v>559.96666000000005</v>
      </c>
      <c r="L75">
        <v>9.9385790000000007</v>
      </c>
      <c r="M75">
        <v>310.70840207639299</v>
      </c>
      <c r="N75">
        <v>1793.41533633732</v>
      </c>
      <c r="O75" s="8" t="str">
        <f>formatIP(Table1[[#This Row],[Address A]])</f>
        <v>010.011.001.014</v>
      </c>
      <c r="P75" s="8" t="str">
        <f>formatIP(Table1[[#This Row],[Address B]])</f>
        <v>010.012.000.001</v>
      </c>
      <c r="Q75" s="8" t="e">
        <f>VLOOKUP(Table1[[#This Row],[Address A]],IP_Master[],4,FALSE)</f>
        <v>#N/A</v>
      </c>
      <c r="R75" s="8" t="str">
        <f>VLOOKUP(Table1[[#This Row],[Address B]],IP_Master[],4,FALSE)</f>
        <v>PPPCFC1</v>
      </c>
      <c r="S75" s="8" t="e">
        <f>VLOOKUP(Table1[[#This Row],[Address A]],IP_Master[],2,FALSE)</f>
        <v>#N/A</v>
      </c>
      <c r="T75" s="8" t="str">
        <f>VLOOKUP(Table1[[#This Row],[Address B]],IP_Master[],2,FALSE)</f>
        <v>Fume Control</v>
      </c>
      <c r="U75" s="9" t="e">
        <f>VLOOKUP(Table1[[#This Row],[Address A]],IP_Master[],3,FALSE)</f>
        <v>#N/A</v>
      </c>
      <c r="V75" s="9" t="str">
        <f>VLOOKUP(Table1[[#This Row],[Address B]],IP_Master[],3,FALSE)</f>
        <v>iFIX Nodes &amp; Ethernet Switches</v>
      </c>
      <c r="W75" s="9" t="e">
        <f>VLOOKUP(Table1[[#This Row],[Port B]],traffic_types[],2,FALSE)</f>
        <v>#N/A</v>
      </c>
    </row>
    <row r="76" spans="1:23" hidden="1" x14ac:dyDescent="0.6">
      <c r="A76" t="s">
        <v>59</v>
      </c>
      <c r="B76">
        <v>5450</v>
      </c>
      <c r="C76" t="s">
        <v>53</v>
      </c>
      <c r="D76">
        <v>2895</v>
      </c>
      <c r="E76">
        <v>14</v>
      </c>
      <c r="F76">
        <v>2680</v>
      </c>
      <c r="G76">
        <v>7</v>
      </c>
      <c r="H76">
        <v>446</v>
      </c>
      <c r="I76">
        <v>7</v>
      </c>
      <c r="J76">
        <v>2234</v>
      </c>
      <c r="K76">
        <v>569.96678399999996</v>
      </c>
      <c r="L76">
        <v>9.9387270000000907</v>
      </c>
      <c r="M76">
        <v>358.99969885478998</v>
      </c>
      <c r="N76">
        <v>1798.2182225147999</v>
      </c>
      <c r="O76" s="8" t="str">
        <f>formatIP(Table1[[#This Row],[Address A]])</f>
        <v>010.011.001.014</v>
      </c>
      <c r="P76" s="8" t="str">
        <f>formatIP(Table1[[#This Row],[Address B]])</f>
        <v>010.012.000.001</v>
      </c>
      <c r="Q76" s="8" t="e">
        <f>VLOOKUP(Table1[[#This Row],[Address A]],IP_Master[],4,FALSE)</f>
        <v>#N/A</v>
      </c>
      <c r="R76" s="8" t="str">
        <f>VLOOKUP(Table1[[#This Row],[Address B]],IP_Master[],4,FALSE)</f>
        <v>PPPCFC1</v>
      </c>
      <c r="S76" s="8" t="e">
        <f>VLOOKUP(Table1[[#This Row],[Address A]],IP_Master[],2,FALSE)</f>
        <v>#N/A</v>
      </c>
      <c r="T76" s="8" t="str">
        <f>VLOOKUP(Table1[[#This Row],[Address B]],IP_Master[],2,FALSE)</f>
        <v>Fume Control</v>
      </c>
      <c r="U76" s="9" t="e">
        <f>VLOOKUP(Table1[[#This Row],[Address A]],IP_Master[],3,FALSE)</f>
        <v>#N/A</v>
      </c>
      <c r="V76" s="9" t="str">
        <f>VLOOKUP(Table1[[#This Row],[Address B]],IP_Master[],3,FALSE)</f>
        <v>iFIX Nodes &amp; Ethernet Switches</v>
      </c>
      <c r="W76" s="9" t="e">
        <f>VLOOKUP(Table1[[#This Row],[Port B]],traffic_types[],2,FALSE)</f>
        <v>#N/A</v>
      </c>
    </row>
    <row r="77" spans="1:23" hidden="1" x14ac:dyDescent="0.6">
      <c r="A77" t="s">
        <v>59</v>
      </c>
      <c r="B77">
        <v>5450</v>
      </c>
      <c r="C77" t="s">
        <v>53</v>
      </c>
      <c r="D77">
        <v>2897</v>
      </c>
      <c r="E77">
        <v>15</v>
      </c>
      <c r="F77">
        <v>2734</v>
      </c>
      <c r="G77">
        <v>7</v>
      </c>
      <c r="H77">
        <v>446</v>
      </c>
      <c r="I77">
        <v>8</v>
      </c>
      <c r="J77">
        <v>2288</v>
      </c>
      <c r="K77">
        <v>579.96619699999997</v>
      </c>
      <c r="L77">
        <v>9.9395520000000506</v>
      </c>
      <c r="M77">
        <v>358.96990125912902</v>
      </c>
      <c r="N77">
        <v>1841.53169076432</v>
      </c>
      <c r="O77" s="8" t="str">
        <f>formatIP(Table1[[#This Row],[Address A]])</f>
        <v>010.011.001.014</v>
      </c>
      <c r="P77" s="8" t="str">
        <f>formatIP(Table1[[#This Row],[Address B]])</f>
        <v>010.012.000.001</v>
      </c>
      <c r="Q77" s="8" t="e">
        <f>VLOOKUP(Table1[[#This Row],[Address A]],IP_Master[],4,FALSE)</f>
        <v>#N/A</v>
      </c>
      <c r="R77" s="8" t="str">
        <f>VLOOKUP(Table1[[#This Row],[Address B]],IP_Master[],4,FALSE)</f>
        <v>PPPCFC1</v>
      </c>
      <c r="S77" s="8" t="e">
        <f>VLOOKUP(Table1[[#This Row],[Address A]],IP_Master[],2,FALSE)</f>
        <v>#N/A</v>
      </c>
      <c r="T77" s="8" t="str">
        <f>VLOOKUP(Table1[[#This Row],[Address B]],IP_Master[],2,FALSE)</f>
        <v>Fume Control</v>
      </c>
      <c r="U77" s="9" t="e">
        <f>VLOOKUP(Table1[[#This Row],[Address A]],IP_Master[],3,FALSE)</f>
        <v>#N/A</v>
      </c>
      <c r="V77" s="9" t="str">
        <f>VLOOKUP(Table1[[#This Row],[Address B]],IP_Master[],3,FALSE)</f>
        <v>iFIX Nodes &amp; Ethernet Switches</v>
      </c>
      <c r="W77" s="9" t="e">
        <f>VLOOKUP(Table1[[#This Row],[Port B]],traffic_types[],2,FALSE)</f>
        <v>#N/A</v>
      </c>
    </row>
    <row r="78" spans="1:23" hidden="1" x14ac:dyDescent="0.6">
      <c r="A78" t="s">
        <v>59</v>
      </c>
      <c r="B78">
        <v>5450</v>
      </c>
      <c r="C78" t="s">
        <v>53</v>
      </c>
      <c r="D78">
        <v>2900</v>
      </c>
      <c r="E78">
        <v>14</v>
      </c>
      <c r="F78">
        <v>2680</v>
      </c>
      <c r="G78">
        <v>6</v>
      </c>
      <c r="H78">
        <v>386</v>
      </c>
      <c r="I78">
        <v>8</v>
      </c>
      <c r="J78">
        <v>2294</v>
      </c>
      <c r="K78">
        <v>589.96769300000005</v>
      </c>
      <c r="L78">
        <v>9.9381229999999103</v>
      </c>
      <c r="M78">
        <v>310.72265859458901</v>
      </c>
      <c r="N78">
        <v>1846.6263699896001</v>
      </c>
      <c r="O78" s="8" t="str">
        <f>formatIP(Table1[[#This Row],[Address A]])</f>
        <v>010.011.001.014</v>
      </c>
      <c r="P78" s="8" t="str">
        <f>formatIP(Table1[[#This Row],[Address B]])</f>
        <v>010.012.000.001</v>
      </c>
      <c r="Q78" s="8" t="e">
        <f>VLOOKUP(Table1[[#This Row],[Address A]],IP_Master[],4,FALSE)</f>
        <v>#N/A</v>
      </c>
      <c r="R78" s="8" t="str">
        <f>VLOOKUP(Table1[[#This Row],[Address B]],IP_Master[],4,FALSE)</f>
        <v>PPPCFC1</v>
      </c>
      <c r="S78" s="8" t="e">
        <f>VLOOKUP(Table1[[#This Row],[Address A]],IP_Master[],2,FALSE)</f>
        <v>#N/A</v>
      </c>
      <c r="T78" s="8" t="str">
        <f>VLOOKUP(Table1[[#This Row],[Address B]],IP_Master[],2,FALSE)</f>
        <v>Fume Control</v>
      </c>
      <c r="U78" s="9" t="e">
        <f>VLOOKUP(Table1[[#This Row],[Address A]],IP_Master[],3,FALSE)</f>
        <v>#N/A</v>
      </c>
      <c r="V78" s="9" t="str">
        <f>VLOOKUP(Table1[[#This Row],[Address B]],IP_Master[],3,FALSE)</f>
        <v>iFIX Nodes &amp; Ethernet Switches</v>
      </c>
      <c r="W78" s="9" t="e">
        <f>VLOOKUP(Table1[[#This Row],[Port B]],traffic_types[],2,FALSE)</f>
        <v>#N/A</v>
      </c>
    </row>
    <row r="79" spans="1:23" hidden="1" x14ac:dyDescent="0.6">
      <c r="A79" t="s">
        <v>59</v>
      </c>
      <c r="B79">
        <v>5450</v>
      </c>
      <c r="C79" t="s">
        <v>53</v>
      </c>
      <c r="D79">
        <v>2914</v>
      </c>
      <c r="E79">
        <v>12</v>
      </c>
      <c r="F79">
        <v>2560</v>
      </c>
      <c r="G79">
        <v>6</v>
      </c>
      <c r="H79">
        <v>386</v>
      </c>
      <c r="I79">
        <v>6</v>
      </c>
      <c r="J79">
        <v>2174</v>
      </c>
      <c r="K79">
        <v>599.96565199999998</v>
      </c>
      <c r="L79">
        <v>9.9403049999999702</v>
      </c>
      <c r="M79">
        <v>310.65445174972098</v>
      </c>
      <c r="N79">
        <v>1749.64450285983</v>
      </c>
      <c r="O79" s="8" t="str">
        <f>formatIP(Table1[[#This Row],[Address A]])</f>
        <v>010.011.001.014</v>
      </c>
      <c r="P79" s="8" t="str">
        <f>formatIP(Table1[[#This Row],[Address B]])</f>
        <v>010.012.000.001</v>
      </c>
      <c r="Q79" s="8" t="e">
        <f>VLOOKUP(Table1[[#This Row],[Address A]],IP_Master[],4,FALSE)</f>
        <v>#N/A</v>
      </c>
      <c r="R79" s="8" t="str">
        <f>VLOOKUP(Table1[[#This Row],[Address B]],IP_Master[],4,FALSE)</f>
        <v>PPPCFC1</v>
      </c>
      <c r="S79" s="8" t="e">
        <f>VLOOKUP(Table1[[#This Row],[Address A]],IP_Master[],2,FALSE)</f>
        <v>#N/A</v>
      </c>
      <c r="T79" s="8" t="str">
        <f>VLOOKUP(Table1[[#This Row],[Address B]],IP_Master[],2,FALSE)</f>
        <v>Fume Control</v>
      </c>
      <c r="U79" s="9" t="e">
        <f>VLOOKUP(Table1[[#This Row],[Address A]],IP_Master[],3,FALSE)</f>
        <v>#N/A</v>
      </c>
      <c r="V79" s="9" t="str">
        <f>VLOOKUP(Table1[[#This Row],[Address B]],IP_Master[],3,FALSE)</f>
        <v>iFIX Nodes &amp; Ethernet Switches</v>
      </c>
      <c r="W79" s="9" t="e">
        <f>VLOOKUP(Table1[[#This Row],[Port B]],traffic_types[],2,FALSE)</f>
        <v>#N/A</v>
      </c>
    </row>
    <row r="80" spans="1:23" hidden="1" x14ac:dyDescent="0.6">
      <c r="A80" t="s">
        <v>59</v>
      </c>
      <c r="B80">
        <v>5450</v>
      </c>
      <c r="C80" t="s">
        <v>53</v>
      </c>
      <c r="D80">
        <v>2915</v>
      </c>
      <c r="E80">
        <v>13</v>
      </c>
      <c r="F80">
        <v>2614</v>
      </c>
      <c r="G80">
        <v>6</v>
      </c>
      <c r="H80">
        <v>386</v>
      </c>
      <c r="I80">
        <v>7</v>
      </c>
      <c r="J80">
        <v>2228</v>
      </c>
      <c r="K80">
        <v>609.96709199999998</v>
      </c>
      <c r="L80">
        <v>9.9386399999999604</v>
      </c>
      <c r="M80">
        <v>310.70649505364997</v>
      </c>
      <c r="N80">
        <v>1793.4043289625199</v>
      </c>
      <c r="O80" s="8" t="str">
        <f>formatIP(Table1[[#This Row],[Address A]])</f>
        <v>010.011.001.014</v>
      </c>
      <c r="P80" s="8" t="str">
        <f>formatIP(Table1[[#This Row],[Address B]])</f>
        <v>010.012.000.001</v>
      </c>
      <c r="Q80" s="8" t="e">
        <f>VLOOKUP(Table1[[#This Row],[Address A]],IP_Master[],4,FALSE)</f>
        <v>#N/A</v>
      </c>
      <c r="R80" s="8" t="str">
        <f>VLOOKUP(Table1[[#This Row],[Address B]],IP_Master[],4,FALSE)</f>
        <v>PPPCFC1</v>
      </c>
      <c r="S80" s="8" t="e">
        <f>VLOOKUP(Table1[[#This Row],[Address A]],IP_Master[],2,FALSE)</f>
        <v>#N/A</v>
      </c>
      <c r="T80" s="8" t="str">
        <f>VLOOKUP(Table1[[#This Row],[Address B]],IP_Master[],2,FALSE)</f>
        <v>Fume Control</v>
      </c>
      <c r="U80" s="9" t="e">
        <f>VLOOKUP(Table1[[#This Row],[Address A]],IP_Master[],3,FALSE)</f>
        <v>#N/A</v>
      </c>
      <c r="V80" s="9" t="str">
        <f>VLOOKUP(Table1[[#This Row],[Address B]],IP_Master[],3,FALSE)</f>
        <v>iFIX Nodes &amp; Ethernet Switches</v>
      </c>
      <c r="W80" s="9" t="e">
        <f>VLOOKUP(Table1[[#This Row],[Port B]],traffic_types[],2,FALSE)</f>
        <v>#N/A</v>
      </c>
    </row>
    <row r="81" spans="1:23" hidden="1" x14ac:dyDescent="0.6">
      <c r="A81" t="s">
        <v>59</v>
      </c>
      <c r="B81">
        <v>5450</v>
      </c>
      <c r="C81" t="s">
        <v>53</v>
      </c>
      <c r="D81">
        <v>2916</v>
      </c>
      <c r="E81">
        <v>14</v>
      </c>
      <c r="F81">
        <v>2680</v>
      </c>
      <c r="G81">
        <v>6</v>
      </c>
      <c r="H81">
        <v>386</v>
      </c>
      <c r="I81">
        <v>8</v>
      </c>
      <c r="J81">
        <v>2294</v>
      </c>
      <c r="K81">
        <v>619.96831299999997</v>
      </c>
      <c r="L81">
        <v>9.9380780000000204</v>
      </c>
      <c r="M81">
        <v>310.72406555875199</v>
      </c>
      <c r="N81">
        <v>1846.63473158492</v>
      </c>
      <c r="O81" s="8" t="str">
        <f>formatIP(Table1[[#This Row],[Address A]])</f>
        <v>010.011.001.014</v>
      </c>
      <c r="P81" s="8" t="str">
        <f>formatIP(Table1[[#This Row],[Address B]])</f>
        <v>010.012.000.001</v>
      </c>
      <c r="Q81" s="8" t="e">
        <f>VLOOKUP(Table1[[#This Row],[Address A]],IP_Master[],4,FALSE)</f>
        <v>#N/A</v>
      </c>
      <c r="R81" s="8" t="str">
        <f>VLOOKUP(Table1[[#This Row],[Address B]],IP_Master[],4,FALSE)</f>
        <v>PPPCFC1</v>
      </c>
      <c r="S81" s="8" t="e">
        <f>VLOOKUP(Table1[[#This Row],[Address A]],IP_Master[],2,FALSE)</f>
        <v>#N/A</v>
      </c>
      <c r="T81" s="8" t="str">
        <f>VLOOKUP(Table1[[#This Row],[Address B]],IP_Master[],2,FALSE)</f>
        <v>Fume Control</v>
      </c>
      <c r="U81" s="9" t="e">
        <f>VLOOKUP(Table1[[#This Row],[Address A]],IP_Master[],3,FALSE)</f>
        <v>#N/A</v>
      </c>
      <c r="V81" s="9" t="str">
        <f>VLOOKUP(Table1[[#This Row],[Address B]],IP_Master[],3,FALSE)</f>
        <v>iFIX Nodes &amp; Ethernet Switches</v>
      </c>
      <c r="W81" s="9" t="e">
        <f>VLOOKUP(Table1[[#This Row],[Port B]],traffic_types[],2,FALSE)</f>
        <v>#N/A</v>
      </c>
    </row>
    <row r="82" spans="1:23" hidden="1" x14ac:dyDescent="0.6">
      <c r="A82" t="s">
        <v>59</v>
      </c>
      <c r="B82">
        <v>5450</v>
      </c>
      <c r="C82" t="s">
        <v>53</v>
      </c>
      <c r="D82">
        <v>2931</v>
      </c>
      <c r="E82">
        <v>13</v>
      </c>
      <c r="F82">
        <v>2614</v>
      </c>
      <c r="G82">
        <v>6</v>
      </c>
      <c r="H82">
        <v>386</v>
      </c>
      <c r="I82">
        <v>7</v>
      </c>
      <c r="J82">
        <v>2228</v>
      </c>
      <c r="K82">
        <v>629.96646699999997</v>
      </c>
      <c r="L82">
        <v>9.9395420000000705</v>
      </c>
      <c r="M82">
        <v>310.67829885924101</v>
      </c>
      <c r="N82">
        <v>1793.24157994401</v>
      </c>
      <c r="O82" s="8" t="str">
        <f>formatIP(Table1[[#This Row],[Address A]])</f>
        <v>010.011.001.014</v>
      </c>
      <c r="P82" s="8" t="str">
        <f>formatIP(Table1[[#This Row],[Address B]])</f>
        <v>010.012.000.001</v>
      </c>
      <c r="Q82" s="8" t="e">
        <f>VLOOKUP(Table1[[#This Row],[Address A]],IP_Master[],4,FALSE)</f>
        <v>#N/A</v>
      </c>
      <c r="R82" s="8" t="str">
        <f>VLOOKUP(Table1[[#This Row],[Address B]],IP_Master[],4,FALSE)</f>
        <v>PPPCFC1</v>
      </c>
      <c r="S82" s="8" t="e">
        <f>VLOOKUP(Table1[[#This Row],[Address A]],IP_Master[],2,FALSE)</f>
        <v>#N/A</v>
      </c>
      <c r="T82" s="8" t="str">
        <f>VLOOKUP(Table1[[#This Row],[Address B]],IP_Master[],2,FALSE)</f>
        <v>Fume Control</v>
      </c>
      <c r="U82" s="9" t="e">
        <f>VLOOKUP(Table1[[#This Row],[Address A]],IP_Master[],3,FALSE)</f>
        <v>#N/A</v>
      </c>
      <c r="V82" s="9" t="str">
        <f>VLOOKUP(Table1[[#This Row],[Address B]],IP_Master[],3,FALSE)</f>
        <v>iFIX Nodes &amp; Ethernet Switches</v>
      </c>
      <c r="W82" s="9" t="e">
        <f>VLOOKUP(Table1[[#This Row],[Port B]],traffic_types[],2,FALSE)</f>
        <v>#N/A</v>
      </c>
    </row>
    <row r="83" spans="1:23" hidden="1" x14ac:dyDescent="0.6">
      <c r="A83" t="s">
        <v>59</v>
      </c>
      <c r="B83">
        <v>5450</v>
      </c>
      <c r="C83" t="s">
        <v>53</v>
      </c>
      <c r="D83">
        <v>2933</v>
      </c>
      <c r="E83">
        <v>15</v>
      </c>
      <c r="F83">
        <v>2740</v>
      </c>
      <c r="G83">
        <v>7</v>
      </c>
      <c r="H83">
        <v>446</v>
      </c>
      <c r="I83">
        <v>8</v>
      </c>
      <c r="J83">
        <v>2294</v>
      </c>
      <c r="K83">
        <v>639.96490700000004</v>
      </c>
      <c r="L83">
        <v>9.9416390000000092</v>
      </c>
      <c r="M83">
        <v>358.89454445086898</v>
      </c>
      <c r="N83">
        <v>1845.9732846867601</v>
      </c>
      <c r="O83" s="8" t="str">
        <f>formatIP(Table1[[#This Row],[Address A]])</f>
        <v>010.011.001.014</v>
      </c>
      <c r="P83" s="8" t="str">
        <f>formatIP(Table1[[#This Row],[Address B]])</f>
        <v>010.012.000.001</v>
      </c>
      <c r="Q83" s="8" t="e">
        <f>VLOOKUP(Table1[[#This Row],[Address A]],IP_Master[],4,FALSE)</f>
        <v>#N/A</v>
      </c>
      <c r="R83" s="8" t="str">
        <f>VLOOKUP(Table1[[#This Row],[Address B]],IP_Master[],4,FALSE)</f>
        <v>PPPCFC1</v>
      </c>
      <c r="S83" s="8" t="e">
        <f>VLOOKUP(Table1[[#This Row],[Address A]],IP_Master[],2,FALSE)</f>
        <v>#N/A</v>
      </c>
      <c r="T83" s="8" t="str">
        <f>VLOOKUP(Table1[[#This Row],[Address B]],IP_Master[],2,FALSE)</f>
        <v>Fume Control</v>
      </c>
      <c r="U83" s="9" t="e">
        <f>VLOOKUP(Table1[[#This Row],[Address A]],IP_Master[],3,FALSE)</f>
        <v>#N/A</v>
      </c>
      <c r="V83" s="9" t="str">
        <f>VLOOKUP(Table1[[#This Row],[Address B]],IP_Master[],3,FALSE)</f>
        <v>iFIX Nodes &amp; Ethernet Switches</v>
      </c>
      <c r="W83" s="9" t="e">
        <f>VLOOKUP(Table1[[#This Row],[Port B]],traffic_types[],2,FALSE)</f>
        <v>#N/A</v>
      </c>
    </row>
    <row r="84" spans="1:23" hidden="1" x14ac:dyDescent="0.6">
      <c r="A84" t="s">
        <v>59</v>
      </c>
      <c r="B84">
        <v>5450</v>
      </c>
      <c r="C84" t="s">
        <v>53</v>
      </c>
      <c r="D84">
        <v>2934</v>
      </c>
      <c r="E84">
        <v>12</v>
      </c>
      <c r="F84">
        <v>2560</v>
      </c>
      <c r="G84">
        <v>5</v>
      </c>
      <c r="H84">
        <v>326</v>
      </c>
      <c r="I84">
        <v>7</v>
      </c>
      <c r="J84">
        <v>2234</v>
      </c>
      <c r="K84">
        <v>649.96469300000001</v>
      </c>
      <c r="L84">
        <v>9.9417449999999707</v>
      </c>
      <c r="M84">
        <v>262.32819288766802</v>
      </c>
      <c r="N84">
        <v>1797.67234021795</v>
      </c>
      <c r="O84" s="8" t="str">
        <f>formatIP(Table1[[#This Row],[Address A]])</f>
        <v>010.011.001.014</v>
      </c>
      <c r="P84" s="8" t="str">
        <f>formatIP(Table1[[#This Row],[Address B]])</f>
        <v>010.012.000.001</v>
      </c>
      <c r="Q84" s="8" t="e">
        <f>VLOOKUP(Table1[[#This Row],[Address A]],IP_Master[],4,FALSE)</f>
        <v>#N/A</v>
      </c>
      <c r="R84" s="8" t="str">
        <f>VLOOKUP(Table1[[#This Row],[Address B]],IP_Master[],4,FALSE)</f>
        <v>PPPCFC1</v>
      </c>
      <c r="S84" s="8" t="e">
        <f>VLOOKUP(Table1[[#This Row],[Address A]],IP_Master[],2,FALSE)</f>
        <v>#N/A</v>
      </c>
      <c r="T84" s="8" t="str">
        <f>VLOOKUP(Table1[[#This Row],[Address B]],IP_Master[],2,FALSE)</f>
        <v>Fume Control</v>
      </c>
      <c r="U84" s="9" t="e">
        <f>VLOOKUP(Table1[[#This Row],[Address A]],IP_Master[],3,FALSE)</f>
        <v>#N/A</v>
      </c>
      <c r="V84" s="9" t="str">
        <f>VLOOKUP(Table1[[#This Row],[Address B]],IP_Master[],3,FALSE)</f>
        <v>iFIX Nodes &amp; Ethernet Switches</v>
      </c>
      <c r="W84" s="9" t="e">
        <f>VLOOKUP(Table1[[#This Row],[Port B]],traffic_types[],2,FALSE)</f>
        <v>#N/A</v>
      </c>
    </row>
    <row r="85" spans="1:23" hidden="1" x14ac:dyDescent="0.6">
      <c r="A85" t="s">
        <v>59</v>
      </c>
      <c r="B85">
        <v>5450</v>
      </c>
      <c r="C85" t="s">
        <v>53</v>
      </c>
      <c r="D85">
        <v>2942</v>
      </c>
      <c r="E85">
        <v>13</v>
      </c>
      <c r="F85">
        <v>2620</v>
      </c>
      <c r="G85">
        <v>6</v>
      </c>
      <c r="H85">
        <v>386</v>
      </c>
      <c r="I85">
        <v>7</v>
      </c>
      <c r="J85">
        <v>2234</v>
      </c>
      <c r="K85">
        <v>659.96458099999995</v>
      </c>
      <c r="L85">
        <v>9.9418659999999992</v>
      </c>
      <c r="M85">
        <v>310.60567503122599</v>
      </c>
      <c r="N85">
        <v>1797.65046119109</v>
      </c>
      <c r="O85" s="8" t="str">
        <f>formatIP(Table1[[#This Row],[Address A]])</f>
        <v>010.011.001.014</v>
      </c>
      <c r="P85" s="8" t="str">
        <f>formatIP(Table1[[#This Row],[Address B]])</f>
        <v>010.012.000.001</v>
      </c>
      <c r="Q85" s="8" t="e">
        <f>VLOOKUP(Table1[[#This Row],[Address A]],IP_Master[],4,FALSE)</f>
        <v>#N/A</v>
      </c>
      <c r="R85" s="8" t="str">
        <f>VLOOKUP(Table1[[#This Row],[Address B]],IP_Master[],4,FALSE)</f>
        <v>PPPCFC1</v>
      </c>
      <c r="S85" s="8" t="e">
        <f>VLOOKUP(Table1[[#This Row],[Address A]],IP_Master[],2,FALSE)</f>
        <v>#N/A</v>
      </c>
      <c r="T85" s="8" t="str">
        <f>VLOOKUP(Table1[[#This Row],[Address B]],IP_Master[],2,FALSE)</f>
        <v>Fume Control</v>
      </c>
      <c r="U85" s="9" t="e">
        <f>VLOOKUP(Table1[[#This Row],[Address A]],IP_Master[],3,FALSE)</f>
        <v>#N/A</v>
      </c>
      <c r="V85" s="9" t="str">
        <f>VLOOKUP(Table1[[#This Row],[Address B]],IP_Master[],3,FALSE)</f>
        <v>iFIX Nodes &amp; Ethernet Switches</v>
      </c>
      <c r="W85" s="9" t="e">
        <f>VLOOKUP(Table1[[#This Row],[Port B]],traffic_types[],2,FALSE)</f>
        <v>#N/A</v>
      </c>
    </row>
    <row r="86" spans="1:23" hidden="1" x14ac:dyDescent="0.6">
      <c r="A86" t="s">
        <v>59</v>
      </c>
      <c r="B86">
        <v>5450</v>
      </c>
      <c r="C86" t="s">
        <v>53</v>
      </c>
      <c r="D86">
        <v>2951</v>
      </c>
      <c r="E86">
        <v>15</v>
      </c>
      <c r="F86">
        <v>2740</v>
      </c>
      <c r="G86">
        <v>7</v>
      </c>
      <c r="H86">
        <v>446</v>
      </c>
      <c r="I86">
        <v>8</v>
      </c>
      <c r="J86">
        <v>2294</v>
      </c>
      <c r="K86">
        <v>669.96587699999998</v>
      </c>
      <c r="L86">
        <v>9.9407089999999698</v>
      </c>
      <c r="M86">
        <v>358.928120720565</v>
      </c>
      <c r="N86">
        <v>1846.14598415466</v>
      </c>
      <c r="O86" s="8" t="str">
        <f>formatIP(Table1[[#This Row],[Address A]])</f>
        <v>010.011.001.014</v>
      </c>
      <c r="P86" s="8" t="str">
        <f>formatIP(Table1[[#This Row],[Address B]])</f>
        <v>010.012.000.001</v>
      </c>
      <c r="Q86" s="8" t="e">
        <f>VLOOKUP(Table1[[#This Row],[Address A]],IP_Master[],4,FALSE)</f>
        <v>#N/A</v>
      </c>
      <c r="R86" s="8" t="str">
        <f>VLOOKUP(Table1[[#This Row],[Address B]],IP_Master[],4,FALSE)</f>
        <v>PPPCFC1</v>
      </c>
      <c r="S86" s="8" t="e">
        <f>VLOOKUP(Table1[[#This Row],[Address A]],IP_Master[],2,FALSE)</f>
        <v>#N/A</v>
      </c>
      <c r="T86" s="8" t="str">
        <f>VLOOKUP(Table1[[#This Row],[Address B]],IP_Master[],2,FALSE)</f>
        <v>Fume Control</v>
      </c>
      <c r="U86" s="9" t="e">
        <f>VLOOKUP(Table1[[#This Row],[Address A]],IP_Master[],3,FALSE)</f>
        <v>#N/A</v>
      </c>
      <c r="V86" s="9" t="str">
        <f>VLOOKUP(Table1[[#This Row],[Address B]],IP_Master[],3,FALSE)</f>
        <v>iFIX Nodes &amp; Ethernet Switches</v>
      </c>
      <c r="W86" s="9" t="e">
        <f>VLOOKUP(Table1[[#This Row],[Port B]],traffic_types[],2,FALSE)</f>
        <v>#N/A</v>
      </c>
    </row>
    <row r="87" spans="1:23" hidden="1" x14ac:dyDescent="0.6">
      <c r="A87" t="s">
        <v>59</v>
      </c>
      <c r="B87">
        <v>5450</v>
      </c>
      <c r="C87" t="s">
        <v>53</v>
      </c>
      <c r="D87">
        <v>2952</v>
      </c>
      <c r="E87">
        <v>14</v>
      </c>
      <c r="F87">
        <v>2680</v>
      </c>
      <c r="G87">
        <v>7</v>
      </c>
      <c r="H87">
        <v>446</v>
      </c>
      <c r="I87">
        <v>7</v>
      </c>
      <c r="J87">
        <v>2234</v>
      </c>
      <c r="K87">
        <v>679.96615099999997</v>
      </c>
      <c r="L87">
        <v>9.9405550000000193</v>
      </c>
      <c r="M87">
        <v>358.93368126829898</v>
      </c>
      <c r="N87">
        <v>1797.8875424963701</v>
      </c>
      <c r="O87" s="8" t="str">
        <f>formatIP(Table1[[#This Row],[Address A]])</f>
        <v>010.011.001.014</v>
      </c>
      <c r="P87" s="8" t="str">
        <f>formatIP(Table1[[#This Row],[Address B]])</f>
        <v>010.012.000.001</v>
      </c>
      <c r="Q87" s="8" t="e">
        <f>VLOOKUP(Table1[[#This Row],[Address A]],IP_Master[],4,FALSE)</f>
        <v>#N/A</v>
      </c>
      <c r="R87" s="8" t="str">
        <f>VLOOKUP(Table1[[#This Row],[Address B]],IP_Master[],4,FALSE)</f>
        <v>PPPCFC1</v>
      </c>
      <c r="S87" s="8" t="e">
        <f>VLOOKUP(Table1[[#This Row],[Address A]],IP_Master[],2,FALSE)</f>
        <v>#N/A</v>
      </c>
      <c r="T87" s="8" t="str">
        <f>VLOOKUP(Table1[[#This Row],[Address B]],IP_Master[],2,FALSE)</f>
        <v>Fume Control</v>
      </c>
      <c r="U87" s="9" t="e">
        <f>VLOOKUP(Table1[[#This Row],[Address A]],IP_Master[],3,FALSE)</f>
        <v>#N/A</v>
      </c>
      <c r="V87" s="9" t="str">
        <f>VLOOKUP(Table1[[#This Row],[Address B]],IP_Master[],3,FALSE)</f>
        <v>iFIX Nodes &amp; Ethernet Switches</v>
      </c>
      <c r="W87" s="9" t="e">
        <f>VLOOKUP(Table1[[#This Row],[Port B]],traffic_types[],2,FALSE)</f>
        <v>#N/A</v>
      </c>
    </row>
    <row r="88" spans="1:23" hidden="1" x14ac:dyDescent="0.6">
      <c r="A88" t="s">
        <v>59</v>
      </c>
      <c r="B88">
        <v>5450</v>
      </c>
      <c r="C88" t="s">
        <v>53</v>
      </c>
      <c r="D88">
        <v>2955</v>
      </c>
      <c r="E88">
        <v>13</v>
      </c>
      <c r="F88">
        <v>2614</v>
      </c>
      <c r="G88">
        <v>6</v>
      </c>
      <c r="H88">
        <v>386</v>
      </c>
      <c r="I88">
        <v>7</v>
      </c>
      <c r="J88">
        <v>2228</v>
      </c>
      <c r="K88">
        <v>689.967353</v>
      </c>
      <c r="L88">
        <v>9.9391590000000196</v>
      </c>
      <c r="M88">
        <v>310.690270675818</v>
      </c>
      <c r="N88">
        <v>1793.3106815174201</v>
      </c>
      <c r="O88" s="8" t="str">
        <f>formatIP(Table1[[#This Row],[Address A]])</f>
        <v>010.011.001.014</v>
      </c>
      <c r="P88" s="8" t="str">
        <f>formatIP(Table1[[#This Row],[Address B]])</f>
        <v>010.012.000.001</v>
      </c>
      <c r="Q88" s="8" t="e">
        <f>VLOOKUP(Table1[[#This Row],[Address A]],IP_Master[],4,FALSE)</f>
        <v>#N/A</v>
      </c>
      <c r="R88" s="8" t="str">
        <f>VLOOKUP(Table1[[#This Row],[Address B]],IP_Master[],4,FALSE)</f>
        <v>PPPCFC1</v>
      </c>
      <c r="S88" s="8" t="e">
        <f>VLOOKUP(Table1[[#This Row],[Address A]],IP_Master[],2,FALSE)</f>
        <v>#N/A</v>
      </c>
      <c r="T88" s="8" t="str">
        <f>VLOOKUP(Table1[[#This Row],[Address B]],IP_Master[],2,FALSE)</f>
        <v>Fume Control</v>
      </c>
      <c r="U88" s="9" t="e">
        <f>VLOOKUP(Table1[[#This Row],[Address A]],IP_Master[],3,FALSE)</f>
        <v>#N/A</v>
      </c>
      <c r="V88" s="9" t="str">
        <f>VLOOKUP(Table1[[#This Row],[Address B]],IP_Master[],3,FALSE)</f>
        <v>iFIX Nodes &amp; Ethernet Switches</v>
      </c>
      <c r="W88" s="9" t="e">
        <f>VLOOKUP(Table1[[#This Row],[Port B]],traffic_types[],2,FALSE)</f>
        <v>#N/A</v>
      </c>
    </row>
    <row r="89" spans="1:23" hidden="1" x14ac:dyDescent="0.6">
      <c r="A89" t="s">
        <v>59</v>
      </c>
      <c r="B89">
        <v>5450</v>
      </c>
      <c r="C89" t="s">
        <v>53</v>
      </c>
      <c r="D89">
        <v>2969</v>
      </c>
      <c r="E89">
        <v>12</v>
      </c>
      <c r="F89">
        <v>2560</v>
      </c>
      <c r="G89">
        <v>5</v>
      </c>
      <c r="H89">
        <v>326</v>
      </c>
      <c r="I89">
        <v>7</v>
      </c>
      <c r="J89">
        <v>2234</v>
      </c>
      <c r="K89">
        <v>699.96860200000003</v>
      </c>
      <c r="L89">
        <v>9.9382889999999406</v>
      </c>
      <c r="M89">
        <v>262.41941646092403</v>
      </c>
      <c r="N89">
        <v>1798.2974735389701</v>
      </c>
      <c r="O89" s="8" t="str">
        <f>formatIP(Table1[[#This Row],[Address A]])</f>
        <v>010.011.001.014</v>
      </c>
      <c r="P89" s="8" t="str">
        <f>formatIP(Table1[[#This Row],[Address B]])</f>
        <v>010.012.000.001</v>
      </c>
      <c r="Q89" s="8" t="e">
        <f>VLOOKUP(Table1[[#This Row],[Address A]],IP_Master[],4,FALSE)</f>
        <v>#N/A</v>
      </c>
      <c r="R89" s="8" t="str">
        <f>VLOOKUP(Table1[[#This Row],[Address B]],IP_Master[],4,FALSE)</f>
        <v>PPPCFC1</v>
      </c>
      <c r="S89" s="8" t="e">
        <f>VLOOKUP(Table1[[#This Row],[Address A]],IP_Master[],2,FALSE)</f>
        <v>#N/A</v>
      </c>
      <c r="T89" s="8" t="str">
        <f>VLOOKUP(Table1[[#This Row],[Address B]],IP_Master[],2,FALSE)</f>
        <v>Fume Control</v>
      </c>
      <c r="U89" s="9" t="e">
        <f>VLOOKUP(Table1[[#This Row],[Address A]],IP_Master[],3,FALSE)</f>
        <v>#N/A</v>
      </c>
      <c r="V89" s="9" t="str">
        <f>VLOOKUP(Table1[[#This Row],[Address B]],IP_Master[],3,FALSE)</f>
        <v>iFIX Nodes &amp; Ethernet Switches</v>
      </c>
      <c r="W89" s="9" t="e">
        <f>VLOOKUP(Table1[[#This Row],[Port B]],traffic_types[],2,FALSE)</f>
        <v>#N/A</v>
      </c>
    </row>
    <row r="90" spans="1:23" hidden="1" x14ac:dyDescent="0.6">
      <c r="A90" t="s">
        <v>59</v>
      </c>
      <c r="B90">
        <v>5450</v>
      </c>
      <c r="C90" t="s">
        <v>53</v>
      </c>
      <c r="D90">
        <v>2970</v>
      </c>
      <c r="E90">
        <v>12</v>
      </c>
      <c r="F90">
        <v>2560</v>
      </c>
      <c r="G90">
        <v>6</v>
      </c>
      <c r="H90">
        <v>386</v>
      </c>
      <c r="I90">
        <v>6</v>
      </c>
      <c r="J90">
        <v>2174</v>
      </c>
      <c r="K90">
        <v>709.96603100000004</v>
      </c>
      <c r="L90">
        <v>9.9449260000000095</v>
      </c>
      <c r="M90">
        <v>310.51010334315202</v>
      </c>
      <c r="N90">
        <v>1748.83151468397</v>
      </c>
      <c r="O90" s="8" t="str">
        <f>formatIP(Table1[[#This Row],[Address A]])</f>
        <v>010.011.001.014</v>
      </c>
      <c r="P90" s="8" t="str">
        <f>formatIP(Table1[[#This Row],[Address B]])</f>
        <v>010.012.000.001</v>
      </c>
      <c r="Q90" s="8" t="e">
        <f>VLOOKUP(Table1[[#This Row],[Address A]],IP_Master[],4,FALSE)</f>
        <v>#N/A</v>
      </c>
      <c r="R90" s="8" t="str">
        <f>VLOOKUP(Table1[[#This Row],[Address B]],IP_Master[],4,FALSE)</f>
        <v>PPPCFC1</v>
      </c>
      <c r="S90" s="8" t="e">
        <f>VLOOKUP(Table1[[#This Row],[Address A]],IP_Master[],2,FALSE)</f>
        <v>#N/A</v>
      </c>
      <c r="T90" s="8" t="str">
        <f>VLOOKUP(Table1[[#This Row],[Address B]],IP_Master[],2,FALSE)</f>
        <v>Fume Control</v>
      </c>
      <c r="U90" s="9" t="e">
        <f>VLOOKUP(Table1[[#This Row],[Address A]],IP_Master[],3,FALSE)</f>
        <v>#N/A</v>
      </c>
      <c r="V90" s="9" t="str">
        <f>VLOOKUP(Table1[[#This Row],[Address B]],IP_Master[],3,FALSE)</f>
        <v>iFIX Nodes &amp; Ethernet Switches</v>
      </c>
      <c r="W90" s="9" t="e">
        <f>VLOOKUP(Table1[[#This Row],[Port B]],traffic_types[],2,FALSE)</f>
        <v>#N/A</v>
      </c>
    </row>
    <row r="91" spans="1:23" hidden="1" x14ac:dyDescent="0.6">
      <c r="A91" t="s">
        <v>59</v>
      </c>
      <c r="B91">
        <v>5450</v>
      </c>
      <c r="C91" t="s">
        <v>53</v>
      </c>
      <c r="D91">
        <v>2971</v>
      </c>
      <c r="E91">
        <v>12</v>
      </c>
      <c r="F91">
        <v>2560</v>
      </c>
      <c r="G91">
        <v>5</v>
      </c>
      <c r="H91">
        <v>326</v>
      </c>
      <c r="I91">
        <v>7</v>
      </c>
      <c r="J91">
        <v>2234</v>
      </c>
      <c r="K91">
        <v>719.97122000000002</v>
      </c>
      <c r="L91">
        <v>9.9396659999999901</v>
      </c>
      <c r="M91">
        <v>262.38306196606601</v>
      </c>
      <c r="N91">
        <v>1798.04834488403</v>
      </c>
      <c r="O91" s="8" t="str">
        <f>formatIP(Table1[[#This Row],[Address A]])</f>
        <v>010.011.001.014</v>
      </c>
      <c r="P91" s="8" t="str">
        <f>formatIP(Table1[[#This Row],[Address B]])</f>
        <v>010.012.000.001</v>
      </c>
      <c r="Q91" s="8" t="e">
        <f>VLOOKUP(Table1[[#This Row],[Address A]],IP_Master[],4,FALSE)</f>
        <v>#N/A</v>
      </c>
      <c r="R91" s="8" t="str">
        <f>VLOOKUP(Table1[[#This Row],[Address B]],IP_Master[],4,FALSE)</f>
        <v>PPPCFC1</v>
      </c>
      <c r="S91" s="8" t="e">
        <f>VLOOKUP(Table1[[#This Row],[Address A]],IP_Master[],2,FALSE)</f>
        <v>#N/A</v>
      </c>
      <c r="T91" s="8" t="str">
        <f>VLOOKUP(Table1[[#This Row],[Address B]],IP_Master[],2,FALSE)</f>
        <v>Fume Control</v>
      </c>
      <c r="U91" s="9" t="e">
        <f>VLOOKUP(Table1[[#This Row],[Address A]],IP_Master[],3,FALSE)</f>
        <v>#N/A</v>
      </c>
      <c r="V91" s="9" t="str">
        <f>VLOOKUP(Table1[[#This Row],[Address B]],IP_Master[],3,FALSE)</f>
        <v>iFIX Nodes &amp; Ethernet Switches</v>
      </c>
      <c r="W91" s="9" t="e">
        <f>VLOOKUP(Table1[[#This Row],[Port B]],traffic_types[],2,FALSE)</f>
        <v>#N/A</v>
      </c>
    </row>
    <row r="92" spans="1:23" hidden="1" x14ac:dyDescent="0.6">
      <c r="A92" t="s">
        <v>59</v>
      </c>
      <c r="B92">
        <v>5450</v>
      </c>
      <c r="C92" t="s">
        <v>53</v>
      </c>
      <c r="D92">
        <v>2986</v>
      </c>
      <c r="E92">
        <v>13</v>
      </c>
      <c r="F92">
        <v>2614</v>
      </c>
      <c r="G92">
        <v>6</v>
      </c>
      <c r="H92">
        <v>386</v>
      </c>
      <c r="I92">
        <v>7</v>
      </c>
      <c r="J92">
        <v>2228</v>
      </c>
      <c r="K92">
        <v>729.97252500000002</v>
      </c>
      <c r="L92">
        <v>9.9456880000000201</v>
      </c>
      <c r="M92">
        <v>310.48631326460202</v>
      </c>
      <c r="N92">
        <v>1792.13343511278</v>
      </c>
      <c r="O92" s="8" t="str">
        <f>formatIP(Table1[[#This Row],[Address A]])</f>
        <v>010.011.001.014</v>
      </c>
      <c r="P92" s="8" t="str">
        <f>formatIP(Table1[[#This Row],[Address B]])</f>
        <v>010.012.000.001</v>
      </c>
      <c r="Q92" s="8" t="e">
        <f>VLOOKUP(Table1[[#This Row],[Address A]],IP_Master[],4,FALSE)</f>
        <v>#N/A</v>
      </c>
      <c r="R92" s="8" t="str">
        <f>VLOOKUP(Table1[[#This Row],[Address B]],IP_Master[],4,FALSE)</f>
        <v>PPPCFC1</v>
      </c>
      <c r="S92" s="8" t="e">
        <f>VLOOKUP(Table1[[#This Row],[Address A]],IP_Master[],2,FALSE)</f>
        <v>#N/A</v>
      </c>
      <c r="T92" s="8" t="str">
        <f>VLOOKUP(Table1[[#This Row],[Address B]],IP_Master[],2,FALSE)</f>
        <v>Fume Control</v>
      </c>
      <c r="U92" s="9" t="e">
        <f>VLOOKUP(Table1[[#This Row],[Address A]],IP_Master[],3,FALSE)</f>
        <v>#N/A</v>
      </c>
      <c r="V92" s="9" t="str">
        <f>VLOOKUP(Table1[[#This Row],[Address B]],IP_Master[],3,FALSE)</f>
        <v>iFIX Nodes &amp; Ethernet Switches</v>
      </c>
      <c r="W92" s="9" t="e">
        <f>VLOOKUP(Table1[[#This Row],[Port B]],traffic_types[],2,FALSE)</f>
        <v>#N/A</v>
      </c>
    </row>
    <row r="93" spans="1:23" hidden="1" x14ac:dyDescent="0.6">
      <c r="A93" t="s">
        <v>59</v>
      </c>
      <c r="B93">
        <v>5450</v>
      </c>
      <c r="C93" t="s">
        <v>53</v>
      </c>
      <c r="D93">
        <v>2988</v>
      </c>
      <c r="E93">
        <v>14</v>
      </c>
      <c r="F93">
        <v>2680</v>
      </c>
      <c r="G93">
        <v>6</v>
      </c>
      <c r="H93">
        <v>386</v>
      </c>
      <c r="I93">
        <v>8</v>
      </c>
      <c r="J93">
        <v>2294</v>
      </c>
      <c r="K93">
        <v>739.97379599999999</v>
      </c>
      <c r="L93">
        <v>9.9405610000000006</v>
      </c>
      <c r="M93">
        <v>310.64645144272998</v>
      </c>
      <c r="N93">
        <v>1846.1734704912501</v>
      </c>
      <c r="O93" s="8" t="str">
        <f>formatIP(Table1[[#This Row],[Address A]])</f>
        <v>010.011.001.014</v>
      </c>
      <c r="P93" s="8" t="str">
        <f>formatIP(Table1[[#This Row],[Address B]])</f>
        <v>010.012.000.001</v>
      </c>
      <c r="Q93" s="8" t="e">
        <f>VLOOKUP(Table1[[#This Row],[Address A]],IP_Master[],4,FALSE)</f>
        <v>#N/A</v>
      </c>
      <c r="R93" s="8" t="str">
        <f>VLOOKUP(Table1[[#This Row],[Address B]],IP_Master[],4,FALSE)</f>
        <v>PPPCFC1</v>
      </c>
      <c r="S93" s="8" t="e">
        <f>VLOOKUP(Table1[[#This Row],[Address A]],IP_Master[],2,FALSE)</f>
        <v>#N/A</v>
      </c>
      <c r="T93" s="8" t="str">
        <f>VLOOKUP(Table1[[#This Row],[Address B]],IP_Master[],2,FALSE)</f>
        <v>Fume Control</v>
      </c>
      <c r="U93" s="9" t="e">
        <f>VLOOKUP(Table1[[#This Row],[Address A]],IP_Master[],3,FALSE)</f>
        <v>#N/A</v>
      </c>
      <c r="V93" s="9" t="str">
        <f>VLOOKUP(Table1[[#This Row],[Address B]],IP_Master[],3,FALSE)</f>
        <v>iFIX Nodes &amp; Ethernet Switches</v>
      </c>
      <c r="W93" s="9" t="e">
        <f>VLOOKUP(Table1[[#This Row],[Port B]],traffic_types[],2,FALSE)</f>
        <v>#N/A</v>
      </c>
    </row>
    <row r="94" spans="1:23" hidden="1" x14ac:dyDescent="0.6">
      <c r="A94" t="s">
        <v>59</v>
      </c>
      <c r="B94">
        <v>5450</v>
      </c>
      <c r="C94" t="s">
        <v>53</v>
      </c>
      <c r="D94">
        <v>2989</v>
      </c>
      <c r="E94">
        <v>12</v>
      </c>
      <c r="F94">
        <v>2560</v>
      </c>
      <c r="G94">
        <v>5</v>
      </c>
      <c r="H94">
        <v>326</v>
      </c>
      <c r="I94">
        <v>7</v>
      </c>
      <c r="J94">
        <v>2234</v>
      </c>
      <c r="K94">
        <v>749.97691199999997</v>
      </c>
      <c r="L94">
        <v>9.9412090000000699</v>
      </c>
      <c r="M94">
        <v>262.34233683246998</v>
      </c>
      <c r="N94">
        <v>1797.7692652875401</v>
      </c>
      <c r="O94" s="8" t="str">
        <f>formatIP(Table1[[#This Row],[Address A]])</f>
        <v>010.011.001.014</v>
      </c>
      <c r="P94" s="8" t="str">
        <f>formatIP(Table1[[#This Row],[Address B]])</f>
        <v>010.012.000.001</v>
      </c>
      <c r="Q94" s="8" t="e">
        <f>VLOOKUP(Table1[[#This Row],[Address A]],IP_Master[],4,FALSE)</f>
        <v>#N/A</v>
      </c>
      <c r="R94" s="8" t="str">
        <f>VLOOKUP(Table1[[#This Row],[Address B]],IP_Master[],4,FALSE)</f>
        <v>PPPCFC1</v>
      </c>
      <c r="S94" s="8" t="e">
        <f>VLOOKUP(Table1[[#This Row],[Address A]],IP_Master[],2,FALSE)</f>
        <v>#N/A</v>
      </c>
      <c r="T94" s="8" t="str">
        <f>VLOOKUP(Table1[[#This Row],[Address B]],IP_Master[],2,FALSE)</f>
        <v>Fume Control</v>
      </c>
      <c r="U94" s="9" t="e">
        <f>VLOOKUP(Table1[[#This Row],[Address A]],IP_Master[],3,FALSE)</f>
        <v>#N/A</v>
      </c>
      <c r="V94" s="9" t="str">
        <f>VLOOKUP(Table1[[#This Row],[Address B]],IP_Master[],3,FALSE)</f>
        <v>iFIX Nodes &amp; Ethernet Switches</v>
      </c>
      <c r="W94" s="9" t="e">
        <f>VLOOKUP(Table1[[#This Row],[Port B]],traffic_types[],2,FALSE)</f>
        <v>#N/A</v>
      </c>
    </row>
    <row r="95" spans="1:23" hidden="1" x14ac:dyDescent="0.6">
      <c r="A95" t="s">
        <v>59</v>
      </c>
      <c r="B95">
        <v>5450</v>
      </c>
      <c r="C95" t="s">
        <v>53</v>
      </c>
      <c r="D95">
        <v>2999</v>
      </c>
      <c r="E95">
        <v>14</v>
      </c>
      <c r="F95">
        <v>2680</v>
      </c>
      <c r="G95">
        <v>6</v>
      </c>
      <c r="H95">
        <v>386</v>
      </c>
      <c r="I95">
        <v>8</v>
      </c>
      <c r="J95">
        <v>2294</v>
      </c>
      <c r="K95">
        <v>759.97429499999998</v>
      </c>
      <c r="L95">
        <v>9.9356460000000197</v>
      </c>
      <c r="M95">
        <v>310.80012311227603</v>
      </c>
      <c r="N95">
        <v>1847.08674201959</v>
      </c>
      <c r="O95" s="8" t="str">
        <f>formatIP(Table1[[#This Row],[Address A]])</f>
        <v>010.011.001.014</v>
      </c>
      <c r="P95" s="8" t="str">
        <f>formatIP(Table1[[#This Row],[Address B]])</f>
        <v>010.012.000.001</v>
      </c>
      <c r="Q95" s="8" t="e">
        <f>VLOOKUP(Table1[[#This Row],[Address A]],IP_Master[],4,FALSE)</f>
        <v>#N/A</v>
      </c>
      <c r="R95" s="8" t="str">
        <f>VLOOKUP(Table1[[#This Row],[Address B]],IP_Master[],4,FALSE)</f>
        <v>PPPCFC1</v>
      </c>
      <c r="S95" s="8" t="e">
        <f>VLOOKUP(Table1[[#This Row],[Address A]],IP_Master[],2,FALSE)</f>
        <v>#N/A</v>
      </c>
      <c r="T95" s="8" t="str">
        <f>VLOOKUP(Table1[[#This Row],[Address B]],IP_Master[],2,FALSE)</f>
        <v>Fume Control</v>
      </c>
      <c r="U95" s="9" t="e">
        <f>VLOOKUP(Table1[[#This Row],[Address A]],IP_Master[],3,FALSE)</f>
        <v>#N/A</v>
      </c>
      <c r="V95" s="9" t="str">
        <f>VLOOKUP(Table1[[#This Row],[Address B]],IP_Master[],3,FALSE)</f>
        <v>iFIX Nodes &amp; Ethernet Switches</v>
      </c>
      <c r="W95" s="9" t="e">
        <f>VLOOKUP(Table1[[#This Row],[Port B]],traffic_types[],2,FALSE)</f>
        <v>#N/A</v>
      </c>
    </row>
    <row r="96" spans="1:23" hidden="1" x14ac:dyDescent="0.6">
      <c r="A96" t="s">
        <v>59</v>
      </c>
      <c r="B96">
        <v>5450</v>
      </c>
      <c r="C96" t="s">
        <v>53</v>
      </c>
      <c r="D96">
        <v>3006</v>
      </c>
      <c r="E96">
        <v>13</v>
      </c>
      <c r="F96">
        <v>2614</v>
      </c>
      <c r="G96">
        <v>6</v>
      </c>
      <c r="H96">
        <v>386</v>
      </c>
      <c r="I96">
        <v>7</v>
      </c>
      <c r="J96">
        <v>2228</v>
      </c>
      <c r="K96">
        <v>769.98161100000004</v>
      </c>
      <c r="L96">
        <v>9.9294699999999203</v>
      </c>
      <c r="M96">
        <v>310.99343670911202</v>
      </c>
      <c r="N96">
        <v>1795.0605621448201</v>
      </c>
      <c r="O96" s="8" t="str">
        <f>formatIP(Table1[[#This Row],[Address A]])</f>
        <v>010.011.001.014</v>
      </c>
      <c r="P96" s="8" t="str">
        <f>formatIP(Table1[[#This Row],[Address B]])</f>
        <v>010.012.000.001</v>
      </c>
      <c r="Q96" s="8" t="e">
        <f>VLOOKUP(Table1[[#This Row],[Address A]],IP_Master[],4,FALSE)</f>
        <v>#N/A</v>
      </c>
      <c r="R96" s="8" t="str">
        <f>VLOOKUP(Table1[[#This Row],[Address B]],IP_Master[],4,FALSE)</f>
        <v>PPPCFC1</v>
      </c>
      <c r="S96" s="8" t="e">
        <f>VLOOKUP(Table1[[#This Row],[Address A]],IP_Master[],2,FALSE)</f>
        <v>#N/A</v>
      </c>
      <c r="T96" s="8" t="str">
        <f>VLOOKUP(Table1[[#This Row],[Address B]],IP_Master[],2,FALSE)</f>
        <v>Fume Control</v>
      </c>
      <c r="U96" s="9" t="e">
        <f>VLOOKUP(Table1[[#This Row],[Address A]],IP_Master[],3,FALSE)</f>
        <v>#N/A</v>
      </c>
      <c r="V96" s="9" t="str">
        <f>VLOOKUP(Table1[[#This Row],[Address B]],IP_Master[],3,FALSE)</f>
        <v>iFIX Nodes &amp; Ethernet Switches</v>
      </c>
      <c r="W96" s="9" t="e">
        <f>VLOOKUP(Table1[[#This Row],[Port B]],traffic_types[],2,FALSE)</f>
        <v>#N/A</v>
      </c>
    </row>
    <row r="97" spans="1:23" hidden="1" x14ac:dyDescent="0.6">
      <c r="A97" t="s">
        <v>59</v>
      </c>
      <c r="B97">
        <v>5450</v>
      </c>
      <c r="C97" t="s">
        <v>53</v>
      </c>
      <c r="D97">
        <v>3007</v>
      </c>
      <c r="E97">
        <v>14</v>
      </c>
      <c r="F97">
        <v>2680</v>
      </c>
      <c r="G97">
        <v>6</v>
      </c>
      <c r="H97">
        <v>386</v>
      </c>
      <c r="I97">
        <v>8</v>
      </c>
      <c r="J97">
        <v>2294</v>
      </c>
      <c r="K97">
        <v>779.97505999999998</v>
      </c>
      <c r="L97">
        <v>9.9401729999999606</v>
      </c>
      <c r="M97">
        <v>310.65857706903199</v>
      </c>
      <c r="N97">
        <v>1846.2455331511901</v>
      </c>
      <c r="O97" s="8" t="str">
        <f>formatIP(Table1[[#This Row],[Address A]])</f>
        <v>010.011.001.014</v>
      </c>
      <c r="P97" s="8" t="str">
        <f>formatIP(Table1[[#This Row],[Address B]])</f>
        <v>010.012.000.001</v>
      </c>
      <c r="Q97" s="8" t="e">
        <f>VLOOKUP(Table1[[#This Row],[Address A]],IP_Master[],4,FALSE)</f>
        <v>#N/A</v>
      </c>
      <c r="R97" s="8" t="str">
        <f>VLOOKUP(Table1[[#This Row],[Address B]],IP_Master[],4,FALSE)</f>
        <v>PPPCFC1</v>
      </c>
      <c r="S97" s="8" t="e">
        <f>VLOOKUP(Table1[[#This Row],[Address A]],IP_Master[],2,FALSE)</f>
        <v>#N/A</v>
      </c>
      <c r="T97" s="8" t="str">
        <f>VLOOKUP(Table1[[#This Row],[Address B]],IP_Master[],2,FALSE)</f>
        <v>Fume Control</v>
      </c>
      <c r="U97" s="9" t="e">
        <f>VLOOKUP(Table1[[#This Row],[Address A]],IP_Master[],3,FALSE)</f>
        <v>#N/A</v>
      </c>
      <c r="V97" s="9" t="str">
        <f>VLOOKUP(Table1[[#This Row],[Address B]],IP_Master[],3,FALSE)</f>
        <v>iFIX Nodes &amp; Ethernet Switches</v>
      </c>
      <c r="W97" s="9" t="e">
        <f>VLOOKUP(Table1[[#This Row],[Port B]],traffic_types[],2,FALSE)</f>
        <v>#N/A</v>
      </c>
    </row>
    <row r="98" spans="1:23" hidden="1" x14ac:dyDescent="0.6">
      <c r="A98" t="s">
        <v>59</v>
      </c>
      <c r="B98">
        <v>5450</v>
      </c>
      <c r="C98" t="s">
        <v>53</v>
      </c>
      <c r="D98">
        <v>3012</v>
      </c>
      <c r="E98">
        <v>12</v>
      </c>
      <c r="F98">
        <v>2560</v>
      </c>
      <c r="G98">
        <v>5</v>
      </c>
      <c r="H98">
        <v>326</v>
      </c>
      <c r="I98">
        <v>7</v>
      </c>
      <c r="J98">
        <v>2234</v>
      </c>
      <c r="K98">
        <v>789.97225000000003</v>
      </c>
      <c r="L98">
        <v>9.9484539999999697</v>
      </c>
      <c r="M98">
        <v>262.151285013733</v>
      </c>
      <c r="N98">
        <v>1796.4600328855199</v>
      </c>
      <c r="O98" s="8" t="str">
        <f>formatIP(Table1[[#This Row],[Address A]])</f>
        <v>010.011.001.014</v>
      </c>
      <c r="P98" s="8" t="str">
        <f>formatIP(Table1[[#This Row],[Address B]])</f>
        <v>010.012.000.001</v>
      </c>
      <c r="Q98" s="8" t="e">
        <f>VLOOKUP(Table1[[#This Row],[Address A]],IP_Master[],4,FALSE)</f>
        <v>#N/A</v>
      </c>
      <c r="R98" s="8" t="str">
        <f>VLOOKUP(Table1[[#This Row],[Address B]],IP_Master[],4,FALSE)</f>
        <v>PPPCFC1</v>
      </c>
      <c r="S98" s="8" t="e">
        <f>VLOOKUP(Table1[[#This Row],[Address A]],IP_Master[],2,FALSE)</f>
        <v>#N/A</v>
      </c>
      <c r="T98" s="8" t="str">
        <f>VLOOKUP(Table1[[#This Row],[Address B]],IP_Master[],2,FALSE)</f>
        <v>Fume Control</v>
      </c>
      <c r="U98" s="9" t="e">
        <f>VLOOKUP(Table1[[#This Row],[Address A]],IP_Master[],3,FALSE)</f>
        <v>#N/A</v>
      </c>
      <c r="V98" s="9" t="str">
        <f>VLOOKUP(Table1[[#This Row],[Address B]],IP_Master[],3,FALSE)</f>
        <v>iFIX Nodes &amp; Ethernet Switches</v>
      </c>
      <c r="W98" s="9" t="e">
        <f>VLOOKUP(Table1[[#This Row],[Port B]],traffic_types[],2,FALSE)</f>
        <v>#N/A</v>
      </c>
    </row>
    <row r="99" spans="1:23" hidden="1" x14ac:dyDescent="0.6">
      <c r="A99" t="s">
        <v>59</v>
      </c>
      <c r="B99">
        <v>5450</v>
      </c>
      <c r="C99" t="s">
        <v>53</v>
      </c>
      <c r="D99">
        <v>3025</v>
      </c>
      <c r="E99">
        <v>14</v>
      </c>
      <c r="F99">
        <v>2680</v>
      </c>
      <c r="G99">
        <v>6</v>
      </c>
      <c r="H99">
        <v>386</v>
      </c>
      <c r="I99">
        <v>8</v>
      </c>
      <c r="J99">
        <v>2294</v>
      </c>
      <c r="K99">
        <v>799.97581500000001</v>
      </c>
      <c r="L99">
        <v>9.9340730000000104</v>
      </c>
      <c r="M99">
        <v>310.84933642021701</v>
      </c>
      <c r="N99">
        <v>1847.3792169636699</v>
      </c>
      <c r="O99" s="8" t="str">
        <f>formatIP(Table1[[#This Row],[Address A]])</f>
        <v>010.011.001.014</v>
      </c>
      <c r="P99" s="8" t="str">
        <f>formatIP(Table1[[#This Row],[Address B]])</f>
        <v>010.012.000.001</v>
      </c>
      <c r="Q99" s="8" t="e">
        <f>VLOOKUP(Table1[[#This Row],[Address A]],IP_Master[],4,FALSE)</f>
        <v>#N/A</v>
      </c>
      <c r="R99" s="8" t="str">
        <f>VLOOKUP(Table1[[#This Row],[Address B]],IP_Master[],4,FALSE)</f>
        <v>PPPCFC1</v>
      </c>
      <c r="S99" s="8" t="e">
        <f>VLOOKUP(Table1[[#This Row],[Address A]],IP_Master[],2,FALSE)</f>
        <v>#N/A</v>
      </c>
      <c r="T99" s="8" t="str">
        <f>VLOOKUP(Table1[[#This Row],[Address B]],IP_Master[],2,FALSE)</f>
        <v>Fume Control</v>
      </c>
      <c r="U99" s="9" t="e">
        <f>VLOOKUP(Table1[[#This Row],[Address A]],IP_Master[],3,FALSE)</f>
        <v>#N/A</v>
      </c>
      <c r="V99" s="9" t="str">
        <f>VLOOKUP(Table1[[#This Row],[Address B]],IP_Master[],3,FALSE)</f>
        <v>iFIX Nodes &amp; Ethernet Switches</v>
      </c>
      <c r="W99" s="9" t="e">
        <f>VLOOKUP(Table1[[#This Row],[Port B]],traffic_types[],2,FALSE)</f>
        <v>#N/A</v>
      </c>
    </row>
    <row r="100" spans="1:23" hidden="1" x14ac:dyDescent="0.6">
      <c r="A100" t="s">
        <v>59</v>
      </c>
      <c r="B100">
        <v>5450</v>
      </c>
      <c r="C100" t="s">
        <v>53</v>
      </c>
      <c r="D100">
        <v>3026</v>
      </c>
      <c r="E100">
        <v>12</v>
      </c>
      <c r="F100">
        <v>2560</v>
      </c>
      <c r="G100">
        <v>5</v>
      </c>
      <c r="H100">
        <v>326</v>
      </c>
      <c r="I100">
        <v>7</v>
      </c>
      <c r="J100">
        <v>2234</v>
      </c>
      <c r="K100">
        <v>809.98264700000004</v>
      </c>
      <c r="L100">
        <v>9.9362329999999002</v>
      </c>
      <c r="M100">
        <v>262.47371614574899</v>
      </c>
      <c r="N100">
        <v>1798.66957628713</v>
      </c>
      <c r="O100" s="8" t="str">
        <f>formatIP(Table1[[#This Row],[Address A]])</f>
        <v>010.011.001.014</v>
      </c>
      <c r="P100" s="8" t="str">
        <f>formatIP(Table1[[#This Row],[Address B]])</f>
        <v>010.012.000.001</v>
      </c>
      <c r="Q100" s="8" t="e">
        <f>VLOOKUP(Table1[[#This Row],[Address A]],IP_Master[],4,FALSE)</f>
        <v>#N/A</v>
      </c>
      <c r="R100" s="8" t="str">
        <f>VLOOKUP(Table1[[#This Row],[Address B]],IP_Master[],4,FALSE)</f>
        <v>PPPCFC1</v>
      </c>
      <c r="S100" s="8" t="e">
        <f>VLOOKUP(Table1[[#This Row],[Address A]],IP_Master[],2,FALSE)</f>
        <v>#N/A</v>
      </c>
      <c r="T100" s="8" t="str">
        <f>VLOOKUP(Table1[[#This Row],[Address B]],IP_Master[],2,FALSE)</f>
        <v>Fume Control</v>
      </c>
      <c r="U100" s="9" t="e">
        <f>VLOOKUP(Table1[[#This Row],[Address A]],IP_Master[],3,FALSE)</f>
        <v>#N/A</v>
      </c>
      <c r="V100" s="9" t="str">
        <f>VLOOKUP(Table1[[#This Row],[Address B]],IP_Master[],3,FALSE)</f>
        <v>iFIX Nodes &amp; Ethernet Switches</v>
      </c>
      <c r="W100" s="9" t="e">
        <f>VLOOKUP(Table1[[#This Row],[Port B]],traffic_types[],2,FALSE)</f>
        <v>#N/A</v>
      </c>
    </row>
    <row r="101" spans="1:23" hidden="1" x14ac:dyDescent="0.6">
      <c r="A101" t="s">
        <v>59</v>
      </c>
      <c r="B101">
        <v>5450</v>
      </c>
      <c r="C101" t="s">
        <v>53</v>
      </c>
      <c r="D101">
        <v>3028</v>
      </c>
      <c r="E101">
        <v>16</v>
      </c>
      <c r="F101">
        <v>2999</v>
      </c>
      <c r="G101">
        <v>7</v>
      </c>
      <c r="H101">
        <v>446</v>
      </c>
      <c r="I101">
        <v>9</v>
      </c>
      <c r="J101">
        <v>2553</v>
      </c>
      <c r="K101">
        <v>820.02010399999995</v>
      </c>
      <c r="L101">
        <v>9.8919650000000292</v>
      </c>
      <c r="M101">
        <v>360.69678774641699</v>
      </c>
      <c r="N101">
        <v>2064.7060518309499</v>
      </c>
      <c r="O101" s="8" t="str">
        <f>formatIP(Table1[[#This Row],[Address A]])</f>
        <v>010.011.001.014</v>
      </c>
      <c r="P101" s="8" t="str">
        <f>formatIP(Table1[[#This Row],[Address B]])</f>
        <v>010.012.000.001</v>
      </c>
      <c r="Q101" s="8" t="e">
        <f>VLOOKUP(Table1[[#This Row],[Address A]],IP_Master[],4,FALSE)</f>
        <v>#N/A</v>
      </c>
      <c r="R101" s="8" t="str">
        <f>VLOOKUP(Table1[[#This Row],[Address B]],IP_Master[],4,FALSE)</f>
        <v>PPPCFC1</v>
      </c>
      <c r="S101" s="8" t="e">
        <f>VLOOKUP(Table1[[#This Row],[Address A]],IP_Master[],2,FALSE)</f>
        <v>#N/A</v>
      </c>
      <c r="T101" s="8" t="str">
        <f>VLOOKUP(Table1[[#This Row],[Address B]],IP_Master[],2,FALSE)</f>
        <v>Fume Control</v>
      </c>
      <c r="U101" s="9" t="e">
        <f>VLOOKUP(Table1[[#This Row],[Address A]],IP_Master[],3,FALSE)</f>
        <v>#N/A</v>
      </c>
      <c r="V101" s="9" t="str">
        <f>VLOOKUP(Table1[[#This Row],[Address B]],IP_Master[],3,FALSE)</f>
        <v>iFIX Nodes &amp; Ethernet Switches</v>
      </c>
      <c r="W101" s="9" t="e">
        <f>VLOOKUP(Table1[[#This Row],[Port B]],traffic_types[],2,FALSE)</f>
        <v>#N/A</v>
      </c>
    </row>
    <row r="102" spans="1:23" hidden="1" x14ac:dyDescent="0.6">
      <c r="A102" t="s">
        <v>59</v>
      </c>
      <c r="B102">
        <v>5450</v>
      </c>
      <c r="C102" t="s">
        <v>53</v>
      </c>
      <c r="D102">
        <v>3043</v>
      </c>
      <c r="E102">
        <v>14</v>
      </c>
      <c r="F102">
        <v>2680</v>
      </c>
      <c r="G102">
        <v>6</v>
      </c>
      <c r="H102">
        <v>386</v>
      </c>
      <c r="I102">
        <v>8</v>
      </c>
      <c r="J102">
        <v>2294</v>
      </c>
      <c r="K102">
        <v>829.98515899999995</v>
      </c>
      <c r="L102">
        <v>9.93922700000007</v>
      </c>
      <c r="M102">
        <v>310.68814506399502</v>
      </c>
      <c r="N102">
        <v>1846.42125589846</v>
      </c>
      <c r="O102" s="8" t="str">
        <f>formatIP(Table1[[#This Row],[Address A]])</f>
        <v>010.011.001.014</v>
      </c>
      <c r="P102" s="8" t="str">
        <f>formatIP(Table1[[#This Row],[Address B]])</f>
        <v>010.012.000.001</v>
      </c>
      <c r="Q102" s="8" t="e">
        <f>VLOOKUP(Table1[[#This Row],[Address A]],IP_Master[],4,FALSE)</f>
        <v>#N/A</v>
      </c>
      <c r="R102" s="8" t="str">
        <f>VLOOKUP(Table1[[#This Row],[Address B]],IP_Master[],4,FALSE)</f>
        <v>PPPCFC1</v>
      </c>
      <c r="S102" s="8" t="e">
        <f>VLOOKUP(Table1[[#This Row],[Address A]],IP_Master[],2,FALSE)</f>
        <v>#N/A</v>
      </c>
      <c r="T102" s="8" t="str">
        <f>VLOOKUP(Table1[[#This Row],[Address B]],IP_Master[],2,FALSE)</f>
        <v>Fume Control</v>
      </c>
      <c r="U102" s="9" t="e">
        <f>VLOOKUP(Table1[[#This Row],[Address A]],IP_Master[],3,FALSE)</f>
        <v>#N/A</v>
      </c>
      <c r="V102" s="9" t="str">
        <f>VLOOKUP(Table1[[#This Row],[Address B]],IP_Master[],3,FALSE)</f>
        <v>iFIX Nodes &amp; Ethernet Switches</v>
      </c>
      <c r="W102" s="9" t="e">
        <f>VLOOKUP(Table1[[#This Row],[Port B]],traffic_types[],2,FALSE)</f>
        <v>#N/A</v>
      </c>
    </row>
    <row r="103" spans="1:23" hidden="1" x14ac:dyDescent="0.6">
      <c r="A103" t="s">
        <v>59</v>
      </c>
      <c r="B103">
        <v>5450</v>
      </c>
      <c r="C103" t="s">
        <v>53</v>
      </c>
      <c r="D103">
        <v>3044</v>
      </c>
      <c r="E103">
        <v>14</v>
      </c>
      <c r="F103">
        <v>2680</v>
      </c>
      <c r="G103">
        <v>6</v>
      </c>
      <c r="H103">
        <v>386</v>
      </c>
      <c r="I103">
        <v>8</v>
      </c>
      <c r="J103">
        <v>2294</v>
      </c>
      <c r="K103">
        <v>840.02106500000002</v>
      </c>
      <c r="L103">
        <v>9.9002789999999496</v>
      </c>
      <c r="M103">
        <v>311.91040171696301</v>
      </c>
      <c r="N103">
        <v>1853.6851335199799</v>
      </c>
      <c r="O103" s="8" t="str">
        <f>formatIP(Table1[[#This Row],[Address A]])</f>
        <v>010.011.001.014</v>
      </c>
      <c r="P103" s="8" t="str">
        <f>formatIP(Table1[[#This Row],[Address B]])</f>
        <v>010.012.000.001</v>
      </c>
      <c r="Q103" s="8" t="e">
        <f>VLOOKUP(Table1[[#This Row],[Address A]],IP_Master[],4,FALSE)</f>
        <v>#N/A</v>
      </c>
      <c r="R103" s="8" t="str">
        <f>VLOOKUP(Table1[[#This Row],[Address B]],IP_Master[],4,FALSE)</f>
        <v>PPPCFC1</v>
      </c>
      <c r="S103" s="8" t="e">
        <f>VLOOKUP(Table1[[#This Row],[Address A]],IP_Master[],2,FALSE)</f>
        <v>#N/A</v>
      </c>
      <c r="T103" s="8" t="str">
        <f>VLOOKUP(Table1[[#This Row],[Address B]],IP_Master[],2,FALSE)</f>
        <v>Fume Control</v>
      </c>
      <c r="U103" s="9" t="e">
        <f>VLOOKUP(Table1[[#This Row],[Address A]],IP_Master[],3,FALSE)</f>
        <v>#N/A</v>
      </c>
      <c r="V103" s="9" t="str">
        <f>VLOOKUP(Table1[[#This Row],[Address B]],IP_Master[],3,FALSE)</f>
        <v>iFIX Nodes &amp; Ethernet Switches</v>
      </c>
      <c r="W103" s="9" t="e">
        <f>VLOOKUP(Table1[[#This Row],[Port B]],traffic_types[],2,FALSE)</f>
        <v>#N/A</v>
      </c>
    </row>
    <row r="104" spans="1:23" hidden="1" x14ac:dyDescent="0.6">
      <c r="A104" t="s">
        <v>59</v>
      </c>
      <c r="B104">
        <v>5450</v>
      </c>
      <c r="C104" t="s">
        <v>53</v>
      </c>
      <c r="D104">
        <v>3045</v>
      </c>
      <c r="E104">
        <v>12</v>
      </c>
      <c r="F104">
        <v>2560</v>
      </c>
      <c r="G104">
        <v>5</v>
      </c>
      <c r="H104">
        <v>326</v>
      </c>
      <c r="I104">
        <v>7</v>
      </c>
      <c r="J104">
        <v>2234</v>
      </c>
      <c r="K104">
        <v>849.99269000000004</v>
      </c>
      <c r="L104">
        <v>9.9236379999999809</v>
      </c>
      <c r="M104">
        <v>262.80684563463598</v>
      </c>
      <c r="N104">
        <v>1800.9524329686401</v>
      </c>
      <c r="O104" s="8" t="str">
        <f>formatIP(Table1[[#This Row],[Address A]])</f>
        <v>010.011.001.014</v>
      </c>
      <c r="P104" s="8" t="str">
        <f>formatIP(Table1[[#This Row],[Address B]])</f>
        <v>010.012.000.001</v>
      </c>
      <c r="Q104" s="8" t="e">
        <f>VLOOKUP(Table1[[#This Row],[Address A]],IP_Master[],4,FALSE)</f>
        <v>#N/A</v>
      </c>
      <c r="R104" s="8" t="str">
        <f>VLOOKUP(Table1[[#This Row],[Address B]],IP_Master[],4,FALSE)</f>
        <v>PPPCFC1</v>
      </c>
      <c r="S104" s="8" t="e">
        <f>VLOOKUP(Table1[[#This Row],[Address A]],IP_Master[],2,FALSE)</f>
        <v>#N/A</v>
      </c>
      <c r="T104" s="8" t="str">
        <f>VLOOKUP(Table1[[#This Row],[Address B]],IP_Master[],2,FALSE)</f>
        <v>Fume Control</v>
      </c>
      <c r="U104" s="9" t="e">
        <f>VLOOKUP(Table1[[#This Row],[Address A]],IP_Master[],3,FALSE)</f>
        <v>#N/A</v>
      </c>
      <c r="V104" s="9" t="str">
        <f>VLOOKUP(Table1[[#This Row],[Address B]],IP_Master[],3,FALSE)</f>
        <v>iFIX Nodes &amp; Ethernet Switches</v>
      </c>
      <c r="W104" s="9" t="e">
        <f>VLOOKUP(Table1[[#This Row],[Port B]],traffic_types[],2,FALSE)</f>
        <v>#N/A</v>
      </c>
    </row>
    <row r="105" spans="1:23" hidden="1" x14ac:dyDescent="0.6">
      <c r="A105" t="s">
        <v>59</v>
      </c>
      <c r="B105">
        <v>5450</v>
      </c>
      <c r="C105" t="s">
        <v>53</v>
      </c>
      <c r="D105">
        <v>3061</v>
      </c>
      <c r="E105">
        <v>13</v>
      </c>
      <c r="F105">
        <v>2620</v>
      </c>
      <c r="G105">
        <v>6</v>
      </c>
      <c r="H105">
        <v>386</v>
      </c>
      <c r="I105">
        <v>7</v>
      </c>
      <c r="J105">
        <v>2234</v>
      </c>
      <c r="K105">
        <v>859.98314500000004</v>
      </c>
      <c r="L105">
        <v>9.9384339999999192</v>
      </c>
      <c r="M105">
        <v>310.71293525720699</v>
      </c>
      <c r="N105">
        <v>1798.2712366958599</v>
      </c>
      <c r="O105" s="8" t="str">
        <f>formatIP(Table1[[#This Row],[Address A]])</f>
        <v>010.011.001.014</v>
      </c>
      <c r="P105" s="8" t="str">
        <f>formatIP(Table1[[#This Row],[Address B]])</f>
        <v>010.012.000.001</v>
      </c>
      <c r="Q105" s="8" t="e">
        <f>VLOOKUP(Table1[[#This Row],[Address A]],IP_Master[],4,FALSE)</f>
        <v>#N/A</v>
      </c>
      <c r="R105" s="8" t="str">
        <f>VLOOKUP(Table1[[#This Row],[Address B]],IP_Master[],4,FALSE)</f>
        <v>PPPCFC1</v>
      </c>
      <c r="S105" s="8" t="e">
        <f>VLOOKUP(Table1[[#This Row],[Address A]],IP_Master[],2,FALSE)</f>
        <v>#N/A</v>
      </c>
      <c r="T105" s="8" t="str">
        <f>VLOOKUP(Table1[[#This Row],[Address B]],IP_Master[],2,FALSE)</f>
        <v>Fume Control</v>
      </c>
      <c r="U105" s="9" t="e">
        <f>VLOOKUP(Table1[[#This Row],[Address A]],IP_Master[],3,FALSE)</f>
        <v>#N/A</v>
      </c>
      <c r="V105" s="9" t="str">
        <f>VLOOKUP(Table1[[#This Row],[Address B]],IP_Master[],3,FALSE)</f>
        <v>iFIX Nodes &amp; Ethernet Switches</v>
      </c>
      <c r="W105" s="9" t="e">
        <f>VLOOKUP(Table1[[#This Row],[Port B]],traffic_types[],2,FALSE)</f>
        <v>#N/A</v>
      </c>
    </row>
    <row r="106" spans="1:23" hidden="1" x14ac:dyDescent="0.6">
      <c r="A106" t="s">
        <v>59</v>
      </c>
      <c r="B106">
        <v>5450</v>
      </c>
      <c r="C106" t="s">
        <v>53</v>
      </c>
      <c r="D106">
        <v>3063</v>
      </c>
      <c r="E106">
        <v>12</v>
      </c>
      <c r="F106">
        <v>2560</v>
      </c>
      <c r="G106">
        <v>5</v>
      </c>
      <c r="H106">
        <v>326</v>
      </c>
      <c r="I106">
        <v>7</v>
      </c>
      <c r="J106">
        <v>2234</v>
      </c>
      <c r="K106">
        <v>869.977575</v>
      </c>
      <c r="L106">
        <v>9.9369450000000406</v>
      </c>
      <c r="M106">
        <v>262.45490943141903</v>
      </c>
      <c r="N106">
        <v>1798.54069837359</v>
      </c>
      <c r="O106" s="8" t="str">
        <f>formatIP(Table1[[#This Row],[Address A]])</f>
        <v>010.011.001.014</v>
      </c>
      <c r="P106" s="8" t="str">
        <f>formatIP(Table1[[#This Row],[Address B]])</f>
        <v>010.012.000.001</v>
      </c>
      <c r="Q106" s="8" t="e">
        <f>VLOOKUP(Table1[[#This Row],[Address A]],IP_Master[],4,FALSE)</f>
        <v>#N/A</v>
      </c>
      <c r="R106" s="8" t="str">
        <f>VLOOKUP(Table1[[#This Row],[Address B]],IP_Master[],4,FALSE)</f>
        <v>PPPCFC1</v>
      </c>
      <c r="S106" s="8" t="e">
        <f>VLOOKUP(Table1[[#This Row],[Address A]],IP_Master[],2,FALSE)</f>
        <v>#N/A</v>
      </c>
      <c r="T106" s="8" t="str">
        <f>VLOOKUP(Table1[[#This Row],[Address B]],IP_Master[],2,FALSE)</f>
        <v>Fume Control</v>
      </c>
      <c r="U106" s="9" t="e">
        <f>VLOOKUP(Table1[[#This Row],[Address A]],IP_Master[],3,FALSE)</f>
        <v>#N/A</v>
      </c>
      <c r="V106" s="9" t="str">
        <f>VLOOKUP(Table1[[#This Row],[Address B]],IP_Master[],3,FALSE)</f>
        <v>iFIX Nodes &amp; Ethernet Switches</v>
      </c>
      <c r="W106" s="9" t="e">
        <f>VLOOKUP(Table1[[#This Row],[Port B]],traffic_types[],2,FALSE)</f>
        <v>#N/A</v>
      </c>
    </row>
    <row r="107" spans="1:23" hidden="1" x14ac:dyDescent="0.6">
      <c r="A107" t="s">
        <v>59</v>
      </c>
      <c r="B107">
        <v>5450</v>
      </c>
      <c r="C107" t="s">
        <v>53</v>
      </c>
      <c r="D107">
        <v>3064</v>
      </c>
      <c r="E107">
        <v>12</v>
      </c>
      <c r="F107">
        <v>2560</v>
      </c>
      <c r="G107">
        <v>5</v>
      </c>
      <c r="H107">
        <v>326</v>
      </c>
      <c r="I107">
        <v>7</v>
      </c>
      <c r="J107">
        <v>2234</v>
      </c>
      <c r="K107">
        <v>879.991536</v>
      </c>
      <c r="L107">
        <v>9.9186479999999602</v>
      </c>
      <c r="M107">
        <v>262.93906185601202</v>
      </c>
      <c r="N107">
        <v>1801.8584790991699</v>
      </c>
      <c r="O107" s="8" t="str">
        <f>formatIP(Table1[[#This Row],[Address A]])</f>
        <v>010.011.001.014</v>
      </c>
      <c r="P107" s="8" t="str">
        <f>formatIP(Table1[[#This Row],[Address B]])</f>
        <v>010.012.000.001</v>
      </c>
      <c r="Q107" s="8" t="e">
        <f>VLOOKUP(Table1[[#This Row],[Address A]],IP_Master[],4,FALSE)</f>
        <v>#N/A</v>
      </c>
      <c r="R107" s="8" t="str">
        <f>VLOOKUP(Table1[[#This Row],[Address B]],IP_Master[],4,FALSE)</f>
        <v>PPPCFC1</v>
      </c>
      <c r="S107" s="8" t="e">
        <f>VLOOKUP(Table1[[#This Row],[Address A]],IP_Master[],2,FALSE)</f>
        <v>#N/A</v>
      </c>
      <c r="T107" s="8" t="str">
        <f>VLOOKUP(Table1[[#This Row],[Address B]],IP_Master[],2,FALSE)</f>
        <v>Fume Control</v>
      </c>
      <c r="U107" s="9" t="e">
        <f>VLOOKUP(Table1[[#This Row],[Address A]],IP_Master[],3,FALSE)</f>
        <v>#N/A</v>
      </c>
      <c r="V107" s="9" t="str">
        <f>VLOOKUP(Table1[[#This Row],[Address B]],IP_Master[],3,FALSE)</f>
        <v>iFIX Nodes &amp; Ethernet Switches</v>
      </c>
      <c r="W107" s="9" t="e">
        <f>VLOOKUP(Table1[[#This Row],[Port B]],traffic_types[],2,FALSE)</f>
        <v>#N/A</v>
      </c>
    </row>
    <row r="108" spans="1:23" hidden="1" x14ac:dyDescent="0.6">
      <c r="A108" t="s">
        <v>59</v>
      </c>
      <c r="B108">
        <v>5450</v>
      </c>
      <c r="C108" t="s">
        <v>53</v>
      </c>
      <c r="D108">
        <v>3073</v>
      </c>
      <c r="E108">
        <v>14</v>
      </c>
      <c r="F108">
        <v>2680</v>
      </c>
      <c r="G108">
        <v>6</v>
      </c>
      <c r="H108">
        <v>386</v>
      </c>
      <c r="I108">
        <v>8</v>
      </c>
      <c r="J108">
        <v>2294</v>
      </c>
      <c r="K108">
        <v>889.97539900000004</v>
      </c>
      <c r="L108">
        <v>9.9481399999999702</v>
      </c>
      <c r="M108">
        <v>310.40978514576699</v>
      </c>
      <c r="N108">
        <v>1844.76696146215</v>
      </c>
      <c r="O108" s="8" t="str">
        <f>formatIP(Table1[[#This Row],[Address A]])</f>
        <v>010.011.001.014</v>
      </c>
      <c r="P108" s="8" t="str">
        <f>formatIP(Table1[[#This Row],[Address B]])</f>
        <v>010.012.000.001</v>
      </c>
      <c r="Q108" s="8" t="e">
        <f>VLOOKUP(Table1[[#This Row],[Address A]],IP_Master[],4,FALSE)</f>
        <v>#N/A</v>
      </c>
      <c r="R108" s="8" t="str">
        <f>VLOOKUP(Table1[[#This Row],[Address B]],IP_Master[],4,FALSE)</f>
        <v>PPPCFC1</v>
      </c>
      <c r="S108" s="8" t="e">
        <f>VLOOKUP(Table1[[#This Row],[Address A]],IP_Master[],2,FALSE)</f>
        <v>#N/A</v>
      </c>
      <c r="T108" s="8" t="str">
        <f>VLOOKUP(Table1[[#This Row],[Address B]],IP_Master[],2,FALSE)</f>
        <v>Fume Control</v>
      </c>
      <c r="U108" s="9" t="e">
        <f>VLOOKUP(Table1[[#This Row],[Address A]],IP_Master[],3,FALSE)</f>
        <v>#N/A</v>
      </c>
      <c r="V108" s="9" t="str">
        <f>VLOOKUP(Table1[[#This Row],[Address B]],IP_Master[],3,FALSE)</f>
        <v>iFIX Nodes &amp; Ethernet Switches</v>
      </c>
      <c r="W108" s="9" t="e">
        <f>VLOOKUP(Table1[[#This Row],[Port B]],traffic_types[],2,FALSE)</f>
        <v>#N/A</v>
      </c>
    </row>
    <row r="109" spans="1:23" hidden="1" x14ac:dyDescent="0.6">
      <c r="A109" t="s">
        <v>59</v>
      </c>
      <c r="B109">
        <v>5450</v>
      </c>
      <c r="C109" t="s">
        <v>53</v>
      </c>
      <c r="D109">
        <v>3081</v>
      </c>
      <c r="E109">
        <v>10</v>
      </c>
      <c r="F109">
        <v>2440</v>
      </c>
      <c r="G109">
        <v>3</v>
      </c>
      <c r="H109">
        <v>206</v>
      </c>
      <c r="I109">
        <v>7</v>
      </c>
      <c r="J109">
        <v>2234</v>
      </c>
      <c r="K109">
        <v>899.97859700000004</v>
      </c>
      <c r="L109">
        <v>0.151836000000003</v>
      </c>
      <c r="M109">
        <v>10853.8159593243</v>
      </c>
      <c r="N109">
        <v>117705.945888983</v>
      </c>
      <c r="O109" s="8" t="str">
        <f>formatIP(Table1[[#This Row],[Address A]])</f>
        <v>010.011.001.014</v>
      </c>
      <c r="P109" s="8" t="str">
        <f>formatIP(Table1[[#This Row],[Address B]])</f>
        <v>010.012.000.001</v>
      </c>
      <c r="Q109" s="8" t="e">
        <f>VLOOKUP(Table1[[#This Row],[Address A]],IP_Master[],4,FALSE)</f>
        <v>#N/A</v>
      </c>
      <c r="R109" s="8" t="str">
        <f>VLOOKUP(Table1[[#This Row],[Address B]],IP_Master[],4,FALSE)</f>
        <v>PPPCFC1</v>
      </c>
      <c r="S109" s="8" t="e">
        <f>VLOOKUP(Table1[[#This Row],[Address A]],IP_Master[],2,FALSE)</f>
        <v>#N/A</v>
      </c>
      <c r="T109" s="8" t="str">
        <f>VLOOKUP(Table1[[#This Row],[Address B]],IP_Master[],2,FALSE)</f>
        <v>Fume Control</v>
      </c>
      <c r="U109" s="9" t="e">
        <f>VLOOKUP(Table1[[#This Row],[Address A]],IP_Master[],3,FALSE)</f>
        <v>#N/A</v>
      </c>
      <c r="V109" s="9" t="str">
        <f>VLOOKUP(Table1[[#This Row],[Address B]],IP_Master[],3,FALSE)</f>
        <v>iFIX Nodes &amp; Ethernet Switches</v>
      </c>
      <c r="W109" s="9" t="e">
        <f>VLOOKUP(Table1[[#This Row],[Port B]],traffic_types[],2,FALSE)</f>
        <v>#N/A</v>
      </c>
    </row>
    <row r="110" spans="1:23" x14ac:dyDescent="0.6">
      <c r="A110" t="s">
        <v>60</v>
      </c>
      <c r="B110">
        <v>60892</v>
      </c>
      <c r="C110" t="s">
        <v>61</v>
      </c>
      <c r="D110">
        <v>445</v>
      </c>
      <c r="E110">
        <v>416</v>
      </c>
      <c r="F110">
        <v>264930</v>
      </c>
      <c r="G110">
        <v>180</v>
      </c>
      <c r="H110">
        <v>17099</v>
      </c>
      <c r="I110">
        <v>236</v>
      </c>
      <c r="J110">
        <v>247831</v>
      </c>
      <c r="K110">
        <v>479.92451899999998</v>
      </c>
      <c r="L110">
        <v>25.213583</v>
      </c>
      <c r="M110">
        <v>5425.3296725023101</v>
      </c>
      <c r="N110">
        <v>78634.123519850298</v>
      </c>
      <c r="O110" s="8" t="str">
        <f>formatIP(Table1[[#This Row],[Address A]])</f>
        <v>010.011.001.031</v>
      </c>
      <c r="P110" s="8" t="str">
        <f>formatIP(Table1[[#This Row],[Address B]])</f>
        <v>010.012.000.074</v>
      </c>
      <c r="Q110" s="8" t="e">
        <f>VLOOKUP(Table1[[#This Row],[Address A]],IP_Master[],4,FALSE)</f>
        <v>#N/A</v>
      </c>
      <c r="R110" s="8">
        <f>VLOOKUP(Table1[[#This Row],[Address B]],IP_Master[],4,FALSE)</f>
        <v>0</v>
      </c>
      <c r="S110" s="8" t="e">
        <f>VLOOKUP(Table1[[#This Row],[Address A]],IP_Master[],2,FALSE)</f>
        <v>#N/A</v>
      </c>
      <c r="T110" s="8" t="str">
        <f>VLOOKUP(Table1[[#This Row],[Address B]],IP_Master[],2,FALSE)</f>
        <v>PETs Plant</v>
      </c>
      <c r="U110" s="9" t="e">
        <f>VLOOKUP(Table1[[#This Row],[Address A]],IP_Master[],3,FALSE)</f>
        <v>#N/A</v>
      </c>
      <c r="V110" s="9" t="str">
        <f>VLOOKUP(Table1[[#This Row],[Address B]],IP_Master[],3,FALSE)</f>
        <v>iFIX Nodes &amp; Ethernet Switches</v>
      </c>
      <c r="W110" s="9" t="str">
        <f>VLOOKUP(Table1[[#This Row],[Port B]],traffic_types[],2,FALSE)</f>
        <v>SMB</v>
      </c>
    </row>
    <row r="111" spans="1:23" x14ac:dyDescent="0.6">
      <c r="A111" t="s">
        <v>60</v>
      </c>
      <c r="B111">
        <v>60893</v>
      </c>
      <c r="C111" t="s">
        <v>62</v>
      </c>
      <c r="D111">
        <v>445</v>
      </c>
      <c r="E111">
        <v>447</v>
      </c>
      <c r="F111">
        <v>149971</v>
      </c>
      <c r="G111">
        <v>214</v>
      </c>
      <c r="H111">
        <v>26396</v>
      </c>
      <c r="I111">
        <v>233</v>
      </c>
      <c r="J111">
        <v>123575</v>
      </c>
      <c r="K111">
        <v>479.92905300000001</v>
      </c>
      <c r="L111">
        <v>13.189887000000001</v>
      </c>
      <c r="M111">
        <v>16009.8414793091</v>
      </c>
      <c r="N111">
        <v>74951.3623581461</v>
      </c>
      <c r="O111" s="8" t="str">
        <f>formatIP(Table1[[#This Row],[Address A]])</f>
        <v>010.011.001.031</v>
      </c>
      <c r="P111" s="8" t="str">
        <f>formatIP(Table1[[#This Row],[Address B]])</f>
        <v>010.012.000.072</v>
      </c>
      <c r="Q111" s="8" t="e">
        <f>VLOOKUP(Table1[[#This Row],[Address A]],IP_Master[],4,FALSE)</f>
        <v>#N/A</v>
      </c>
      <c r="R111" s="8">
        <f>VLOOKUP(Table1[[#This Row],[Address B]],IP_Master[],4,FALSE)</f>
        <v>0</v>
      </c>
      <c r="S111" s="8" t="e">
        <f>VLOOKUP(Table1[[#This Row],[Address A]],IP_Master[],2,FALSE)</f>
        <v>#N/A</v>
      </c>
      <c r="T111" s="8" t="str">
        <f>VLOOKUP(Table1[[#This Row],[Address B]],IP_Master[],2,FALSE)</f>
        <v>PETs Plant</v>
      </c>
      <c r="U111" s="9" t="e">
        <f>VLOOKUP(Table1[[#This Row],[Address A]],IP_Master[],3,FALSE)</f>
        <v>#N/A</v>
      </c>
      <c r="V111" s="9" t="str">
        <f>VLOOKUP(Table1[[#This Row],[Address B]],IP_Master[],3,FALSE)</f>
        <v>iFIX Nodes &amp; Ethernet Switches</v>
      </c>
      <c r="W111" s="9" t="str">
        <f>VLOOKUP(Table1[[#This Row],[Port B]],traffic_types[],2,FALSE)</f>
        <v>SMB</v>
      </c>
    </row>
    <row r="112" spans="1:23" x14ac:dyDescent="0.6">
      <c r="A112" t="s">
        <v>60</v>
      </c>
      <c r="B112">
        <v>60894</v>
      </c>
      <c r="C112" t="s">
        <v>63</v>
      </c>
      <c r="D112">
        <v>445</v>
      </c>
      <c r="E112">
        <v>462</v>
      </c>
      <c r="F112">
        <v>189861</v>
      </c>
      <c r="G112">
        <v>213</v>
      </c>
      <c r="H112">
        <v>25189</v>
      </c>
      <c r="I112">
        <v>249</v>
      </c>
      <c r="J112">
        <v>164672</v>
      </c>
      <c r="K112">
        <v>479.937726</v>
      </c>
      <c r="L112">
        <v>13.209826</v>
      </c>
      <c r="M112">
        <v>15254.705096039799</v>
      </c>
      <c r="N112">
        <v>99726.975964709796</v>
      </c>
      <c r="O112" s="8" t="str">
        <f>formatIP(Table1[[#This Row],[Address A]])</f>
        <v>010.011.001.031</v>
      </c>
      <c r="P112" s="8" t="str">
        <f>formatIP(Table1[[#This Row],[Address B]])</f>
        <v>010.012.000.073</v>
      </c>
      <c r="Q112" s="8" t="e">
        <f>VLOOKUP(Table1[[#This Row],[Address A]],IP_Master[],4,FALSE)</f>
        <v>#N/A</v>
      </c>
      <c r="R112" s="8">
        <f>VLOOKUP(Table1[[#This Row],[Address B]],IP_Master[],4,FALSE)</f>
        <v>0</v>
      </c>
      <c r="S112" s="8" t="e">
        <f>VLOOKUP(Table1[[#This Row],[Address A]],IP_Master[],2,FALSE)</f>
        <v>#N/A</v>
      </c>
      <c r="T112" s="8" t="str">
        <f>VLOOKUP(Table1[[#This Row],[Address B]],IP_Master[],2,FALSE)</f>
        <v>PETs Plant</v>
      </c>
      <c r="U112" s="9" t="e">
        <f>VLOOKUP(Table1[[#This Row],[Address A]],IP_Master[],3,FALSE)</f>
        <v>#N/A</v>
      </c>
      <c r="V112" s="9" t="str">
        <f>VLOOKUP(Table1[[#This Row],[Address B]],IP_Master[],3,FALSE)</f>
        <v>iFIX Nodes &amp; Ethernet Switches</v>
      </c>
      <c r="W112" s="9" t="str">
        <f>VLOOKUP(Table1[[#This Row],[Port B]],traffic_types[],2,FALSE)</f>
        <v>SMB</v>
      </c>
    </row>
    <row r="113" spans="1:23" x14ac:dyDescent="0.6">
      <c r="A113" t="s">
        <v>60</v>
      </c>
      <c r="B113">
        <v>60895</v>
      </c>
      <c r="C113" t="s">
        <v>61</v>
      </c>
      <c r="D113">
        <v>445</v>
      </c>
      <c r="E113">
        <v>1</v>
      </c>
      <c r="F113">
        <v>66</v>
      </c>
      <c r="G113">
        <v>1</v>
      </c>
      <c r="H113">
        <v>66</v>
      </c>
      <c r="I113">
        <v>0</v>
      </c>
      <c r="J113">
        <v>0</v>
      </c>
      <c r="K113">
        <v>481.01459699999998</v>
      </c>
      <c r="L113">
        <v>0</v>
      </c>
      <c r="M113">
        <v>0</v>
      </c>
      <c r="N113">
        <v>0</v>
      </c>
      <c r="O113" s="8" t="str">
        <f>formatIP(Table1[[#This Row],[Address A]])</f>
        <v>010.011.001.031</v>
      </c>
      <c r="P113" s="8" t="str">
        <f>formatIP(Table1[[#This Row],[Address B]])</f>
        <v>010.012.000.074</v>
      </c>
      <c r="Q113" s="8" t="e">
        <f>VLOOKUP(Table1[[#This Row],[Address A]],IP_Master[],4,FALSE)</f>
        <v>#N/A</v>
      </c>
      <c r="R113" s="8">
        <f>VLOOKUP(Table1[[#This Row],[Address B]],IP_Master[],4,FALSE)</f>
        <v>0</v>
      </c>
      <c r="S113" s="8" t="e">
        <f>VLOOKUP(Table1[[#This Row],[Address A]],IP_Master[],2,FALSE)</f>
        <v>#N/A</v>
      </c>
      <c r="T113" s="8" t="str">
        <f>VLOOKUP(Table1[[#This Row],[Address B]],IP_Master[],2,FALSE)</f>
        <v>PETs Plant</v>
      </c>
      <c r="U113" s="9" t="e">
        <f>VLOOKUP(Table1[[#This Row],[Address A]],IP_Master[],3,FALSE)</f>
        <v>#N/A</v>
      </c>
      <c r="V113" s="9" t="str">
        <f>VLOOKUP(Table1[[#This Row],[Address B]],IP_Master[],3,FALSE)</f>
        <v>iFIX Nodes &amp; Ethernet Switches</v>
      </c>
      <c r="W113" s="9" t="str">
        <f>VLOOKUP(Table1[[#This Row],[Port B]],traffic_types[],2,FALSE)</f>
        <v>SMB</v>
      </c>
    </row>
    <row r="114" spans="1:23" x14ac:dyDescent="0.6">
      <c r="A114" t="s">
        <v>60</v>
      </c>
      <c r="B114">
        <v>60896</v>
      </c>
      <c r="C114" t="s">
        <v>61</v>
      </c>
      <c r="D114">
        <v>139</v>
      </c>
      <c r="E114">
        <v>1</v>
      </c>
      <c r="F114">
        <v>66</v>
      </c>
      <c r="G114">
        <v>1</v>
      </c>
      <c r="H114">
        <v>66</v>
      </c>
      <c r="I114">
        <v>0</v>
      </c>
      <c r="J114">
        <v>0</v>
      </c>
      <c r="K114">
        <v>481.01552700000002</v>
      </c>
      <c r="L114">
        <v>0</v>
      </c>
      <c r="M114">
        <v>0</v>
      </c>
      <c r="N114">
        <v>0</v>
      </c>
      <c r="O114" s="8" t="str">
        <f>formatIP(Table1[[#This Row],[Address A]])</f>
        <v>010.011.001.031</v>
      </c>
      <c r="P114" s="8" t="str">
        <f>formatIP(Table1[[#This Row],[Address B]])</f>
        <v>010.012.000.074</v>
      </c>
      <c r="Q114" s="8" t="e">
        <f>VLOOKUP(Table1[[#This Row],[Address A]],IP_Master[],4,FALSE)</f>
        <v>#N/A</v>
      </c>
      <c r="R114" s="8">
        <f>VLOOKUP(Table1[[#This Row],[Address B]],IP_Master[],4,FALSE)</f>
        <v>0</v>
      </c>
      <c r="S114" s="8" t="e">
        <f>VLOOKUP(Table1[[#This Row],[Address A]],IP_Master[],2,FALSE)</f>
        <v>#N/A</v>
      </c>
      <c r="T114" s="8" t="str">
        <f>VLOOKUP(Table1[[#This Row],[Address B]],IP_Master[],2,FALSE)</f>
        <v>PETs Plant</v>
      </c>
      <c r="U114" s="9" t="e">
        <f>VLOOKUP(Table1[[#This Row],[Address A]],IP_Master[],3,FALSE)</f>
        <v>#N/A</v>
      </c>
      <c r="V114" s="9" t="str">
        <f>VLOOKUP(Table1[[#This Row],[Address B]],IP_Master[],3,FALSE)</f>
        <v>iFIX Nodes &amp; Ethernet Switches</v>
      </c>
      <c r="W114" s="9" t="str">
        <f>VLOOKUP(Table1[[#This Row],[Port B]],traffic_types[],2,FALSE)</f>
        <v>TCP Netbios</v>
      </c>
    </row>
    <row r="115" spans="1:23" x14ac:dyDescent="0.6">
      <c r="A115" t="s">
        <v>64</v>
      </c>
      <c r="B115">
        <v>2804</v>
      </c>
      <c r="C115" t="s">
        <v>65</v>
      </c>
      <c r="D115">
        <v>502</v>
      </c>
      <c r="E115">
        <v>10</v>
      </c>
      <c r="F115">
        <v>614</v>
      </c>
      <c r="G115">
        <v>5</v>
      </c>
      <c r="H115">
        <v>308</v>
      </c>
      <c r="I115">
        <v>5</v>
      </c>
      <c r="J115">
        <v>306</v>
      </c>
      <c r="K115">
        <v>54.211438999999999</v>
      </c>
      <c r="L115">
        <v>4.2355000000000601E-2</v>
      </c>
      <c r="M115">
        <v>58174.949828826997</v>
      </c>
      <c r="N115">
        <v>57797.190414354103</v>
      </c>
      <c r="O115" s="8" t="str">
        <f>formatIP(Table1[[#This Row],[Address A]])</f>
        <v>010.011.001.079</v>
      </c>
      <c r="P115" s="8" t="str">
        <f>formatIP(Table1[[#This Row],[Address B]])</f>
        <v>010.012.001.024</v>
      </c>
      <c r="Q115" s="8" t="e">
        <f>VLOOKUP(Table1[[#This Row],[Address A]],IP_Master[],4,FALSE)</f>
        <v>#N/A</v>
      </c>
      <c r="R115" s="8" t="str">
        <f>VLOOKUP(Table1[[#This Row],[Address B]],IP_Master[],4,FALSE)</f>
        <v>BFNCPLC</v>
      </c>
      <c r="S115" s="8" t="e">
        <f>VLOOKUP(Table1[[#This Row],[Address A]],IP_Master[],2,FALSE)</f>
        <v>#N/A</v>
      </c>
      <c r="T115" s="8" t="str">
        <f>VLOOKUP(Table1[[#This Row],[Address B]],IP_Master[],2,FALSE)</f>
        <v>Blast Furnace</v>
      </c>
      <c r="U115" s="9" t="e">
        <f>VLOOKUP(Table1[[#This Row],[Address A]],IP_Master[],3,FALSE)</f>
        <v>#N/A</v>
      </c>
      <c r="V115" s="9" t="str">
        <f>VLOOKUP(Table1[[#This Row],[Address B]],IP_Master[],3,FALSE)</f>
        <v>PLCs &amp; Control Equipment</v>
      </c>
      <c r="W115" s="9" t="str">
        <f>VLOOKUP(Table1[[#This Row],[Port B]],traffic_types[],2,FALSE)</f>
        <v>Modbus</v>
      </c>
    </row>
    <row r="116" spans="1:23" x14ac:dyDescent="0.6">
      <c r="A116" t="s">
        <v>64</v>
      </c>
      <c r="B116">
        <v>2805</v>
      </c>
      <c r="C116" t="s">
        <v>65</v>
      </c>
      <c r="D116">
        <v>502</v>
      </c>
      <c r="E116">
        <v>10</v>
      </c>
      <c r="F116">
        <v>613</v>
      </c>
      <c r="G116">
        <v>5</v>
      </c>
      <c r="H116">
        <v>308</v>
      </c>
      <c r="I116">
        <v>5</v>
      </c>
      <c r="J116">
        <v>305</v>
      </c>
      <c r="K116">
        <v>54.235810999999998</v>
      </c>
      <c r="L116">
        <v>6.8308999999999301E-2</v>
      </c>
      <c r="M116">
        <v>36071.381516345202</v>
      </c>
      <c r="N116">
        <v>35720.036891185999</v>
      </c>
      <c r="O116" s="8" t="str">
        <f>formatIP(Table1[[#This Row],[Address A]])</f>
        <v>010.011.001.079</v>
      </c>
      <c r="P116" s="8" t="str">
        <f>formatIP(Table1[[#This Row],[Address B]])</f>
        <v>010.012.001.024</v>
      </c>
      <c r="Q116" s="8" t="e">
        <f>VLOOKUP(Table1[[#This Row],[Address A]],IP_Master[],4,FALSE)</f>
        <v>#N/A</v>
      </c>
      <c r="R116" s="8" t="str">
        <f>VLOOKUP(Table1[[#This Row],[Address B]],IP_Master[],4,FALSE)</f>
        <v>BFNCPLC</v>
      </c>
      <c r="S116" s="8" t="e">
        <f>VLOOKUP(Table1[[#This Row],[Address A]],IP_Master[],2,FALSE)</f>
        <v>#N/A</v>
      </c>
      <c r="T116" s="8" t="str">
        <f>VLOOKUP(Table1[[#This Row],[Address B]],IP_Master[],2,FALSE)</f>
        <v>Blast Furnace</v>
      </c>
      <c r="U116" s="9" t="e">
        <f>VLOOKUP(Table1[[#This Row],[Address A]],IP_Master[],3,FALSE)</f>
        <v>#N/A</v>
      </c>
      <c r="V116" s="9" t="str">
        <f>VLOOKUP(Table1[[#This Row],[Address B]],IP_Master[],3,FALSE)</f>
        <v>PLCs &amp; Control Equipment</v>
      </c>
      <c r="W116" s="9" t="str">
        <f>VLOOKUP(Table1[[#This Row],[Port B]],traffic_types[],2,FALSE)</f>
        <v>Modbus</v>
      </c>
    </row>
    <row r="117" spans="1:23" x14ac:dyDescent="0.6">
      <c r="A117" t="s">
        <v>64</v>
      </c>
      <c r="B117">
        <v>2806</v>
      </c>
      <c r="C117" t="s">
        <v>65</v>
      </c>
      <c r="D117">
        <v>502</v>
      </c>
      <c r="E117">
        <v>10</v>
      </c>
      <c r="F117">
        <v>614</v>
      </c>
      <c r="G117">
        <v>5</v>
      </c>
      <c r="H117">
        <v>308</v>
      </c>
      <c r="I117">
        <v>5</v>
      </c>
      <c r="J117">
        <v>306</v>
      </c>
      <c r="K117">
        <v>54.327463999999999</v>
      </c>
      <c r="L117">
        <v>3.90920000000037E-2</v>
      </c>
      <c r="M117">
        <v>63030.799140483199</v>
      </c>
      <c r="N117">
        <v>62621.508236973503</v>
      </c>
      <c r="O117" s="8" t="str">
        <f>formatIP(Table1[[#This Row],[Address A]])</f>
        <v>010.011.001.079</v>
      </c>
      <c r="P117" s="8" t="str">
        <f>formatIP(Table1[[#This Row],[Address B]])</f>
        <v>010.012.001.024</v>
      </c>
      <c r="Q117" s="8" t="e">
        <f>VLOOKUP(Table1[[#This Row],[Address A]],IP_Master[],4,FALSE)</f>
        <v>#N/A</v>
      </c>
      <c r="R117" s="8" t="str">
        <f>VLOOKUP(Table1[[#This Row],[Address B]],IP_Master[],4,FALSE)</f>
        <v>BFNCPLC</v>
      </c>
      <c r="S117" s="8" t="e">
        <f>VLOOKUP(Table1[[#This Row],[Address A]],IP_Master[],2,FALSE)</f>
        <v>#N/A</v>
      </c>
      <c r="T117" s="8" t="str">
        <f>VLOOKUP(Table1[[#This Row],[Address B]],IP_Master[],2,FALSE)</f>
        <v>Blast Furnace</v>
      </c>
      <c r="U117" s="9" t="e">
        <f>VLOOKUP(Table1[[#This Row],[Address A]],IP_Master[],3,FALSE)</f>
        <v>#N/A</v>
      </c>
      <c r="V117" s="9" t="str">
        <f>VLOOKUP(Table1[[#This Row],[Address B]],IP_Master[],3,FALSE)</f>
        <v>PLCs &amp; Control Equipment</v>
      </c>
      <c r="W117" s="9" t="str">
        <f>VLOOKUP(Table1[[#This Row],[Port B]],traffic_types[],2,FALSE)</f>
        <v>Modbus</v>
      </c>
    </row>
    <row r="118" spans="1:23" x14ac:dyDescent="0.6">
      <c r="A118" t="s">
        <v>64</v>
      </c>
      <c r="B118">
        <v>2807</v>
      </c>
      <c r="C118" t="s">
        <v>65</v>
      </c>
      <c r="D118">
        <v>502</v>
      </c>
      <c r="E118">
        <v>10</v>
      </c>
      <c r="F118">
        <v>613</v>
      </c>
      <c r="G118">
        <v>5</v>
      </c>
      <c r="H118">
        <v>308</v>
      </c>
      <c r="I118">
        <v>5</v>
      </c>
      <c r="J118">
        <v>305</v>
      </c>
      <c r="K118">
        <v>54.35474</v>
      </c>
      <c r="L118">
        <v>5.84210000000027E-2</v>
      </c>
      <c r="M118">
        <v>42176.614573524697</v>
      </c>
      <c r="N118">
        <v>41765.8033926137</v>
      </c>
      <c r="O118" s="8" t="str">
        <f>formatIP(Table1[[#This Row],[Address A]])</f>
        <v>010.011.001.079</v>
      </c>
      <c r="P118" s="8" t="str">
        <f>formatIP(Table1[[#This Row],[Address B]])</f>
        <v>010.012.001.024</v>
      </c>
      <c r="Q118" s="8" t="e">
        <f>VLOOKUP(Table1[[#This Row],[Address A]],IP_Master[],4,FALSE)</f>
        <v>#N/A</v>
      </c>
      <c r="R118" s="8" t="str">
        <f>VLOOKUP(Table1[[#This Row],[Address B]],IP_Master[],4,FALSE)</f>
        <v>BFNCPLC</v>
      </c>
      <c r="S118" s="8" t="e">
        <f>VLOOKUP(Table1[[#This Row],[Address A]],IP_Master[],2,FALSE)</f>
        <v>#N/A</v>
      </c>
      <c r="T118" s="8" t="str">
        <f>VLOOKUP(Table1[[#This Row],[Address B]],IP_Master[],2,FALSE)</f>
        <v>Blast Furnace</v>
      </c>
      <c r="U118" s="9" t="e">
        <f>VLOOKUP(Table1[[#This Row],[Address A]],IP_Master[],3,FALSE)</f>
        <v>#N/A</v>
      </c>
      <c r="V118" s="9" t="str">
        <f>VLOOKUP(Table1[[#This Row],[Address B]],IP_Master[],3,FALSE)</f>
        <v>PLCs &amp; Control Equipment</v>
      </c>
      <c r="W118" s="9" t="str">
        <f>VLOOKUP(Table1[[#This Row],[Port B]],traffic_types[],2,FALSE)</f>
        <v>Modbus</v>
      </c>
    </row>
    <row r="119" spans="1:23" x14ac:dyDescent="0.6">
      <c r="A119" t="s">
        <v>64</v>
      </c>
      <c r="B119">
        <v>2808</v>
      </c>
      <c r="C119" t="s">
        <v>65</v>
      </c>
      <c r="D119">
        <v>502</v>
      </c>
      <c r="E119">
        <v>10</v>
      </c>
      <c r="F119">
        <v>614</v>
      </c>
      <c r="G119">
        <v>5</v>
      </c>
      <c r="H119">
        <v>308</v>
      </c>
      <c r="I119">
        <v>5</v>
      </c>
      <c r="J119">
        <v>306</v>
      </c>
      <c r="K119">
        <v>54.418950000000002</v>
      </c>
      <c r="L119">
        <v>4.7702000000001001E-2</v>
      </c>
      <c r="M119">
        <v>51654.018699424501</v>
      </c>
      <c r="N119">
        <v>51318.6029935841</v>
      </c>
      <c r="O119" s="8" t="str">
        <f>formatIP(Table1[[#This Row],[Address A]])</f>
        <v>010.011.001.079</v>
      </c>
      <c r="P119" s="8" t="str">
        <f>formatIP(Table1[[#This Row],[Address B]])</f>
        <v>010.012.001.024</v>
      </c>
      <c r="Q119" s="8" t="e">
        <f>VLOOKUP(Table1[[#This Row],[Address A]],IP_Master[],4,FALSE)</f>
        <v>#N/A</v>
      </c>
      <c r="R119" s="8" t="str">
        <f>VLOOKUP(Table1[[#This Row],[Address B]],IP_Master[],4,FALSE)</f>
        <v>BFNCPLC</v>
      </c>
      <c r="S119" s="8" t="e">
        <f>VLOOKUP(Table1[[#This Row],[Address A]],IP_Master[],2,FALSE)</f>
        <v>#N/A</v>
      </c>
      <c r="T119" s="8" t="str">
        <f>VLOOKUP(Table1[[#This Row],[Address B]],IP_Master[],2,FALSE)</f>
        <v>Blast Furnace</v>
      </c>
      <c r="U119" s="9" t="e">
        <f>VLOOKUP(Table1[[#This Row],[Address A]],IP_Master[],3,FALSE)</f>
        <v>#N/A</v>
      </c>
      <c r="V119" s="9" t="str">
        <f>VLOOKUP(Table1[[#This Row],[Address B]],IP_Master[],3,FALSE)</f>
        <v>PLCs &amp; Control Equipment</v>
      </c>
      <c r="W119" s="9" t="str">
        <f>VLOOKUP(Table1[[#This Row],[Port B]],traffic_types[],2,FALSE)</f>
        <v>Modbus</v>
      </c>
    </row>
    <row r="120" spans="1:23" x14ac:dyDescent="0.6">
      <c r="A120" t="s">
        <v>64</v>
      </c>
      <c r="B120">
        <v>2809</v>
      </c>
      <c r="C120" t="s">
        <v>65</v>
      </c>
      <c r="D120">
        <v>502</v>
      </c>
      <c r="E120">
        <v>10</v>
      </c>
      <c r="F120">
        <v>614</v>
      </c>
      <c r="G120">
        <v>5</v>
      </c>
      <c r="H120">
        <v>308</v>
      </c>
      <c r="I120">
        <v>5</v>
      </c>
      <c r="J120">
        <v>306</v>
      </c>
      <c r="K120">
        <v>59.227063999999999</v>
      </c>
      <c r="L120">
        <v>4.5256000000002003E-2</v>
      </c>
      <c r="M120">
        <v>54445.819338869798</v>
      </c>
      <c r="N120">
        <v>54092.275057448598</v>
      </c>
      <c r="O120" s="8" t="str">
        <f>formatIP(Table1[[#This Row],[Address A]])</f>
        <v>010.011.001.079</v>
      </c>
      <c r="P120" s="8" t="str">
        <f>formatIP(Table1[[#This Row],[Address B]])</f>
        <v>010.012.001.024</v>
      </c>
      <c r="Q120" s="8" t="e">
        <f>VLOOKUP(Table1[[#This Row],[Address A]],IP_Master[],4,FALSE)</f>
        <v>#N/A</v>
      </c>
      <c r="R120" s="8" t="str">
        <f>VLOOKUP(Table1[[#This Row],[Address B]],IP_Master[],4,FALSE)</f>
        <v>BFNCPLC</v>
      </c>
      <c r="S120" s="8" t="e">
        <f>VLOOKUP(Table1[[#This Row],[Address A]],IP_Master[],2,FALSE)</f>
        <v>#N/A</v>
      </c>
      <c r="T120" s="8" t="str">
        <f>VLOOKUP(Table1[[#This Row],[Address B]],IP_Master[],2,FALSE)</f>
        <v>Blast Furnace</v>
      </c>
      <c r="U120" s="9" t="e">
        <f>VLOOKUP(Table1[[#This Row],[Address A]],IP_Master[],3,FALSE)</f>
        <v>#N/A</v>
      </c>
      <c r="V120" s="9" t="str">
        <f>VLOOKUP(Table1[[#This Row],[Address B]],IP_Master[],3,FALSE)</f>
        <v>PLCs &amp; Control Equipment</v>
      </c>
      <c r="W120" s="9" t="str">
        <f>VLOOKUP(Table1[[#This Row],[Port B]],traffic_types[],2,FALSE)</f>
        <v>Modbus</v>
      </c>
    </row>
    <row r="121" spans="1:23" x14ac:dyDescent="0.6">
      <c r="A121" t="s">
        <v>64</v>
      </c>
      <c r="B121">
        <v>2810</v>
      </c>
      <c r="C121" t="s">
        <v>65</v>
      </c>
      <c r="D121">
        <v>502</v>
      </c>
      <c r="E121">
        <v>10</v>
      </c>
      <c r="F121">
        <v>613</v>
      </c>
      <c r="G121">
        <v>5</v>
      </c>
      <c r="H121">
        <v>308</v>
      </c>
      <c r="I121">
        <v>5</v>
      </c>
      <c r="J121">
        <v>305</v>
      </c>
      <c r="K121">
        <v>59.254572000000003</v>
      </c>
      <c r="L121">
        <v>8.7283999999996795E-2</v>
      </c>
      <c r="M121">
        <v>28229.6869987637</v>
      </c>
      <c r="N121">
        <v>27954.7225150095</v>
      </c>
      <c r="O121" s="8" t="str">
        <f>formatIP(Table1[[#This Row],[Address A]])</f>
        <v>010.011.001.079</v>
      </c>
      <c r="P121" s="8" t="str">
        <f>formatIP(Table1[[#This Row],[Address B]])</f>
        <v>010.012.001.024</v>
      </c>
      <c r="Q121" s="8" t="e">
        <f>VLOOKUP(Table1[[#This Row],[Address A]],IP_Master[],4,FALSE)</f>
        <v>#N/A</v>
      </c>
      <c r="R121" s="8" t="str">
        <f>VLOOKUP(Table1[[#This Row],[Address B]],IP_Master[],4,FALSE)</f>
        <v>BFNCPLC</v>
      </c>
      <c r="S121" s="8" t="e">
        <f>VLOOKUP(Table1[[#This Row],[Address A]],IP_Master[],2,FALSE)</f>
        <v>#N/A</v>
      </c>
      <c r="T121" s="8" t="str">
        <f>VLOOKUP(Table1[[#This Row],[Address B]],IP_Master[],2,FALSE)</f>
        <v>Blast Furnace</v>
      </c>
      <c r="U121" s="9" t="e">
        <f>VLOOKUP(Table1[[#This Row],[Address A]],IP_Master[],3,FALSE)</f>
        <v>#N/A</v>
      </c>
      <c r="V121" s="9" t="str">
        <f>VLOOKUP(Table1[[#This Row],[Address B]],IP_Master[],3,FALSE)</f>
        <v>PLCs &amp; Control Equipment</v>
      </c>
      <c r="W121" s="9" t="str">
        <f>VLOOKUP(Table1[[#This Row],[Port B]],traffic_types[],2,FALSE)</f>
        <v>Modbus</v>
      </c>
    </row>
    <row r="122" spans="1:23" x14ac:dyDescent="0.6">
      <c r="A122" t="s">
        <v>64</v>
      </c>
      <c r="B122">
        <v>2811</v>
      </c>
      <c r="C122" t="s">
        <v>65</v>
      </c>
      <c r="D122">
        <v>502</v>
      </c>
      <c r="E122">
        <v>10</v>
      </c>
      <c r="F122">
        <v>614</v>
      </c>
      <c r="G122">
        <v>5</v>
      </c>
      <c r="H122">
        <v>308</v>
      </c>
      <c r="I122">
        <v>5</v>
      </c>
      <c r="J122">
        <v>306</v>
      </c>
      <c r="K122">
        <v>59.327044000000001</v>
      </c>
      <c r="L122">
        <v>0.104819999999997</v>
      </c>
      <c r="M122">
        <v>23506.964319787101</v>
      </c>
      <c r="N122">
        <v>23354.321694333899</v>
      </c>
      <c r="O122" s="8" t="str">
        <f>formatIP(Table1[[#This Row],[Address A]])</f>
        <v>010.011.001.079</v>
      </c>
      <c r="P122" s="8" t="str">
        <f>formatIP(Table1[[#This Row],[Address B]])</f>
        <v>010.012.001.024</v>
      </c>
      <c r="Q122" s="8" t="e">
        <f>VLOOKUP(Table1[[#This Row],[Address A]],IP_Master[],4,FALSE)</f>
        <v>#N/A</v>
      </c>
      <c r="R122" s="8" t="str">
        <f>VLOOKUP(Table1[[#This Row],[Address B]],IP_Master[],4,FALSE)</f>
        <v>BFNCPLC</v>
      </c>
      <c r="S122" s="8" t="e">
        <f>VLOOKUP(Table1[[#This Row],[Address A]],IP_Master[],2,FALSE)</f>
        <v>#N/A</v>
      </c>
      <c r="T122" s="8" t="str">
        <f>VLOOKUP(Table1[[#This Row],[Address B]],IP_Master[],2,FALSE)</f>
        <v>Blast Furnace</v>
      </c>
      <c r="U122" s="9" t="e">
        <f>VLOOKUP(Table1[[#This Row],[Address A]],IP_Master[],3,FALSE)</f>
        <v>#N/A</v>
      </c>
      <c r="V122" s="9" t="str">
        <f>VLOOKUP(Table1[[#This Row],[Address B]],IP_Master[],3,FALSE)</f>
        <v>PLCs &amp; Control Equipment</v>
      </c>
      <c r="W122" s="9" t="str">
        <f>VLOOKUP(Table1[[#This Row],[Port B]],traffic_types[],2,FALSE)</f>
        <v>Modbus</v>
      </c>
    </row>
    <row r="123" spans="1:23" x14ac:dyDescent="0.6">
      <c r="A123" t="s">
        <v>64</v>
      </c>
      <c r="B123">
        <v>2812</v>
      </c>
      <c r="C123" t="s">
        <v>65</v>
      </c>
      <c r="D123">
        <v>502</v>
      </c>
      <c r="E123">
        <v>10</v>
      </c>
      <c r="F123">
        <v>613</v>
      </c>
      <c r="G123">
        <v>5</v>
      </c>
      <c r="H123">
        <v>308</v>
      </c>
      <c r="I123">
        <v>5</v>
      </c>
      <c r="J123">
        <v>305</v>
      </c>
      <c r="K123">
        <v>59.414915999999998</v>
      </c>
      <c r="L123">
        <v>5.8451000000005103E-2</v>
      </c>
      <c r="M123">
        <v>42154.967408595003</v>
      </c>
      <c r="N123">
        <v>41744.367076693103</v>
      </c>
      <c r="O123" s="8" t="str">
        <f>formatIP(Table1[[#This Row],[Address A]])</f>
        <v>010.011.001.079</v>
      </c>
      <c r="P123" s="8" t="str">
        <f>formatIP(Table1[[#This Row],[Address B]])</f>
        <v>010.012.001.024</v>
      </c>
      <c r="Q123" s="8" t="e">
        <f>VLOOKUP(Table1[[#This Row],[Address A]],IP_Master[],4,FALSE)</f>
        <v>#N/A</v>
      </c>
      <c r="R123" s="8" t="str">
        <f>VLOOKUP(Table1[[#This Row],[Address B]],IP_Master[],4,FALSE)</f>
        <v>BFNCPLC</v>
      </c>
      <c r="S123" s="8" t="e">
        <f>VLOOKUP(Table1[[#This Row],[Address A]],IP_Master[],2,FALSE)</f>
        <v>#N/A</v>
      </c>
      <c r="T123" s="8" t="str">
        <f>VLOOKUP(Table1[[#This Row],[Address B]],IP_Master[],2,FALSE)</f>
        <v>Blast Furnace</v>
      </c>
      <c r="U123" s="9" t="e">
        <f>VLOOKUP(Table1[[#This Row],[Address A]],IP_Master[],3,FALSE)</f>
        <v>#N/A</v>
      </c>
      <c r="V123" s="9" t="str">
        <f>VLOOKUP(Table1[[#This Row],[Address B]],IP_Master[],3,FALSE)</f>
        <v>PLCs &amp; Control Equipment</v>
      </c>
      <c r="W123" s="9" t="str">
        <f>VLOOKUP(Table1[[#This Row],[Port B]],traffic_types[],2,FALSE)</f>
        <v>Modbus</v>
      </c>
    </row>
    <row r="124" spans="1:23" x14ac:dyDescent="0.6">
      <c r="A124" t="s">
        <v>64</v>
      </c>
      <c r="B124">
        <v>2813</v>
      </c>
      <c r="C124" t="s">
        <v>65</v>
      </c>
      <c r="D124">
        <v>502</v>
      </c>
      <c r="E124">
        <v>10</v>
      </c>
      <c r="F124">
        <v>614</v>
      </c>
      <c r="G124">
        <v>5</v>
      </c>
      <c r="H124">
        <v>308</v>
      </c>
      <c r="I124">
        <v>5</v>
      </c>
      <c r="J124">
        <v>306</v>
      </c>
      <c r="K124">
        <v>59.481676999999998</v>
      </c>
      <c r="L124">
        <v>5.0755000000002298E-2</v>
      </c>
      <c r="M124">
        <v>48546.941188058103</v>
      </c>
      <c r="N124">
        <v>48231.701310213502</v>
      </c>
      <c r="O124" s="8" t="str">
        <f>formatIP(Table1[[#This Row],[Address A]])</f>
        <v>010.011.001.079</v>
      </c>
      <c r="P124" s="8" t="str">
        <f>formatIP(Table1[[#This Row],[Address B]])</f>
        <v>010.012.001.024</v>
      </c>
      <c r="Q124" s="8" t="e">
        <f>VLOOKUP(Table1[[#This Row],[Address A]],IP_Master[],4,FALSE)</f>
        <v>#N/A</v>
      </c>
      <c r="R124" s="8" t="str">
        <f>VLOOKUP(Table1[[#This Row],[Address B]],IP_Master[],4,FALSE)</f>
        <v>BFNCPLC</v>
      </c>
      <c r="S124" s="8" t="e">
        <f>VLOOKUP(Table1[[#This Row],[Address A]],IP_Master[],2,FALSE)</f>
        <v>#N/A</v>
      </c>
      <c r="T124" s="8" t="str">
        <f>VLOOKUP(Table1[[#This Row],[Address B]],IP_Master[],2,FALSE)</f>
        <v>Blast Furnace</v>
      </c>
      <c r="U124" s="9" t="e">
        <f>VLOOKUP(Table1[[#This Row],[Address A]],IP_Master[],3,FALSE)</f>
        <v>#N/A</v>
      </c>
      <c r="V124" s="9" t="str">
        <f>VLOOKUP(Table1[[#This Row],[Address B]],IP_Master[],3,FALSE)</f>
        <v>PLCs &amp; Control Equipment</v>
      </c>
      <c r="W124" s="9" t="str">
        <f>VLOOKUP(Table1[[#This Row],[Port B]],traffic_types[],2,FALSE)</f>
        <v>Modbus</v>
      </c>
    </row>
    <row r="125" spans="1:23" x14ac:dyDescent="0.6">
      <c r="A125" t="s">
        <v>64</v>
      </c>
      <c r="B125">
        <v>2872</v>
      </c>
      <c r="C125" t="s">
        <v>65</v>
      </c>
      <c r="D125">
        <v>502</v>
      </c>
      <c r="E125">
        <v>10</v>
      </c>
      <c r="F125">
        <v>614</v>
      </c>
      <c r="G125">
        <v>5</v>
      </c>
      <c r="H125">
        <v>308</v>
      </c>
      <c r="I125">
        <v>5</v>
      </c>
      <c r="J125">
        <v>306</v>
      </c>
      <c r="K125">
        <v>144.21268000000001</v>
      </c>
      <c r="L125">
        <v>4.0890999999987798E-2</v>
      </c>
      <c r="M125">
        <v>60257.758430968599</v>
      </c>
      <c r="N125">
        <v>59866.474285312899</v>
      </c>
      <c r="O125" s="8" t="str">
        <f>formatIP(Table1[[#This Row],[Address A]])</f>
        <v>010.011.001.079</v>
      </c>
      <c r="P125" s="8" t="str">
        <f>formatIP(Table1[[#This Row],[Address B]])</f>
        <v>010.012.001.024</v>
      </c>
      <c r="Q125" s="8" t="e">
        <f>VLOOKUP(Table1[[#This Row],[Address A]],IP_Master[],4,FALSE)</f>
        <v>#N/A</v>
      </c>
      <c r="R125" s="8" t="str">
        <f>VLOOKUP(Table1[[#This Row],[Address B]],IP_Master[],4,FALSE)</f>
        <v>BFNCPLC</v>
      </c>
      <c r="S125" s="8" t="e">
        <f>VLOOKUP(Table1[[#This Row],[Address A]],IP_Master[],2,FALSE)</f>
        <v>#N/A</v>
      </c>
      <c r="T125" s="8" t="str">
        <f>VLOOKUP(Table1[[#This Row],[Address B]],IP_Master[],2,FALSE)</f>
        <v>Blast Furnace</v>
      </c>
      <c r="U125" s="9" t="e">
        <f>VLOOKUP(Table1[[#This Row],[Address A]],IP_Master[],3,FALSE)</f>
        <v>#N/A</v>
      </c>
      <c r="V125" s="9" t="str">
        <f>VLOOKUP(Table1[[#This Row],[Address B]],IP_Master[],3,FALSE)</f>
        <v>PLCs &amp; Control Equipment</v>
      </c>
      <c r="W125" s="9" t="str">
        <f>VLOOKUP(Table1[[#This Row],[Port B]],traffic_types[],2,FALSE)</f>
        <v>Modbus</v>
      </c>
    </row>
    <row r="126" spans="1:23" x14ac:dyDescent="0.6">
      <c r="A126" t="s">
        <v>64</v>
      </c>
      <c r="B126">
        <v>2873</v>
      </c>
      <c r="C126" t="s">
        <v>65</v>
      </c>
      <c r="D126">
        <v>502</v>
      </c>
      <c r="E126">
        <v>12</v>
      </c>
      <c r="F126">
        <v>733</v>
      </c>
      <c r="G126">
        <v>6</v>
      </c>
      <c r="H126">
        <v>368</v>
      </c>
      <c r="I126">
        <v>6</v>
      </c>
      <c r="J126">
        <v>365</v>
      </c>
      <c r="K126">
        <v>144.24627100000001</v>
      </c>
      <c r="L126">
        <v>3.0035569999999998</v>
      </c>
      <c r="M126">
        <v>980.17117704108796</v>
      </c>
      <c r="N126">
        <v>972.18065114129695</v>
      </c>
      <c r="O126" s="8" t="str">
        <f>formatIP(Table1[[#This Row],[Address A]])</f>
        <v>010.011.001.079</v>
      </c>
      <c r="P126" s="8" t="str">
        <f>formatIP(Table1[[#This Row],[Address B]])</f>
        <v>010.012.001.024</v>
      </c>
      <c r="Q126" s="8" t="e">
        <f>VLOOKUP(Table1[[#This Row],[Address A]],IP_Master[],4,FALSE)</f>
        <v>#N/A</v>
      </c>
      <c r="R126" s="8" t="str">
        <f>VLOOKUP(Table1[[#This Row],[Address B]],IP_Master[],4,FALSE)</f>
        <v>BFNCPLC</v>
      </c>
      <c r="S126" s="8" t="e">
        <f>VLOOKUP(Table1[[#This Row],[Address A]],IP_Master[],2,FALSE)</f>
        <v>#N/A</v>
      </c>
      <c r="T126" s="8" t="str">
        <f>VLOOKUP(Table1[[#This Row],[Address B]],IP_Master[],2,FALSE)</f>
        <v>Blast Furnace</v>
      </c>
      <c r="U126" s="9" t="e">
        <f>VLOOKUP(Table1[[#This Row],[Address A]],IP_Master[],3,FALSE)</f>
        <v>#N/A</v>
      </c>
      <c r="V126" s="9" t="str">
        <f>VLOOKUP(Table1[[#This Row],[Address B]],IP_Master[],3,FALSE)</f>
        <v>PLCs &amp; Control Equipment</v>
      </c>
      <c r="W126" s="9" t="str">
        <f>VLOOKUP(Table1[[#This Row],[Port B]],traffic_types[],2,FALSE)</f>
        <v>Modbus</v>
      </c>
    </row>
    <row r="127" spans="1:23" x14ac:dyDescent="0.6">
      <c r="A127" t="s">
        <v>64</v>
      </c>
      <c r="B127">
        <v>2874</v>
      </c>
      <c r="C127" t="s">
        <v>65</v>
      </c>
      <c r="D127">
        <v>502</v>
      </c>
      <c r="E127">
        <v>10</v>
      </c>
      <c r="F127">
        <v>614</v>
      </c>
      <c r="G127">
        <v>5</v>
      </c>
      <c r="H127">
        <v>308</v>
      </c>
      <c r="I127">
        <v>5</v>
      </c>
      <c r="J127">
        <v>306</v>
      </c>
      <c r="K127">
        <v>144.29767200000001</v>
      </c>
      <c r="L127">
        <v>3.40089999999975E-2</v>
      </c>
      <c r="M127">
        <v>72451.409920908598</v>
      </c>
      <c r="N127">
        <v>71980.9462201235</v>
      </c>
      <c r="O127" s="8" t="str">
        <f>formatIP(Table1[[#This Row],[Address A]])</f>
        <v>010.011.001.079</v>
      </c>
      <c r="P127" s="8" t="str">
        <f>formatIP(Table1[[#This Row],[Address B]])</f>
        <v>010.012.001.024</v>
      </c>
      <c r="Q127" s="8" t="e">
        <f>VLOOKUP(Table1[[#This Row],[Address A]],IP_Master[],4,FALSE)</f>
        <v>#N/A</v>
      </c>
      <c r="R127" s="8" t="str">
        <f>VLOOKUP(Table1[[#This Row],[Address B]],IP_Master[],4,FALSE)</f>
        <v>BFNCPLC</v>
      </c>
      <c r="S127" s="8" t="e">
        <f>VLOOKUP(Table1[[#This Row],[Address A]],IP_Master[],2,FALSE)</f>
        <v>#N/A</v>
      </c>
      <c r="T127" s="8" t="str">
        <f>VLOOKUP(Table1[[#This Row],[Address B]],IP_Master[],2,FALSE)</f>
        <v>Blast Furnace</v>
      </c>
      <c r="U127" s="9" t="e">
        <f>VLOOKUP(Table1[[#This Row],[Address A]],IP_Master[],3,FALSE)</f>
        <v>#N/A</v>
      </c>
      <c r="V127" s="9" t="str">
        <f>VLOOKUP(Table1[[#This Row],[Address B]],IP_Master[],3,FALSE)</f>
        <v>PLCs &amp; Control Equipment</v>
      </c>
      <c r="W127" s="9" t="str">
        <f>VLOOKUP(Table1[[#This Row],[Port B]],traffic_types[],2,FALSE)</f>
        <v>Modbus</v>
      </c>
    </row>
    <row r="128" spans="1:23" x14ac:dyDescent="0.6">
      <c r="A128" t="s">
        <v>64</v>
      </c>
      <c r="B128">
        <v>2875</v>
      </c>
      <c r="C128" t="s">
        <v>65</v>
      </c>
      <c r="D128">
        <v>502</v>
      </c>
      <c r="E128">
        <v>10</v>
      </c>
      <c r="F128">
        <v>613</v>
      </c>
      <c r="G128">
        <v>5</v>
      </c>
      <c r="H128">
        <v>308</v>
      </c>
      <c r="I128">
        <v>5</v>
      </c>
      <c r="J128">
        <v>305</v>
      </c>
      <c r="K128">
        <v>144.32341400000001</v>
      </c>
      <c r="L128">
        <v>2.98189999999749E-2</v>
      </c>
      <c r="M128">
        <v>82631.879003389404</v>
      </c>
      <c r="N128">
        <v>81827.0230390707</v>
      </c>
      <c r="O128" s="8" t="str">
        <f>formatIP(Table1[[#This Row],[Address A]])</f>
        <v>010.011.001.079</v>
      </c>
      <c r="P128" s="8" t="str">
        <f>formatIP(Table1[[#This Row],[Address B]])</f>
        <v>010.012.001.024</v>
      </c>
      <c r="Q128" s="8" t="e">
        <f>VLOOKUP(Table1[[#This Row],[Address A]],IP_Master[],4,FALSE)</f>
        <v>#N/A</v>
      </c>
      <c r="R128" s="8" t="str">
        <f>VLOOKUP(Table1[[#This Row],[Address B]],IP_Master[],4,FALSE)</f>
        <v>BFNCPLC</v>
      </c>
      <c r="S128" s="8" t="e">
        <f>VLOOKUP(Table1[[#This Row],[Address A]],IP_Master[],2,FALSE)</f>
        <v>#N/A</v>
      </c>
      <c r="T128" s="8" t="str">
        <f>VLOOKUP(Table1[[#This Row],[Address B]],IP_Master[],2,FALSE)</f>
        <v>Blast Furnace</v>
      </c>
      <c r="U128" s="9" t="e">
        <f>VLOOKUP(Table1[[#This Row],[Address A]],IP_Master[],3,FALSE)</f>
        <v>#N/A</v>
      </c>
      <c r="V128" s="9" t="str">
        <f>VLOOKUP(Table1[[#This Row],[Address B]],IP_Master[],3,FALSE)</f>
        <v>PLCs &amp; Control Equipment</v>
      </c>
      <c r="W128" s="9" t="str">
        <f>VLOOKUP(Table1[[#This Row],[Port B]],traffic_types[],2,FALSE)</f>
        <v>Modbus</v>
      </c>
    </row>
    <row r="129" spans="1:23" x14ac:dyDescent="0.6">
      <c r="A129" t="s">
        <v>64</v>
      </c>
      <c r="B129">
        <v>2876</v>
      </c>
      <c r="C129" t="s">
        <v>65</v>
      </c>
      <c r="D129">
        <v>502</v>
      </c>
      <c r="E129">
        <v>10</v>
      </c>
      <c r="F129">
        <v>614</v>
      </c>
      <c r="G129">
        <v>5</v>
      </c>
      <c r="H129">
        <v>308</v>
      </c>
      <c r="I129">
        <v>5</v>
      </c>
      <c r="J129">
        <v>306</v>
      </c>
      <c r="K129">
        <v>144.35799399999999</v>
      </c>
      <c r="L129">
        <v>2.5801999999998802E-2</v>
      </c>
      <c r="M129">
        <v>95496.473141621507</v>
      </c>
      <c r="N129">
        <v>94876.366173169401</v>
      </c>
      <c r="O129" s="8" t="str">
        <f>formatIP(Table1[[#This Row],[Address A]])</f>
        <v>010.011.001.079</v>
      </c>
      <c r="P129" s="8" t="str">
        <f>formatIP(Table1[[#This Row],[Address B]])</f>
        <v>010.012.001.024</v>
      </c>
      <c r="Q129" s="8" t="e">
        <f>VLOOKUP(Table1[[#This Row],[Address A]],IP_Master[],4,FALSE)</f>
        <v>#N/A</v>
      </c>
      <c r="R129" s="8" t="str">
        <f>VLOOKUP(Table1[[#This Row],[Address B]],IP_Master[],4,FALSE)</f>
        <v>BFNCPLC</v>
      </c>
      <c r="S129" s="8" t="e">
        <f>VLOOKUP(Table1[[#This Row],[Address A]],IP_Master[],2,FALSE)</f>
        <v>#N/A</v>
      </c>
      <c r="T129" s="8" t="str">
        <f>VLOOKUP(Table1[[#This Row],[Address B]],IP_Master[],2,FALSE)</f>
        <v>Blast Furnace</v>
      </c>
      <c r="U129" s="9" t="e">
        <f>VLOOKUP(Table1[[#This Row],[Address A]],IP_Master[],3,FALSE)</f>
        <v>#N/A</v>
      </c>
      <c r="V129" s="9" t="str">
        <f>VLOOKUP(Table1[[#This Row],[Address B]],IP_Master[],3,FALSE)</f>
        <v>PLCs &amp; Control Equipment</v>
      </c>
      <c r="W129" s="9" t="str">
        <f>VLOOKUP(Table1[[#This Row],[Port B]],traffic_types[],2,FALSE)</f>
        <v>Modbus</v>
      </c>
    </row>
    <row r="130" spans="1:23" x14ac:dyDescent="0.6">
      <c r="A130" t="s">
        <v>64</v>
      </c>
      <c r="B130">
        <v>2877</v>
      </c>
      <c r="C130" t="s">
        <v>65</v>
      </c>
      <c r="D130">
        <v>502</v>
      </c>
      <c r="E130">
        <v>10</v>
      </c>
      <c r="F130">
        <v>614</v>
      </c>
      <c r="G130">
        <v>5</v>
      </c>
      <c r="H130">
        <v>308</v>
      </c>
      <c r="I130">
        <v>5</v>
      </c>
      <c r="J130">
        <v>306</v>
      </c>
      <c r="K130">
        <v>149.21279100000001</v>
      </c>
      <c r="L130">
        <v>3.1334999999984299E-2</v>
      </c>
      <c r="M130">
        <v>78634.115206677205</v>
      </c>
      <c r="N130">
        <v>78123.504068971495</v>
      </c>
      <c r="O130" s="8" t="str">
        <f>formatIP(Table1[[#This Row],[Address A]])</f>
        <v>010.011.001.079</v>
      </c>
      <c r="P130" s="8" t="str">
        <f>formatIP(Table1[[#This Row],[Address B]])</f>
        <v>010.012.001.024</v>
      </c>
      <c r="Q130" s="8" t="e">
        <f>VLOOKUP(Table1[[#This Row],[Address A]],IP_Master[],4,FALSE)</f>
        <v>#N/A</v>
      </c>
      <c r="R130" s="8" t="str">
        <f>VLOOKUP(Table1[[#This Row],[Address B]],IP_Master[],4,FALSE)</f>
        <v>BFNCPLC</v>
      </c>
      <c r="S130" s="8" t="e">
        <f>VLOOKUP(Table1[[#This Row],[Address A]],IP_Master[],2,FALSE)</f>
        <v>#N/A</v>
      </c>
      <c r="T130" s="8" t="str">
        <f>VLOOKUP(Table1[[#This Row],[Address B]],IP_Master[],2,FALSE)</f>
        <v>Blast Furnace</v>
      </c>
      <c r="U130" s="9" t="e">
        <f>VLOOKUP(Table1[[#This Row],[Address A]],IP_Master[],3,FALSE)</f>
        <v>#N/A</v>
      </c>
      <c r="V130" s="9" t="str">
        <f>VLOOKUP(Table1[[#This Row],[Address B]],IP_Master[],3,FALSE)</f>
        <v>PLCs &amp; Control Equipment</v>
      </c>
      <c r="W130" s="9" t="str">
        <f>VLOOKUP(Table1[[#This Row],[Port B]],traffic_types[],2,FALSE)</f>
        <v>Modbus</v>
      </c>
    </row>
    <row r="131" spans="1:23" x14ac:dyDescent="0.6">
      <c r="A131" t="s">
        <v>64</v>
      </c>
      <c r="B131">
        <v>2878</v>
      </c>
      <c r="C131" t="s">
        <v>65</v>
      </c>
      <c r="D131">
        <v>502</v>
      </c>
      <c r="E131">
        <v>10</v>
      </c>
      <c r="F131">
        <v>613</v>
      </c>
      <c r="G131">
        <v>5</v>
      </c>
      <c r="H131">
        <v>308</v>
      </c>
      <c r="I131">
        <v>5</v>
      </c>
      <c r="J131">
        <v>305</v>
      </c>
      <c r="K131">
        <v>149.23820799999999</v>
      </c>
      <c r="L131">
        <v>2.1877000000017702E-2</v>
      </c>
      <c r="M131">
        <v>112629.702427116</v>
      </c>
      <c r="N131">
        <v>111532.659871007</v>
      </c>
      <c r="O131" s="8" t="str">
        <f>formatIP(Table1[[#This Row],[Address A]])</f>
        <v>010.011.001.079</v>
      </c>
      <c r="P131" s="8" t="str">
        <f>formatIP(Table1[[#This Row],[Address B]])</f>
        <v>010.012.001.024</v>
      </c>
      <c r="Q131" s="8" t="e">
        <f>VLOOKUP(Table1[[#This Row],[Address A]],IP_Master[],4,FALSE)</f>
        <v>#N/A</v>
      </c>
      <c r="R131" s="8" t="str">
        <f>VLOOKUP(Table1[[#This Row],[Address B]],IP_Master[],4,FALSE)</f>
        <v>BFNCPLC</v>
      </c>
      <c r="S131" s="8" t="e">
        <f>VLOOKUP(Table1[[#This Row],[Address A]],IP_Master[],2,FALSE)</f>
        <v>#N/A</v>
      </c>
      <c r="T131" s="8" t="str">
        <f>VLOOKUP(Table1[[#This Row],[Address B]],IP_Master[],2,FALSE)</f>
        <v>Blast Furnace</v>
      </c>
      <c r="U131" s="9" t="e">
        <f>VLOOKUP(Table1[[#This Row],[Address A]],IP_Master[],3,FALSE)</f>
        <v>#N/A</v>
      </c>
      <c r="V131" s="9" t="str">
        <f>VLOOKUP(Table1[[#This Row],[Address B]],IP_Master[],3,FALSE)</f>
        <v>PLCs &amp; Control Equipment</v>
      </c>
      <c r="W131" s="9" t="str">
        <f>VLOOKUP(Table1[[#This Row],[Port B]],traffic_types[],2,FALSE)</f>
        <v>Modbus</v>
      </c>
    </row>
    <row r="132" spans="1:23" x14ac:dyDescent="0.6">
      <c r="A132" t="s">
        <v>64</v>
      </c>
      <c r="B132">
        <v>2879</v>
      </c>
      <c r="C132" t="s">
        <v>65</v>
      </c>
      <c r="D132">
        <v>502</v>
      </c>
      <c r="E132">
        <v>10</v>
      </c>
      <c r="F132">
        <v>614</v>
      </c>
      <c r="G132">
        <v>5</v>
      </c>
      <c r="H132">
        <v>308</v>
      </c>
      <c r="I132">
        <v>5</v>
      </c>
      <c r="J132">
        <v>306</v>
      </c>
      <c r="K132">
        <v>149.26585800000001</v>
      </c>
      <c r="L132">
        <v>2.65149999999892E-2</v>
      </c>
      <c r="M132">
        <v>92928.531020215203</v>
      </c>
      <c r="N132">
        <v>92325.099000603397</v>
      </c>
      <c r="O132" s="8" t="str">
        <f>formatIP(Table1[[#This Row],[Address A]])</f>
        <v>010.011.001.079</v>
      </c>
      <c r="P132" s="8" t="str">
        <f>formatIP(Table1[[#This Row],[Address B]])</f>
        <v>010.012.001.024</v>
      </c>
      <c r="Q132" s="8" t="e">
        <f>VLOOKUP(Table1[[#This Row],[Address A]],IP_Master[],4,FALSE)</f>
        <v>#N/A</v>
      </c>
      <c r="R132" s="8" t="str">
        <f>VLOOKUP(Table1[[#This Row],[Address B]],IP_Master[],4,FALSE)</f>
        <v>BFNCPLC</v>
      </c>
      <c r="S132" s="8" t="e">
        <f>VLOOKUP(Table1[[#This Row],[Address A]],IP_Master[],2,FALSE)</f>
        <v>#N/A</v>
      </c>
      <c r="T132" s="8" t="str">
        <f>VLOOKUP(Table1[[#This Row],[Address B]],IP_Master[],2,FALSE)</f>
        <v>Blast Furnace</v>
      </c>
      <c r="U132" s="9" t="e">
        <f>VLOOKUP(Table1[[#This Row],[Address A]],IP_Master[],3,FALSE)</f>
        <v>#N/A</v>
      </c>
      <c r="V132" s="9" t="str">
        <f>VLOOKUP(Table1[[#This Row],[Address B]],IP_Master[],3,FALSE)</f>
        <v>PLCs &amp; Control Equipment</v>
      </c>
      <c r="W132" s="9" t="str">
        <f>VLOOKUP(Table1[[#This Row],[Port B]],traffic_types[],2,FALSE)</f>
        <v>Modbus</v>
      </c>
    </row>
    <row r="133" spans="1:23" x14ac:dyDescent="0.6">
      <c r="A133" t="s">
        <v>64</v>
      </c>
      <c r="B133">
        <v>2880</v>
      </c>
      <c r="C133" t="s">
        <v>65</v>
      </c>
      <c r="D133">
        <v>502</v>
      </c>
      <c r="E133">
        <v>10</v>
      </c>
      <c r="F133">
        <v>613</v>
      </c>
      <c r="G133">
        <v>5</v>
      </c>
      <c r="H133">
        <v>308</v>
      </c>
      <c r="I133">
        <v>5</v>
      </c>
      <c r="J133">
        <v>305</v>
      </c>
      <c r="K133">
        <v>149.29023599999999</v>
      </c>
      <c r="L133">
        <v>1.8101999999999001E-2</v>
      </c>
      <c r="M133">
        <v>136117.55607116001</v>
      </c>
      <c r="N133">
        <v>134791.73571981801</v>
      </c>
      <c r="O133" s="8" t="str">
        <f>formatIP(Table1[[#This Row],[Address A]])</f>
        <v>010.011.001.079</v>
      </c>
      <c r="P133" s="8" t="str">
        <f>formatIP(Table1[[#This Row],[Address B]])</f>
        <v>010.012.001.024</v>
      </c>
      <c r="Q133" s="8" t="e">
        <f>VLOOKUP(Table1[[#This Row],[Address A]],IP_Master[],4,FALSE)</f>
        <v>#N/A</v>
      </c>
      <c r="R133" s="8" t="str">
        <f>VLOOKUP(Table1[[#This Row],[Address B]],IP_Master[],4,FALSE)</f>
        <v>BFNCPLC</v>
      </c>
      <c r="S133" s="8" t="e">
        <f>VLOOKUP(Table1[[#This Row],[Address A]],IP_Master[],2,FALSE)</f>
        <v>#N/A</v>
      </c>
      <c r="T133" s="8" t="str">
        <f>VLOOKUP(Table1[[#This Row],[Address B]],IP_Master[],2,FALSE)</f>
        <v>Blast Furnace</v>
      </c>
      <c r="U133" s="9" t="e">
        <f>VLOOKUP(Table1[[#This Row],[Address A]],IP_Master[],3,FALSE)</f>
        <v>#N/A</v>
      </c>
      <c r="V133" s="9" t="str">
        <f>VLOOKUP(Table1[[#This Row],[Address B]],IP_Master[],3,FALSE)</f>
        <v>PLCs &amp; Control Equipment</v>
      </c>
      <c r="W133" s="9" t="str">
        <f>VLOOKUP(Table1[[#This Row],[Port B]],traffic_types[],2,FALSE)</f>
        <v>Modbus</v>
      </c>
    </row>
    <row r="134" spans="1:23" x14ac:dyDescent="0.6">
      <c r="A134" t="s">
        <v>64</v>
      </c>
      <c r="B134">
        <v>2881</v>
      </c>
      <c r="C134" t="s">
        <v>65</v>
      </c>
      <c r="D134">
        <v>502</v>
      </c>
      <c r="E134">
        <v>10</v>
      </c>
      <c r="F134">
        <v>614</v>
      </c>
      <c r="G134">
        <v>5</v>
      </c>
      <c r="H134">
        <v>308</v>
      </c>
      <c r="I134">
        <v>5</v>
      </c>
      <c r="J134">
        <v>306</v>
      </c>
      <c r="K134">
        <v>149.326752</v>
      </c>
      <c r="L134">
        <v>2.2371999999990101E-2</v>
      </c>
      <c r="M134">
        <v>110137.672090162</v>
      </c>
      <c r="N134">
        <v>109422.492401264</v>
      </c>
      <c r="O134" s="8" t="str">
        <f>formatIP(Table1[[#This Row],[Address A]])</f>
        <v>010.011.001.079</v>
      </c>
      <c r="P134" s="8" t="str">
        <f>formatIP(Table1[[#This Row],[Address B]])</f>
        <v>010.012.001.024</v>
      </c>
      <c r="Q134" s="8" t="e">
        <f>VLOOKUP(Table1[[#This Row],[Address A]],IP_Master[],4,FALSE)</f>
        <v>#N/A</v>
      </c>
      <c r="R134" s="8" t="str">
        <f>VLOOKUP(Table1[[#This Row],[Address B]],IP_Master[],4,FALSE)</f>
        <v>BFNCPLC</v>
      </c>
      <c r="S134" s="8" t="e">
        <f>VLOOKUP(Table1[[#This Row],[Address A]],IP_Master[],2,FALSE)</f>
        <v>#N/A</v>
      </c>
      <c r="T134" s="8" t="str">
        <f>VLOOKUP(Table1[[#This Row],[Address B]],IP_Master[],2,FALSE)</f>
        <v>Blast Furnace</v>
      </c>
      <c r="U134" s="9" t="e">
        <f>VLOOKUP(Table1[[#This Row],[Address A]],IP_Master[],3,FALSE)</f>
        <v>#N/A</v>
      </c>
      <c r="V134" s="9" t="str">
        <f>VLOOKUP(Table1[[#This Row],[Address B]],IP_Master[],3,FALSE)</f>
        <v>PLCs &amp; Control Equipment</v>
      </c>
      <c r="W134" s="9" t="str">
        <f>VLOOKUP(Table1[[#This Row],[Port B]],traffic_types[],2,FALSE)</f>
        <v>Modbus</v>
      </c>
    </row>
    <row r="135" spans="1:23" x14ac:dyDescent="0.6">
      <c r="A135" t="s">
        <v>64</v>
      </c>
      <c r="B135">
        <v>2944</v>
      </c>
      <c r="C135" t="s">
        <v>65</v>
      </c>
      <c r="D135">
        <v>502</v>
      </c>
      <c r="E135">
        <v>1</v>
      </c>
      <c r="F135">
        <v>62</v>
      </c>
      <c r="G135">
        <v>1</v>
      </c>
      <c r="H135">
        <v>62</v>
      </c>
      <c r="I135">
        <v>0</v>
      </c>
      <c r="J135">
        <v>0</v>
      </c>
      <c r="K135">
        <v>234.21400499999999</v>
      </c>
      <c r="L135">
        <v>0</v>
      </c>
      <c r="M135">
        <v>0</v>
      </c>
      <c r="N135">
        <v>0</v>
      </c>
      <c r="O135" s="8" t="str">
        <f>formatIP(Table1[[#This Row],[Address A]])</f>
        <v>010.011.001.079</v>
      </c>
      <c r="P135" s="8" t="str">
        <f>formatIP(Table1[[#This Row],[Address B]])</f>
        <v>010.012.001.024</v>
      </c>
      <c r="Q135" s="8" t="e">
        <f>VLOOKUP(Table1[[#This Row],[Address A]],IP_Master[],4,FALSE)</f>
        <v>#N/A</v>
      </c>
      <c r="R135" s="8" t="str">
        <f>VLOOKUP(Table1[[#This Row],[Address B]],IP_Master[],4,FALSE)</f>
        <v>BFNCPLC</v>
      </c>
      <c r="S135" s="8" t="e">
        <f>VLOOKUP(Table1[[#This Row],[Address A]],IP_Master[],2,FALSE)</f>
        <v>#N/A</v>
      </c>
      <c r="T135" s="8" t="str">
        <f>VLOOKUP(Table1[[#This Row],[Address B]],IP_Master[],2,FALSE)</f>
        <v>Blast Furnace</v>
      </c>
      <c r="U135" s="9" t="e">
        <f>VLOOKUP(Table1[[#This Row],[Address A]],IP_Master[],3,FALSE)</f>
        <v>#N/A</v>
      </c>
      <c r="V135" s="9" t="str">
        <f>VLOOKUP(Table1[[#This Row],[Address B]],IP_Master[],3,FALSE)</f>
        <v>PLCs &amp; Control Equipment</v>
      </c>
      <c r="W135" s="9" t="str">
        <f>VLOOKUP(Table1[[#This Row],[Port B]],traffic_types[],2,FALSE)</f>
        <v>Modbus</v>
      </c>
    </row>
    <row r="136" spans="1:23" x14ac:dyDescent="0.6">
      <c r="A136" t="s">
        <v>64</v>
      </c>
      <c r="B136">
        <v>2945</v>
      </c>
      <c r="C136" t="s">
        <v>65</v>
      </c>
      <c r="D136">
        <v>502</v>
      </c>
      <c r="E136">
        <v>1</v>
      </c>
      <c r="F136">
        <v>62</v>
      </c>
      <c r="G136">
        <v>1</v>
      </c>
      <c r="H136">
        <v>62</v>
      </c>
      <c r="I136">
        <v>0</v>
      </c>
      <c r="J136">
        <v>0</v>
      </c>
      <c r="K136">
        <v>236.214651</v>
      </c>
      <c r="L136">
        <v>0</v>
      </c>
      <c r="M136">
        <v>0</v>
      </c>
      <c r="N136">
        <v>0</v>
      </c>
      <c r="O136" s="8" t="str">
        <f>formatIP(Table1[[#This Row],[Address A]])</f>
        <v>010.011.001.079</v>
      </c>
      <c r="P136" s="8" t="str">
        <f>formatIP(Table1[[#This Row],[Address B]])</f>
        <v>010.012.001.024</v>
      </c>
      <c r="Q136" s="8" t="e">
        <f>VLOOKUP(Table1[[#This Row],[Address A]],IP_Master[],4,FALSE)</f>
        <v>#N/A</v>
      </c>
      <c r="R136" s="8" t="str">
        <f>VLOOKUP(Table1[[#This Row],[Address B]],IP_Master[],4,FALSE)</f>
        <v>BFNCPLC</v>
      </c>
      <c r="S136" s="8" t="e">
        <f>VLOOKUP(Table1[[#This Row],[Address A]],IP_Master[],2,FALSE)</f>
        <v>#N/A</v>
      </c>
      <c r="T136" s="8" t="str">
        <f>VLOOKUP(Table1[[#This Row],[Address B]],IP_Master[],2,FALSE)</f>
        <v>Blast Furnace</v>
      </c>
      <c r="U136" s="9" t="e">
        <f>VLOOKUP(Table1[[#This Row],[Address A]],IP_Master[],3,FALSE)</f>
        <v>#N/A</v>
      </c>
      <c r="V136" s="9" t="str">
        <f>VLOOKUP(Table1[[#This Row],[Address B]],IP_Master[],3,FALSE)</f>
        <v>PLCs &amp; Control Equipment</v>
      </c>
      <c r="W136" s="9" t="str">
        <f>VLOOKUP(Table1[[#This Row],[Port B]],traffic_types[],2,FALSE)</f>
        <v>Modbus</v>
      </c>
    </row>
    <row r="137" spans="1:23" x14ac:dyDescent="0.6">
      <c r="A137" t="s">
        <v>64</v>
      </c>
      <c r="B137">
        <v>2946</v>
      </c>
      <c r="C137" t="s">
        <v>65</v>
      </c>
      <c r="D137">
        <v>502</v>
      </c>
      <c r="E137">
        <v>1</v>
      </c>
      <c r="F137">
        <v>62</v>
      </c>
      <c r="G137">
        <v>1</v>
      </c>
      <c r="H137">
        <v>62</v>
      </c>
      <c r="I137">
        <v>0</v>
      </c>
      <c r="J137">
        <v>0</v>
      </c>
      <c r="K137">
        <v>238.214673</v>
      </c>
      <c r="L137">
        <v>0</v>
      </c>
      <c r="M137">
        <v>0</v>
      </c>
      <c r="N137">
        <v>0</v>
      </c>
      <c r="O137" s="8" t="str">
        <f>formatIP(Table1[[#This Row],[Address A]])</f>
        <v>010.011.001.079</v>
      </c>
      <c r="P137" s="8" t="str">
        <f>formatIP(Table1[[#This Row],[Address B]])</f>
        <v>010.012.001.024</v>
      </c>
      <c r="Q137" s="8" t="e">
        <f>VLOOKUP(Table1[[#This Row],[Address A]],IP_Master[],4,FALSE)</f>
        <v>#N/A</v>
      </c>
      <c r="R137" s="8" t="str">
        <f>VLOOKUP(Table1[[#This Row],[Address B]],IP_Master[],4,FALSE)</f>
        <v>BFNCPLC</v>
      </c>
      <c r="S137" s="8" t="e">
        <f>VLOOKUP(Table1[[#This Row],[Address A]],IP_Master[],2,FALSE)</f>
        <v>#N/A</v>
      </c>
      <c r="T137" s="8" t="str">
        <f>VLOOKUP(Table1[[#This Row],[Address B]],IP_Master[],2,FALSE)</f>
        <v>Blast Furnace</v>
      </c>
      <c r="U137" s="9" t="e">
        <f>VLOOKUP(Table1[[#This Row],[Address A]],IP_Master[],3,FALSE)</f>
        <v>#N/A</v>
      </c>
      <c r="V137" s="9" t="str">
        <f>VLOOKUP(Table1[[#This Row],[Address B]],IP_Master[],3,FALSE)</f>
        <v>PLCs &amp; Control Equipment</v>
      </c>
      <c r="W137" s="9" t="str">
        <f>VLOOKUP(Table1[[#This Row],[Port B]],traffic_types[],2,FALSE)</f>
        <v>Modbus</v>
      </c>
    </row>
    <row r="138" spans="1:23" x14ac:dyDescent="0.6">
      <c r="A138" t="s">
        <v>64</v>
      </c>
      <c r="B138">
        <v>2947</v>
      </c>
      <c r="C138" t="s">
        <v>65</v>
      </c>
      <c r="D138">
        <v>502</v>
      </c>
      <c r="E138">
        <v>1</v>
      </c>
      <c r="F138">
        <v>62</v>
      </c>
      <c r="G138">
        <v>1</v>
      </c>
      <c r="H138">
        <v>62</v>
      </c>
      <c r="I138">
        <v>0</v>
      </c>
      <c r="J138">
        <v>0</v>
      </c>
      <c r="K138">
        <v>240.21999299999999</v>
      </c>
      <c r="L138">
        <v>0</v>
      </c>
      <c r="M138">
        <v>0</v>
      </c>
      <c r="N138">
        <v>0</v>
      </c>
      <c r="O138" s="8" t="str">
        <f>formatIP(Table1[[#This Row],[Address A]])</f>
        <v>010.011.001.079</v>
      </c>
      <c r="P138" s="8" t="str">
        <f>formatIP(Table1[[#This Row],[Address B]])</f>
        <v>010.012.001.024</v>
      </c>
      <c r="Q138" s="8" t="e">
        <f>VLOOKUP(Table1[[#This Row],[Address A]],IP_Master[],4,FALSE)</f>
        <v>#N/A</v>
      </c>
      <c r="R138" s="8" t="str">
        <f>VLOOKUP(Table1[[#This Row],[Address B]],IP_Master[],4,FALSE)</f>
        <v>BFNCPLC</v>
      </c>
      <c r="S138" s="8" t="e">
        <f>VLOOKUP(Table1[[#This Row],[Address A]],IP_Master[],2,FALSE)</f>
        <v>#N/A</v>
      </c>
      <c r="T138" s="8" t="str">
        <f>VLOOKUP(Table1[[#This Row],[Address B]],IP_Master[],2,FALSE)</f>
        <v>Blast Furnace</v>
      </c>
      <c r="U138" s="9" t="e">
        <f>VLOOKUP(Table1[[#This Row],[Address A]],IP_Master[],3,FALSE)</f>
        <v>#N/A</v>
      </c>
      <c r="V138" s="9" t="str">
        <f>VLOOKUP(Table1[[#This Row],[Address B]],IP_Master[],3,FALSE)</f>
        <v>PLCs &amp; Control Equipment</v>
      </c>
      <c r="W138" s="9" t="str">
        <f>VLOOKUP(Table1[[#This Row],[Port B]],traffic_types[],2,FALSE)</f>
        <v>Modbus</v>
      </c>
    </row>
    <row r="139" spans="1:23" x14ac:dyDescent="0.6">
      <c r="A139" t="s">
        <v>64</v>
      </c>
      <c r="B139">
        <v>2948</v>
      </c>
      <c r="C139" t="s">
        <v>65</v>
      </c>
      <c r="D139">
        <v>502</v>
      </c>
      <c r="E139">
        <v>1</v>
      </c>
      <c r="F139">
        <v>62</v>
      </c>
      <c r="G139">
        <v>1</v>
      </c>
      <c r="H139">
        <v>62</v>
      </c>
      <c r="I139">
        <v>0</v>
      </c>
      <c r="J139">
        <v>0</v>
      </c>
      <c r="K139">
        <v>242.246624</v>
      </c>
      <c r="L139">
        <v>0</v>
      </c>
      <c r="M139">
        <v>0</v>
      </c>
      <c r="N139">
        <v>0</v>
      </c>
      <c r="O139" s="8" t="str">
        <f>formatIP(Table1[[#This Row],[Address A]])</f>
        <v>010.011.001.079</v>
      </c>
      <c r="P139" s="8" t="str">
        <f>formatIP(Table1[[#This Row],[Address B]])</f>
        <v>010.012.001.024</v>
      </c>
      <c r="Q139" s="8" t="e">
        <f>VLOOKUP(Table1[[#This Row],[Address A]],IP_Master[],4,FALSE)</f>
        <v>#N/A</v>
      </c>
      <c r="R139" s="8" t="str">
        <f>VLOOKUP(Table1[[#This Row],[Address B]],IP_Master[],4,FALSE)</f>
        <v>BFNCPLC</v>
      </c>
      <c r="S139" s="8" t="e">
        <f>VLOOKUP(Table1[[#This Row],[Address A]],IP_Master[],2,FALSE)</f>
        <v>#N/A</v>
      </c>
      <c r="T139" s="8" t="str">
        <f>VLOOKUP(Table1[[#This Row],[Address B]],IP_Master[],2,FALSE)</f>
        <v>Blast Furnace</v>
      </c>
      <c r="U139" s="9" t="e">
        <f>VLOOKUP(Table1[[#This Row],[Address A]],IP_Master[],3,FALSE)</f>
        <v>#N/A</v>
      </c>
      <c r="V139" s="9" t="str">
        <f>VLOOKUP(Table1[[#This Row],[Address B]],IP_Master[],3,FALSE)</f>
        <v>PLCs &amp; Control Equipment</v>
      </c>
      <c r="W139" s="9" t="str">
        <f>VLOOKUP(Table1[[#This Row],[Port B]],traffic_types[],2,FALSE)</f>
        <v>Modbus</v>
      </c>
    </row>
    <row r="140" spans="1:23" x14ac:dyDescent="0.6">
      <c r="A140" t="s">
        <v>64</v>
      </c>
      <c r="B140">
        <v>2950</v>
      </c>
      <c r="C140" t="s">
        <v>65</v>
      </c>
      <c r="D140">
        <v>502</v>
      </c>
      <c r="E140">
        <v>1</v>
      </c>
      <c r="F140">
        <v>62</v>
      </c>
      <c r="G140">
        <v>1</v>
      </c>
      <c r="H140">
        <v>62</v>
      </c>
      <c r="I140">
        <v>0</v>
      </c>
      <c r="J140">
        <v>0</v>
      </c>
      <c r="K140">
        <v>244.277941</v>
      </c>
      <c r="L140">
        <v>0</v>
      </c>
      <c r="M140">
        <v>0</v>
      </c>
      <c r="N140">
        <v>0</v>
      </c>
      <c r="O140" s="8" t="str">
        <f>formatIP(Table1[[#This Row],[Address A]])</f>
        <v>010.011.001.079</v>
      </c>
      <c r="P140" s="8" t="str">
        <f>formatIP(Table1[[#This Row],[Address B]])</f>
        <v>010.012.001.024</v>
      </c>
      <c r="Q140" s="8" t="e">
        <f>VLOOKUP(Table1[[#This Row],[Address A]],IP_Master[],4,FALSE)</f>
        <v>#N/A</v>
      </c>
      <c r="R140" s="8" t="str">
        <f>VLOOKUP(Table1[[#This Row],[Address B]],IP_Master[],4,FALSE)</f>
        <v>BFNCPLC</v>
      </c>
      <c r="S140" s="8" t="e">
        <f>VLOOKUP(Table1[[#This Row],[Address A]],IP_Master[],2,FALSE)</f>
        <v>#N/A</v>
      </c>
      <c r="T140" s="8" t="str">
        <f>VLOOKUP(Table1[[#This Row],[Address B]],IP_Master[],2,FALSE)</f>
        <v>Blast Furnace</v>
      </c>
      <c r="U140" s="9" t="e">
        <f>VLOOKUP(Table1[[#This Row],[Address A]],IP_Master[],3,FALSE)</f>
        <v>#N/A</v>
      </c>
      <c r="V140" s="9" t="str">
        <f>VLOOKUP(Table1[[#This Row],[Address B]],IP_Master[],3,FALSE)</f>
        <v>PLCs &amp; Control Equipment</v>
      </c>
      <c r="W140" s="9" t="str">
        <f>VLOOKUP(Table1[[#This Row],[Port B]],traffic_types[],2,FALSE)</f>
        <v>Modbus</v>
      </c>
    </row>
    <row r="141" spans="1:23" x14ac:dyDescent="0.6">
      <c r="A141" t="s">
        <v>64</v>
      </c>
      <c r="B141">
        <v>3008</v>
      </c>
      <c r="C141" t="s">
        <v>65</v>
      </c>
      <c r="D141">
        <v>502</v>
      </c>
      <c r="E141">
        <v>1</v>
      </c>
      <c r="F141">
        <v>62</v>
      </c>
      <c r="G141">
        <v>1</v>
      </c>
      <c r="H141">
        <v>62</v>
      </c>
      <c r="I141">
        <v>0</v>
      </c>
      <c r="J141">
        <v>0</v>
      </c>
      <c r="K141">
        <v>325.23098900000002</v>
      </c>
      <c r="L141">
        <v>0</v>
      </c>
      <c r="M141">
        <v>0</v>
      </c>
      <c r="N141">
        <v>0</v>
      </c>
      <c r="O141" s="8" t="str">
        <f>formatIP(Table1[[#This Row],[Address A]])</f>
        <v>010.011.001.079</v>
      </c>
      <c r="P141" s="8" t="str">
        <f>formatIP(Table1[[#This Row],[Address B]])</f>
        <v>010.012.001.024</v>
      </c>
      <c r="Q141" s="8" t="e">
        <f>VLOOKUP(Table1[[#This Row],[Address A]],IP_Master[],4,FALSE)</f>
        <v>#N/A</v>
      </c>
      <c r="R141" s="8" t="str">
        <f>VLOOKUP(Table1[[#This Row],[Address B]],IP_Master[],4,FALSE)</f>
        <v>BFNCPLC</v>
      </c>
      <c r="S141" s="8" t="e">
        <f>VLOOKUP(Table1[[#This Row],[Address A]],IP_Master[],2,FALSE)</f>
        <v>#N/A</v>
      </c>
      <c r="T141" s="8" t="str">
        <f>VLOOKUP(Table1[[#This Row],[Address B]],IP_Master[],2,FALSE)</f>
        <v>Blast Furnace</v>
      </c>
      <c r="U141" s="9" t="e">
        <f>VLOOKUP(Table1[[#This Row],[Address A]],IP_Master[],3,FALSE)</f>
        <v>#N/A</v>
      </c>
      <c r="V141" s="9" t="str">
        <f>VLOOKUP(Table1[[#This Row],[Address B]],IP_Master[],3,FALSE)</f>
        <v>PLCs &amp; Control Equipment</v>
      </c>
      <c r="W141" s="9" t="str">
        <f>VLOOKUP(Table1[[#This Row],[Port B]],traffic_types[],2,FALSE)</f>
        <v>Modbus</v>
      </c>
    </row>
    <row r="142" spans="1:23" x14ac:dyDescent="0.6">
      <c r="A142" t="s">
        <v>64</v>
      </c>
      <c r="B142">
        <v>3009</v>
      </c>
      <c r="C142" t="s">
        <v>65</v>
      </c>
      <c r="D142">
        <v>502</v>
      </c>
      <c r="E142">
        <v>1</v>
      </c>
      <c r="F142">
        <v>62</v>
      </c>
      <c r="G142">
        <v>1</v>
      </c>
      <c r="H142">
        <v>62</v>
      </c>
      <c r="I142">
        <v>0</v>
      </c>
      <c r="J142">
        <v>0</v>
      </c>
      <c r="K142">
        <v>327.24726900000002</v>
      </c>
      <c r="L142">
        <v>0</v>
      </c>
      <c r="M142">
        <v>0</v>
      </c>
      <c r="N142">
        <v>0</v>
      </c>
      <c r="O142" s="8" t="str">
        <f>formatIP(Table1[[#This Row],[Address A]])</f>
        <v>010.011.001.079</v>
      </c>
      <c r="P142" s="8" t="str">
        <f>formatIP(Table1[[#This Row],[Address B]])</f>
        <v>010.012.001.024</v>
      </c>
      <c r="Q142" s="8" t="e">
        <f>VLOOKUP(Table1[[#This Row],[Address A]],IP_Master[],4,FALSE)</f>
        <v>#N/A</v>
      </c>
      <c r="R142" s="8" t="str">
        <f>VLOOKUP(Table1[[#This Row],[Address B]],IP_Master[],4,FALSE)</f>
        <v>BFNCPLC</v>
      </c>
      <c r="S142" s="8" t="e">
        <f>VLOOKUP(Table1[[#This Row],[Address A]],IP_Master[],2,FALSE)</f>
        <v>#N/A</v>
      </c>
      <c r="T142" s="8" t="str">
        <f>VLOOKUP(Table1[[#This Row],[Address B]],IP_Master[],2,FALSE)</f>
        <v>Blast Furnace</v>
      </c>
      <c r="U142" s="9" t="e">
        <f>VLOOKUP(Table1[[#This Row],[Address A]],IP_Master[],3,FALSE)</f>
        <v>#N/A</v>
      </c>
      <c r="V142" s="9" t="str">
        <f>VLOOKUP(Table1[[#This Row],[Address B]],IP_Master[],3,FALSE)</f>
        <v>PLCs &amp; Control Equipment</v>
      </c>
      <c r="W142" s="9" t="str">
        <f>VLOOKUP(Table1[[#This Row],[Port B]],traffic_types[],2,FALSE)</f>
        <v>Modbus</v>
      </c>
    </row>
    <row r="143" spans="1:23" x14ac:dyDescent="0.6">
      <c r="A143" t="s">
        <v>64</v>
      </c>
      <c r="B143">
        <v>3010</v>
      </c>
      <c r="C143" t="s">
        <v>65</v>
      </c>
      <c r="D143">
        <v>502</v>
      </c>
      <c r="E143">
        <v>1</v>
      </c>
      <c r="F143">
        <v>62</v>
      </c>
      <c r="G143">
        <v>1</v>
      </c>
      <c r="H143">
        <v>62</v>
      </c>
      <c r="I143">
        <v>0</v>
      </c>
      <c r="J143">
        <v>0</v>
      </c>
      <c r="K143">
        <v>329.24735099999998</v>
      </c>
      <c r="L143">
        <v>0</v>
      </c>
      <c r="M143">
        <v>0</v>
      </c>
      <c r="N143">
        <v>0</v>
      </c>
      <c r="O143" s="8" t="str">
        <f>formatIP(Table1[[#This Row],[Address A]])</f>
        <v>010.011.001.079</v>
      </c>
      <c r="P143" s="8" t="str">
        <f>formatIP(Table1[[#This Row],[Address B]])</f>
        <v>010.012.001.024</v>
      </c>
      <c r="Q143" s="8" t="e">
        <f>VLOOKUP(Table1[[#This Row],[Address A]],IP_Master[],4,FALSE)</f>
        <v>#N/A</v>
      </c>
      <c r="R143" s="8" t="str">
        <f>VLOOKUP(Table1[[#This Row],[Address B]],IP_Master[],4,FALSE)</f>
        <v>BFNCPLC</v>
      </c>
      <c r="S143" s="8" t="e">
        <f>VLOOKUP(Table1[[#This Row],[Address A]],IP_Master[],2,FALSE)</f>
        <v>#N/A</v>
      </c>
      <c r="T143" s="8" t="str">
        <f>VLOOKUP(Table1[[#This Row],[Address B]],IP_Master[],2,FALSE)</f>
        <v>Blast Furnace</v>
      </c>
      <c r="U143" s="9" t="e">
        <f>VLOOKUP(Table1[[#This Row],[Address A]],IP_Master[],3,FALSE)</f>
        <v>#N/A</v>
      </c>
      <c r="V143" s="9" t="str">
        <f>VLOOKUP(Table1[[#This Row],[Address B]],IP_Master[],3,FALSE)</f>
        <v>PLCs &amp; Control Equipment</v>
      </c>
      <c r="W143" s="9" t="str">
        <f>VLOOKUP(Table1[[#This Row],[Port B]],traffic_types[],2,FALSE)</f>
        <v>Modbus</v>
      </c>
    </row>
    <row r="144" spans="1:23" x14ac:dyDescent="0.6">
      <c r="A144" t="s">
        <v>64</v>
      </c>
      <c r="B144">
        <v>3011</v>
      </c>
      <c r="C144" t="s">
        <v>65</v>
      </c>
      <c r="D144">
        <v>502</v>
      </c>
      <c r="E144">
        <v>1</v>
      </c>
      <c r="F144">
        <v>62</v>
      </c>
      <c r="G144">
        <v>1</v>
      </c>
      <c r="H144">
        <v>62</v>
      </c>
      <c r="I144">
        <v>0</v>
      </c>
      <c r="J144">
        <v>0</v>
      </c>
      <c r="K144">
        <v>331.253739</v>
      </c>
      <c r="L144">
        <v>0</v>
      </c>
      <c r="M144">
        <v>0</v>
      </c>
      <c r="N144">
        <v>0</v>
      </c>
      <c r="O144" s="8" t="str">
        <f>formatIP(Table1[[#This Row],[Address A]])</f>
        <v>010.011.001.079</v>
      </c>
      <c r="P144" s="8" t="str">
        <f>formatIP(Table1[[#This Row],[Address B]])</f>
        <v>010.012.001.024</v>
      </c>
      <c r="Q144" s="8" t="e">
        <f>VLOOKUP(Table1[[#This Row],[Address A]],IP_Master[],4,FALSE)</f>
        <v>#N/A</v>
      </c>
      <c r="R144" s="8" t="str">
        <f>VLOOKUP(Table1[[#This Row],[Address B]],IP_Master[],4,FALSE)</f>
        <v>BFNCPLC</v>
      </c>
      <c r="S144" s="8" t="e">
        <f>VLOOKUP(Table1[[#This Row],[Address A]],IP_Master[],2,FALSE)</f>
        <v>#N/A</v>
      </c>
      <c r="T144" s="8" t="str">
        <f>VLOOKUP(Table1[[#This Row],[Address B]],IP_Master[],2,FALSE)</f>
        <v>Blast Furnace</v>
      </c>
      <c r="U144" s="9" t="e">
        <f>VLOOKUP(Table1[[#This Row],[Address A]],IP_Master[],3,FALSE)</f>
        <v>#N/A</v>
      </c>
      <c r="V144" s="9" t="str">
        <f>VLOOKUP(Table1[[#This Row],[Address B]],IP_Master[],3,FALSE)</f>
        <v>PLCs &amp; Control Equipment</v>
      </c>
      <c r="W144" s="9" t="str">
        <f>VLOOKUP(Table1[[#This Row],[Port B]],traffic_types[],2,FALSE)</f>
        <v>Modbus</v>
      </c>
    </row>
    <row r="145" spans="1:23" x14ac:dyDescent="0.6">
      <c r="A145" t="s">
        <v>64</v>
      </c>
      <c r="B145">
        <v>3012</v>
      </c>
      <c r="C145" t="s">
        <v>65</v>
      </c>
      <c r="D145">
        <v>502</v>
      </c>
      <c r="E145">
        <v>1</v>
      </c>
      <c r="F145">
        <v>62</v>
      </c>
      <c r="G145">
        <v>1</v>
      </c>
      <c r="H145">
        <v>62</v>
      </c>
      <c r="I145">
        <v>0</v>
      </c>
      <c r="J145">
        <v>0</v>
      </c>
      <c r="K145">
        <v>333.28088100000002</v>
      </c>
      <c r="L145">
        <v>0</v>
      </c>
      <c r="M145">
        <v>0</v>
      </c>
      <c r="N145">
        <v>0</v>
      </c>
      <c r="O145" s="8" t="str">
        <f>formatIP(Table1[[#This Row],[Address A]])</f>
        <v>010.011.001.079</v>
      </c>
      <c r="P145" s="8" t="str">
        <f>formatIP(Table1[[#This Row],[Address B]])</f>
        <v>010.012.001.024</v>
      </c>
      <c r="Q145" s="8" t="e">
        <f>VLOOKUP(Table1[[#This Row],[Address A]],IP_Master[],4,FALSE)</f>
        <v>#N/A</v>
      </c>
      <c r="R145" s="8" t="str">
        <f>VLOOKUP(Table1[[#This Row],[Address B]],IP_Master[],4,FALSE)</f>
        <v>BFNCPLC</v>
      </c>
      <c r="S145" s="8" t="e">
        <f>VLOOKUP(Table1[[#This Row],[Address A]],IP_Master[],2,FALSE)</f>
        <v>#N/A</v>
      </c>
      <c r="T145" s="8" t="str">
        <f>VLOOKUP(Table1[[#This Row],[Address B]],IP_Master[],2,FALSE)</f>
        <v>Blast Furnace</v>
      </c>
      <c r="U145" s="9" t="e">
        <f>VLOOKUP(Table1[[#This Row],[Address A]],IP_Master[],3,FALSE)</f>
        <v>#N/A</v>
      </c>
      <c r="V145" s="9" t="str">
        <f>VLOOKUP(Table1[[#This Row],[Address B]],IP_Master[],3,FALSE)</f>
        <v>PLCs &amp; Control Equipment</v>
      </c>
      <c r="W145" s="9" t="str">
        <f>VLOOKUP(Table1[[#This Row],[Port B]],traffic_types[],2,FALSE)</f>
        <v>Modbus</v>
      </c>
    </row>
    <row r="146" spans="1:23" x14ac:dyDescent="0.6">
      <c r="A146" t="s">
        <v>64</v>
      </c>
      <c r="B146">
        <v>3013</v>
      </c>
      <c r="C146" t="s">
        <v>65</v>
      </c>
      <c r="D146">
        <v>502</v>
      </c>
      <c r="E146">
        <v>1</v>
      </c>
      <c r="F146">
        <v>62</v>
      </c>
      <c r="G146">
        <v>1</v>
      </c>
      <c r="H146">
        <v>62</v>
      </c>
      <c r="I146">
        <v>0</v>
      </c>
      <c r="J146">
        <v>0</v>
      </c>
      <c r="K146">
        <v>335.31054</v>
      </c>
      <c r="L146">
        <v>0</v>
      </c>
      <c r="M146">
        <v>0</v>
      </c>
      <c r="N146">
        <v>0</v>
      </c>
      <c r="O146" s="8" t="str">
        <f>formatIP(Table1[[#This Row],[Address A]])</f>
        <v>010.011.001.079</v>
      </c>
      <c r="P146" s="8" t="str">
        <f>formatIP(Table1[[#This Row],[Address B]])</f>
        <v>010.012.001.024</v>
      </c>
      <c r="Q146" s="8" t="e">
        <f>VLOOKUP(Table1[[#This Row],[Address A]],IP_Master[],4,FALSE)</f>
        <v>#N/A</v>
      </c>
      <c r="R146" s="8" t="str">
        <f>VLOOKUP(Table1[[#This Row],[Address B]],IP_Master[],4,FALSE)</f>
        <v>BFNCPLC</v>
      </c>
      <c r="S146" s="8" t="e">
        <f>VLOOKUP(Table1[[#This Row],[Address A]],IP_Master[],2,FALSE)</f>
        <v>#N/A</v>
      </c>
      <c r="T146" s="8" t="str">
        <f>VLOOKUP(Table1[[#This Row],[Address B]],IP_Master[],2,FALSE)</f>
        <v>Blast Furnace</v>
      </c>
      <c r="U146" s="9" t="e">
        <f>VLOOKUP(Table1[[#This Row],[Address A]],IP_Master[],3,FALSE)</f>
        <v>#N/A</v>
      </c>
      <c r="V146" s="9" t="str">
        <f>VLOOKUP(Table1[[#This Row],[Address B]],IP_Master[],3,FALSE)</f>
        <v>PLCs &amp; Control Equipment</v>
      </c>
      <c r="W146" s="9" t="str">
        <f>VLOOKUP(Table1[[#This Row],[Port B]],traffic_types[],2,FALSE)</f>
        <v>Modbus</v>
      </c>
    </row>
    <row r="147" spans="1:23" x14ac:dyDescent="0.6">
      <c r="A147" t="s">
        <v>64</v>
      </c>
      <c r="B147">
        <v>3073</v>
      </c>
      <c r="C147" t="s">
        <v>65</v>
      </c>
      <c r="D147">
        <v>502</v>
      </c>
      <c r="E147">
        <v>1</v>
      </c>
      <c r="F147">
        <v>62</v>
      </c>
      <c r="G147">
        <v>1</v>
      </c>
      <c r="H147">
        <v>62</v>
      </c>
      <c r="I147">
        <v>0</v>
      </c>
      <c r="J147">
        <v>0</v>
      </c>
      <c r="K147">
        <v>416.279315</v>
      </c>
      <c r="L147">
        <v>0</v>
      </c>
      <c r="M147">
        <v>0</v>
      </c>
      <c r="N147">
        <v>0</v>
      </c>
      <c r="O147" s="8" t="str">
        <f>formatIP(Table1[[#This Row],[Address A]])</f>
        <v>010.011.001.079</v>
      </c>
      <c r="P147" s="8" t="str">
        <f>formatIP(Table1[[#This Row],[Address B]])</f>
        <v>010.012.001.024</v>
      </c>
      <c r="Q147" s="8" t="e">
        <f>VLOOKUP(Table1[[#This Row],[Address A]],IP_Master[],4,FALSE)</f>
        <v>#N/A</v>
      </c>
      <c r="R147" s="8" t="str">
        <f>VLOOKUP(Table1[[#This Row],[Address B]],IP_Master[],4,FALSE)</f>
        <v>BFNCPLC</v>
      </c>
      <c r="S147" s="8" t="e">
        <f>VLOOKUP(Table1[[#This Row],[Address A]],IP_Master[],2,FALSE)</f>
        <v>#N/A</v>
      </c>
      <c r="T147" s="8" t="str">
        <f>VLOOKUP(Table1[[#This Row],[Address B]],IP_Master[],2,FALSE)</f>
        <v>Blast Furnace</v>
      </c>
      <c r="U147" s="9" t="e">
        <f>VLOOKUP(Table1[[#This Row],[Address A]],IP_Master[],3,FALSE)</f>
        <v>#N/A</v>
      </c>
      <c r="V147" s="9" t="str">
        <f>VLOOKUP(Table1[[#This Row],[Address B]],IP_Master[],3,FALSE)</f>
        <v>PLCs &amp; Control Equipment</v>
      </c>
      <c r="W147" s="9" t="str">
        <f>VLOOKUP(Table1[[#This Row],[Port B]],traffic_types[],2,FALSE)</f>
        <v>Modbus</v>
      </c>
    </row>
    <row r="148" spans="1:23" x14ac:dyDescent="0.6">
      <c r="A148" t="s">
        <v>64</v>
      </c>
      <c r="B148">
        <v>3074</v>
      </c>
      <c r="C148" t="s">
        <v>65</v>
      </c>
      <c r="D148">
        <v>502</v>
      </c>
      <c r="E148">
        <v>1</v>
      </c>
      <c r="F148">
        <v>62</v>
      </c>
      <c r="G148">
        <v>1</v>
      </c>
      <c r="H148">
        <v>62</v>
      </c>
      <c r="I148">
        <v>0</v>
      </c>
      <c r="J148">
        <v>0</v>
      </c>
      <c r="K148">
        <v>418.27990399999999</v>
      </c>
      <c r="L148">
        <v>0</v>
      </c>
      <c r="M148">
        <v>0</v>
      </c>
      <c r="N148">
        <v>0</v>
      </c>
      <c r="O148" s="8" t="str">
        <f>formatIP(Table1[[#This Row],[Address A]])</f>
        <v>010.011.001.079</v>
      </c>
      <c r="P148" s="8" t="str">
        <f>formatIP(Table1[[#This Row],[Address B]])</f>
        <v>010.012.001.024</v>
      </c>
      <c r="Q148" s="8" t="e">
        <f>VLOOKUP(Table1[[#This Row],[Address A]],IP_Master[],4,FALSE)</f>
        <v>#N/A</v>
      </c>
      <c r="R148" s="8" t="str">
        <f>VLOOKUP(Table1[[#This Row],[Address B]],IP_Master[],4,FALSE)</f>
        <v>BFNCPLC</v>
      </c>
      <c r="S148" s="8" t="e">
        <f>VLOOKUP(Table1[[#This Row],[Address A]],IP_Master[],2,FALSE)</f>
        <v>#N/A</v>
      </c>
      <c r="T148" s="8" t="str">
        <f>VLOOKUP(Table1[[#This Row],[Address B]],IP_Master[],2,FALSE)</f>
        <v>Blast Furnace</v>
      </c>
      <c r="U148" s="9" t="e">
        <f>VLOOKUP(Table1[[#This Row],[Address A]],IP_Master[],3,FALSE)</f>
        <v>#N/A</v>
      </c>
      <c r="V148" s="9" t="str">
        <f>VLOOKUP(Table1[[#This Row],[Address B]],IP_Master[],3,FALSE)</f>
        <v>PLCs &amp; Control Equipment</v>
      </c>
      <c r="W148" s="9" t="str">
        <f>VLOOKUP(Table1[[#This Row],[Port B]],traffic_types[],2,FALSE)</f>
        <v>Modbus</v>
      </c>
    </row>
    <row r="149" spans="1:23" x14ac:dyDescent="0.6">
      <c r="A149" t="s">
        <v>64</v>
      </c>
      <c r="B149">
        <v>3075</v>
      </c>
      <c r="C149" t="s">
        <v>65</v>
      </c>
      <c r="D149">
        <v>502</v>
      </c>
      <c r="E149">
        <v>1</v>
      </c>
      <c r="F149">
        <v>62</v>
      </c>
      <c r="G149">
        <v>1</v>
      </c>
      <c r="H149">
        <v>62</v>
      </c>
      <c r="I149">
        <v>0</v>
      </c>
      <c r="J149">
        <v>0</v>
      </c>
      <c r="K149">
        <v>420.27998600000001</v>
      </c>
      <c r="L149">
        <v>0</v>
      </c>
      <c r="M149">
        <v>0</v>
      </c>
      <c r="N149">
        <v>0</v>
      </c>
      <c r="O149" s="8" t="str">
        <f>formatIP(Table1[[#This Row],[Address A]])</f>
        <v>010.011.001.079</v>
      </c>
      <c r="P149" s="8" t="str">
        <f>formatIP(Table1[[#This Row],[Address B]])</f>
        <v>010.012.001.024</v>
      </c>
      <c r="Q149" s="8" t="e">
        <f>VLOOKUP(Table1[[#This Row],[Address A]],IP_Master[],4,FALSE)</f>
        <v>#N/A</v>
      </c>
      <c r="R149" s="8" t="str">
        <f>VLOOKUP(Table1[[#This Row],[Address B]],IP_Master[],4,FALSE)</f>
        <v>BFNCPLC</v>
      </c>
      <c r="S149" s="8" t="e">
        <f>VLOOKUP(Table1[[#This Row],[Address A]],IP_Master[],2,FALSE)</f>
        <v>#N/A</v>
      </c>
      <c r="T149" s="8" t="str">
        <f>VLOOKUP(Table1[[#This Row],[Address B]],IP_Master[],2,FALSE)</f>
        <v>Blast Furnace</v>
      </c>
      <c r="U149" s="9" t="e">
        <f>VLOOKUP(Table1[[#This Row],[Address A]],IP_Master[],3,FALSE)</f>
        <v>#N/A</v>
      </c>
      <c r="V149" s="9" t="str">
        <f>VLOOKUP(Table1[[#This Row],[Address B]],IP_Master[],3,FALSE)</f>
        <v>PLCs &amp; Control Equipment</v>
      </c>
      <c r="W149" s="9" t="str">
        <f>VLOOKUP(Table1[[#This Row],[Port B]],traffic_types[],2,FALSE)</f>
        <v>Modbus</v>
      </c>
    </row>
    <row r="150" spans="1:23" x14ac:dyDescent="0.6">
      <c r="A150" t="s">
        <v>64</v>
      </c>
      <c r="B150">
        <v>3076</v>
      </c>
      <c r="C150" t="s">
        <v>65</v>
      </c>
      <c r="D150">
        <v>502</v>
      </c>
      <c r="E150">
        <v>1</v>
      </c>
      <c r="F150">
        <v>62</v>
      </c>
      <c r="G150">
        <v>1</v>
      </c>
      <c r="H150">
        <v>62</v>
      </c>
      <c r="I150">
        <v>0</v>
      </c>
      <c r="J150">
        <v>0</v>
      </c>
      <c r="K150">
        <v>422.28513299999997</v>
      </c>
      <c r="L150">
        <v>0</v>
      </c>
      <c r="M150">
        <v>0</v>
      </c>
      <c r="N150">
        <v>0</v>
      </c>
      <c r="O150" s="8" t="str">
        <f>formatIP(Table1[[#This Row],[Address A]])</f>
        <v>010.011.001.079</v>
      </c>
      <c r="P150" s="8" t="str">
        <f>formatIP(Table1[[#This Row],[Address B]])</f>
        <v>010.012.001.024</v>
      </c>
      <c r="Q150" s="8" t="e">
        <f>VLOOKUP(Table1[[#This Row],[Address A]],IP_Master[],4,FALSE)</f>
        <v>#N/A</v>
      </c>
      <c r="R150" s="8" t="str">
        <f>VLOOKUP(Table1[[#This Row],[Address B]],IP_Master[],4,FALSE)</f>
        <v>BFNCPLC</v>
      </c>
      <c r="S150" s="8" t="e">
        <f>VLOOKUP(Table1[[#This Row],[Address A]],IP_Master[],2,FALSE)</f>
        <v>#N/A</v>
      </c>
      <c r="T150" s="8" t="str">
        <f>VLOOKUP(Table1[[#This Row],[Address B]],IP_Master[],2,FALSE)</f>
        <v>Blast Furnace</v>
      </c>
      <c r="U150" s="9" t="e">
        <f>VLOOKUP(Table1[[#This Row],[Address A]],IP_Master[],3,FALSE)</f>
        <v>#N/A</v>
      </c>
      <c r="V150" s="9" t="str">
        <f>VLOOKUP(Table1[[#This Row],[Address B]],IP_Master[],3,FALSE)</f>
        <v>PLCs &amp; Control Equipment</v>
      </c>
      <c r="W150" s="9" t="str">
        <f>VLOOKUP(Table1[[#This Row],[Port B]],traffic_types[],2,FALSE)</f>
        <v>Modbus</v>
      </c>
    </row>
    <row r="151" spans="1:23" x14ac:dyDescent="0.6">
      <c r="A151" t="s">
        <v>64</v>
      </c>
      <c r="B151">
        <v>3077</v>
      </c>
      <c r="C151" t="s">
        <v>65</v>
      </c>
      <c r="D151">
        <v>502</v>
      </c>
      <c r="E151">
        <v>1</v>
      </c>
      <c r="F151">
        <v>62</v>
      </c>
      <c r="G151">
        <v>1</v>
      </c>
      <c r="H151">
        <v>62</v>
      </c>
      <c r="I151">
        <v>0</v>
      </c>
      <c r="J151">
        <v>0</v>
      </c>
      <c r="K151">
        <v>424.31189000000001</v>
      </c>
      <c r="L151">
        <v>0</v>
      </c>
      <c r="M151">
        <v>0</v>
      </c>
      <c r="N151">
        <v>0</v>
      </c>
      <c r="O151" s="8" t="str">
        <f>formatIP(Table1[[#This Row],[Address A]])</f>
        <v>010.011.001.079</v>
      </c>
      <c r="P151" s="8" t="str">
        <f>formatIP(Table1[[#This Row],[Address B]])</f>
        <v>010.012.001.024</v>
      </c>
      <c r="Q151" s="8" t="e">
        <f>VLOOKUP(Table1[[#This Row],[Address A]],IP_Master[],4,FALSE)</f>
        <v>#N/A</v>
      </c>
      <c r="R151" s="8" t="str">
        <f>VLOOKUP(Table1[[#This Row],[Address B]],IP_Master[],4,FALSE)</f>
        <v>BFNCPLC</v>
      </c>
      <c r="S151" s="8" t="e">
        <f>VLOOKUP(Table1[[#This Row],[Address A]],IP_Master[],2,FALSE)</f>
        <v>#N/A</v>
      </c>
      <c r="T151" s="8" t="str">
        <f>VLOOKUP(Table1[[#This Row],[Address B]],IP_Master[],2,FALSE)</f>
        <v>Blast Furnace</v>
      </c>
      <c r="U151" s="9" t="e">
        <f>VLOOKUP(Table1[[#This Row],[Address A]],IP_Master[],3,FALSE)</f>
        <v>#N/A</v>
      </c>
      <c r="V151" s="9" t="str">
        <f>VLOOKUP(Table1[[#This Row],[Address B]],IP_Master[],3,FALSE)</f>
        <v>PLCs &amp; Control Equipment</v>
      </c>
      <c r="W151" s="9" t="str">
        <f>VLOOKUP(Table1[[#This Row],[Port B]],traffic_types[],2,FALSE)</f>
        <v>Modbus</v>
      </c>
    </row>
    <row r="152" spans="1:23" x14ac:dyDescent="0.6">
      <c r="A152" t="s">
        <v>64</v>
      </c>
      <c r="B152">
        <v>3078</v>
      </c>
      <c r="C152" t="s">
        <v>65</v>
      </c>
      <c r="D152">
        <v>502</v>
      </c>
      <c r="E152">
        <v>1</v>
      </c>
      <c r="F152">
        <v>62</v>
      </c>
      <c r="G152">
        <v>1</v>
      </c>
      <c r="H152">
        <v>62</v>
      </c>
      <c r="I152">
        <v>0</v>
      </c>
      <c r="J152">
        <v>0</v>
      </c>
      <c r="K152">
        <v>426.34307799999999</v>
      </c>
      <c r="L152">
        <v>0</v>
      </c>
      <c r="M152">
        <v>0</v>
      </c>
      <c r="N152">
        <v>0</v>
      </c>
      <c r="O152" s="8" t="str">
        <f>formatIP(Table1[[#This Row],[Address A]])</f>
        <v>010.011.001.079</v>
      </c>
      <c r="P152" s="8" t="str">
        <f>formatIP(Table1[[#This Row],[Address B]])</f>
        <v>010.012.001.024</v>
      </c>
      <c r="Q152" s="8" t="e">
        <f>VLOOKUP(Table1[[#This Row],[Address A]],IP_Master[],4,FALSE)</f>
        <v>#N/A</v>
      </c>
      <c r="R152" s="8" t="str">
        <f>VLOOKUP(Table1[[#This Row],[Address B]],IP_Master[],4,FALSE)</f>
        <v>BFNCPLC</v>
      </c>
      <c r="S152" s="8" t="e">
        <f>VLOOKUP(Table1[[#This Row],[Address A]],IP_Master[],2,FALSE)</f>
        <v>#N/A</v>
      </c>
      <c r="T152" s="8" t="str">
        <f>VLOOKUP(Table1[[#This Row],[Address B]],IP_Master[],2,FALSE)</f>
        <v>Blast Furnace</v>
      </c>
      <c r="U152" s="9" t="e">
        <f>VLOOKUP(Table1[[#This Row],[Address A]],IP_Master[],3,FALSE)</f>
        <v>#N/A</v>
      </c>
      <c r="V152" s="9" t="str">
        <f>VLOOKUP(Table1[[#This Row],[Address B]],IP_Master[],3,FALSE)</f>
        <v>PLCs &amp; Control Equipment</v>
      </c>
      <c r="W152" s="9" t="str">
        <f>VLOOKUP(Table1[[#This Row],[Port B]],traffic_types[],2,FALSE)</f>
        <v>Modbus</v>
      </c>
    </row>
    <row r="153" spans="1:23" x14ac:dyDescent="0.6">
      <c r="A153" t="s">
        <v>64</v>
      </c>
      <c r="B153">
        <v>3137</v>
      </c>
      <c r="C153" t="s">
        <v>65</v>
      </c>
      <c r="D153">
        <v>502</v>
      </c>
      <c r="E153">
        <v>10</v>
      </c>
      <c r="F153">
        <v>614</v>
      </c>
      <c r="G153">
        <v>5</v>
      </c>
      <c r="H153">
        <v>308</v>
      </c>
      <c r="I153">
        <v>5</v>
      </c>
      <c r="J153">
        <v>306</v>
      </c>
      <c r="K153">
        <v>507.29620399999999</v>
      </c>
      <c r="L153">
        <v>0.23225700000000399</v>
      </c>
      <c r="M153">
        <v>10608.9375131856</v>
      </c>
      <c r="N153">
        <v>10540.0483085546</v>
      </c>
      <c r="O153" s="8" t="str">
        <f>formatIP(Table1[[#This Row],[Address A]])</f>
        <v>010.011.001.079</v>
      </c>
      <c r="P153" s="8" t="str">
        <f>formatIP(Table1[[#This Row],[Address B]])</f>
        <v>010.012.001.024</v>
      </c>
      <c r="Q153" s="8" t="e">
        <f>VLOOKUP(Table1[[#This Row],[Address A]],IP_Master[],4,FALSE)</f>
        <v>#N/A</v>
      </c>
      <c r="R153" s="8" t="str">
        <f>VLOOKUP(Table1[[#This Row],[Address B]],IP_Master[],4,FALSE)</f>
        <v>BFNCPLC</v>
      </c>
      <c r="S153" s="8" t="e">
        <f>VLOOKUP(Table1[[#This Row],[Address A]],IP_Master[],2,FALSE)</f>
        <v>#N/A</v>
      </c>
      <c r="T153" s="8" t="str">
        <f>VLOOKUP(Table1[[#This Row],[Address B]],IP_Master[],2,FALSE)</f>
        <v>Blast Furnace</v>
      </c>
      <c r="U153" s="9" t="e">
        <f>VLOOKUP(Table1[[#This Row],[Address A]],IP_Master[],3,FALSE)</f>
        <v>#N/A</v>
      </c>
      <c r="V153" s="9" t="str">
        <f>VLOOKUP(Table1[[#This Row],[Address B]],IP_Master[],3,FALSE)</f>
        <v>PLCs &amp; Control Equipment</v>
      </c>
      <c r="W153" s="9" t="str">
        <f>VLOOKUP(Table1[[#This Row],[Port B]],traffic_types[],2,FALSE)</f>
        <v>Modbus</v>
      </c>
    </row>
    <row r="154" spans="1:23" x14ac:dyDescent="0.6">
      <c r="A154" t="s">
        <v>64</v>
      </c>
      <c r="B154">
        <v>3138</v>
      </c>
      <c r="C154" t="s">
        <v>65</v>
      </c>
      <c r="D154">
        <v>502</v>
      </c>
      <c r="E154">
        <v>10</v>
      </c>
      <c r="F154">
        <v>613</v>
      </c>
      <c r="G154">
        <v>5</v>
      </c>
      <c r="H154">
        <v>308</v>
      </c>
      <c r="I154">
        <v>5</v>
      </c>
      <c r="J154">
        <v>305</v>
      </c>
      <c r="K154">
        <v>507.48427500000003</v>
      </c>
      <c r="L154">
        <v>0.14475699999996999</v>
      </c>
      <c r="M154">
        <v>17021.629351261101</v>
      </c>
      <c r="N154">
        <v>16855.834260177398</v>
      </c>
      <c r="O154" s="8" t="str">
        <f>formatIP(Table1[[#This Row],[Address A]])</f>
        <v>010.011.001.079</v>
      </c>
      <c r="P154" s="8" t="str">
        <f>formatIP(Table1[[#This Row],[Address B]])</f>
        <v>010.012.001.024</v>
      </c>
      <c r="Q154" s="8" t="e">
        <f>VLOOKUP(Table1[[#This Row],[Address A]],IP_Master[],4,FALSE)</f>
        <v>#N/A</v>
      </c>
      <c r="R154" s="8" t="str">
        <f>VLOOKUP(Table1[[#This Row],[Address B]],IP_Master[],4,FALSE)</f>
        <v>BFNCPLC</v>
      </c>
      <c r="S154" s="8" t="e">
        <f>VLOOKUP(Table1[[#This Row],[Address A]],IP_Master[],2,FALSE)</f>
        <v>#N/A</v>
      </c>
      <c r="T154" s="8" t="str">
        <f>VLOOKUP(Table1[[#This Row],[Address B]],IP_Master[],2,FALSE)</f>
        <v>Blast Furnace</v>
      </c>
      <c r="U154" s="9" t="e">
        <f>VLOOKUP(Table1[[#This Row],[Address A]],IP_Master[],3,FALSE)</f>
        <v>#N/A</v>
      </c>
      <c r="V154" s="9" t="str">
        <f>VLOOKUP(Table1[[#This Row],[Address B]],IP_Master[],3,FALSE)</f>
        <v>PLCs &amp; Control Equipment</v>
      </c>
      <c r="W154" s="9" t="str">
        <f>VLOOKUP(Table1[[#This Row],[Port B]],traffic_types[],2,FALSE)</f>
        <v>Modbus</v>
      </c>
    </row>
    <row r="155" spans="1:23" x14ac:dyDescent="0.6">
      <c r="A155" t="s">
        <v>64</v>
      </c>
      <c r="B155">
        <v>3139</v>
      </c>
      <c r="C155" t="s">
        <v>65</v>
      </c>
      <c r="D155">
        <v>502</v>
      </c>
      <c r="E155">
        <v>10</v>
      </c>
      <c r="F155">
        <v>614</v>
      </c>
      <c r="G155">
        <v>5</v>
      </c>
      <c r="H155">
        <v>308</v>
      </c>
      <c r="I155">
        <v>5</v>
      </c>
      <c r="J155">
        <v>306</v>
      </c>
      <c r="K155">
        <v>507.59910300000001</v>
      </c>
      <c r="L155">
        <v>0.229563999999982</v>
      </c>
      <c r="M155">
        <v>10733.3902528279</v>
      </c>
      <c r="N155">
        <v>10663.692913523901</v>
      </c>
      <c r="O155" s="8" t="str">
        <f>formatIP(Table1[[#This Row],[Address A]])</f>
        <v>010.011.001.079</v>
      </c>
      <c r="P155" s="8" t="str">
        <f>formatIP(Table1[[#This Row],[Address B]])</f>
        <v>010.012.001.024</v>
      </c>
      <c r="Q155" s="8" t="e">
        <f>VLOOKUP(Table1[[#This Row],[Address A]],IP_Master[],4,FALSE)</f>
        <v>#N/A</v>
      </c>
      <c r="R155" s="8" t="str">
        <f>VLOOKUP(Table1[[#This Row],[Address B]],IP_Master[],4,FALSE)</f>
        <v>BFNCPLC</v>
      </c>
      <c r="S155" s="8" t="e">
        <f>VLOOKUP(Table1[[#This Row],[Address A]],IP_Master[],2,FALSE)</f>
        <v>#N/A</v>
      </c>
      <c r="T155" s="8" t="str">
        <f>VLOOKUP(Table1[[#This Row],[Address B]],IP_Master[],2,FALSE)</f>
        <v>Blast Furnace</v>
      </c>
      <c r="U155" s="9" t="e">
        <f>VLOOKUP(Table1[[#This Row],[Address A]],IP_Master[],3,FALSE)</f>
        <v>#N/A</v>
      </c>
      <c r="V155" s="9" t="str">
        <f>VLOOKUP(Table1[[#This Row],[Address B]],IP_Master[],3,FALSE)</f>
        <v>PLCs &amp; Control Equipment</v>
      </c>
      <c r="W155" s="9" t="str">
        <f>VLOOKUP(Table1[[#This Row],[Port B]],traffic_types[],2,FALSE)</f>
        <v>Modbus</v>
      </c>
    </row>
    <row r="156" spans="1:23" x14ac:dyDescent="0.6">
      <c r="A156" t="s">
        <v>64</v>
      </c>
      <c r="B156">
        <v>3140</v>
      </c>
      <c r="C156" t="s">
        <v>65</v>
      </c>
      <c r="D156">
        <v>502</v>
      </c>
      <c r="E156">
        <v>10</v>
      </c>
      <c r="F156">
        <v>613</v>
      </c>
      <c r="G156">
        <v>5</v>
      </c>
      <c r="H156">
        <v>308</v>
      </c>
      <c r="I156">
        <v>5</v>
      </c>
      <c r="J156">
        <v>305</v>
      </c>
      <c r="K156">
        <v>507.75097699999998</v>
      </c>
      <c r="L156">
        <v>0.43078600000001199</v>
      </c>
      <c r="M156">
        <v>5719.7773372392103</v>
      </c>
      <c r="N156">
        <v>5664.0652203180498</v>
      </c>
      <c r="O156" s="8" t="str">
        <f>formatIP(Table1[[#This Row],[Address A]])</f>
        <v>010.011.001.079</v>
      </c>
      <c r="P156" s="8" t="str">
        <f>formatIP(Table1[[#This Row],[Address B]])</f>
        <v>010.012.001.024</v>
      </c>
      <c r="Q156" s="8" t="e">
        <f>VLOOKUP(Table1[[#This Row],[Address A]],IP_Master[],4,FALSE)</f>
        <v>#N/A</v>
      </c>
      <c r="R156" s="8" t="str">
        <f>VLOOKUP(Table1[[#This Row],[Address B]],IP_Master[],4,FALSE)</f>
        <v>BFNCPLC</v>
      </c>
      <c r="S156" s="8" t="e">
        <f>VLOOKUP(Table1[[#This Row],[Address A]],IP_Master[],2,FALSE)</f>
        <v>#N/A</v>
      </c>
      <c r="T156" s="8" t="str">
        <f>VLOOKUP(Table1[[#This Row],[Address B]],IP_Master[],2,FALSE)</f>
        <v>Blast Furnace</v>
      </c>
      <c r="U156" s="9" t="e">
        <f>VLOOKUP(Table1[[#This Row],[Address A]],IP_Master[],3,FALSE)</f>
        <v>#N/A</v>
      </c>
      <c r="V156" s="9" t="str">
        <f>VLOOKUP(Table1[[#This Row],[Address B]],IP_Master[],3,FALSE)</f>
        <v>PLCs &amp; Control Equipment</v>
      </c>
      <c r="W156" s="9" t="str">
        <f>VLOOKUP(Table1[[#This Row],[Port B]],traffic_types[],2,FALSE)</f>
        <v>Modbus</v>
      </c>
    </row>
    <row r="157" spans="1:23" x14ac:dyDescent="0.6">
      <c r="A157" t="s">
        <v>64</v>
      </c>
      <c r="B157">
        <v>3141</v>
      </c>
      <c r="C157" t="s">
        <v>65</v>
      </c>
      <c r="D157">
        <v>502</v>
      </c>
      <c r="E157">
        <v>10</v>
      </c>
      <c r="F157">
        <v>614</v>
      </c>
      <c r="G157">
        <v>5</v>
      </c>
      <c r="H157">
        <v>308</v>
      </c>
      <c r="I157">
        <v>5</v>
      </c>
      <c r="J157">
        <v>306</v>
      </c>
      <c r="K157">
        <v>508.19153499999999</v>
      </c>
      <c r="L157">
        <v>8.5685000000012196E-2</v>
      </c>
      <c r="M157">
        <v>28756.491801361401</v>
      </c>
      <c r="N157">
        <v>28569.761335118801</v>
      </c>
      <c r="O157" s="8" t="str">
        <f>formatIP(Table1[[#This Row],[Address A]])</f>
        <v>010.011.001.079</v>
      </c>
      <c r="P157" s="8" t="str">
        <f>formatIP(Table1[[#This Row],[Address B]])</f>
        <v>010.012.001.024</v>
      </c>
      <c r="Q157" s="8" t="e">
        <f>VLOOKUP(Table1[[#This Row],[Address A]],IP_Master[],4,FALSE)</f>
        <v>#N/A</v>
      </c>
      <c r="R157" s="8" t="str">
        <f>VLOOKUP(Table1[[#This Row],[Address B]],IP_Master[],4,FALSE)</f>
        <v>BFNCPLC</v>
      </c>
      <c r="S157" s="8" t="e">
        <f>VLOOKUP(Table1[[#This Row],[Address A]],IP_Master[],2,FALSE)</f>
        <v>#N/A</v>
      </c>
      <c r="T157" s="8" t="str">
        <f>VLOOKUP(Table1[[#This Row],[Address B]],IP_Master[],2,FALSE)</f>
        <v>Blast Furnace</v>
      </c>
      <c r="U157" s="9" t="e">
        <f>VLOOKUP(Table1[[#This Row],[Address A]],IP_Master[],3,FALSE)</f>
        <v>#N/A</v>
      </c>
      <c r="V157" s="9" t="str">
        <f>VLOOKUP(Table1[[#This Row],[Address B]],IP_Master[],3,FALSE)</f>
        <v>PLCs &amp; Control Equipment</v>
      </c>
      <c r="W157" s="9" t="str">
        <f>VLOOKUP(Table1[[#This Row],[Port B]],traffic_types[],2,FALSE)</f>
        <v>Modbus</v>
      </c>
    </row>
    <row r="158" spans="1:23" x14ac:dyDescent="0.6">
      <c r="A158" t="s">
        <v>64</v>
      </c>
      <c r="B158">
        <v>3142</v>
      </c>
      <c r="C158" t="s">
        <v>65</v>
      </c>
      <c r="D158">
        <v>502</v>
      </c>
      <c r="E158">
        <v>10</v>
      </c>
      <c r="F158">
        <v>614</v>
      </c>
      <c r="G158">
        <v>5</v>
      </c>
      <c r="H158">
        <v>308</v>
      </c>
      <c r="I158">
        <v>5</v>
      </c>
      <c r="J158">
        <v>306</v>
      </c>
      <c r="K158">
        <v>512.31204000000002</v>
      </c>
      <c r="L158">
        <v>0.66556200000002297</v>
      </c>
      <c r="M158">
        <v>3702.1344367615902</v>
      </c>
      <c r="N158">
        <v>3678.0946027566401</v>
      </c>
      <c r="O158" s="8" t="str">
        <f>formatIP(Table1[[#This Row],[Address A]])</f>
        <v>010.011.001.079</v>
      </c>
      <c r="P158" s="8" t="str">
        <f>formatIP(Table1[[#This Row],[Address B]])</f>
        <v>010.012.001.024</v>
      </c>
      <c r="Q158" s="8" t="e">
        <f>VLOOKUP(Table1[[#This Row],[Address A]],IP_Master[],4,FALSE)</f>
        <v>#N/A</v>
      </c>
      <c r="R158" s="8" t="str">
        <f>VLOOKUP(Table1[[#This Row],[Address B]],IP_Master[],4,FALSE)</f>
        <v>BFNCPLC</v>
      </c>
      <c r="S158" s="8" t="e">
        <f>VLOOKUP(Table1[[#This Row],[Address A]],IP_Master[],2,FALSE)</f>
        <v>#N/A</v>
      </c>
      <c r="T158" s="8" t="str">
        <f>VLOOKUP(Table1[[#This Row],[Address B]],IP_Master[],2,FALSE)</f>
        <v>Blast Furnace</v>
      </c>
      <c r="U158" s="9" t="e">
        <f>VLOOKUP(Table1[[#This Row],[Address A]],IP_Master[],3,FALSE)</f>
        <v>#N/A</v>
      </c>
      <c r="V158" s="9" t="str">
        <f>VLOOKUP(Table1[[#This Row],[Address B]],IP_Master[],3,FALSE)</f>
        <v>PLCs &amp; Control Equipment</v>
      </c>
      <c r="W158" s="9" t="str">
        <f>VLOOKUP(Table1[[#This Row],[Port B]],traffic_types[],2,FALSE)</f>
        <v>Modbus</v>
      </c>
    </row>
    <row r="159" spans="1:23" x14ac:dyDescent="0.6">
      <c r="A159" t="s">
        <v>64</v>
      </c>
      <c r="B159">
        <v>3143</v>
      </c>
      <c r="C159" t="s">
        <v>65</v>
      </c>
      <c r="D159">
        <v>502</v>
      </c>
      <c r="E159">
        <v>10</v>
      </c>
      <c r="F159">
        <v>613</v>
      </c>
      <c r="G159">
        <v>5</v>
      </c>
      <c r="H159">
        <v>308</v>
      </c>
      <c r="I159">
        <v>5</v>
      </c>
      <c r="J159">
        <v>305</v>
      </c>
      <c r="K159">
        <v>512.590419</v>
      </c>
      <c r="L159">
        <v>0.49049000000002302</v>
      </c>
      <c r="M159">
        <v>5023.5478806905103</v>
      </c>
      <c r="N159">
        <v>4974.6172195149502</v>
      </c>
      <c r="O159" s="8" t="str">
        <f>formatIP(Table1[[#This Row],[Address A]])</f>
        <v>010.011.001.079</v>
      </c>
      <c r="P159" s="8" t="str">
        <f>formatIP(Table1[[#This Row],[Address B]])</f>
        <v>010.012.001.024</v>
      </c>
      <c r="Q159" s="8" t="e">
        <f>VLOOKUP(Table1[[#This Row],[Address A]],IP_Master[],4,FALSE)</f>
        <v>#N/A</v>
      </c>
      <c r="R159" s="8" t="str">
        <f>VLOOKUP(Table1[[#This Row],[Address B]],IP_Master[],4,FALSE)</f>
        <v>BFNCPLC</v>
      </c>
      <c r="S159" s="8" t="e">
        <f>VLOOKUP(Table1[[#This Row],[Address A]],IP_Master[],2,FALSE)</f>
        <v>#N/A</v>
      </c>
      <c r="T159" s="8" t="str">
        <f>VLOOKUP(Table1[[#This Row],[Address B]],IP_Master[],2,FALSE)</f>
        <v>Blast Furnace</v>
      </c>
      <c r="U159" s="9" t="e">
        <f>VLOOKUP(Table1[[#This Row],[Address A]],IP_Master[],3,FALSE)</f>
        <v>#N/A</v>
      </c>
      <c r="V159" s="9" t="str">
        <f>VLOOKUP(Table1[[#This Row],[Address B]],IP_Master[],3,FALSE)</f>
        <v>PLCs &amp; Control Equipment</v>
      </c>
      <c r="W159" s="9" t="str">
        <f>VLOOKUP(Table1[[#This Row],[Port B]],traffic_types[],2,FALSE)</f>
        <v>Modbus</v>
      </c>
    </row>
    <row r="160" spans="1:23" x14ac:dyDescent="0.6">
      <c r="A160" t="s">
        <v>64</v>
      </c>
      <c r="B160">
        <v>3144</v>
      </c>
      <c r="C160" t="s">
        <v>65</v>
      </c>
      <c r="D160">
        <v>502</v>
      </c>
      <c r="E160">
        <v>10</v>
      </c>
      <c r="F160">
        <v>614</v>
      </c>
      <c r="G160">
        <v>5</v>
      </c>
      <c r="H160">
        <v>308</v>
      </c>
      <c r="I160">
        <v>5</v>
      </c>
      <c r="J160">
        <v>306</v>
      </c>
      <c r="K160">
        <v>513.06797600000004</v>
      </c>
      <c r="L160">
        <v>6.0667999999964202E-2</v>
      </c>
      <c r="M160">
        <v>40614.491989210997</v>
      </c>
      <c r="N160">
        <v>40350.761521748602</v>
      </c>
      <c r="O160" s="8" t="str">
        <f>formatIP(Table1[[#This Row],[Address A]])</f>
        <v>010.011.001.079</v>
      </c>
      <c r="P160" s="8" t="str">
        <f>formatIP(Table1[[#This Row],[Address B]])</f>
        <v>010.012.001.024</v>
      </c>
      <c r="Q160" s="8" t="e">
        <f>VLOOKUP(Table1[[#This Row],[Address A]],IP_Master[],4,FALSE)</f>
        <v>#N/A</v>
      </c>
      <c r="R160" s="8" t="str">
        <f>VLOOKUP(Table1[[#This Row],[Address B]],IP_Master[],4,FALSE)</f>
        <v>BFNCPLC</v>
      </c>
      <c r="S160" s="8" t="e">
        <f>VLOOKUP(Table1[[#This Row],[Address A]],IP_Master[],2,FALSE)</f>
        <v>#N/A</v>
      </c>
      <c r="T160" s="8" t="str">
        <f>VLOOKUP(Table1[[#This Row],[Address B]],IP_Master[],2,FALSE)</f>
        <v>Blast Furnace</v>
      </c>
      <c r="U160" s="9" t="e">
        <f>VLOOKUP(Table1[[#This Row],[Address A]],IP_Master[],3,FALSE)</f>
        <v>#N/A</v>
      </c>
      <c r="V160" s="9" t="str">
        <f>VLOOKUP(Table1[[#This Row],[Address B]],IP_Master[],3,FALSE)</f>
        <v>PLCs &amp; Control Equipment</v>
      </c>
      <c r="W160" s="9" t="str">
        <f>VLOOKUP(Table1[[#This Row],[Port B]],traffic_types[],2,FALSE)</f>
        <v>Modbus</v>
      </c>
    </row>
    <row r="161" spans="1:23" x14ac:dyDescent="0.6">
      <c r="A161" t="s">
        <v>64</v>
      </c>
      <c r="B161">
        <v>3145</v>
      </c>
      <c r="C161" t="s">
        <v>65</v>
      </c>
      <c r="D161">
        <v>502</v>
      </c>
      <c r="E161">
        <v>10</v>
      </c>
      <c r="F161">
        <v>613</v>
      </c>
      <c r="G161">
        <v>5</v>
      </c>
      <c r="H161">
        <v>308</v>
      </c>
      <c r="I161">
        <v>5</v>
      </c>
      <c r="J161">
        <v>305</v>
      </c>
      <c r="K161">
        <v>513.11965299999997</v>
      </c>
      <c r="L161">
        <v>0.57817699999998196</v>
      </c>
      <c r="M161">
        <v>4261.6707340487001</v>
      </c>
      <c r="N161">
        <v>4220.1609541715998</v>
      </c>
      <c r="O161" s="8" t="str">
        <f>formatIP(Table1[[#This Row],[Address A]])</f>
        <v>010.011.001.079</v>
      </c>
      <c r="P161" s="8" t="str">
        <f>formatIP(Table1[[#This Row],[Address B]])</f>
        <v>010.012.001.024</v>
      </c>
      <c r="Q161" s="8" t="e">
        <f>VLOOKUP(Table1[[#This Row],[Address A]],IP_Master[],4,FALSE)</f>
        <v>#N/A</v>
      </c>
      <c r="R161" s="8" t="str">
        <f>VLOOKUP(Table1[[#This Row],[Address B]],IP_Master[],4,FALSE)</f>
        <v>BFNCPLC</v>
      </c>
      <c r="S161" s="8" t="e">
        <f>VLOOKUP(Table1[[#This Row],[Address A]],IP_Master[],2,FALSE)</f>
        <v>#N/A</v>
      </c>
      <c r="T161" s="8" t="str">
        <f>VLOOKUP(Table1[[#This Row],[Address B]],IP_Master[],2,FALSE)</f>
        <v>Blast Furnace</v>
      </c>
      <c r="U161" s="9" t="e">
        <f>VLOOKUP(Table1[[#This Row],[Address A]],IP_Master[],3,FALSE)</f>
        <v>#N/A</v>
      </c>
      <c r="V161" s="9" t="str">
        <f>VLOOKUP(Table1[[#This Row],[Address B]],IP_Master[],3,FALSE)</f>
        <v>PLCs &amp; Control Equipment</v>
      </c>
      <c r="W161" s="9" t="str">
        <f>VLOOKUP(Table1[[#This Row],[Port B]],traffic_types[],2,FALSE)</f>
        <v>Modbus</v>
      </c>
    </row>
    <row r="162" spans="1:23" x14ac:dyDescent="0.6">
      <c r="A162" t="s">
        <v>64</v>
      </c>
      <c r="B162">
        <v>3146</v>
      </c>
      <c r="C162" t="s">
        <v>65</v>
      </c>
      <c r="D162">
        <v>502</v>
      </c>
      <c r="E162">
        <v>10</v>
      </c>
      <c r="F162">
        <v>614</v>
      </c>
      <c r="G162">
        <v>5</v>
      </c>
      <c r="H162">
        <v>308</v>
      </c>
      <c r="I162">
        <v>5</v>
      </c>
      <c r="J162">
        <v>306</v>
      </c>
      <c r="K162">
        <v>513.66019700000004</v>
      </c>
      <c r="L162">
        <v>0.23782099999994</v>
      </c>
      <c r="M162">
        <v>10360.733492839699</v>
      </c>
      <c r="N162">
        <v>10293.456002626401</v>
      </c>
      <c r="O162" s="8" t="str">
        <f>formatIP(Table1[[#This Row],[Address A]])</f>
        <v>010.011.001.079</v>
      </c>
      <c r="P162" s="8" t="str">
        <f>formatIP(Table1[[#This Row],[Address B]])</f>
        <v>010.012.001.024</v>
      </c>
      <c r="Q162" s="8" t="e">
        <f>VLOOKUP(Table1[[#This Row],[Address A]],IP_Master[],4,FALSE)</f>
        <v>#N/A</v>
      </c>
      <c r="R162" s="8" t="str">
        <f>VLOOKUP(Table1[[#This Row],[Address B]],IP_Master[],4,FALSE)</f>
        <v>BFNCPLC</v>
      </c>
      <c r="S162" s="8" t="e">
        <f>VLOOKUP(Table1[[#This Row],[Address A]],IP_Master[],2,FALSE)</f>
        <v>#N/A</v>
      </c>
      <c r="T162" s="8" t="str">
        <f>VLOOKUP(Table1[[#This Row],[Address B]],IP_Master[],2,FALSE)</f>
        <v>Blast Furnace</v>
      </c>
      <c r="U162" s="9" t="e">
        <f>VLOOKUP(Table1[[#This Row],[Address A]],IP_Master[],3,FALSE)</f>
        <v>#N/A</v>
      </c>
      <c r="V162" s="9" t="str">
        <f>VLOOKUP(Table1[[#This Row],[Address B]],IP_Master[],3,FALSE)</f>
        <v>PLCs &amp; Control Equipment</v>
      </c>
      <c r="W162" s="9" t="str">
        <f>VLOOKUP(Table1[[#This Row],[Port B]],traffic_types[],2,FALSE)</f>
        <v>Modbus</v>
      </c>
    </row>
    <row r="163" spans="1:23" x14ac:dyDescent="0.6">
      <c r="A163" t="s">
        <v>64</v>
      </c>
      <c r="B163">
        <v>3206</v>
      </c>
      <c r="C163" t="s">
        <v>65</v>
      </c>
      <c r="D163">
        <v>502</v>
      </c>
      <c r="E163">
        <v>10</v>
      </c>
      <c r="F163">
        <v>614</v>
      </c>
      <c r="G163">
        <v>5</v>
      </c>
      <c r="H163">
        <v>308</v>
      </c>
      <c r="I163">
        <v>5</v>
      </c>
      <c r="J163">
        <v>306</v>
      </c>
      <c r="K163">
        <v>597.29756599999996</v>
      </c>
      <c r="L163">
        <v>3.0098000000066301E-2</v>
      </c>
      <c r="M163">
        <v>81865.904711095995</v>
      </c>
      <c r="N163">
        <v>81334.307927257702</v>
      </c>
      <c r="O163" s="8" t="str">
        <f>formatIP(Table1[[#This Row],[Address A]])</f>
        <v>010.011.001.079</v>
      </c>
      <c r="P163" s="8" t="str">
        <f>formatIP(Table1[[#This Row],[Address B]])</f>
        <v>010.012.001.024</v>
      </c>
      <c r="Q163" s="8" t="e">
        <f>VLOOKUP(Table1[[#This Row],[Address A]],IP_Master[],4,FALSE)</f>
        <v>#N/A</v>
      </c>
      <c r="R163" s="8" t="str">
        <f>VLOOKUP(Table1[[#This Row],[Address B]],IP_Master[],4,FALSE)</f>
        <v>BFNCPLC</v>
      </c>
      <c r="S163" s="8" t="e">
        <f>VLOOKUP(Table1[[#This Row],[Address A]],IP_Master[],2,FALSE)</f>
        <v>#N/A</v>
      </c>
      <c r="T163" s="8" t="str">
        <f>VLOOKUP(Table1[[#This Row],[Address B]],IP_Master[],2,FALSE)</f>
        <v>Blast Furnace</v>
      </c>
      <c r="U163" s="9" t="e">
        <f>VLOOKUP(Table1[[#This Row],[Address A]],IP_Master[],3,FALSE)</f>
        <v>#N/A</v>
      </c>
      <c r="V163" s="9" t="str">
        <f>VLOOKUP(Table1[[#This Row],[Address B]],IP_Master[],3,FALSE)</f>
        <v>PLCs &amp; Control Equipment</v>
      </c>
      <c r="W163" s="9" t="str">
        <f>VLOOKUP(Table1[[#This Row],[Port B]],traffic_types[],2,FALSE)</f>
        <v>Modbus</v>
      </c>
    </row>
    <row r="164" spans="1:23" x14ac:dyDescent="0.6">
      <c r="A164" t="s">
        <v>64</v>
      </c>
      <c r="B164">
        <v>3207</v>
      </c>
      <c r="C164" t="s">
        <v>65</v>
      </c>
      <c r="D164">
        <v>502</v>
      </c>
      <c r="E164">
        <v>10</v>
      </c>
      <c r="F164">
        <v>613</v>
      </c>
      <c r="G164">
        <v>5</v>
      </c>
      <c r="H164">
        <v>308</v>
      </c>
      <c r="I164">
        <v>5</v>
      </c>
      <c r="J164">
        <v>305</v>
      </c>
      <c r="K164">
        <v>597.32163800000001</v>
      </c>
      <c r="L164">
        <v>2.8296999999952301E-2</v>
      </c>
      <c r="M164">
        <v>87076.368519777898</v>
      </c>
      <c r="N164">
        <v>86228.222073156707</v>
      </c>
      <c r="O164" s="8" t="str">
        <f>formatIP(Table1[[#This Row],[Address A]])</f>
        <v>010.011.001.079</v>
      </c>
      <c r="P164" s="8" t="str">
        <f>formatIP(Table1[[#This Row],[Address B]])</f>
        <v>010.012.001.024</v>
      </c>
      <c r="Q164" s="8" t="e">
        <f>VLOOKUP(Table1[[#This Row],[Address A]],IP_Master[],4,FALSE)</f>
        <v>#N/A</v>
      </c>
      <c r="R164" s="8" t="str">
        <f>VLOOKUP(Table1[[#This Row],[Address B]],IP_Master[],4,FALSE)</f>
        <v>BFNCPLC</v>
      </c>
      <c r="S164" s="8" t="e">
        <f>VLOOKUP(Table1[[#This Row],[Address A]],IP_Master[],2,FALSE)</f>
        <v>#N/A</v>
      </c>
      <c r="T164" s="8" t="str">
        <f>VLOOKUP(Table1[[#This Row],[Address B]],IP_Master[],2,FALSE)</f>
        <v>Blast Furnace</v>
      </c>
      <c r="U164" s="9" t="e">
        <f>VLOOKUP(Table1[[#This Row],[Address A]],IP_Master[],3,FALSE)</f>
        <v>#N/A</v>
      </c>
      <c r="V164" s="9" t="str">
        <f>VLOOKUP(Table1[[#This Row],[Address B]],IP_Master[],3,FALSE)</f>
        <v>PLCs &amp; Control Equipment</v>
      </c>
      <c r="W164" s="9" t="str">
        <f>VLOOKUP(Table1[[#This Row],[Port B]],traffic_types[],2,FALSE)</f>
        <v>Modbus</v>
      </c>
    </row>
    <row r="165" spans="1:23" x14ac:dyDescent="0.6">
      <c r="A165" t="s">
        <v>64</v>
      </c>
      <c r="B165">
        <v>3208</v>
      </c>
      <c r="C165" t="s">
        <v>65</v>
      </c>
      <c r="D165">
        <v>502</v>
      </c>
      <c r="E165">
        <v>10</v>
      </c>
      <c r="F165">
        <v>614</v>
      </c>
      <c r="G165">
        <v>5</v>
      </c>
      <c r="H165">
        <v>308</v>
      </c>
      <c r="I165">
        <v>5</v>
      </c>
      <c r="J165">
        <v>306</v>
      </c>
      <c r="K165">
        <v>597.35055499999999</v>
      </c>
      <c r="L165">
        <v>2.65160000000151E-2</v>
      </c>
      <c r="M165">
        <v>92925.026399102397</v>
      </c>
      <c r="N165">
        <v>92321.617136770496</v>
      </c>
      <c r="O165" s="8" t="str">
        <f>formatIP(Table1[[#This Row],[Address A]])</f>
        <v>010.011.001.079</v>
      </c>
      <c r="P165" s="8" t="str">
        <f>formatIP(Table1[[#This Row],[Address B]])</f>
        <v>010.012.001.024</v>
      </c>
      <c r="Q165" s="8" t="e">
        <f>VLOOKUP(Table1[[#This Row],[Address A]],IP_Master[],4,FALSE)</f>
        <v>#N/A</v>
      </c>
      <c r="R165" s="8" t="str">
        <f>VLOOKUP(Table1[[#This Row],[Address B]],IP_Master[],4,FALSE)</f>
        <v>BFNCPLC</v>
      </c>
      <c r="S165" s="8" t="e">
        <f>VLOOKUP(Table1[[#This Row],[Address A]],IP_Master[],2,FALSE)</f>
        <v>#N/A</v>
      </c>
      <c r="T165" s="8" t="str">
        <f>VLOOKUP(Table1[[#This Row],[Address B]],IP_Master[],2,FALSE)</f>
        <v>Blast Furnace</v>
      </c>
      <c r="U165" s="9" t="e">
        <f>VLOOKUP(Table1[[#This Row],[Address A]],IP_Master[],3,FALSE)</f>
        <v>#N/A</v>
      </c>
      <c r="V165" s="9" t="str">
        <f>VLOOKUP(Table1[[#This Row],[Address B]],IP_Master[],3,FALSE)</f>
        <v>PLCs &amp; Control Equipment</v>
      </c>
      <c r="W165" s="9" t="str">
        <f>VLOOKUP(Table1[[#This Row],[Port B]],traffic_types[],2,FALSE)</f>
        <v>Modbus</v>
      </c>
    </row>
    <row r="166" spans="1:23" x14ac:dyDescent="0.6">
      <c r="A166" t="s">
        <v>64</v>
      </c>
      <c r="B166">
        <v>3209</v>
      </c>
      <c r="C166" t="s">
        <v>65</v>
      </c>
      <c r="D166">
        <v>502</v>
      </c>
      <c r="E166">
        <v>10</v>
      </c>
      <c r="F166">
        <v>613</v>
      </c>
      <c r="G166">
        <v>5</v>
      </c>
      <c r="H166">
        <v>308</v>
      </c>
      <c r="I166">
        <v>5</v>
      </c>
      <c r="J166">
        <v>305</v>
      </c>
      <c r="K166">
        <v>597.37237400000004</v>
      </c>
      <c r="L166">
        <v>1.8947999999909398E-2</v>
      </c>
      <c r="M166">
        <v>130040.10977474099</v>
      </c>
      <c r="N166">
        <v>128773.48532888301</v>
      </c>
      <c r="O166" s="8" t="str">
        <f>formatIP(Table1[[#This Row],[Address A]])</f>
        <v>010.011.001.079</v>
      </c>
      <c r="P166" s="8" t="str">
        <f>formatIP(Table1[[#This Row],[Address B]])</f>
        <v>010.012.001.024</v>
      </c>
      <c r="Q166" s="8" t="e">
        <f>VLOOKUP(Table1[[#This Row],[Address A]],IP_Master[],4,FALSE)</f>
        <v>#N/A</v>
      </c>
      <c r="R166" s="8" t="str">
        <f>VLOOKUP(Table1[[#This Row],[Address B]],IP_Master[],4,FALSE)</f>
        <v>BFNCPLC</v>
      </c>
      <c r="S166" s="8" t="e">
        <f>VLOOKUP(Table1[[#This Row],[Address A]],IP_Master[],2,FALSE)</f>
        <v>#N/A</v>
      </c>
      <c r="T166" s="8" t="str">
        <f>VLOOKUP(Table1[[#This Row],[Address B]],IP_Master[],2,FALSE)</f>
        <v>Blast Furnace</v>
      </c>
      <c r="U166" s="9" t="e">
        <f>VLOOKUP(Table1[[#This Row],[Address A]],IP_Master[],3,FALSE)</f>
        <v>#N/A</v>
      </c>
      <c r="V166" s="9" t="str">
        <f>VLOOKUP(Table1[[#This Row],[Address B]],IP_Master[],3,FALSE)</f>
        <v>PLCs &amp; Control Equipment</v>
      </c>
      <c r="W166" s="9" t="str">
        <f>VLOOKUP(Table1[[#This Row],[Port B]],traffic_types[],2,FALSE)</f>
        <v>Modbus</v>
      </c>
    </row>
    <row r="167" spans="1:23" x14ac:dyDescent="0.6">
      <c r="A167" t="s">
        <v>64</v>
      </c>
      <c r="B167">
        <v>3210</v>
      </c>
      <c r="C167" t="s">
        <v>65</v>
      </c>
      <c r="D167">
        <v>502</v>
      </c>
      <c r="E167">
        <v>10</v>
      </c>
      <c r="F167">
        <v>614</v>
      </c>
      <c r="G167">
        <v>5</v>
      </c>
      <c r="H167">
        <v>308</v>
      </c>
      <c r="I167">
        <v>5</v>
      </c>
      <c r="J167">
        <v>306</v>
      </c>
      <c r="K167">
        <v>597.41155200000003</v>
      </c>
      <c r="L167">
        <v>2.0783999999935101E-2</v>
      </c>
      <c r="M167">
        <v>118552.73287181</v>
      </c>
      <c r="N167">
        <v>117782.909931084</v>
      </c>
      <c r="O167" s="8" t="str">
        <f>formatIP(Table1[[#This Row],[Address A]])</f>
        <v>010.011.001.079</v>
      </c>
      <c r="P167" s="8" t="str">
        <f>formatIP(Table1[[#This Row],[Address B]])</f>
        <v>010.012.001.024</v>
      </c>
      <c r="Q167" s="8" t="e">
        <f>VLOOKUP(Table1[[#This Row],[Address A]],IP_Master[],4,FALSE)</f>
        <v>#N/A</v>
      </c>
      <c r="R167" s="8" t="str">
        <f>VLOOKUP(Table1[[#This Row],[Address B]],IP_Master[],4,FALSE)</f>
        <v>BFNCPLC</v>
      </c>
      <c r="S167" s="8" t="e">
        <f>VLOOKUP(Table1[[#This Row],[Address A]],IP_Master[],2,FALSE)</f>
        <v>#N/A</v>
      </c>
      <c r="T167" s="8" t="str">
        <f>VLOOKUP(Table1[[#This Row],[Address B]],IP_Master[],2,FALSE)</f>
        <v>Blast Furnace</v>
      </c>
      <c r="U167" s="9" t="e">
        <f>VLOOKUP(Table1[[#This Row],[Address A]],IP_Master[],3,FALSE)</f>
        <v>#N/A</v>
      </c>
      <c r="V167" s="9" t="str">
        <f>VLOOKUP(Table1[[#This Row],[Address B]],IP_Master[],3,FALSE)</f>
        <v>PLCs &amp; Control Equipment</v>
      </c>
      <c r="W167" s="9" t="str">
        <f>VLOOKUP(Table1[[#This Row],[Port B]],traffic_types[],2,FALSE)</f>
        <v>Modbus</v>
      </c>
    </row>
    <row r="168" spans="1:23" x14ac:dyDescent="0.6">
      <c r="A168" t="s">
        <v>64</v>
      </c>
      <c r="B168">
        <v>3211</v>
      </c>
      <c r="C168" t="s">
        <v>65</v>
      </c>
      <c r="D168">
        <v>502</v>
      </c>
      <c r="E168">
        <v>10</v>
      </c>
      <c r="F168">
        <v>614</v>
      </c>
      <c r="G168">
        <v>5</v>
      </c>
      <c r="H168">
        <v>308</v>
      </c>
      <c r="I168">
        <v>5</v>
      </c>
      <c r="J168">
        <v>306</v>
      </c>
      <c r="K168">
        <v>602.29779199999996</v>
      </c>
      <c r="L168">
        <v>2.3802000000046099E-2</v>
      </c>
      <c r="M168">
        <v>103520.712544964</v>
      </c>
      <c r="N168">
        <v>102848.500125841</v>
      </c>
      <c r="O168" s="8" t="str">
        <f>formatIP(Table1[[#This Row],[Address A]])</f>
        <v>010.011.001.079</v>
      </c>
      <c r="P168" s="8" t="str">
        <f>formatIP(Table1[[#This Row],[Address B]])</f>
        <v>010.012.001.024</v>
      </c>
      <c r="Q168" s="8" t="e">
        <f>VLOOKUP(Table1[[#This Row],[Address A]],IP_Master[],4,FALSE)</f>
        <v>#N/A</v>
      </c>
      <c r="R168" s="8" t="str">
        <f>VLOOKUP(Table1[[#This Row],[Address B]],IP_Master[],4,FALSE)</f>
        <v>BFNCPLC</v>
      </c>
      <c r="S168" s="8" t="e">
        <f>VLOOKUP(Table1[[#This Row],[Address A]],IP_Master[],2,FALSE)</f>
        <v>#N/A</v>
      </c>
      <c r="T168" s="8" t="str">
        <f>VLOOKUP(Table1[[#This Row],[Address B]],IP_Master[],2,FALSE)</f>
        <v>Blast Furnace</v>
      </c>
      <c r="U168" s="9" t="e">
        <f>VLOOKUP(Table1[[#This Row],[Address A]],IP_Master[],3,FALSE)</f>
        <v>#N/A</v>
      </c>
      <c r="V168" s="9" t="str">
        <f>VLOOKUP(Table1[[#This Row],[Address B]],IP_Master[],3,FALSE)</f>
        <v>PLCs &amp; Control Equipment</v>
      </c>
      <c r="W168" s="9" t="str">
        <f>VLOOKUP(Table1[[#This Row],[Port B]],traffic_types[],2,FALSE)</f>
        <v>Modbus</v>
      </c>
    </row>
    <row r="169" spans="1:23" x14ac:dyDescent="0.6">
      <c r="A169" t="s">
        <v>64</v>
      </c>
      <c r="B169">
        <v>3212</v>
      </c>
      <c r="C169" t="s">
        <v>65</v>
      </c>
      <c r="D169">
        <v>502</v>
      </c>
      <c r="E169">
        <v>10</v>
      </c>
      <c r="F169">
        <v>613</v>
      </c>
      <c r="G169">
        <v>5</v>
      </c>
      <c r="H169">
        <v>308</v>
      </c>
      <c r="I169">
        <v>5</v>
      </c>
      <c r="J169">
        <v>305</v>
      </c>
      <c r="K169">
        <v>602.31825700000002</v>
      </c>
      <c r="L169">
        <v>2.4219000000016401E-2</v>
      </c>
      <c r="M169">
        <v>101738.30463678599</v>
      </c>
      <c r="N169">
        <v>100747.34712409</v>
      </c>
      <c r="O169" s="8" t="str">
        <f>formatIP(Table1[[#This Row],[Address A]])</f>
        <v>010.011.001.079</v>
      </c>
      <c r="P169" s="8" t="str">
        <f>formatIP(Table1[[#This Row],[Address B]])</f>
        <v>010.012.001.024</v>
      </c>
      <c r="Q169" s="8" t="e">
        <f>VLOOKUP(Table1[[#This Row],[Address A]],IP_Master[],4,FALSE)</f>
        <v>#N/A</v>
      </c>
      <c r="R169" s="8" t="str">
        <f>VLOOKUP(Table1[[#This Row],[Address B]],IP_Master[],4,FALSE)</f>
        <v>BFNCPLC</v>
      </c>
      <c r="S169" s="8" t="e">
        <f>VLOOKUP(Table1[[#This Row],[Address A]],IP_Master[],2,FALSE)</f>
        <v>#N/A</v>
      </c>
      <c r="T169" s="8" t="str">
        <f>VLOOKUP(Table1[[#This Row],[Address B]],IP_Master[],2,FALSE)</f>
        <v>Blast Furnace</v>
      </c>
      <c r="U169" s="9" t="e">
        <f>VLOOKUP(Table1[[#This Row],[Address A]],IP_Master[],3,FALSE)</f>
        <v>#N/A</v>
      </c>
      <c r="V169" s="9" t="str">
        <f>VLOOKUP(Table1[[#This Row],[Address B]],IP_Master[],3,FALSE)</f>
        <v>PLCs &amp; Control Equipment</v>
      </c>
      <c r="W169" s="9" t="str">
        <f>VLOOKUP(Table1[[#This Row],[Port B]],traffic_types[],2,FALSE)</f>
        <v>Modbus</v>
      </c>
    </row>
    <row r="170" spans="1:23" x14ac:dyDescent="0.6">
      <c r="A170" t="s">
        <v>64</v>
      </c>
      <c r="B170">
        <v>3213</v>
      </c>
      <c r="C170" t="s">
        <v>65</v>
      </c>
      <c r="D170">
        <v>502</v>
      </c>
      <c r="E170">
        <v>10</v>
      </c>
      <c r="F170">
        <v>614</v>
      </c>
      <c r="G170">
        <v>5</v>
      </c>
      <c r="H170">
        <v>308</v>
      </c>
      <c r="I170">
        <v>5</v>
      </c>
      <c r="J170">
        <v>306</v>
      </c>
      <c r="K170">
        <v>602.35237600000005</v>
      </c>
      <c r="L170">
        <v>3.1622999999967802E-2</v>
      </c>
      <c r="M170">
        <v>77917.971097065805</v>
      </c>
      <c r="N170">
        <v>77412.010245786194</v>
      </c>
      <c r="O170" s="8" t="str">
        <f>formatIP(Table1[[#This Row],[Address A]])</f>
        <v>010.011.001.079</v>
      </c>
      <c r="P170" s="8" t="str">
        <f>formatIP(Table1[[#This Row],[Address B]])</f>
        <v>010.012.001.024</v>
      </c>
      <c r="Q170" s="8" t="e">
        <f>VLOOKUP(Table1[[#This Row],[Address A]],IP_Master[],4,FALSE)</f>
        <v>#N/A</v>
      </c>
      <c r="R170" s="8" t="str">
        <f>VLOOKUP(Table1[[#This Row],[Address B]],IP_Master[],4,FALSE)</f>
        <v>BFNCPLC</v>
      </c>
      <c r="S170" s="8" t="e">
        <f>VLOOKUP(Table1[[#This Row],[Address A]],IP_Master[],2,FALSE)</f>
        <v>#N/A</v>
      </c>
      <c r="T170" s="8" t="str">
        <f>VLOOKUP(Table1[[#This Row],[Address B]],IP_Master[],2,FALSE)</f>
        <v>Blast Furnace</v>
      </c>
      <c r="U170" s="9" t="e">
        <f>VLOOKUP(Table1[[#This Row],[Address A]],IP_Master[],3,FALSE)</f>
        <v>#N/A</v>
      </c>
      <c r="V170" s="9" t="str">
        <f>VLOOKUP(Table1[[#This Row],[Address B]],IP_Master[],3,FALSE)</f>
        <v>PLCs &amp; Control Equipment</v>
      </c>
      <c r="W170" s="9" t="str">
        <f>VLOOKUP(Table1[[#This Row],[Port B]],traffic_types[],2,FALSE)</f>
        <v>Modbus</v>
      </c>
    </row>
    <row r="171" spans="1:23" x14ac:dyDescent="0.6">
      <c r="A171" t="s">
        <v>64</v>
      </c>
      <c r="B171">
        <v>3214</v>
      </c>
      <c r="C171" t="s">
        <v>65</v>
      </c>
      <c r="D171">
        <v>502</v>
      </c>
      <c r="E171">
        <v>10</v>
      </c>
      <c r="F171">
        <v>613</v>
      </c>
      <c r="G171">
        <v>5</v>
      </c>
      <c r="H171">
        <v>308</v>
      </c>
      <c r="I171">
        <v>5</v>
      </c>
      <c r="J171">
        <v>305</v>
      </c>
      <c r="K171">
        <v>602.38134700000001</v>
      </c>
      <c r="L171">
        <v>2.5004999999964601E-2</v>
      </c>
      <c r="M171">
        <v>98540.291941750998</v>
      </c>
      <c r="N171">
        <v>97580.483903357395</v>
      </c>
      <c r="O171" s="8" t="str">
        <f>formatIP(Table1[[#This Row],[Address A]])</f>
        <v>010.011.001.079</v>
      </c>
      <c r="P171" s="8" t="str">
        <f>formatIP(Table1[[#This Row],[Address B]])</f>
        <v>010.012.001.024</v>
      </c>
      <c r="Q171" s="8" t="e">
        <f>VLOOKUP(Table1[[#This Row],[Address A]],IP_Master[],4,FALSE)</f>
        <v>#N/A</v>
      </c>
      <c r="R171" s="8" t="str">
        <f>VLOOKUP(Table1[[#This Row],[Address B]],IP_Master[],4,FALSE)</f>
        <v>BFNCPLC</v>
      </c>
      <c r="S171" s="8" t="e">
        <f>VLOOKUP(Table1[[#This Row],[Address A]],IP_Master[],2,FALSE)</f>
        <v>#N/A</v>
      </c>
      <c r="T171" s="8" t="str">
        <f>VLOOKUP(Table1[[#This Row],[Address B]],IP_Master[],2,FALSE)</f>
        <v>Blast Furnace</v>
      </c>
      <c r="U171" s="9" t="e">
        <f>VLOOKUP(Table1[[#This Row],[Address A]],IP_Master[],3,FALSE)</f>
        <v>#N/A</v>
      </c>
      <c r="V171" s="9" t="str">
        <f>VLOOKUP(Table1[[#This Row],[Address B]],IP_Master[],3,FALSE)</f>
        <v>PLCs &amp; Control Equipment</v>
      </c>
      <c r="W171" s="9" t="str">
        <f>VLOOKUP(Table1[[#This Row],[Port B]],traffic_types[],2,FALSE)</f>
        <v>Modbus</v>
      </c>
    </row>
    <row r="172" spans="1:23" x14ac:dyDescent="0.6">
      <c r="A172" t="s">
        <v>64</v>
      </c>
      <c r="B172">
        <v>3215</v>
      </c>
      <c r="C172" t="s">
        <v>65</v>
      </c>
      <c r="D172">
        <v>502</v>
      </c>
      <c r="E172">
        <v>10</v>
      </c>
      <c r="F172">
        <v>614</v>
      </c>
      <c r="G172">
        <v>5</v>
      </c>
      <c r="H172">
        <v>308</v>
      </c>
      <c r="I172">
        <v>5</v>
      </c>
      <c r="J172">
        <v>306</v>
      </c>
      <c r="K172">
        <v>602.41387999999995</v>
      </c>
      <c r="L172">
        <v>2.6851000000078801E-2</v>
      </c>
      <c r="M172">
        <v>91765.669807186699</v>
      </c>
      <c r="N172">
        <v>91169.7888344128</v>
      </c>
      <c r="O172" s="8" t="str">
        <f>formatIP(Table1[[#This Row],[Address A]])</f>
        <v>010.011.001.079</v>
      </c>
      <c r="P172" s="8" t="str">
        <f>formatIP(Table1[[#This Row],[Address B]])</f>
        <v>010.012.001.024</v>
      </c>
      <c r="Q172" s="8" t="e">
        <f>VLOOKUP(Table1[[#This Row],[Address A]],IP_Master[],4,FALSE)</f>
        <v>#N/A</v>
      </c>
      <c r="R172" s="8" t="str">
        <f>VLOOKUP(Table1[[#This Row],[Address B]],IP_Master[],4,FALSE)</f>
        <v>BFNCPLC</v>
      </c>
      <c r="S172" s="8" t="e">
        <f>VLOOKUP(Table1[[#This Row],[Address A]],IP_Master[],2,FALSE)</f>
        <v>#N/A</v>
      </c>
      <c r="T172" s="8" t="str">
        <f>VLOOKUP(Table1[[#This Row],[Address B]],IP_Master[],2,FALSE)</f>
        <v>Blast Furnace</v>
      </c>
      <c r="U172" s="9" t="e">
        <f>VLOOKUP(Table1[[#This Row],[Address A]],IP_Master[],3,FALSE)</f>
        <v>#N/A</v>
      </c>
      <c r="V172" s="9" t="str">
        <f>VLOOKUP(Table1[[#This Row],[Address B]],IP_Master[],3,FALSE)</f>
        <v>PLCs &amp; Control Equipment</v>
      </c>
      <c r="W172" s="9" t="str">
        <f>VLOOKUP(Table1[[#This Row],[Port B]],traffic_types[],2,FALSE)</f>
        <v>Modbus</v>
      </c>
    </row>
    <row r="173" spans="1:23" x14ac:dyDescent="0.6">
      <c r="A173" t="s">
        <v>64</v>
      </c>
      <c r="B173">
        <v>3274</v>
      </c>
      <c r="C173" t="s">
        <v>65</v>
      </c>
      <c r="D173">
        <v>502</v>
      </c>
      <c r="E173">
        <v>10</v>
      </c>
      <c r="F173">
        <v>614</v>
      </c>
      <c r="G173">
        <v>5</v>
      </c>
      <c r="H173">
        <v>308</v>
      </c>
      <c r="I173">
        <v>5</v>
      </c>
      <c r="J173">
        <v>306</v>
      </c>
      <c r="K173">
        <v>687.29893100000004</v>
      </c>
      <c r="L173">
        <v>2.50069999999596E-2</v>
      </c>
      <c r="M173">
        <v>98532.410925100194</v>
      </c>
      <c r="N173">
        <v>97892.590074937296</v>
      </c>
      <c r="O173" s="8" t="str">
        <f>formatIP(Table1[[#This Row],[Address A]])</f>
        <v>010.011.001.079</v>
      </c>
      <c r="P173" s="8" t="str">
        <f>formatIP(Table1[[#This Row],[Address B]])</f>
        <v>010.012.001.024</v>
      </c>
      <c r="Q173" s="8" t="e">
        <f>VLOOKUP(Table1[[#This Row],[Address A]],IP_Master[],4,FALSE)</f>
        <v>#N/A</v>
      </c>
      <c r="R173" s="8" t="str">
        <f>VLOOKUP(Table1[[#This Row],[Address B]],IP_Master[],4,FALSE)</f>
        <v>BFNCPLC</v>
      </c>
      <c r="S173" s="8" t="e">
        <f>VLOOKUP(Table1[[#This Row],[Address A]],IP_Master[],2,FALSE)</f>
        <v>#N/A</v>
      </c>
      <c r="T173" s="8" t="str">
        <f>VLOOKUP(Table1[[#This Row],[Address B]],IP_Master[],2,FALSE)</f>
        <v>Blast Furnace</v>
      </c>
      <c r="U173" s="9" t="e">
        <f>VLOOKUP(Table1[[#This Row],[Address A]],IP_Master[],3,FALSE)</f>
        <v>#N/A</v>
      </c>
      <c r="V173" s="9" t="str">
        <f>VLOOKUP(Table1[[#This Row],[Address B]],IP_Master[],3,FALSE)</f>
        <v>PLCs &amp; Control Equipment</v>
      </c>
      <c r="W173" s="9" t="str">
        <f>VLOOKUP(Table1[[#This Row],[Port B]],traffic_types[],2,FALSE)</f>
        <v>Modbus</v>
      </c>
    </row>
    <row r="174" spans="1:23" x14ac:dyDescent="0.6">
      <c r="A174" t="s">
        <v>64</v>
      </c>
      <c r="B174">
        <v>3275</v>
      </c>
      <c r="C174" t="s">
        <v>65</v>
      </c>
      <c r="D174">
        <v>502</v>
      </c>
      <c r="E174">
        <v>10</v>
      </c>
      <c r="F174">
        <v>613</v>
      </c>
      <c r="G174">
        <v>5</v>
      </c>
      <c r="H174">
        <v>308</v>
      </c>
      <c r="I174">
        <v>5</v>
      </c>
      <c r="J174">
        <v>305</v>
      </c>
      <c r="K174">
        <v>687.31798400000002</v>
      </c>
      <c r="L174">
        <v>1.9325999999978201E-2</v>
      </c>
      <c r="M174">
        <v>127496.63665542701</v>
      </c>
      <c r="N174">
        <v>126254.786298394</v>
      </c>
      <c r="O174" s="8" t="str">
        <f>formatIP(Table1[[#This Row],[Address A]])</f>
        <v>010.011.001.079</v>
      </c>
      <c r="P174" s="8" t="str">
        <f>formatIP(Table1[[#This Row],[Address B]])</f>
        <v>010.012.001.024</v>
      </c>
      <c r="Q174" s="8" t="e">
        <f>VLOOKUP(Table1[[#This Row],[Address A]],IP_Master[],4,FALSE)</f>
        <v>#N/A</v>
      </c>
      <c r="R174" s="8" t="str">
        <f>VLOOKUP(Table1[[#This Row],[Address B]],IP_Master[],4,FALSE)</f>
        <v>BFNCPLC</v>
      </c>
      <c r="S174" s="8" t="e">
        <f>VLOOKUP(Table1[[#This Row],[Address A]],IP_Master[],2,FALSE)</f>
        <v>#N/A</v>
      </c>
      <c r="T174" s="8" t="str">
        <f>VLOOKUP(Table1[[#This Row],[Address B]],IP_Master[],2,FALSE)</f>
        <v>Blast Furnace</v>
      </c>
      <c r="U174" s="9" t="e">
        <f>VLOOKUP(Table1[[#This Row],[Address A]],IP_Master[],3,FALSE)</f>
        <v>#N/A</v>
      </c>
      <c r="V174" s="9" t="str">
        <f>VLOOKUP(Table1[[#This Row],[Address B]],IP_Master[],3,FALSE)</f>
        <v>PLCs &amp; Control Equipment</v>
      </c>
      <c r="W174" s="9" t="str">
        <f>VLOOKUP(Table1[[#This Row],[Port B]],traffic_types[],2,FALSE)</f>
        <v>Modbus</v>
      </c>
    </row>
    <row r="175" spans="1:23" x14ac:dyDescent="0.6">
      <c r="A175" t="s">
        <v>64</v>
      </c>
      <c r="B175">
        <v>3276</v>
      </c>
      <c r="C175" t="s">
        <v>65</v>
      </c>
      <c r="D175">
        <v>502</v>
      </c>
      <c r="E175">
        <v>10</v>
      </c>
      <c r="F175">
        <v>614</v>
      </c>
      <c r="G175">
        <v>5</v>
      </c>
      <c r="H175">
        <v>308</v>
      </c>
      <c r="I175">
        <v>5</v>
      </c>
      <c r="J175">
        <v>306</v>
      </c>
      <c r="K175">
        <v>687.35170500000004</v>
      </c>
      <c r="L175">
        <v>2.5271999999972601E-2</v>
      </c>
      <c r="M175">
        <v>97499.208610425194</v>
      </c>
      <c r="N175">
        <v>96866.096866201697</v>
      </c>
      <c r="O175" s="8" t="str">
        <f>formatIP(Table1[[#This Row],[Address A]])</f>
        <v>010.011.001.079</v>
      </c>
      <c r="P175" s="8" t="str">
        <f>formatIP(Table1[[#This Row],[Address B]])</f>
        <v>010.012.001.024</v>
      </c>
      <c r="Q175" s="8" t="e">
        <f>VLOOKUP(Table1[[#This Row],[Address A]],IP_Master[],4,FALSE)</f>
        <v>#N/A</v>
      </c>
      <c r="R175" s="8" t="str">
        <f>VLOOKUP(Table1[[#This Row],[Address B]],IP_Master[],4,FALSE)</f>
        <v>BFNCPLC</v>
      </c>
      <c r="S175" s="8" t="e">
        <f>VLOOKUP(Table1[[#This Row],[Address A]],IP_Master[],2,FALSE)</f>
        <v>#N/A</v>
      </c>
      <c r="T175" s="8" t="str">
        <f>VLOOKUP(Table1[[#This Row],[Address B]],IP_Master[],2,FALSE)</f>
        <v>Blast Furnace</v>
      </c>
      <c r="U175" s="9" t="e">
        <f>VLOOKUP(Table1[[#This Row],[Address A]],IP_Master[],3,FALSE)</f>
        <v>#N/A</v>
      </c>
      <c r="V175" s="9" t="str">
        <f>VLOOKUP(Table1[[#This Row],[Address B]],IP_Master[],3,FALSE)</f>
        <v>PLCs &amp; Control Equipment</v>
      </c>
      <c r="W175" s="9" t="str">
        <f>VLOOKUP(Table1[[#This Row],[Port B]],traffic_types[],2,FALSE)</f>
        <v>Modbus</v>
      </c>
    </row>
    <row r="176" spans="1:23" x14ac:dyDescent="0.6">
      <c r="A176" t="s">
        <v>64</v>
      </c>
      <c r="B176">
        <v>3277</v>
      </c>
      <c r="C176" t="s">
        <v>65</v>
      </c>
      <c r="D176">
        <v>502</v>
      </c>
      <c r="E176">
        <v>10</v>
      </c>
      <c r="F176">
        <v>613</v>
      </c>
      <c r="G176">
        <v>5</v>
      </c>
      <c r="H176">
        <v>308</v>
      </c>
      <c r="I176">
        <v>5</v>
      </c>
      <c r="J176">
        <v>305</v>
      </c>
      <c r="K176">
        <v>687.37469699999997</v>
      </c>
      <c r="L176">
        <v>1.7449000000056E-2</v>
      </c>
      <c r="M176">
        <v>141211.53074629401</v>
      </c>
      <c r="N176">
        <v>139836.093758506</v>
      </c>
      <c r="O176" s="8" t="str">
        <f>formatIP(Table1[[#This Row],[Address A]])</f>
        <v>010.011.001.079</v>
      </c>
      <c r="P176" s="8" t="str">
        <f>formatIP(Table1[[#This Row],[Address B]])</f>
        <v>010.012.001.024</v>
      </c>
      <c r="Q176" s="8" t="e">
        <f>VLOOKUP(Table1[[#This Row],[Address A]],IP_Master[],4,FALSE)</f>
        <v>#N/A</v>
      </c>
      <c r="R176" s="8" t="str">
        <f>VLOOKUP(Table1[[#This Row],[Address B]],IP_Master[],4,FALSE)</f>
        <v>BFNCPLC</v>
      </c>
      <c r="S176" s="8" t="e">
        <f>VLOOKUP(Table1[[#This Row],[Address A]],IP_Master[],2,FALSE)</f>
        <v>#N/A</v>
      </c>
      <c r="T176" s="8" t="str">
        <f>VLOOKUP(Table1[[#This Row],[Address B]],IP_Master[],2,FALSE)</f>
        <v>Blast Furnace</v>
      </c>
      <c r="U176" s="9" t="e">
        <f>VLOOKUP(Table1[[#This Row],[Address A]],IP_Master[],3,FALSE)</f>
        <v>#N/A</v>
      </c>
      <c r="V176" s="9" t="str">
        <f>VLOOKUP(Table1[[#This Row],[Address B]],IP_Master[],3,FALSE)</f>
        <v>PLCs &amp; Control Equipment</v>
      </c>
      <c r="W176" s="9" t="str">
        <f>VLOOKUP(Table1[[#This Row],[Port B]],traffic_types[],2,FALSE)</f>
        <v>Modbus</v>
      </c>
    </row>
    <row r="177" spans="1:23" x14ac:dyDescent="0.6">
      <c r="A177" t="s">
        <v>64</v>
      </c>
      <c r="B177">
        <v>3278</v>
      </c>
      <c r="C177" t="s">
        <v>65</v>
      </c>
      <c r="D177">
        <v>502</v>
      </c>
      <c r="E177">
        <v>10</v>
      </c>
      <c r="F177">
        <v>614</v>
      </c>
      <c r="G177">
        <v>5</v>
      </c>
      <c r="H177">
        <v>308</v>
      </c>
      <c r="I177">
        <v>5</v>
      </c>
      <c r="J177">
        <v>306</v>
      </c>
      <c r="K177">
        <v>687.41292399999998</v>
      </c>
      <c r="L177">
        <v>2.1235000000047001E-2</v>
      </c>
      <c r="M177">
        <v>116034.848127834</v>
      </c>
      <c r="N177">
        <v>115281.375088043</v>
      </c>
      <c r="O177" s="8" t="str">
        <f>formatIP(Table1[[#This Row],[Address A]])</f>
        <v>010.011.001.079</v>
      </c>
      <c r="P177" s="8" t="str">
        <f>formatIP(Table1[[#This Row],[Address B]])</f>
        <v>010.012.001.024</v>
      </c>
      <c r="Q177" s="8" t="e">
        <f>VLOOKUP(Table1[[#This Row],[Address A]],IP_Master[],4,FALSE)</f>
        <v>#N/A</v>
      </c>
      <c r="R177" s="8" t="str">
        <f>VLOOKUP(Table1[[#This Row],[Address B]],IP_Master[],4,FALSE)</f>
        <v>BFNCPLC</v>
      </c>
      <c r="S177" s="8" t="e">
        <f>VLOOKUP(Table1[[#This Row],[Address A]],IP_Master[],2,FALSE)</f>
        <v>#N/A</v>
      </c>
      <c r="T177" s="8" t="str">
        <f>VLOOKUP(Table1[[#This Row],[Address B]],IP_Master[],2,FALSE)</f>
        <v>Blast Furnace</v>
      </c>
      <c r="U177" s="9" t="e">
        <f>VLOOKUP(Table1[[#This Row],[Address A]],IP_Master[],3,FALSE)</f>
        <v>#N/A</v>
      </c>
      <c r="V177" s="9" t="str">
        <f>VLOOKUP(Table1[[#This Row],[Address B]],IP_Master[],3,FALSE)</f>
        <v>PLCs &amp; Control Equipment</v>
      </c>
      <c r="W177" s="9" t="str">
        <f>VLOOKUP(Table1[[#This Row],[Port B]],traffic_types[],2,FALSE)</f>
        <v>Modbus</v>
      </c>
    </row>
    <row r="178" spans="1:23" x14ac:dyDescent="0.6">
      <c r="A178" t="s">
        <v>64</v>
      </c>
      <c r="B178">
        <v>3279</v>
      </c>
      <c r="C178" t="s">
        <v>65</v>
      </c>
      <c r="D178">
        <v>502</v>
      </c>
      <c r="E178">
        <v>10</v>
      </c>
      <c r="F178">
        <v>614</v>
      </c>
      <c r="G178">
        <v>5</v>
      </c>
      <c r="H178">
        <v>308</v>
      </c>
      <c r="I178">
        <v>5</v>
      </c>
      <c r="J178">
        <v>306</v>
      </c>
      <c r="K178">
        <v>692.29904599999998</v>
      </c>
      <c r="L178">
        <v>2.2679000000039199E-2</v>
      </c>
      <c r="M178">
        <v>108646.765730224</v>
      </c>
      <c r="N178">
        <v>107941.267251456</v>
      </c>
      <c r="O178" s="8" t="str">
        <f>formatIP(Table1[[#This Row],[Address A]])</f>
        <v>010.011.001.079</v>
      </c>
      <c r="P178" s="8" t="str">
        <f>formatIP(Table1[[#This Row],[Address B]])</f>
        <v>010.012.001.024</v>
      </c>
      <c r="Q178" s="8" t="e">
        <f>VLOOKUP(Table1[[#This Row],[Address A]],IP_Master[],4,FALSE)</f>
        <v>#N/A</v>
      </c>
      <c r="R178" s="8" t="str">
        <f>VLOOKUP(Table1[[#This Row],[Address B]],IP_Master[],4,FALSE)</f>
        <v>BFNCPLC</v>
      </c>
      <c r="S178" s="8" t="e">
        <f>VLOOKUP(Table1[[#This Row],[Address A]],IP_Master[],2,FALSE)</f>
        <v>#N/A</v>
      </c>
      <c r="T178" s="8" t="str">
        <f>VLOOKUP(Table1[[#This Row],[Address B]],IP_Master[],2,FALSE)</f>
        <v>Blast Furnace</v>
      </c>
      <c r="U178" s="9" t="e">
        <f>VLOOKUP(Table1[[#This Row],[Address A]],IP_Master[],3,FALSE)</f>
        <v>#N/A</v>
      </c>
      <c r="V178" s="9" t="str">
        <f>VLOOKUP(Table1[[#This Row],[Address B]],IP_Master[],3,FALSE)</f>
        <v>PLCs &amp; Control Equipment</v>
      </c>
      <c r="W178" s="9" t="str">
        <f>VLOOKUP(Table1[[#This Row],[Port B]],traffic_types[],2,FALSE)</f>
        <v>Modbus</v>
      </c>
    </row>
    <row r="179" spans="1:23" x14ac:dyDescent="0.6">
      <c r="A179" t="s">
        <v>64</v>
      </c>
      <c r="B179">
        <v>3280</v>
      </c>
      <c r="C179" t="s">
        <v>65</v>
      </c>
      <c r="D179">
        <v>502</v>
      </c>
      <c r="E179">
        <v>10</v>
      </c>
      <c r="F179">
        <v>613</v>
      </c>
      <c r="G179">
        <v>5</v>
      </c>
      <c r="H179">
        <v>308</v>
      </c>
      <c r="I179">
        <v>5</v>
      </c>
      <c r="J179">
        <v>305</v>
      </c>
      <c r="K179">
        <v>692.31897000000004</v>
      </c>
      <c r="L179">
        <v>1.90809999999146E-2</v>
      </c>
      <c r="M179">
        <v>129133.69320323999</v>
      </c>
      <c r="N179">
        <v>127875.897490221</v>
      </c>
      <c r="O179" s="8" t="str">
        <f>formatIP(Table1[[#This Row],[Address A]])</f>
        <v>010.011.001.079</v>
      </c>
      <c r="P179" s="8" t="str">
        <f>formatIP(Table1[[#This Row],[Address B]])</f>
        <v>010.012.001.024</v>
      </c>
      <c r="Q179" s="8" t="e">
        <f>VLOOKUP(Table1[[#This Row],[Address A]],IP_Master[],4,FALSE)</f>
        <v>#N/A</v>
      </c>
      <c r="R179" s="8" t="str">
        <f>VLOOKUP(Table1[[#This Row],[Address B]],IP_Master[],4,FALSE)</f>
        <v>BFNCPLC</v>
      </c>
      <c r="S179" s="8" t="e">
        <f>VLOOKUP(Table1[[#This Row],[Address A]],IP_Master[],2,FALSE)</f>
        <v>#N/A</v>
      </c>
      <c r="T179" s="8" t="str">
        <f>VLOOKUP(Table1[[#This Row],[Address B]],IP_Master[],2,FALSE)</f>
        <v>Blast Furnace</v>
      </c>
      <c r="U179" s="9" t="e">
        <f>VLOOKUP(Table1[[#This Row],[Address A]],IP_Master[],3,FALSE)</f>
        <v>#N/A</v>
      </c>
      <c r="V179" s="9" t="str">
        <f>VLOOKUP(Table1[[#This Row],[Address B]],IP_Master[],3,FALSE)</f>
        <v>PLCs &amp; Control Equipment</v>
      </c>
      <c r="W179" s="9" t="str">
        <f>VLOOKUP(Table1[[#This Row],[Port B]],traffic_types[],2,FALSE)</f>
        <v>Modbus</v>
      </c>
    </row>
    <row r="180" spans="1:23" x14ac:dyDescent="0.6">
      <c r="A180" t="s">
        <v>64</v>
      </c>
      <c r="B180">
        <v>3281</v>
      </c>
      <c r="C180" t="s">
        <v>65</v>
      </c>
      <c r="D180">
        <v>502</v>
      </c>
      <c r="E180">
        <v>10</v>
      </c>
      <c r="F180">
        <v>614</v>
      </c>
      <c r="G180">
        <v>5</v>
      </c>
      <c r="H180">
        <v>308</v>
      </c>
      <c r="I180">
        <v>5</v>
      </c>
      <c r="J180">
        <v>306</v>
      </c>
      <c r="K180">
        <v>692.35181299999999</v>
      </c>
      <c r="L180">
        <v>1.9924000000060001E-2</v>
      </c>
      <c r="M180">
        <v>123669.94579364501</v>
      </c>
      <c r="N180">
        <v>122866.89419758201</v>
      </c>
      <c r="O180" s="8" t="str">
        <f>formatIP(Table1[[#This Row],[Address A]])</f>
        <v>010.011.001.079</v>
      </c>
      <c r="P180" s="8" t="str">
        <f>formatIP(Table1[[#This Row],[Address B]])</f>
        <v>010.012.001.024</v>
      </c>
      <c r="Q180" s="8" t="e">
        <f>VLOOKUP(Table1[[#This Row],[Address A]],IP_Master[],4,FALSE)</f>
        <v>#N/A</v>
      </c>
      <c r="R180" s="8" t="str">
        <f>VLOOKUP(Table1[[#This Row],[Address B]],IP_Master[],4,FALSE)</f>
        <v>BFNCPLC</v>
      </c>
      <c r="S180" s="8" t="e">
        <f>VLOOKUP(Table1[[#This Row],[Address A]],IP_Master[],2,FALSE)</f>
        <v>#N/A</v>
      </c>
      <c r="T180" s="8" t="str">
        <f>VLOOKUP(Table1[[#This Row],[Address B]],IP_Master[],2,FALSE)</f>
        <v>Blast Furnace</v>
      </c>
      <c r="U180" s="9" t="e">
        <f>VLOOKUP(Table1[[#This Row],[Address A]],IP_Master[],3,FALSE)</f>
        <v>#N/A</v>
      </c>
      <c r="V180" s="9" t="str">
        <f>VLOOKUP(Table1[[#This Row],[Address B]],IP_Master[],3,FALSE)</f>
        <v>PLCs &amp; Control Equipment</v>
      </c>
      <c r="W180" s="9" t="str">
        <f>VLOOKUP(Table1[[#This Row],[Port B]],traffic_types[],2,FALSE)</f>
        <v>Modbus</v>
      </c>
    </row>
    <row r="181" spans="1:23" x14ac:dyDescent="0.6">
      <c r="A181" t="s">
        <v>64</v>
      </c>
      <c r="B181">
        <v>3282</v>
      </c>
      <c r="C181" t="s">
        <v>65</v>
      </c>
      <c r="D181">
        <v>502</v>
      </c>
      <c r="E181">
        <v>10</v>
      </c>
      <c r="F181">
        <v>613</v>
      </c>
      <c r="G181">
        <v>5</v>
      </c>
      <c r="H181">
        <v>308</v>
      </c>
      <c r="I181">
        <v>5</v>
      </c>
      <c r="J181">
        <v>305</v>
      </c>
      <c r="K181">
        <v>692.36975099999995</v>
      </c>
      <c r="L181">
        <v>2.0273000000088401E-2</v>
      </c>
      <c r="M181">
        <v>121540.96581607399</v>
      </c>
      <c r="N181">
        <v>120357.12523994299</v>
      </c>
      <c r="O181" s="8" t="str">
        <f>formatIP(Table1[[#This Row],[Address A]])</f>
        <v>010.011.001.079</v>
      </c>
      <c r="P181" s="8" t="str">
        <f>formatIP(Table1[[#This Row],[Address B]])</f>
        <v>010.012.001.024</v>
      </c>
      <c r="Q181" s="8" t="e">
        <f>VLOOKUP(Table1[[#This Row],[Address A]],IP_Master[],4,FALSE)</f>
        <v>#N/A</v>
      </c>
      <c r="R181" s="8" t="str">
        <f>VLOOKUP(Table1[[#This Row],[Address B]],IP_Master[],4,FALSE)</f>
        <v>BFNCPLC</v>
      </c>
      <c r="S181" s="8" t="e">
        <f>VLOOKUP(Table1[[#This Row],[Address A]],IP_Master[],2,FALSE)</f>
        <v>#N/A</v>
      </c>
      <c r="T181" s="8" t="str">
        <f>VLOOKUP(Table1[[#This Row],[Address B]],IP_Master[],2,FALSE)</f>
        <v>Blast Furnace</v>
      </c>
      <c r="U181" s="9" t="e">
        <f>VLOOKUP(Table1[[#This Row],[Address A]],IP_Master[],3,FALSE)</f>
        <v>#N/A</v>
      </c>
      <c r="V181" s="9" t="str">
        <f>VLOOKUP(Table1[[#This Row],[Address B]],IP_Master[],3,FALSE)</f>
        <v>PLCs &amp; Control Equipment</v>
      </c>
      <c r="W181" s="9" t="str">
        <f>VLOOKUP(Table1[[#This Row],[Port B]],traffic_types[],2,FALSE)</f>
        <v>Modbus</v>
      </c>
    </row>
    <row r="182" spans="1:23" x14ac:dyDescent="0.6">
      <c r="A182" t="s">
        <v>64</v>
      </c>
      <c r="B182">
        <v>3283</v>
      </c>
      <c r="C182" t="s">
        <v>65</v>
      </c>
      <c r="D182">
        <v>502</v>
      </c>
      <c r="E182">
        <v>10</v>
      </c>
      <c r="F182">
        <v>614</v>
      </c>
      <c r="G182">
        <v>5</v>
      </c>
      <c r="H182">
        <v>308</v>
      </c>
      <c r="I182">
        <v>5</v>
      </c>
      <c r="J182">
        <v>306</v>
      </c>
      <c r="K182">
        <v>692.412913</v>
      </c>
      <c r="L182">
        <v>2.1666999999979501E-2</v>
      </c>
      <c r="M182">
        <v>113721.32736430199</v>
      </c>
      <c r="N182">
        <v>112982.87718661199</v>
      </c>
      <c r="O182" s="8" t="str">
        <f>formatIP(Table1[[#This Row],[Address A]])</f>
        <v>010.011.001.079</v>
      </c>
      <c r="P182" s="8" t="str">
        <f>formatIP(Table1[[#This Row],[Address B]])</f>
        <v>010.012.001.024</v>
      </c>
      <c r="Q182" s="8" t="e">
        <f>VLOOKUP(Table1[[#This Row],[Address A]],IP_Master[],4,FALSE)</f>
        <v>#N/A</v>
      </c>
      <c r="R182" s="8" t="str">
        <f>VLOOKUP(Table1[[#This Row],[Address B]],IP_Master[],4,FALSE)</f>
        <v>BFNCPLC</v>
      </c>
      <c r="S182" s="8" t="e">
        <f>VLOOKUP(Table1[[#This Row],[Address A]],IP_Master[],2,FALSE)</f>
        <v>#N/A</v>
      </c>
      <c r="T182" s="8" t="str">
        <f>VLOOKUP(Table1[[#This Row],[Address B]],IP_Master[],2,FALSE)</f>
        <v>Blast Furnace</v>
      </c>
      <c r="U182" s="9" t="e">
        <f>VLOOKUP(Table1[[#This Row],[Address A]],IP_Master[],3,FALSE)</f>
        <v>#N/A</v>
      </c>
      <c r="V182" s="9" t="str">
        <f>VLOOKUP(Table1[[#This Row],[Address B]],IP_Master[],3,FALSE)</f>
        <v>PLCs &amp; Control Equipment</v>
      </c>
      <c r="W182" s="9" t="str">
        <f>VLOOKUP(Table1[[#This Row],[Port B]],traffic_types[],2,FALSE)</f>
        <v>Modbus</v>
      </c>
    </row>
    <row r="183" spans="1:23" x14ac:dyDescent="0.6">
      <c r="A183" t="s">
        <v>64</v>
      </c>
      <c r="B183">
        <v>3344</v>
      </c>
      <c r="C183" t="s">
        <v>65</v>
      </c>
      <c r="D183">
        <v>502</v>
      </c>
      <c r="E183">
        <v>10</v>
      </c>
      <c r="F183">
        <v>614</v>
      </c>
      <c r="G183">
        <v>5</v>
      </c>
      <c r="H183">
        <v>308</v>
      </c>
      <c r="I183">
        <v>5</v>
      </c>
      <c r="J183">
        <v>306</v>
      </c>
      <c r="K183">
        <v>777.30030499999998</v>
      </c>
      <c r="L183">
        <v>2.07290000000739E-2</v>
      </c>
      <c r="M183">
        <v>118867.287374751</v>
      </c>
      <c r="N183">
        <v>118095.42187231701</v>
      </c>
      <c r="O183" s="8" t="str">
        <f>formatIP(Table1[[#This Row],[Address A]])</f>
        <v>010.011.001.079</v>
      </c>
      <c r="P183" s="8" t="str">
        <f>formatIP(Table1[[#This Row],[Address B]])</f>
        <v>010.012.001.024</v>
      </c>
      <c r="Q183" s="8" t="e">
        <f>VLOOKUP(Table1[[#This Row],[Address A]],IP_Master[],4,FALSE)</f>
        <v>#N/A</v>
      </c>
      <c r="R183" s="8" t="str">
        <f>VLOOKUP(Table1[[#This Row],[Address B]],IP_Master[],4,FALSE)</f>
        <v>BFNCPLC</v>
      </c>
      <c r="S183" s="8" t="e">
        <f>VLOOKUP(Table1[[#This Row],[Address A]],IP_Master[],2,FALSE)</f>
        <v>#N/A</v>
      </c>
      <c r="T183" s="8" t="str">
        <f>VLOOKUP(Table1[[#This Row],[Address B]],IP_Master[],2,FALSE)</f>
        <v>Blast Furnace</v>
      </c>
      <c r="U183" s="9" t="e">
        <f>VLOOKUP(Table1[[#This Row],[Address A]],IP_Master[],3,FALSE)</f>
        <v>#N/A</v>
      </c>
      <c r="V183" s="9" t="str">
        <f>VLOOKUP(Table1[[#This Row],[Address B]],IP_Master[],3,FALSE)</f>
        <v>PLCs &amp; Control Equipment</v>
      </c>
      <c r="W183" s="9" t="str">
        <f>VLOOKUP(Table1[[#This Row],[Port B]],traffic_types[],2,FALSE)</f>
        <v>Modbus</v>
      </c>
    </row>
    <row r="184" spans="1:23" x14ac:dyDescent="0.6">
      <c r="A184" t="s">
        <v>64</v>
      </c>
      <c r="B184">
        <v>3345</v>
      </c>
      <c r="C184" t="s">
        <v>65</v>
      </c>
      <c r="D184">
        <v>502</v>
      </c>
      <c r="E184">
        <v>10</v>
      </c>
      <c r="F184">
        <v>613</v>
      </c>
      <c r="G184">
        <v>5</v>
      </c>
      <c r="H184">
        <v>308</v>
      </c>
      <c r="I184">
        <v>5</v>
      </c>
      <c r="J184">
        <v>305</v>
      </c>
      <c r="K184">
        <v>777.31822999999997</v>
      </c>
      <c r="L184">
        <v>1.7030999999974501E-2</v>
      </c>
      <c r="M184">
        <v>144677.35306227999</v>
      </c>
      <c r="N184">
        <v>143268.15806491999</v>
      </c>
      <c r="O184" s="8" t="str">
        <f>formatIP(Table1[[#This Row],[Address A]])</f>
        <v>010.011.001.079</v>
      </c>
      <c r="P184" s="8" t="str">
        <f>formatIP(Table1[[#This Row],[Address B]])</f>
        <v>010.012.001.024</v>
      </c>
      <c r="Q184" s="8" t="e">
        <f>VLOOKUP(Table1[[#This Row],[Address A]],IP_Master[],4,FALSE)</f>
        <v>#N/A</v>
      </c>
      <c r="R184" s="8" t="str">
        <f>VLOOKUP(Table1[[#This Row],[Address B]],IP_Master[],4,FALSE)</f>
        <v>BFNCPLC</v>
      </c>
      <c r="S184" s="8" t="e">
        <f>VLOOKUP(Table1[[#This Row],[Address A]],IP_Master[],2,FALSE)</f>
        <v>#N/A</v>
      </c>
      <c r="T184" s="8" t="str">
        <f>VLOOKUP(Table1[[#This Row],[Address B]],IP_Master[],2,FALSE)</f>
        <v>Blast Furnace</v>
      </c>
      <c r="U184" s="9" t="e">
        <f>VLOOKUP(Table1[[#This Row],[Address A]],IP_Master[],3,FALSE)</f>
        <v>#N/A</v>
      </c>
      <c r="V184" s="9" t="str">
        <f>VLOOKUP(Table1[[#This Row],[Address B]],IP_Master[],3,FALSE)</f>
        <v>PLCs &amp; Control Equipment</v>
      </c>
      <c r="W184" s="9" t="str">
        <f>VLOOKUP(Table1[[#This Row],[Port B]],traffic_types[],2,FALSE)</f>
        <v>Modbus</v>
      </c>
    </row>
    <row r="185" spans="1:23" x14ac:dyDescent="0.6">
      <c r="A185" t="s">
        <v>64</v>
      </c>
      <c r="B185">
        <v>3346</v>
      </c>
      <c r="C185" t="s">
        <v>65</v>
      </c>
      <c r="D185">
        <v>502</v>
      </c>
      <c r="E185">
        <v>10</v>
      </c>
      <c r="F185">
        <v>614</v>
      </c>
      <c r="G185">
        <v>5</v>
      </c>
      <c r="H185">
        <v>308</v>
      </c>
      <c r="I185">
        <v>5</v>
      </c>
      <c r="J185">
        <v>306</v>
      </c>
      <c r="K185">
        <v>777.35301100000004</v>
      </c>
      <c r="L185">
        <v>2.49209999999493E-2</v>
      </c>
      <c r="M185">
        <v>98872.436900806904</v>
      </c>
      <c r="N185">
        <v>98230.408089762699</v>
      </c>
      <c r="O185" s="8" t="str">
        <f>formatIP(Table1[[#This Row],[Address A]])</f>
        <v>010.011.001.079</v>
      </c>
      <c r="P185" s="8" t="str">
        <f>formatIP(Table1[[#This Row],[Address B]])</f>
        <v>010.012.001.024</v>
      </c>
      <c r="Q185" s="8" t="e">
        <f>VLOOKUP(Table1[[#This Row],[Address A]],IP_Master[],4,FALSE)</f>
        <v>#N/A</v>
      </c>
      <c r="R185" s="8" t="str">
        <f>VLOOKUP(Table1[[#This Row],[Address B]],IP_Master[],4,FALSE)</f>
        <v>BFNCPLC</v>
      </c>
      <c r="S185" s="8" t="e">
        <f>VLOOKUP(Table1[[#This Row],[Address A]],IP_Master[],2,FALSE)</f>
        <v>#N/A</v>
      </c>
      <c r="T185" s="8" t="str">
        <f>VLOOKUP(Table1[[#This Row],[Address B]],IP_Master[],2,FALSE)</f>
        <v>Blast Furnace</v>
      </c>
      <c r="U185" s="9" t="e">
        <f>VLOOKUP(Table1[[#This Row],[Address A]],IP_Master[],3,FALSE)</f>
        <v>#N/A</v>
      </c>
      <c r="V185" s="9" t="str">
        <f>VLOOKUP(Table1[[#This Row],[Address B]],IP_Master[],3,FALSE)</f>
        <v>PLCs &amp; Control Equipment</v>
      </c>
      <c r="W185" s="9" t="str">
        <f>VLOOKUP(Table1[[#This Row],[Port B]],traffic_types[],2,FALSE)</f>
        <v>Modbus</v>
      </c>
    </row>
    <row r="186" spans="1:23" x14ac:dyDescent="0.6">
      <c r="A186" t="s">
        <v>64</v>
      </c>
      <c r="B186">
        <v>3347</v>
      </c>
      <c r="C186" t="s">
        <v>65</v>
      </c>
      <c r="D186">
        <v>502</v>
      </c>
      <c r="E186">
        <v>10</v>
      </c>
      <c r="F186">
        <v>613</v>
      </c>
      <c r="G186">
        <v>5</v>
      </c>
      <c r="H186">
        <v>308</v>
      </c>
      <c r="I186">
        <v>5</v>
      </c>
      <c r="J186">
        <v>305</v>
      </c>
      <c r="K186">
        <v>777.37423200000001</v>
      </c>
      <c r="L186">
        <v>1.9470999999953199E-2</v>
      </c>
      <c r="M186">
        <v>126547.172718706</v>
      </c>
      <c r="N186">
        <v>125314.57038703001</v>
      </c>
      <c r="O186" s="8" t="str">
        <f>formatIP(Table1[[#This Row],[Address A]])</f>
        <v>010.011.001.079</v>
      </c>
      <c r="P186" s="8" t="str">
        <f>formatIP(Table1[[#This Row],[Address B]])</f>
        <v>010.012.001.024</v>
      </c>
      <c r="Q186" s="8" t="e">
        <f>VLOOKUP(Table1[[#This Row],[Address A]],IP_Master[],4,FALSE)</f>
        <v>#N/A</v>
      </c>
      <c r="R186" s="8" t="str">
        <f>VLOOKUP(Table1[[#This Row],[Address B]],IP_Master[],4,FALSE)</f>
        <v>BFNCPLC</v>
      </c>
      <c r="S186" s="8" t="e">
        <f>VLOOKUP(Table1[[#This Row],[Address A]],IP_Master[],2,FALSE)</f>
        <v>#N/A</v>
      </c>
      <c r="T186" s="8" t="str">
        <f>VLOOKUP(Table1[[#This Row],[Address B]],IP_Master[],2,FALSE)</f>
        <v>Blast Furnace</v>
      </c>
      <c r="U186" s="9" t="e">
        <f>VLOOKUP(Table1[[#This Row],[Address A]],IP_Master[],3,FALSE)</f>
        <v>#N/A</v>
      </c>
      <c r="V186" s="9" t="str">
        <f>VLOOKUP(Table1[[#This Row],[Address B]],IP_Master[],3,FALSE)</f>
        <v>PLCs &amp; Control Equipment</v>
      </c>
      <c r="W186" s="9" t="str">
        <f>VLOOKUP(Table1[[#This Row],[Port B]],traffic_types[],2,FALSE)</f>
        <v>Modbus</v>
      </c>
    </row>
    <row r="187" spans="1:23" x14ac:dyDescent="0.6">
      <c r="A187" t="s">
        <v>64</v>
      </c>
      <c r="B187">
        <v>3348</v>
      </c>
      <c r="C187" t="s">
        <v>65</v>
      </c>
      <c r="D187">
        <v>502</v>
      </c>
      <c r="E187">
        <v>10</v>
      </c>
      <c r="F187">
        <v>614</v>
      </c>
      <c r="G187">
        <v>5</v>
      </c>
      <c r="H187">
        <v>308</v>
      </c>
      <c r="I187">
        <v>5</v>
      </c>
      <c r="J187">
        <v>306</v>
      </c>
      <c r="K187">
        <v>777.41425300000003</v>
      </c>
      <c r="L187">
        <v>2.3454000000015199E-2</v>
      </c>
      <c r="M187">
        <v>105056.70674505</v>
      </c>
      <c r="N187">
        <v>104374.520337615</v>
      </c>
      <c r="O187" s="8" t="str">
        <f>formatIP(Table1[[#This Row],[Address A]])</f>
        <v>010.011.001.079</v>
      </c>
      <c r="P187" s="8" t="str">
        <f>formatIP(Table1[[#This Row],[Address B]])</f>
        <v>010.012.001.024</v>
      </c>
      <c r="Q187" s="8" t="e">
        <f>VLOOKUP(Table1[[#This Row],[Address A]],IP_Master[],4,FALSE)</f>
        <v>#N/A</v>
      </c>
      <c r="R187" s="8" t="str">
        <f>VLOOKUP(Table1[[#This Row],[Address B]],IP_Master[],4,FALSE)</f>
        <v>BFNCPLC</v>
      </c>
      <c r="S187" s="8" t="e">
        <f>VLOOKUP(Table1[[#This Row],[Address A]],IP_Master[],2,FALSE)</f>
        <v>#N/A</v>
      </c>
      <c r="T187" s="8" t="str">
        <f>VLOOKUP(Table1[[#This Row],[Address B]],IP_Master[],2,FALSE)</f>
        <v>Blast Furnace</v>
      </c>
      <c r="U187" s="9" t="e">
        <f>VLOOKUP(Table1[[#This Row],[Address A]],IP_Master[],3,FALSE)</f>
        <v>#N/A</v>
      </c>
      <c r="V187" s="9" t="str">
        <f>VLOOKUP(Table1[[#This Row],[Address B]],IP_Master[],3,FALSE)</f>
        <v>PLCs &amp; Control Equipment</v>
      </c>
      <c r="W187" s="9" t="str">
        <f>VLOOKUP(Table1[[#This Row],[Port B]],traffic_types[],2,FALSE)</f>
        <v>Modbus</v>
      </c>
    </row>
    <row r="188" spans="1:23" x14ac:dyDescent="0.6">
      <c r="A188" t="s">
        <v>64</v>
      </c>
      <c r="B188">
        <v>3349</v>
      </c>
      <c r="C188" t="s">
        <v>65</v>
      </c>
      <c r="D188">
        <v>502</v>
      </c>
      <c r="E188">
        <v>10</v>
      </c>
      <c r="F188">
        <v>614</v>
      </c>
      <c r="G188">
        <v>5</v>
      </c>
      <c r="H188">
        <v>308</v>
      </c>
      <c r="I188">
        <v>5</v>
      </c>
      <c r="J188">
        <v>306</v>
      </c>
      <c r="K188">
        <v>782.30057999999997</v>
      </c>
      <c r="L188">
        <v>2.65330000000858E-2</v>
      </c>
      <c r="M188">
        <v>92865.488259602294</v>
      </c>
      <c r="N188">
        <v>92262.465608565893</v>
      </c>
      <c r="O188" s="8" t="str">
        <f>formatIP(Table1[[#This Row],[Address A]])</f>
        <v>010.011.001.079</v>
      </c>
      <c r="P188" s="8" t="str">
        <f>formatIP(Table1[[#This Row],[Address B]])</f>
        <v>010.012.001.024</v>
      </c>
      <c r="Q188" s="8" t="e">
        <f>VLOOKUP(Table1[[#This Row],[Address A]],IP_Master[],4,FALSE)</f>
        <v>#N/A</v>
      </c>
      <c r="R188" s="8" t="str">
        <f>VLOOKUP(Table1[[#This Row],[Address B]],IP_Master[],4,FALSE)</f>
        <v>BFNCPLC</v>
      </c>
      <c r="S188" s="8" t="e">
        <f>VLOOKUP(Table1[[#This Row],[Address A]],IP_Master[],2,FALSE)</f>
        <v>#N/A</v>
      </c>
      <c r="T188" s="8" t="str">
        <f>VLOOKUP(Table1[[#This Row],[Address B]],IP_Master[],2,FALSE)</f>
        <v>Blast Furnace</v>
      </c>
      <c r="U188" s="9" t="e">
        <f>VLOOKUP(Table1[[#This Row],[Address A]],IP_Master[],3,FALSE)</f>
        <v>#N/A</v>
      </c>
      <c r="V188" s="9" t="str">
        <f>VLOOKUP(Table1[[#This Row],[Address B]],IP_Master[],3,FALSE)</f>
        <v>PLCs &amp; Control Equipment</v>
      </c>
      <c r="W188" s="9" t="str">
        <f>VLOOKUP(Table1[[#This Row],[Port B]],traffic_types[],2,FALSE)</f>
        <v>Modbus</v>
      </c>
    </row>
    <row r="189" spans="1:23" x14ac:dyDescent="0.6">
      <c r="A189" t="s">
        <v>64</v>
      </c>
      <c r="B189">
        <v>3350</v>
      </c>
      <c r="C189" t="s">
        <v>65</v>
      </c>
      <c r="D189">
        <v>502</v>
      </c>
      <c r="E189">
        <v>10</v>
      </c>
      <c r="F189">
        <v>613</v>
      </c>
      <c r="G189">
        <v>5</v>
      </c>
      <c r="H189">
        <v>308</v>
      </c>
      <c r="I189">
        <v>5</v>
      </c>
      <c r="J189">
        <v>305</v>
      </c>
      <c r="K189">
        <v>782.32523600000002</v>
      </c>
      <c r="L189">
        <v>1.64740000000165E-2</v>
      </c>
      <c r="M189">
        <v>149569.017846153</v>
      </c>
      <c r="N189">
        <v>148112.176763236</v>
      </c>
      <c r="O189" s="8" t="str">
        <f>formatIP(Table1[[#This Row],[Address A]])</f>
        <v>010.011.001.079</v>
      </c>
      <c r="P189" s="8" t="str">
        <f>formatIP(Table1[[#This Row],[Address B]])</f>
        <v>010.012.001.024</v>
      </c>
      <c r="Q189" s="8" t="e">
        <f>VLOOKUP(Table1[[#This Row],[Address A]],IP_Master[],4,FALSE)</f>
        <v>#N/A</v>
      </c>
      <c r="R189" s="8" t="str">
        <f>VLOOKUP(Table1[[#This Row],[Address B]],IP_Master[],4,FALSE)</f>
        <v>BFNCPLC</v>
      </c>
      <c r="S189" s="8" t="e">
        <f>VLOOKUP(Table1[[#This Row],[Address A]],IP_Master[],2,FALSE)</f>
        <v>#N/A</v>
      </c>
      <c r="T189" s="8" t="str">
        <f>VLOOKUP(Table1[[#This Row],[Address B]],IP_Master[],2,FALSE)</f>
        <v>Blast Furnace</v>
      </c>
      <c r="U189" s="9" t="e">
        <f>VLOOKUP(Table1[[#This Row],[Address A]],IP_Master[],3,FALSE)</f>
        <v>#N/A</v>
      </c>
      <c r="V189" s="9" t="str">
        <f>VLOOKUP(Table1[[#This Row],[Address B]],IP_Master[],3,FALSE)</f>
        <v>PLCs &amp; Control Equipment</v>
      </c>
      <c r="W189" s="9" t="str">
        <f>VLOOKUP(Table1[[#This Row],[Port B]],traffic_types[],2,FALSE)</f>
        <v>Modbus</v>
      </c>
    </row>
    <row r="190" spans="1:23" x14ac:dyDescent="0.6">
      <c r="A190" t="s">
        <v>64</v>
      </c>
      <c r="B190">
        <v>3351</v>
      </c>
      <c r="C190" t="s">
        <v>65</v>
      </c>
      <c r="D190">
        <v>502</v>
      </c>
      <c r="E190">
        <v>10</v>
      </c>
      <c r="F190">
        <v>614</v>
      </c>
      <c r="G190">
        <v>5</v>
      </c>
      <c r="H190">
        <v>308</v>
      </c>
      <c r="I190">
        <v>5</v>
      </c>
      <c r="J190">
        <v>306</v>
      </c>
      <c r="K190">
        <v>782.35328300000003</v>
      </c>
      <c r="L190">
        <v>2.5400999999987999E-2</v>
      </c>
      <c r="M190">
        <v>97004.054958512002</v>
      </c>
      <c r="N190">
        <v>96374.158497742406</v>
      </c>
      <c r="O190" s="8" t="str">
        <f>formatIP(Table1[[#This Row],[Address A]])</f>
        <v>010.011.001.079</v>
      </c>
      <c r="P190" s="8" t="str">
        <f>formatIP(Table1[[#This Row],[Address B]])</f>
        <v>010.012.001.024</v>
      </c>
      <c r="Q190" s="8" t="e">
        <f>VLOOKUP(Table1[[#This Row],[Address A]],IP_Master[],4,FALSE)</f>
        <v>#N/A</v>
      </c>
      <c r="R190" s="8" t="str">
        <f>VLOOKUP(Table1[[#This Row],[Address B]],IP_Master[],4,FALSE)</f>
        <v>BFNCPLC</v>
      </c>
      <c r="S190" s="8" t="e">
        <f>VLOOKUP(Table1[[#This Row],[Address A]],IP_Master[],2,FALSE)</f>
        <v>#N/A</v>
      </c>
      <c r="T190" s="8" t="str">
        <f>VLOOKUP(Table1[[#This Row],[Address B]],IP_Master[],2,FALSE)</f>
        <v>Blast Furnace</v>
      </c>
      <c r="U190" s="9" t="e">
        <f>VLOOKUP(Table1[[#This Row],[Address A]],IP_Master[],3,FALSE)</f>
        <v>#N/A</v>
      </c>
      <c r="V190" s="9" t="str">
        <f>VLOOKUP(Table1[[#This Row],[Address B]],IP_Master[],3,FALSE)</f>
        <v>PLCs &amp; Control Equipment</v>
      </c>
      <c r="W190" s="9" t="str">
        <f>VLOOKUP(Table1[[#This Row],[Port B]],traffic_types[],2,FALSE)</f>
        <v>Modbus</v>
      </c>
    </row>
    <row r="191" spans="1:23" x14ac:dyDescent="0.6">
      <c r="A191" t="s">
        <v>64</v>
      </c>
      <c r="B191">
        <v>3352</v>
      </c>
      <c r="C191" t="s">
        <v>65</v>
      </c>
      <c r="D191">
        <v>502</v>
      </c>
      <c r="E191">
        <v>10</v>
      </c>
      <c r="F191">
        <v>613</v>
      </c>
      <c r="G191">
        <v>5</v>
      </c>
      <c r="H191">
        <v>308</v>
      </c>
      <c r="I191">
        <v>5</v>
      </c>
      <c r="J191">
        <v>305</v>
      </c>
      <c r="K191">
        <v>782.37615900000003</v>
      </c>
      <c r="L191">
        <v>2.15259999999944E-2</v>
      </c>
      <c r="M191">
        <v>114466.226888444</v>
      </c>
      <c r="N191">
        <v>113351.296107063</v>
      </c>
      <c r="O191" s="8" t="str">
        <f>formatIP(Table1[[#This Row],[Address A]])</f>
        <v>010.011.001.079</v>
      </c>
      <c r="P191" s="8" t="str">
        <f>formatIP(Table1[[#This Row],[Address B]])</f>
        <v>010.012.001.024</v>
      </c>
      <c r="Q191" s="8" t="e">
        <f>VLOOKUP(Table1[[#This Row],[Address A]],IP_Master[],4,FALSE)</f>
        <v>#N/A</v>
      </c>
      <c r="R191" s="8" t="str">
        <f>VLOOKUP(Table1[[#This Row],[Address B]],IP_Master[],4,FALSE)</f>
        <v>BFNCPLC</v>
      </c>
      <c r="S191" s="8" t="e">
        <f>VLOOKUP(Table1[[#This Row],[Address A]],IP_Master[],2,FALSE)</f>
        <v>#N/A</v>
      </c>
      <c r="T191" s="8" t="str">
        <f>VLOOKUP(Table1[[#This Row],[Address B]],IP_Master[],2,FALSE)</f>
        <v>Blast Furnace</v>
      </c>
      <c r="U191" s="9" t="e">
        <f>VLOOKUP(Table1[[#This Row],[Address A]],IP_Master[],3,FALSE)</f>
        <v>#N/A</v>
      </c>
      <c r="V191" s="9" t="str">
        <f>VLOOKUP(Table1[[#This Row],[Address B]],IP_Master[],3,FALSE)</f>
        <v>PLCs &amp; Control Equipment</v>
      </c>
      <c r="W191" s="9" t="str">
        <f>VLOOKUP(Table1[[#This Row],[Port B]],traffic_types[],2,FALSE)</f>
        <v>Modbus</v>
      </c>
    </row>
    <row r="192" spans="1:23" x14ac:dyDescent="0.6">
      <c r="A192" t="s">
        <v>64</v>
      </c>
      <c r="B192">
        <v>3353</v>
      </c>
      <c r="C192" t="s">
        <v>65</v>
      </c>
      <c r="D192">
        <v>502</v>
      </c>
      <c r="E192">
        <v>10</v>
      </c>
      <c r="F192">
        <v>614</v>
      </c>
      <c r="G192">
        <v>5</v>
      </c>
      <c r="H192">
        <v>308</v>
      </c>
      <c r="I192">
        <v>5</v>
      </c>
      <c r="J192">
        <v>306</v>
      </c>
      <c r="K192">
        <v>782.41428800000006</v>
      </c>
      <c r="L192">
        <v>2.0407999999974901E-2</v>
      </c>
      <c r="M192">
        <v>120736.965895876</v>
      </c>
      <c r="N192">
        <v>119952.95962382499</v>
      </c>
      <c r="O192" s="8" t="str">
        <f>formatIP(Table1[[#This Row],[Address A]])</f>
        <v>010.011.001.079</v>
      </c>
      <c r="P192" s="8" t="str">
        <f>formatIP(Table1[[#This Row],[Address B]])</f>
        <v>010.012.001.024</v>
      </c>
      <c r="Q192" s="8" t="e">
        <f>VLOOKUP(Table1[[#This Row],[Address A]],IP_Master[],4,FALSE)</f>
        <v>#N/A</v>
      </c>
      <c r="R192" s="8" t="str">
        <f>VLOOKUP(Table1[[#This Row],[Address B]],IP_Master[],4,FALSE)</f>
        <v>BFNCPLC</v>
      </c>
      <c r="S192" s="8" t="e">
        <f>VLOOKUP(Table1[[#This Row],[Address A]],IP_Master[],2,FALSE)</f>
        <v>#N/A</v>
      </c>
      <c r="T192" s="8" t="str">
        <f>VLOOKUP(Table1[[#This Row],[Address B]],IP_Master[],2,FALSE)</f>
        <v>Blast Furnace</v>
      </c>
      <c r="U192" s="9" t="e">
        <f>VLOOKUP(Table1[[#This Row],[Address A]],IP_Master[],3,FALSE)</f>
        <v>#N/A</v>
      </c>
      <c r="V192" s="9" t="str">
        <f>VLOOKUP(Table1[[#This Row],[Address B]],IP_Master[],3,FALSE)</f>
        <v>PLCs &amp; Control Equipment</v>
      </c>
      <c r="W192" s="9" t="str">
        <f>VLOOKUP(Table1[[#This Row],[Port B]],traffic_types[],2,FALSE)</f>
        <v>Modbus</v>
      </c>
    </row>
    <row r="193" spans="1:23" x14ac:dyDescent="0.6">
      <c r="A193" t="s">
        <v>64</v>
      </c>
      <c r="B193">
        <v>3412</v>
      </c>
      <c r="C193" t="s">
        <v>65</v>
      </c>
      <c r="D193">
        <v>502</v>
      </c>
      <c r="E193">
        <v>10</v>
      </c>
      <c r="F193">
        <v>614</v>
      </c>
      <c r="G193">
        <v>5</v>
      </c>
      <c r="H193">
        <v>308</v>
      </c>
      <c r="I193">
        <v>5</v>
      </c>
      <c r="J193">
        <v>306</v>
      </c>
      <c r="K193">
        <v>867.31732699999998</v>
      </c>
      <c r="L193">
        <v>2.9704000000037901E-2</v>
      </c>
      <c r="M193">
        <v>82951.791004472601</v>
      </c>
      <c r="N193">
        <v>82413.143010937099</v>
      </c>
      <c r="O193" s="8" t="str">
        <f>formatIP(Table1[[#This Row],[Address A]])</f>
        <v>010.011.001.079</v>
      </c>
      <c r="P193" s="8" t="str">
        <f>formatIP(Table1[[#This Row],[Address B]])</f>
        <v>010.012.001.024</v>
      </c>
      <c r="Q193" s="8" t="e">
        <f>VLOOKUP(Table1[[#This Row],[Address A]],IP_Master[],4,FALSE)</f>
        <v>#N/A</v>
      </c>
      <c r="R193" s="8" t="str">
        <f>VLOOKUP(Table1[[#This Row],[Address B]],IP_Master[],4,FALSE)</f>
        <v>BFNCPLC</v>
      </c>
      <c r="S193" s="8" t="e">
        <f>VLOOKUP(Table1[[#This Row],[Address A]],IP_Master[],2,FALSE)</f>
        <v>#N/A</v>
      </c>
      <c r="T193" s="8" t="str">
        <f>VLOOKUP(Table1[[#This Row],[Address B]],IP_Master[],2,FALSE)</f>
        <v>Blast Furnace</v>
      </c>
      <c r="U193" s="9" t="e">
        <f>VLOOKUP(Table1[[#This Row],[Address A]],IP_Master[],3,FALSE)</f>
        <v>#N/A</v>
      </c>
      <c r="V193" s="9" t="str">
        <f>VLOOKUP(Table1[[#This Row],[Address B]],IP_Master[],3,FALSE)</f>
        <v>PLCs &amp; Control Equipment</v>
      </c>
      <c r="W193" s="9" t="str">
        <f>VLOOKUP(Table1[[#This Row],[Port B]],traffic_types[],2,FALSE)</f>
        <v>Modbus</v>
      </c>
    </row>
    <row r="194" spans="1:23" x14ac:dyDescent="0.6">
      <c r="A194" t="s">
        <v>64</v>
      </c>
      <c r="B194">
        <v>3413</v>
      </c>
      <c r="C194" t="s">
        <v>65</v>
      </c>
      <c r="D194">
        <v>502</v>
      </c>
      <c r="E194">
        <v>10</v>
      </c>
      <c r="F194">
        <v>613</v>
      </c>
      <c r="G194">
        <v>5</v>
      </c>
      <c r="H194">
        <v>308</v>
      </c>
      <c r="I194">
        <v>5</v>
      </c>
      <c r="J194">
        <v>305</v>
      </c>
      <c r="K194">
        <v>867.34066499999994</v>
      </c>
      <c r="L194">
        <v>2.6422000000024998E-2</v>
      </c>
      <c r="M194">
        <v>93255.620316314598</v>
      </c>
      <c r="N194">
        <v>92347.2863521947</v>
      </c>
      <c r="O194" s="8" t="str">
        <f>formatIP(Table1[[#This Row],[Address A]])</f>
        <v>010.011.001.079</v>
      </c>
      <c r="P194" s="8" t="str">
        <f>formatIP(Table1[[#This Row],[Address B]])</f>
        <v>010.012.001.024</v>
      </c>
      <c r="Q194" s="8" t="e">
        <f>VLOOKUP(Table1[[#This Row],[Address A]],IP_Master[],4,FALSE)</f>
        <v>#N/A</v>
      </c>
      <c r="R194" s="8" t="str">
        <f>VLOOKUP(Table1[[#This Row],[Address B]],IP_Master[],4,FALSE)</f>
        <v>BFNCPLC</v>
      </c>
      <c r="S194" s="8" t="e">
        <f>VLOOKUP(Table1[[#This Row],[Address A]],IP_Master[],2,FALSE)</f>
        <v>#N/A</v>
      </c>
      <c r="T194" s="8" t="str">
        <f>VLOOKUP(Table1[[#This Row],[Address B]],IP_Master[],2,FALSE)</f>
        <v>Blast Furnace</v>
      </c>
      <c r="U194" s="9" t="e">
        <f>VLOOKUP(Table1[[#This Row],[Address A]],IP_Master[],3,FALSE)</f>
        <v>#N/A</v>
      </c>
      <c r="V194" s="9" t="str">
        <f>VLOOKUP(Table1[[#This Row],[Address B]],IP_Master[],3,FALSE)</f>
        <v>PLCs &amp; Control Equipment</v>
      </c>
      <c r="W194" s="9" t="str">
        <f>VLOOKUP(Table1[[#This Row],[Port B]],traffic_types[],2,FALSE)</f>
        <v>Modbus</v>
      </c>
    </row>
    <row r="195" spans="1:23" x14ac:dyDescent="0.6">
      <c r="A195" t="s">
        <v>64</v>
      </c>
      <c r="B195">
        <v>3414</v>
      </c>
      <c r="C195" t="s">
        <v>65</v>
      </c>
      <c r="D195">
        <v>502</v>
      </c>
      <c r="E195">
        <v>10</v>
      </c>
      <c r="F195">
        <v>614</v>
      </c>
      <c r="G195">
        <v>5</v>
      </c>
      <c r="H195">
        <v>308</v>
      </c>
      <c r="I195">
        <v>5</v>
      </c>
      <c r="J195">
        <v>306</v>
      </c>
      <c r="K195">
        <v>867.37023299999998</v>
      </c>
      <c r="L195">
        <v>2.78710000000046E-2</v>
      </c>
      <c r="M195">
        <v>88407.305084122898</v>
      </c>
      <c r="N195">
        <v>87833.231674485796</v>
      </c>
      <c r="O195" s="8" t="str">
        <f>formatIP(Table1[[#This Row],[Address A]])</f>
        <v>010.011.001.079</v>
      </c>
      <c r="P195" s="8" t="str">
        <f>formatIP(Table1[[#This Row],[Address B]])</f>
        <v>010.012.001.024</v>
      </c>
      <c r="Q195" s="8" t="e">
        <f>VLOOKUP(Table1[[#This Row],[Address A]],IP_Master[],4,FALSE)</f>
        <v>#N/A</v>
      </c>
      <c r="R195" s="8" t="str">
        <f>VLOOKUP(Table1[[#This Row],[Address B]],IP_Master[],4,FALSE)</f>
        <v>BFNCPLC</v>
      </c>
      <c r="S195" s="8" t="e">
        <f>VLOOKUP(Table1[[#This Row],[Address A]],IP_Master[],2,FALSE)</f>
        <v>#N/A</v>
      </c>
      <c r="T195" s="8" t="str">
        <f>VLOOKUP(Table1[[#This Row],[Address B]],IP_Master[],2,FALSE)</f>
        <v>Blast Furnace</v>
      </c>
      <c r="U195" s="9" t="e">
        <f>VLOOKUP(Table1[[#This Row],[Address A]],IP_Master[],3,FALSE)</f>
        <v>#N/A</v>
      </c>
      <c r="V195" s="9" t="str">
        <f>VLOOKUP(Table1[[#This Row],[Address B]],IP_Master[],3,FALSE)</f>
        <v>PLCs &amp; Control Equipment</v>
      </c>
      <c r="W195" s="9" t="str">
        <f>VLOOKUP(Table1[[#This Row],[Port B]],traffic_types[],2,FALSE)</f>
        <v>Modbus</v>
      </c>
    </row>
    <row r="196" spans="1:23" x14ac:dyDescent="0.6">
      <c r="A196" t="s">
        <v>64</v>
      </c>
      <c r="B196">
        <v>3415</v>
      </c>
      <c r="C196" t="s">
        <v>65</v>
      </c>
      <c r="D196">
        <v>502</v>
      </c>
      <c r="E196">
        <v>10</v>
      </c>
      <c r="F196">
        <v>613</v>
      </c>
      <c r="G196">
        <v>5</v>
      </c>
      <c r="H196">
        <v>308</v>
      </c>
      <c r="I196">
        <v>5</v>
      </c>
      <c r="J196">
        <v>305</v>
      </c>
      <c r="K196">
        <v>867.391615</v>
      </c>
      <c r="L196">
        <v>2.2119999999972599E-2</v>
      </c>
      <c r="M196">
        <v>111392.405063429</v>
      </c>
      <c r="N196">
        <v>110307.41410501899</v>
      </c>
      <c r="O196" s="8" t="str">
        <f>formatIP(Table1[[#This Row],[Address A]])</f>
        <v>010.011.001.079</v>
      </c>
      <c r="P196" s="8" t="str">
        <f>formatIP(Table1[[#This Row],[Address B]])</f>
        <v>010.012.001.024</v>
      </c>
      <c r="Q196" s="8" t="e">
        <f>VLOOKUP(Table1[[#This Row],[Address A]],IP_Master[],4,FALSE)</f>
        <v>#N/A</v>
      </c>
      <c r="R196" s="8" t="str">
        <f>VLOOKUP(Table1[[#This Row],[Address B]],IP_Master[],4,FALSE)</f>
        <v>BFNCPLC</v>
      </c>
      <c r="S196" s="8" t="e">
        <f>VLOOKUP(Table1[[#This Row],[Address A]],IP_Master[],2,FALSE)</f>
        <v>#N/A</v>
      </c>
      <c r="T196" s="8" t="str">
        <f>VLOOKUP(Table1[[#This Row],[Address B]],IP_Master[],2,FALSE)</f>
        <v>Blast Furnace</v>
      </c>
      <c r="U196" s="9" t="e">
        <f>VLOOKUP(Table1[[#This Row],[Address A]],IP_Master[],3,FALSE)</f>
        <v>#N/A</v>
      </c>
      <c r="V196" s="9" t="str">
        <f>VLOOKUP(Table1[[#This Row],[Address B]],IP_Master[],3,FALSE)</f>
        <v>PLCs &amp; Control Equipment</v>
      </c>
      <c r="W196" s="9" t="str">
        <f>VLOOKUP(Table1[[#This Row],[Port B]],traffic_types[],2,FALSE)</f>
        <v>Modbus</v>
      </c>
    </row>
    <row r="197" spans="1:23" x14ac:dyDescent="0.6">
      <c r="A197" t="s">
        <v>64</v>
      </c>
      <c r="B197">
        <v>3416</v>
      </c>
      <c r="C197" t="s">
        <v>65</v>
      </c>
      <c r="D197">
        <v>502</v>
      </c>
      <c r="E197">
        <v>10</v>
      </c>
      <c r="F197">
        <v>614</v>
      </c>
      <c r="G197">
        <v>5</v>
      </c>
      <c r="H197">
        <v>308</v>
      </c>
      <c r="I197">
        <v>5</v>
      </c>
      <c r="J197">
        <v>306</v>
      </c>
      <c r="K197">
        <v>867.43115999999998</v>
      </c>
      <c r="L197">
        <v>2.3876999999970401E-2</v>
      </c>
      <c r="M197">
        <v>103195.543828917</v>
      </c>
      <c r="N197">
        <v>102525.44289496299</v>
      </c>
      <c r="O197" s="8" t="str">
        <f>formatIP(Table1[[#This Row],[Address A]])</f>
        <v>010.011.001.079</v>
      </c>
      <c r="P197" s="8" t="str">
        <f>formatIP(Table1[[#This Row],[Address B]])</f>
        <v>010.012.001.024</v>
      </c>
      <c r="Q197" s="8" t="e">
        <f>VLOOKUP(Table1[[#This Row],[Address A]],IP_Master[],4,FALSE)</f>
        <v>#N/A</v>
      </c>
      <c r="R197" s="8" t="str">
        <f>VLOOKUP(Table1[[#This Row],[Address B]],IP_Master[],4,FALSE)</f>
        <v>BFNCPLC</v>
      </c>
      <c r="S197" s="8" t="e">
        <f>VLOOKUP(Table1[[#This Row],[Address A]],IP_Master[],2,FALSE)</f>
        <v>#N/A</v>
      </c>
      <c r="T197" s="8" t="str">
        <f>VLOOKUP(Table1[[#This Row],[Address B]],IP_Master[],2,FALSE)</f>
        <v>Blast Furnace</v>
      </c>
      <c r="U197" s="9" t="e">
        <f>VLOOKUP(Table1[[#This Row],[Address A]],IP_Master[],3,FALSE)</f>
        <v>#N/A</v>
      </c>
      <c r="V197" s="9" t="str">
        <f>VLOOKUP(Table1[[#This Row],[Address B]],IP_Master[],3,FALSE)</f>
        <v>PLCs &amp; Control Equipment</v>
      </c>
      <c r="W197" s="9" t="str">
        <f>VLOOKUP(Table1[[#This Row],[Port B]],traffic_types[],2,FALSE)</f>
        <v>Modbus</v>
      </c>
    </row>
    <row r="198" spans="1:23" x14ac:dyDescent="0.6">
      <c r="A198" t="s">
        <v>64</v>
      </c>
      <c r="B198">
        <v>3417</v>
      </c>
      <c r="C198" t="s">
        <v>65</v>
      </c>
      <c r="D198">
        <v>502</v>
      </c>
      <c r="E198">
        <v>10</v>
      </c>
      <c r="F198">
        <v>614</v>
      </c>
      <c r="G198">
        <v>5</v>
      </c>
      <c r="H198">
        <v>308</v>
      </c>
      <c r="I198">
        <v>5</v>
      </c>
      <c r="J198">
        <v>306</v>
      </c>
      <c r="K198">
        <v>872.31729600000006</v>
      </c>
      <c r="L198">
        <v>2.3574999999937101E-2</v>
      </c>
      <c r="M198">
        <v>104517.49734916601</v>
      </c>
      <c r="N198">
        <v>103838.81230144401</v>
      </c>
      <c r="O198" s="8" t="str">
        <f>formatIP(Table1[[#This Row],[Address A]])</f>
        <v>010.011.001.079</v>
      </c>
      <c r="P198" s="8" t="str">
        <f>formatIP(Table1[[#This Row],[Address B]])</f>
        <v>010.012.001.024</v>
      </c>
      <c r="Q198" s="8" t="e">
        <f>VLOOKUP(Table1[[#This Row],[Address A]],IP_Master[],4,FALSE)</f>
        <v>#N/A</v>
      </c>
      <c r="R198" s="8" t="str">
        <f>VLOOKUP(Table1[[#This Row],[Address B]],IP_Master[],4,FALSE)</f>
        <v>BFNCPLC</v>
      </c>
      <c r="S198" s="8" t="e">
        <f>VLOOKUP(Table1[[#This Row],[Address A]],IP_Master[],2,FALSE)</f>
        <v>#N/A</v>
      </c>
      <c r="T198" s="8" t="str">
        <f>VLOOKUP(Table1[[#This Row],[Address B]],IP_Master[],2,FALSE)</f>
        <v>Blast Furnace</v>
      </c>
      <c r="U198" s="9" t="e">
        <f>VLOOKUP(Table1[[#This Row],[Address A]],IP_Master[],3,FALSE)</f>
        <v>#N/A</v>
      </c>
      <c r="V198" s="9" t="str">
        <f>VLOOKUP(Table1[[#This Row],[Address B]],IP_Master[],3,FALSE)</f>
        <v>PLCs &amp; Control Equipment</v>
      </c>
      <c r="W198" s="9" t="str">
        <f>VLOOKUP(Table1[[#This Row],[Port B]],traffic_types[],2,FALSE)</f>
        <v>Modbus</v>
      </c>
    </row>
    <row r="199" spans="1:23" x14ac:dyDescent="0.6">
      <c r="A199" t="s">
        <v>64</v>
      </c>
      <c r="B199">
        <v>3418</v>
      </c>
      <c r="C199" t="s">
        <v>65</v>
      </c>
      <c r="D199">
        <v>502</v>
      </c>
      <c r="E199">
        <v>10</v>
      </c>
      <c r="F199">
        <v>613</v>
      </c>
      <c r="G199">
        <v>5</v>
      </c>
      <c r="H199">
        <v>308</v>
      </c>
      <c r="I199">
        <v>5</v>
      </c>
      <c r="J199">
        <v>305</v>
      </c>
      <c r="K199">
        <v>872.33543799999995</v>
      </c>
      <c r="L199">
        <v>2.5718000000097201E-2</v>
      </c>
      <c r="M199">
        <v>95808.383233171</v>
      </c>
      <c r="N199">
        <v>94875.184695185497</v>
      </c>
      <c r="O199" s="8" t="str">
        <f>formatIP(Table1[[#This Row],[Address A]])</f>
        <v>010.011.001.079</v>
      </c>
      <c r="P199" s="8" t="str">
        <f>formatIP(Table1[[#This Row],[Address B]])</f>
        <v>010.012.001.024</v>
      </c>
      <c r="Q199" s="8" t="e">
        <f>VLOOKUP(Table1[[#This Row],[Address A]],IP_Master[],4,FALSE)</f>
        <v>#N/A</v>
      </c>
      <c r="R199" s="8" t="str">
        <f>VLOOKUP(Table1[[#This Row],[Address B]],IP_Master[],4,FALSE)</f>
        <v>BFNCPLC</v>
      </c>
      <c r="S199" s="8" t="e">
        <f>VLOOKUP(Table1[[#This Row],[Address A]],IP_Master[],2,FALSE)</f>
        <v>#N/A</v>
      </c>
      <c r="T199" s="8" t="str">
        <f>VLOOKUP(Table1[[#This Row],[Address B]],IP_Master[],2,FALSE)</f>
        <v>Blast Furnace</v>
      </c>
      <c r="U199" s="9" t="e">
        <f>VLOOKUP(Table1[[#This Row],[Address A]],IP_Master[],3,FALSE)</f>
        <v>#N/A</v>
      </c>
      <c r="V199" s="9" t="str">
        <f>VLOOKUP(Table1[[#This Row],[Address B]],IP_Master[],3,FALSE)</f>
        <v>PLCs &amp; Control Equipment</v>
      </c>
      <c r="W199" s="9" t="str">
        <f>VLOOKUP(Table1[[#This Row],[Port B]],traffic_types[],2,FALSE)</f>
        <v>Modbus</v>
      </c>
    </row>
    <row r="200" spans="1:23" x14ac:dyDescent="0.6">
      <c r="A200" t="s">
        <v>64</v>
      </c>
      <c r="B200">
        <v>3419</v>
      </c>
      <c r="C200" t="s">
        <v>65</v>
      </c>
      <c r="D200">
        <v>502</v>
      </c>
      <c r="E200">
        <v>10</v>
      </c>
      <c r="F200">
        <v>614</v>
      </c>
      <c r="G200">
        <v>5</v>
      </c>
      <c r="H200">
        <v>308</v>
      </c>
      <c r="I200">
        <v>5</v>
      </c>
      <c r="J200">
        <v>306</v>
      </c>
      <c r="K200">
        <v>872.37037699999996</v>
      </c>
      <c r="L200">
        <v>2.34179999999924E-2</v>
      </c>
      <c r="M200">
        <v>105218.208215936</v>
      </c>
      <c r="N200">
        <v>104534.973097651</v>
      </c>
      <c r="O200" s="8" t="str">
        <f>formatIP(Table1[[#This Row],[Address A]])</f>
        <v>010.011.001.079</v>
      </c>
      <c r="P200" s="8" t="str">
        <f>formatIP(Table1[[#This Row],[Address B]])</f>
        <v>010.012.001.024</v>
      </c>
      <c r="Q200" s="8" t="e">
        <f>VLOOKUP(Table1[[#This Row],[Address A]],IP_Master[],4,FALSE)</f>
        <v>#N/A</v>
      </c>
      <c r="R200" s="8" t="str">
        <f>VLOOKUP(Table1[[#This Row],[Address B]],IP_Master[],4,FALSE)</f>
        <v>BFNCPLC</v>
      </c>
      <c r="S200" s="8" t="e">
        <f>VLOOKUP(Table1[[#This Row],[Address A]],IP_Master[],2,FALSE)</f>
        <v>#N/A</v>
      </c>
      <c r="T200" s="8" t="str">
        <f>VLOOKUP(Table1[[#This Row],[Address B]],IP_Master[],2,FALSE)</f>
        <v>Blast Furnace</v>
      </c>
      <c r="U200" s="9" t="e">
        <f>VLOOKUP(Table1[[#This Row],[Address A]],IP_Master[],3,FALSE)</f>
        <v>#N/A</v>
      </c>
      <c r="V200" s="9" t="str">
        <f>VLOOKUP(Table1[[#This Row],[Address B]],IP_Master[],3,FALSE)</f>
        <v>PLCs &amp; Control Equipment</v>
      </c>
      <c r="W200" s="9" t="str">
        <f>VLOOKUP(Table1[[#This Row],[Port B]],traffic_types[],2,FALSE)</f>
        <v>Modbus</v>
      </c>
    </row>
    <row r="201" spans="1:23" x14ac:dyDescent="0.6">
      <c r="A201" t="s">
        <v>64</v>
      </c>
      <c r="B201">
        <v>3420</v>
      </c>
      <c r="C201" t="s">
        <v>65</v>
      </c>
      <c r="D201">
        <v>502</v>
      </c>
      <c r="E201">
        <v>10</v>
      </c>
      <c r="F201">
        <v>613</v>
      </c>
      <c r="G201">
        <v>5</v>
      </c>
      <c r="H201">
        <v>308</v>
      </c>
      <c r="I201">
        <v>5</v>
      </c>
      <c r="J201">
        <v>305</v>
      </c>
      <c r="K201">
        <v>872.39147000000003</v>
      </c>
      <c r="L201">
        <v>1.8550000000004702E-2</v>
      </c>
      <c r="M201">
        <v>132830.18867921099</v>
      </c>
      <c r="N201">
        <v>131536.38814012799</v>
      </c>
      <c r="O201" s="8" t="str">
        <f>formatIP(Table1[[#This Row],[Address A]])</f>
        <v>010.011.001.079</v>
      </c>
      <c r="P201" s="8" t="str">
        <f>formatIP(Table1[[#This Row],[Address B]])</f>
        <v>010.012.001.024</v>
      </c>
      <c r="Q201" s="8" t="e">
        <f>VLOOKUP(Table1[[#This Row],[Address A]],IP_Master[],4,FALSE)</f>
        <v>#N/A</v>
      </c>
      <c r="R201" s="8" t="str">
        <f>VLOOKUP(Table1[[#This Row],[Address B]],IP_Master[],4,FALSE)</f>
        <v>BFNCPLC</v>
      </c>
      <c r="S201" s="8" t="e">
        <f>VLOOKUP(Table1[[#This Row],[Address A]],IP_Master[],2,FALSE)</f>
        <v>#N/A</v>
      </c>
      <c r="T201" s="8" t="str">
        <f>VLOOKUP(Table1[[#This Row],[Address B]],IP_Master[],2,FALSE)</f>
        <v>Blast Furnace</v>
      </c>
      <c r="U201" s="9" t="e">
        <f>VLOOKUP(Table1[[#This Row],[Address A]],IP_Master[],3,FALSE)</f>
        <v>#N/A</v>
      </c>
      <c r="V201" s="9" t="str">
        <f>VLOOKUP(Table1[[#This Row],[Address B]],IP_Master[],3,FALSE)</f>
        <v>PLCs &amp; Control Equipment</v>
      </c>
      <c r="W201" s="9" t="str">
        <f>VLOOKUP(Table1[[#This Row],[Port B]],traffic_types[],2,FALSE)</f>
        <v>Modbus</v>
      </c>
    </row>
    <row r="202" spans="1:23" x14ac:dyDescent="0.6">
      <c r="A202" t="s">
        <v>64</v>
      </c>
      <c r="B202">
        <v>3421</v>
      </c>
      <c r="C202" t="s">
        <v>65</v>
      </c>
      <c r="D202">
        <v>502</v>
      </c>
      <c r="E202">
        <v>10</v>
      </c>
      <c r="F202">
        <v>614</v>
      </c>
      <c r="G202">
        <v>5</v>
      </c>
      <c r="H202">
        <v>308</v>
      </c>
      <c r="I202">
        <v>5</v>
      </c>
      <c r="J202">
        <v>306</v>
      </c>
      <c r="K202">
        <v>872.43121599999995</v>
      </c>
      <c r="L202">
        <v>2.3356000000035199E-2</v>
      </c>
      <c r="M202">
        <v>105497.516697906</v>
      </c>
      <c r="N202">
        <v>104812.467888179</v>
      </c>
      <c r="O202" s="8" t="str">
        <f>formatIP(Table1[[#This Row],[Address A]])</f>
        <v>010.011.001.079</v>
      </c>
      <c r="P202" s="8" t="str">
        <f>formatIP(Table1[[#This Row],[Address B]])</f>
        <v>010.012.001.024</v>
      </c>
      <c r="Q202" s="8" t="e">
        <f>VLOOKUP(Table1[[#This Row],[Address A]],IP_Master[],4,FALSE)</f>
        <v>#N/A</v>
      </c>
      <c r="R202" s="8" t="str">
        <f>VLOOKUP(Table1[[#This Row],[Address B]],IP_Master[],4,FALSE)</f>
        <v>BFNCPLC</v>
      </c>
      <c r="S202" s="8" t="e">
        <f>VLOOKUP(Table1[[#This Row],[Address A]],IP_Master[],2,FALSE)</f>
        <v>#N/A</v>
      </c>
      <c r="T202" s="8" t="str">
        <f>VLOOKUP(Table1[[#This Row],[Address B]],IP_Master[],2,FALSE)</f>
        <v>Blast Furnace</v>
      </c>
      <c r="U202" s="9" t="e">
        <f>VLOOKUP(Table1[[#This Row],[Address A]],IP_Master[],3,FALSE)</f>
        <v>#N/A</v>
      </c>
      <c r="V202" s="9" t="str">
        <f>VLOOKUP(Table1[[#This Row],[Address B]],IP_Master[],3,FALSE)</f>
        <v>PLCs &amp; Control Equipment</v>
      </c>
      <c r="W202" s="9" t="str">
        <f>VLOOKUP(Table1[[#This Row],[Port B]],traffic_types[],2,FALSE)</f>
        <v>Modbus</v>
      </c>
    </row>
    <row r="203" spans="1:23" x14ac:dyDescent="0.6">
      <c r="A203" t="s">
        <v>66</v>
      </c>
      <c r="B203">
        <v>3140</v>
      </c>
      <c r="C203" t="s">
        <v>65</v>
      </c>
      <c r="D203">
        <v>502</v>
      </c>
      <c r="E203">
        <v>10</v>
      </c>
      <c r="F203">
        <v>614</v>
      </c>
      <c r="G203">
        <v>5</v>
      </c>
      <c r="H203">
        <v>308</v>
      </c>
      <c r="I203">
        <v>5</v>
      </c>
      <c r="J203">
        <v>306</v>
      </c>
      <c r="K203">
        <v>48.219576000000004</v>
      </c>
      <c r="L203">
        <v>3.4265999999995203E-2</v>
      </c>
      <c r="M203">
        <v>71908.013774596999</v>
      </c>
      <c r="N203">
        <v>71441.078620216504</v>
      </c>
      <c r="O203" s="8" t="str">
        <f>formatIP(Table1[[#This Row],[Address A]])</f>
        <v>010.011.001.080</v>
      </c>
      <c r="P203" s="8" t="str">
        <f>formatIP(Table1[[#This Row],[Address B]])</f>
        <v>010.012.001.024</v>
      </c>
      <c r="Q203" s="8" t="e">
        <f>VLOOKUP(Table1[[#This Row],[Address A]],IP_Master[],4,FALSE)</f>
        <v>#N/A</v>
      </c>
      <c r="R203" s="8" t="str">
        <f>VLOOKUP(Table1[[#This Row],[Address B]],IP_Master[],4,FALSE)</f>
        <v>BFNCPLC</v>
      </c>
      <c r="S203" s="8" t="e">
        <f>VLOOKUP(Table1[[#This Row],[Address A]],IP_Master[],2,FALSE)</f>
        <v>#N/A</v>
      </c>
      <c r="T203" s="8" t="str">
        <f>VLOOKUP(Table1[[#This Row],[Address B]],IP_Master[],2,FALSE)</f>
        <v>Blast Furnace</v>
      </c>
      <c r="U203" s="9" t="e">
        <f>VLOOKUP(Table1[[#This Row],[Address A]],IP_Master[],3,FALSE)</f>
        <v>#N/A</v>
      </c>
      <c r="V203" s="9" t="str">
        <f>VLOOKUP(Table1[[#This Row],[Address B]],IP_Master[],3,FALSE)</f>
        <v>PLCs &amp; Control Equipment</v>
      </c>
      <c r="W203" s="9" t="str">
        <f>VLOOKUP(Table1[[#This Row],[Port B]],traffic_types[],2,FALSE)</f>
        <v>Modbus</v>
      </c>
    </row>
    <row r="204" spans="1:23" x14ac:dyDescent="0.6">
      <c r="A204" t="s">
        <v>66</v>
      </c>
      <c r="B204">
        <v>3141</v>
      </c>
      <c r="C204" t="s">
        <v>65</v>
      </c>
      <c r="D204">
        <v>502</v>
      </c>
      <c r="E204">
        <v>10</v>
      </c>
      <c r="F204">
        <v>613</v>
      </c>
      <c r="G204">
        <v>5</v>
      </c>
      <c r="H204">
        <v>308</v>
      </c>
      <c r="I204">
        <v>5</v>
      </c>
      <c r="J204">
        <v>305</v>
      </c>
      <c r="K204">
        <v>48.245657999999999</v>
      </c>
      <c r="L204">
        <v>4.0007000000002797E-2</v>
      </c>
      <c r="M204">
        <v>61589.2218861656</v>
      </c>
      <c r="N204">
        <v>60989.326867793898</v>
      </c>
      <c r="O204" s="8" t="str">
        <f>formatIP(Table1[[#This Row],[Address A]])</f>
        <v>010.011.001.080</v>
      </c>
      <c r="P204" s="8" t="str">
        <f>formatIP(Table1[[#This Row],[Address B]])</f>
        <v>010.012.001.024</v>
      </c>
      <c r="Q204" s="8" t="e">
        <f>VLOOKUP(Table1[[#This Row],[Address A]],IP_Master[],4,FALSE)</f>
        <v>#N/A</v>
      </c>
      <c r="R204" s="8" t="str">
        <f>VLOOKUP(Table1[[#This Row],[Address B]],IP_Master[],4,FALSE)</f>
        <v>BFNCPLC</v>
      </c>
      <c r="S204" s="8" t="e">
        <f>VLOOKUP(Table1[[#This Row],[Address A]],IP_Master[],2,FALSE)</f>
        <v>#N/A</v>
      </c>
      <c r="T204" s="8" t="str">
        <f>VLOOKUP(Table1[[#This Row],[Address B]],IP_Master[],2,FALSE)</f>
        <v>Blast Furnace</v>
      </c>
      <c r="U204" s="9" t="e">
        <f>VLOOKUP(Table1[[#This Row],[Address A]],IP_Master[],3,FALSE)</f>
        <v>#N/A</v>
      </c>
      <c r="V204" s="9" t="str">
        <f>VLOOKUP(Table1[[#This Row],[Address B]],IP_Master[],3,FALSE)</f>
        <v>PLCs &amp; Control Equipment</v>
      </c>
      <c r="W204" s="9" t="str">
        <f>VLOOKUP(Table1[[#This Row],[Port B]],traffic_types[],2,FALSE)</f>
        <v>Modbus</v>
      </c>
    </row>
    <row r="205" spans="1:23" x14ac:dyDescent="0.6">
      <c r="A205" t="s">
        <v>66</v>
      </c>
      <c r="B205">
        <v>3142</v>
      </c>
      <c r="C205" t="s">
        <v>65</v>
      </c>
      <c r="D205">
        <v>502</v>
      </c>
      <c r="E205">
        <v>10</v>
      </c>
      <c r="F205">
        <v>614</v>
      </c>
      <c r="G205">
        <v>5</v>
      </c>
      <c r="H205">
        <v>308</v>
      </c>
      <c r="I205">
        <v>5</v>
      </c>
      <c r="J205">
        <v>306</v>
      </c>
      <c r="K205">
        <v>48.302933000000003</v>
      </c>
      <c r="L205">
        <v>3.88789999999943E-2</v>
      </c>
      <c r="M205">
        <v>63376.1156408436</v>
      </c>
      <c r="N205">
        <v>62964.582422396597</v>
      </c>
      <c r="O205" s="8" t="str">
        <f>formatIP(Table1[[#This Row],[Address A]])</f>
        <v>010.011.001.080</v>
      </c>
      <c r="P205" s="8" t="str">
        <f>formatIP(Table1[[#This Row],[Address B]])</f>
        <v>010.012.001.024</v>
      </c>
      <c r="Q205" s="8" t="e">
        <f>VLOOKUP(Table1[[#This Row],[Address A]],IP_Master[],4,FALSE)</f>
        <v>#N/A</v>
      </c>
      <c r="R205" s="8" t="str">
        <f>VLOOKUP(Table1[[#This Row],[Address B]],IP_Master[],4,FALSE)</f>
        <v>BFNCPLC</v>
      </c>
      <c r="S205" s="8" t="e">
        <f>VLOOKUP(Table1[[#This Row],[Address A]],IP_Master[],2,FALSE)</f>
        <v>#N/A</v>
      </c>
      <c r="T205" s="8" t="str">
        <f>VLOOKUP(Table1[[#This Row],[Address B]],IP_Master[],2,FALSE)</f>
        <v>Blast Furnace</v>
      </c>
      <c r="U205" s="9" t="e">
        <f>VLOOKUP(Table1[[#This Row],[Address A]],IP_Master[],3,FALSE)</f>
        <v>#N/A</v>
      </c>
      <c r="V205" s="9" t="str">
        <f>VLOOKUP(Table1[[#This Row],[Address B]],IP_Master[],3,FALSE)</f>
        <v>PLCs &amp; Control Equipment</v>
      </c>
      <c r="W205" s="9" t="str">
        <f>VLOOKUP(Table1[[#This Row],[Port B]],traffic_types[],2,FALSE)</f>
        <v>Modbus</v>
      </c>
    </row>
    <row r="206" spans="1:23" x14ac:dyDescent="0.6">
      <c r="A206" t="s">
        <v>66</v>
      </c>
      <c r="B206">
        <v>3143</v>
      </c>
      <c r="C206" t="s">
        <v>65</v>
      </c>
      <c r="D206">
        <v>502</v>
      </c>
      <c r="E206">
        <v>10</v>
      </c>
      <c r="F206">
        <v>613</v>
      </c>
      <c r="G206">
        <v>5</v>
      </c>
      <c r="H206">
        <v>308</v>
      </c>
      <c r="I206">
        <v>5</v>
      </c>
      <c r="J206">
        <v>305</v>
      </c>
      <c r="K206">
        <v>48.328418999999997</v>
      </c>
      <c r="L206">
        <v>4.4980000000002497E-2</v>
      </c>
      <c r="M206">
        <v>54779.902178743097</v>
      </c>
      <c r="N206">
        <v>54246.331702976102</v>
      </c>
      <c r="O206" s="8" t="str">
        <f>formatIP(Table1[[#This Row],[Address A]])</f>
        <v>010.011.001.080</v>
      </c>
      <c r="P206" s="8" t="str">
        <f>formatIP(Table1[[#This Row],[Address B]])</f>
        <v>010.012.001.024</v>
      </c>
      <c r="Q206" s="8" t="e">
        <f>VLOOKUP(Table1[[#This Row],[Address A]],IP_Master[],4,FALSE)</f>
        <v>#N/A</v>
      </c>
      <c r="R206" s="8" t="str">
        <f>VLOOKUP(Table1[[#This Row],[Address B]],IP_Master[],4,FALSE)</f>
        <v>BFNCPLC</v>
      </c>
      <c r="S206" s="8" t="e">
        <f>VLOOKUP(Table1[[#This Row],[Address A]],IP_Master[],2,FALSE)</f>
        <v>#N/A</v>
      </c>
      <c r="T206" s="8" t="str">
        <f>VLOOKUP(Table1[[#This Row],[Address B]],IP_Master[],2,FALSE)</f>
        <v>Blast Furnace</v>
      </c>
      <c r="U206" s="9" t="e">
        <f>VLOOKUP(Table1[[#This Row],[Address A]],IP_Master[],3,FALSE)</f>
        <v>#N/A</v>
      </c>
      <c r="V206" s="9" t="str">
        <f>VLOOKUP(Table1[[#This Row],[Address B]],IP_Master[],3,FALSE)</f>
        <v>PLCs &amp; Control Equipment</v>
      </c>
      <c r="W206" s="9" t="str">
        <f>VLOOKUP(Table1[[#This Row],[Port B]],traffic_types[],2,FALSE)</f>
        <v>Modbus</v>
      </c>
    </row>
    <row r="207" spans="1:23" x14ac:dyDescent="0.6">
      <c r="A207" t="s">
        <v>66</v>
      </c>
      <c r="B207">
        <v>3144</v>
      </c>
      <c r="C207" t="s">
        <v>65</v>
      </c>
      <c r="D207">
        <v>502</v>
      </c>
      <c r="E207">
        <v>10</v>
      </c>
      <c r="F207">
        <v>614</v>
      </c>
      <c r="G207">
        <v>5</v>
      </c>
      <c r="H207">
        <v>308</v>
      </c>
      <c r="I207">
        <v>5</v>
      </c>
      <c r="J207">
        <v>306</v>
      </c>
      <c r="K207">
        <v>48.395479000000002</v>
      </c>
      <c r="L207">
        <v>3.86699999999962E-2</v>
      </c>
      <c r="M207">
        <v>63718.644944407599</v>
      </c>
      <c r="N207">
        <v>63304.887509703702</v>
      </c>
      <c r="O207" s="8" t="str">
        <f>formatIP(Table1[[#This Row],[Address A]])</f>
        <v>010.011.001.080</v>
      </c>
      <c r="P207" s="8" t="str">
        <f>formatIP(Table1[[#This Row],[Address B]])</f>
        <v>010.012.001.024</v>
      </c>
      <c r="Q207" s="8" t="e">
        <f>VLOOKUP(Table1[[#This Row],[Address A]],IP_Master[],4,FALSE)</f>
        <v>#N/A</v>
      </c>
      <c r="R207" s="8" t="str">
        <f>VLOOKUP(Table1[[#This Row],[Address B]],IP_Master[],4,FALSE)</f>
        <v>BFNCPLC</v>
      </c>
      <c r="S207" s="8" t="e">
        <f>VLOOKUP(Table1[[#This Row],[Address A]],IP_Master[],2,FALSE)</f>
        <v>#N/A</v>
      </c>
      <c r="T207" s="8" t="str">
        <f>VLOOKUP(Table1[[#This Row],[Address B]],IP_Master[],2,FALSE)</f>
        <v>Blast Furnace</v>
      </c>
      <c r="U207" s="9" t="e">
        <f>VLOOKUP(Table1[[#This Row],[Address A]],IP_Master[],3,FALSE)</f>
        <v>#N/A</v>
      </c>
      <c r="V207" s="9" t="str">
        <f>VLOOKUP(Table1[[#This Row],[Address B]],IP_Master[],3,FALSE)</f>
        <v>PLCs &amp; Control Equipment</v>
      </c>
      <c r="W207" s="9" t="str">
        <f>VLOOKUP(Table1[[#This Row],[Port B]],traffic_types[],2,FALSE)</f>
        <v>Modbus</v>
      </c>
    </row>
    <row r="208" spans="1:23" x14ac:dyDescent="0.6">
      <c r="A208" t="s">
        <v>66</v>
      </c>
      <c r="B208">
        <v>3146</v>
      </c>
      <c r="C208" t="s">
        <v>65</v>
      </c>
      <c r="D208">
        <v>502</v>
      </c>
      <c r="E208">
        <v>10</v>
      </c>
      <c r="F208">
        <v>614</v>
      </c>
      <c r="G208">
        <v>5</v>
      </c>
      <c r="H208">
        <v>308</v>
      </c>
      <c r="I208">
        <v>5</v>
      </c>
      <c r="J208">
        <v>306</v>
      </c>
      <c r="K208">
        <v>53.235425999999997</v>
      </c>
      <c r="L208">
        <v>5.70220000000035E-2</v>
      </c>
      <c r="M208">
        <v>43211.392094276802</v>
      </c>
      <c r="N208">
        <v>42930.798639119101</v>
      </c>
      <c r="O208" s="8" t="str">
        <f>formatIP(Table1[[#This Row],[Address A]])</f>
        <v>010.011.001.080</v>
      </c>
      <c r="P208" s="8" t="str">
        <f>formatIP(Table1[[#This Row],[Address B]])</f>
        <v>010.012.001.024</v>
      </c>
      <c r="Q208" s="8" t="e">
        <f>VLOOKUP(Table1[[#This Row],[Address A]],IP_Master[],4,FALSE)</f>
        <v>#N/A</v>
      </c>
      <c r="R208" s="8" t="str">
        <f>VLOOKUP(Table1[[#This Row],[Address B]],IP_Master[],4,FALSE)</f>
        <v>BFNCPLC</v>
      </c>
      <c r="S208" s="8" t="e">
        <f>VLOOKUP(Table1[[#This Row],[Address A]],IP_Master[],2,FALSE)</f>
        <v>#N/A</v>
      </c>
      <c r="T208" s="8" t="str">
        <f>VLOOKUP(Table1[[#This Row],[Address B]],IP_Master[],2,FALSE)</f>
        <v>Blast Furnace</v>
      </c>
      <c r="U208" s="9" t="e">
        <f>VLOOKUP(Table1[[#This Row],[Address A]],IP_Master[],3,FALSE)</f>
        <v>#N/A</v>
      </c>
      <c r="V208" s="9" t="str">
        <f>VLOOKUP(Table1[[#This Row],[Address B]],IP_Master[],3,FALSE)</f>
        <v>PLCs &amp; Control Equipment</v>
      </c>
      <c r="W208" s="9" t="str">
        <f>VLOOKUP(Table1[[#This Row],[Port B]],traffic_types[],2,FALSE)</f>
        <v>Modbus</v>
      </c>
    </row>
    <row r="209" spans="1:23" x14ac:dyDescent="0.6">
      <c r="A209" t="s">
        <v>66</v>
      </c>
      <c r="B209">
        <v>3147</v>
      </c>
      <c r="C209" t="s">
        <v>65</v>
      </c>
      <c r="D209">
        <v>502</v>
      </c>
      <c r="E209">
        <v>9</v>
      </c>
      <c r="F209">
        <v>553</v>
      </c>
      <c r="G209">
        <v>5</v>
      </c>
      <c r="H209">
        <v>308</v>
      </c>
      <c r="I209">
        <v>4</v>
      </c>
      <c r="J209">
        <v>245</v>
      </c>
      <c r="K209">
        <v>53.284295999999998</v>
      </c>
      <c r="L209">
        <v>4.2190000000005098E-2</v>
      </c>
      <c r="M209">
        <v>58402.4650391018</v>
      </c>
      <c r="N209">
        <v>46456.506281103699</v>
      </c>
      <c r="O209" s="8" t="str">
        <f>formatIP(Table1[[#This Row],[Address A]])</f>
        <v>010.011.001.080</v>
      </c>
      <c r="P209" s="8" t="str">
        <f>formatIP(Table1[[#This Row],[Address B]])</f>
        <v>010.012.001.024</v>
      </c>
      <c r="Q209" s="8" t="e">
        <f>VLOOKUP(Table1[[#This Row],[Address A]],IP_Master[],4,FALSE)</f>
        <v>#N/A</v>
      </c>
      <c r="R209" s="8" t="str">
        <f>VLOOKUP(Table1[[#This Row],[Address B]],IP_Master[],4,FALSE)</f>
        <v>BFNCPLC</v>
      </c>
      <c r="S209" s="8" t="e">
        <f>VLOOKUP(Table1[[#This Row],[Address A]],IP_Master[],2,FALSE)</f>
        <v>#N/A</v>
      </c>
      <c r="T209" s="8" t="str">
        <f>VLOOKUP(Table1[[#This Row],[Address B]],IP_Master[],2,FALSE)</f>
        <v>Blast Furnace</v>
      </c>
      <c r="U209" s="9" t="e">
        <f>VLOOKUP(Table1[[#This Row],[Address A]],IP_Master[],3,FALSE)</f>
        <v>#N/A</v>
      </c>
      <c r="V209" s="9" t="str">
        <f>VLOOKUP(Table1[[#This Row],[Address B]],IP_Master[],3,FALSE)</f>
        <v>PLCs &amp; Control Equipment</v>
      </c>
      <c r="W209" s="9" t="str">
        <f>VLOOKUP(Table1[[#This Row],[Port B]],traffic_types[],2,FALSE)</f>
        <v>Modbus</v>
      </c>
    </row>
    <row r="210" spans="1:23" x14ac:dyDescent="0.6">
      <c r="A210" t="s">
        <v>66</v>
      </c>
      <c r="B210">
        <v>3148</v>
      </c>
      <c r="C210" t="s">
        <v>65</v>
      </c>
      <c r="D210">
        <v>502</v>
      </c>
      <c r="E210">
        <v>10</v>
      </c>
      <c r="F210">
        <v>614</v>
      </c>
      <c r="G210">
        <v>5</v>
      </c>
      <c r="H210">
        <v>308</v>
      </c>
      <c r="I210">
        <v>5</v>
      </c>
      <c r="J210">
        <v>306</v>
      </c>
      <c r="K210">
        <v>53.334605000000003</v>
      </c>
      <c r="L210">
        <v>3.0250999999999799E-2</v>
      </c>
      <c r="M210">
        <v>81451.852831311902</v>
      </c>
      <c r="N210">
        <v>80922.944696043603</v>
      </c>
      <c r="O210" s="8" t="str">
        <f>formatIP(Table1[[#This Row],[Address A]])</f>
        <v>010.011.001.080</v>
      </c>
      <c r="P210" s="8" t="str">
        <f>formatIP(Table1[[#This Row],[Address B]])</f>
        <v>010.012.001.024</v>
      </c>
      <c r="Q210" s="8" t="e">
        <f>VLOOKUP(Table1[[#This Row],[Address A]],IP_Master[],4,FALSE)</f>
        <v>#N/A</v>
      </c>
      <c r="R210" s="8" t="str">
        <f>VLOOKUP(Table1[[#This Row],[Address B]],IP_Master[],4,FALSE)</f>
        <v>BFNCPLC</v>
      </c>
      <c r="S210" s="8" t="e">
        <f>VLOOKUP(Table1[[#This Row],[Address A]],IP_Master[],2,FALSE)</f>
        <v>#N/A</v>
      </c>
      <c r="T210" s="8" t="str">
        <f>VLOOKUP(Table1[[#This Row],[Address B]],IP_Master[],2,FALSE)</f>
        <v>Blast Furnace</v>
      </c>
      <c r="U210" s="9" t="e">
        <f>VLOOKUP(Table1[[#This Row],[Address A]],IP_Master[],3,FALSE)</f>
        <v>#N/A</v>
      </c>
      <c r="V210" s="9" t="str">
        <f>VLOOKUP(Table1[[#This Row],[Address B]],IP_Master[],3,FALSE)</f>
        <v>PLCs &amp; Control Equipment</v>
      </c>
      <c r="W210" s="9" t="str">
        <f>VLOOKUP(Table1[[#This Row],[Port B]],traffic_types[],2,FALSE)</f>
        <v>Modbus</v>
      </c>
    </row>
    <row r="211" spans="1:23" x14ac:dyDescent="0.6">
      <c r="A211" t="s">
        <v>66</v>
      </c>
      <c r="B211">
        <v>3149</v>
      </c>
      <c r="C211" t="s">
        <v>65</v>
      </c>
      <c r="D211">
        <v>502</v>
      </c>
      <c r="E211">
        <v>10</v>
      </c>
      <c r="F211">
        <v>613</v>
      </c>
      <c r="G211">
        <v>5</v>
      </c>
      <c r="H211">
        <v>308</v>
      </c>
      <c r="I211">
        <v>5</v>
      </c>
      <c r="J211">
        <v>305</v>
      </c>
      <c r="K211">
        <v>53.357256</v>
      </c>
      <c r="L211">
        <v>3.7770999999999298E-2</v>
      </c>
      <c r="M211">
        <v>65235.233380107602</v>
      </c>
      <c r="N211">
        <v>64599.8252627689</v>
      </c>
      <c r="O211" s="8" t="str">
        <f>formatIP(Table1[[#This Row],[Address A]])</f>
        <v>010.011.001.080</v>
      </c>
      <c r="P211" s="8" t="str">
        <f>formatIP(Table1[[#This Row],[Address B]])</f>
        <v>010.012.001.024</v>
      </c>
      <c r="Q211" s="8" t="e">
        <f>VLOOKUP(Table1[[#This Row],[Address A]],IP_Master[],4,FALSE)</f>
        <v>#N/A</v>
      </c>
      <c r="R211" s="8" t="str">
        <f>VLOOKUP(Table1[[#This Row],[Address B]],IP_Master[],4,FALSE)</f>
        <v>BFNCPLC</v>
      </c>
      <c r="S211" s="8" t="e">
        <f>VLOOKUP(Table1[[#This Row],[Address A]],IP_Master[],2,FALSE)</f>
        <v>#N/A</v>
      </c>
      <c r="T211" s="8" t="str">
        <f>VLOOKUP(Table1[[#This Row],[Address B]],IP_Master[],2,FALSE)</f>
        <v>Blast Furnace</v>
      </c>
      <c r="U211" s="9" t="e">
        <f>VLOOKUP(Table1[[#This Row],[Address A]],IP_Master[],3,FALSE)</f>
        <v>#N/A</v>
      </c>
      <c r="V211" s="9" t="str">
        <f>VLOOKUP(Table1[[#This Row],[Address B]],IP_Master[],3,FALSE)</f>
        <v>PLCs &amp; Control Equipment</v>
      </c>
      <c r="W211" s="9" t="str">
        <f>VLOOKUP(Table1[[#This Row],[Port B]],traffic_types[],2,FALSE)</f>
        <v>Modbus</v>
      </c>
    </row>
    <row r="212" spans="1:23" x14ac:dyDescent="0.6">
      <c r="A212" t="s">
        <v>66</v>
      </c>
      <c r="B212">
        <v>3150</v>
      </c>
      <c r="C212" t="s">
        <v>65</v>
      </c>
      <c r="D212">
        <v>502</v>
      </c>
      <c r="E212">
        <v>10</v>
      </c>
      <c r="F212">
        <v>614</v>
      </c>
      <c r="G212">
        <v>5</v>
      </c>
      <c r="H212">
        <v>308</v>
      </c>
      <c r="I212">
        <v>5</v>
      </c>
      <c r="J212">
        <v>306</v>
      </c>
      <c r="K212">
        <v>53.395615999999997</v>
      </c>
      <c r="L212">
        <v>3.66240000000033E-2</v>
      </c>
      <c r="M212">
        <v>67278.287461767599</v>
      </c>
      <c r="N212">
        <v>66841.415465262602</v>
      </c>
      <c r="O212" s="8" t="str">
        <f>formatIP(Table1[[#This Row],[Address A]])</f>
        <v>010.011.001.080</v>
      </c>
      <c r="P212" s="8" t="str">
        <f>formatIP(Table1[[#This Row],[Address B]])</f>
        <v>010.012.001.024</v>
      </c>
      <c r="Q212" s="8" t="e">
        <f>VLOOKUP(Table1[[#This Row],[Address A]],IP_Master[],4,FALSE)</f>
        <v>#N/A</v>
      </c>
      <c r="R212" s="8" t="str">
        <f>VLOOKUP(Table1[[#This Row],[Address B]],IP_Master[],4,FALSE)</f>
        <v>BFNCPLC</v>
      </c>
      <c r="S212" s="8" t="e">
        <f>VLOOKUP(Table1[[#This Row],[Address A]],IP_Master[],2,FALSE)</f>
        <v>#N/A</v>
      </c>
      <c r="T212" s="8" t="str">
        <f>VLOOKUP(Table1[[#This Row],[Address B]],IP_Master[],2,FALSE)</f>
        <v>Blast Furnace</v>
      </c>
      <c r="U212" s="9" t="e">
        <f>VLOOKUP(Table1[[#This Row],[Address A]],IP_Master[],3,FALSE)</f>
        <v>#N/A</v>
      </c>
      <c r="V212" s="9" t="str">
        <f>VLOOKUP(Table1[[#This Row],[Address B]],IP_Master[],3,FALSE)</f>
        <v>PLCs &amp; Control Equipment</v>
      </c>
      <c r="W212" s="9" t="str">
        <f>VLOOKUP(Table1[[#This Row],[Port B]],traffic_types[],2,FALSE)</f>
        <v>Modbus</v>
      </c>
    </row>
    <row r="213" spans="1:23" x14ac:dyDescent="0.6">
      <c r="A213" t="s">
        <v>66</v>
      </c>
      <c r="B213">
        <v>3211</v>
      </c>
      <c r="C213" t="s">
        <v>65</v>
      </c>
      <c r="D213">
        <v>502</v>
      </c>
      <c r="E213">
        <v>10</v>
      </c>
      <c r="F213">
        <v>614</v>
      </c>
      <c r="G213">
        <v>5</v>
      </c>
      <c r="H213">
        <v>308</v>
      </c>
      <c r="I213">
        <v>5</v>
      </c>
      <c r="J213">
        <v>306</v>
      </c>
      <c r="K213">
        <v>138.223626</v>
      </c>
      <c r="L213">
        <v>3.7700000000000997E-2</v>
      </c>
      <c r="M213">
        <v>65358.0901856747</v>
      </c>
      <c r="N213">
        <v>64933.687002650899</v>
      </c>
      <c r="O213" s="8" t="str">
        <f>formatIP(Table1[[#This Row],[Address A]])</f>
        <v>010.011.001.080</v>
      </c>
      <c r="P213" s="8" t="str">
        <f>formatIP(Table1[[#This Row],[Address B]])</f>
        <v>010.012.001.024</v>
      </c>
      <c r="Q213" s="8" t="e">
        <f>VLOOKUP(Table1[[#This Row],[Address A]],IP_Master[],4,FALSE)</f>
        <v>#N/A</v>
      </c>
      <c r="R213" s="8" t="str">
        <f>VLOOKUP(Table1[[#This Row],[Address B]],IP_Master[],4,FALSE)</f>
        <v>BFNCPLC</v>
      </c>
      <c r="S213" s="8" t="e">
        <f>VLOOKUP(Table1[[#This Row],[Address A]],IP_Master[],2,FALSE)</f>
        <v>#N/A</v>
      </c>
      <c r="T213" s="8" t="str">
        <f>VLOOKUP(Table1[[#This Row],[Address B]],IP_Master[],2,FALSE)</f>
        <v>Blast Furnace</v>
      </c>
      <c r="U213" s="9" t="e">
        <f>VLOOKUP(Table1[[#This Row],[Address A]],IP_Master[],3,FALSE)</f>
        <v>#N/A</v>
      </c>
      <c r="V213" s="9" t="str">
        <f>VLOOKUP(Table1[[#This Row],[Address B]],IP_Master[],3,FALSE)</f>
        <v>PLCs &amp; Control Equipment</v>
      </c>
      <c r="W213" s="9" t="str">
        <f>VLOOKUP(Table1[[#This Row],[Port B]],traffic_types[],2,FALSE)</f>
        <v>Modbus</v>
      </c>
    </row>
    <row r="214" spans="1:23" x14ac:dyDescent="0.6">
      <c r="A214" t="s">
        <v>66</v>
      </c>
      <c r="B214">
        <v>3212</v>
      </c>
      <c r="C214" t="s">
        <v>65</v>
      </c>
      <c r="D214">
        <v>502</v>
      </c>
      <c r="E214">
        <v>10</v>
      </c>
      <c r="F214">
        <v>613</v>
      </c>
      <c r="G214">
        <v>5</v>
      </c>
      <c r="H214">
        <v>308</v>
      </c>
      <c r="I214">
        <v>5</v>
      </c>
      <c r="J214">
        <v>305</v>
      </c>
      <c r="K214">
        <v>138.24677500000001</v>
      </c>
      <c r="L214">
        <v>4.3193999999999698E-2</v>
      </c>
      <c r="M214">
        <v>57044.959948141302</v>
      </c>
      <c r="N214">
        <v>56489.3272213737</v>
      </c>
      <c r="O214" s="8" t="str">
        <f>formatIP(Table1[[#This Row],[Address A]])</f>
        <v>010.011.001.080</v>
      </c>
      <c r="P214" s="8" t="str">
        <f>formatIP(Table1[[#This Row],[Address B]])</f>
        <v>010.012.001.024</v>
      </c>
      <c r="Q214" s="8" t="e">
        <f>VLOOKUP(Table1[[#This Row],[Address A]],IP_Master[],4,FALSE)</f>
        <v>#N/A</v>
      </c>
      <c r="R214" s="8" t="str">
        <f>VLOOKUP(Table1[[#This Row],[Address B]],IP_Master[],4,FALSE)</f>
        <v>BFNCPLC</v>
      </c>
      <c r="S214" s="8" t="e">
        <f>VLOOKUP(Table1[[#This Row],[Address A]],IP_Master[],2,FALSE)</f>
        <v>#N/A</v>
      </c>
      <c r="T214" s="8" t="str">
        <f>VLOOKUP(Table1[[#This Row],[Address B]],IP_Master[],2,FALSE)</f>
        <v>Blast Furnace</v>
      </c>
      <c r="U214" s="9" t="e">
        <f>VLOOKUP(Table1[[#This Row],[Address A]],IP_Master[],3,FALSE)</f>
        <v>#N/A</v>
      </c>
      <c r="V214" s="9" t="str">
        <f>VLOOKUP(Table1[[#This Row],[Address B]],IP_Master[],3,FALSE)</f>
        <v>PLCs &amp; Control Equipment</v>
      </c>
      <c r="W214" s="9" t="str">
        <f>VLOOKUP(Table1[[#This Row],[Port B]],traffic_types[],2,FALSE)</f>
        <v>Modbus</v>
      </c>
    </row>
    <row r="215" spans="1:23" x14ac:dyDescent="0.6">
      <c r="A215" t="s">
        <v>66</v>
      </c>
      <c r="B215">
        <v>3213</v>
      </c>
      <c r="C215" t="s">
        <v>65</v>
      </c>
      <c r="D215">
        <v>502</v>
      </c>
      <c r="E215">
        <v>10</v>
      </c>
      <c r="F215">
        <v>614</v>
      </c>
      <c r="G215">
        <v>5</v>
      </c>
      <c r="H215">
        <v>308</v>
      </c>
      <c r="I215">
        <v>5</v>
      </c>
      <c r="J215">
        <v>306</v>
      </c>
      <c r="K215">
        <v>138.30724499999999</v>
      </c>
      <c r="L215">
        <v>4.2012999999997198E-2</v>
      </c>
      <c r="M215">
        <v>58648.513555332</v>
      </c>
      <c r="N215">
        <v>58267.679051726001</v>
      </c>
      <c r="O215" s="8" t="str">
        <f>formatIP(Table1[[#This Row],[Address A]])</f>
        <v>010.011.001.080</v>
      </c>
      <c r="P215" s="8" t="str">
        <f>formatIP(Table1[[#This Row],[Address B]])</f>
        <v>010.012.001.024</v>
      </c>
      <c r="Q215" s="8" t="e">
        <f>VLOOKUP(Table1[[#This Row],[Address A]],IP_Master[],4,FALSE)</f>
        <v>#N/A</v>
      </c>
      <c r="R215" s="8" t="str">
        <f>VLOOKUP(Table1[[#This Row],[Address B]],IP_Master[],4,FALSE)</f>
        <v>BFNCPLC</v>
      </c>
      <c r="S215" s="8" t="e">
        <f>VLOOKUP(Table1[[#This Row],[Address A]],IP_Master[],2,FALSE)</f>
        <v>#N/A</v>
      </c>
      <c r="T215" s="8" t="str">
        <f>VLOOKUP(Table1[[#This Row],[Address B]],IP_Master[],2,FALSE)</f>
        <v>Blast Furnace</v>
      </c>
      <c r="U215" s="9" t="e">
        <f>VLOOKUP(Table1[[#This Row],[Address A]],IP_Master[],3,FALSE)</f>
        <v>#N/A</v>
      </c>
      <c r="V215" s="9" t="str">
        <f>VLOOKUP(Table1[[#This Row],[Address B]],IP_Master[],3,FALSE)</f>
        <v>PLCs &amp; Control Equipment</v>
      </c>
      <c r="W215" s="9" t="str">
        <f>VLOOKUP(Table1[[#This Row],[Port B]],traffic_types[],2,FALSE)</f>
        <v>Modbus</v>
      </c>
    </row>
    <row r="216" spans="1:23" x14ac:dyDescent="0.6">
      <c r="A216" t="s">
        <v>66</v>
      </c>
      <c r="B216">
        <v>3214</v>
      </c>
      <c r="C216" t="s">
        <v>65</v>
      </c>
      <c r="D216">
        <v>502</v>
      </c>
      <c r="E216">
        <v>10</v>
      </c>
      <c r="F216">
        <v>613</v>
      </c>
      <c r="G216">
        <v>5</v>
      </c>
      <c r="H216">
        <v>308</v>
      </c>
      <c r="I216">
        <v>5</v>
      </c>
      <c r="J216">
        <v>305</v>
      </c>
      <c r="K216">
        <v>138.33257800000001</v>
      </c>
      <c r="L216">
        <v>5.7249999999982003E-2</v>
      </c>
      <c r="M216">
        <v>43039.301310057199</v>
      </c>
      <c r="N216">
        <v>42620.0873362579</v>
      </c>
      <c r="O216" s="8" t="str">
        <f>formatIP(Table1[[#This Row],[Address A]])</f>
        <v>010.011.001.080</v>
      </c>
      <c r="P216" s="8" t="str">
        <f>formatIP(Table1[[#This Row],[Address B]])</f>
        <v>010.012.001.024</v>
      </c>
      <c r="Q216" s="8" t="e">
        <f>VLOOKUP(Table1[[#This Row],[Address A]],IP_Master[],4,FALSE)</f>
        <v>#N/A</v>
      </c>
      <c r="R216" s="8" t="str">
        <f>VLOOKUP(Table1[[#This Row],[Address B]],IP_Master[],4,FALSE)</f>
        <v>BFNCPLC</v>
      </c>
      <c r="S216" s="8" t="e">
        <f>VLOOKUP(Table1[[#This Row],[Address A]],IP_Master[],2,FALSE)</f>
        <v>#N/A</v>
      </c>
      <c r="T216" s="8" t="str">
        <f>VLOOKUP(Table1[[#This Row],[Address B]],IP_Master[],2,FALSE)</f>
        <v>Blast Furnace</v>
      </c>
      <c r="U216" s="9" t="e">
        <f>VLOOKUP(Table1[[#This Row],[Address A]],IP_Master[],3,FALSE)</f>
        <v>#N/A</v>
      </c>
      <c r="V216" s="9" t="str">
        <f>VLOOKUP(Table1[[#This Row],[Address B]],IP_Master[],3,FALSE)</f>
        <v>PLCs &amp; Control Equipment</v>
      </c>
      <c r="W216" s="9" t="str">
        <f>VLOOKUP(Table1[[#This Row],[Port B]],traffic_types[],2,FALSE)</f>
        <v>Modbus</v>
      </c>
    </row>
    <row r="217" spans="1:23" x14ac:dyDescent="0.6">
      <c r="A217" t="s">
        <v>66</v>
      </c>
      <c r="B217">
        <v>3215</v>
      </c>
      <c r="C217" t="s">
        <v>65</v>
      </c>
      <c r="D217">
        <v>502</v>
      </c>
      <c r="E217">
        <v>10</v>
      </c>
      <c r="F217">
        <v>614</v>
      </c>
      <c r="G217">
        <v>5</v>
      </c>
      <c r="H217">
        <v>308</v>
      </c>
      <c r="I217">
        <v>5</v>
      </c>
      <c r="J217">
        <v>306</v>
      </c>
      <c r="K217">
        <v>138.39939799999999</v>
      </c>
      <c r="L217">
        <v>5.3055000000000498E-2</v>
      </c>
      <c r="M217">
        <v>46442.371124304504</v>
      </c>
      <c r="N217">
        <v>46140.797285834997</v>
      </c>
      <c r="O217" s="8" t="str">
        <f>formatIP(Table1[[#This Row],[Address A]])</f>
        <v>010.011.001.080</v>
      </c>
      <c r="P217" s="8" t="str">
        <f>formatIP(Table1[[#This Row],[Address B]])</f>
        <v>010.012.001.024</v>
      </c>
      <c r="Q217" s="8" t="e">
        <f>VLOOKUP(Table1[[#This Row],[Address A]],IP_Master[],4,FALSE)</f>
        <v>#N/A</v>
      </c>
      <c r="R217" s="8" t="str">
        <f>VLOOKUP(Table1[[#This Row],[Address B]],IP_Master[],4,FALSE)</f>
        <v>BFNCPLC</v>
      </c>
      <c r="S217" s="8" t="e">
        <f>VLOOKUP(Table1[[#This Row],[Address A]],IP_Master[],2,FALSE)</f>
        <v>#N/A</v>
      </c>
      <c r="T217" s="8" t="str">
        <f>VLOOKUP(Table1[[#This Row],[Address B]],IP_Master[],2,FALSE)</f>
        <v>Blast Furnace</v>
      </c>
      <c r="U217" s="9" t="e">
        <f>VLOOKUP(Table1[[#This Row],[Address A]],IP_Master[],3,FALSE)</f>
        <v>#N/A</v>
      </c>
      <c r="V217" s="9" t="str">
        <f>VLOOKUP(Table1[[#This Row],[Address B]],IP_Master[],3,FALSE)</f>
        <v>PLCs &amp; Control Equipment</v>
      </c>
      <c r="W217" s="9" t="str">
        <f>VLOOKUP(Table1[[#This Row],[Port B]],traffic_types[],2,FALSE)</f>
        <v>Modbus</v>
      </c>
    </row>
    <row r="218" spans="1:23" x14ac:dyDescent="0.6">
      <c r="A218" t="s">
        <v>66</v>
      </c>
      <c r="B218">
        <v>3216</v>
      </c>
      <c r="C218" t="s">
        <v>65</v>
      </c>
      <c r="D218">
        <v>502</v>
      </c>
      <c r="E218">
        <v>10</v>
      </c>
      <c r="F218">
        <v>614</v>
      </c>
      <c r="G218">
        <v>5</v>
      </c>
      <c r="H218">
        <v>308</v>
      </c>
      <c r="I218">
        <v>5</v>
      </c>
      <c r="J218">
        <v>306</v>
      </c>
      <c r="K218">
        <v>143.22377499999999</v>
      </c>
      <c r="L218">
        <v>9.02150000000006E-2</v>
      </c>
      <c r="M218">
        <v>27312.531175525</v>
      </c>
      <c r="N218">
        <v>27135.1770769826</v>
      </c>
      <c r="O218" s="8" t="str">
        <f>formatIP(Table1[[#This Row],[Address A]])</f>
        <v>010.011.001.080</v>
      </c>
      <c r="P218" s="8" t="str">
        <f>formatIP(Table1[[#This Row],[Address B]])</f>
        <v>010.012.001.024</v>
      </c>
      <c r="Q218" s="8" t="e">
        <f>VLOOKUP(Table1[[#This Row],[Address A]],IP_Master[],4,FALSE)</f>
        <v>#N/A</v>
      </c>
      <c r="R218" s="8" t="str">
        <f>VLOOKUP(Table1[[#This Row],[Address B]],IP_Master[],4,FALSE)</f>
        <v>BFNCPLC</v>
      </c>
      <c r="S218" s="8" t="e">
        <f>VLOOKUP(Table1[[#This Row],[Address A]],IP_Master[],2,FALSE)</f>
        <v>#N/A</v>
      </c>
      <c r="T218" s="8" t="str">
        <f>VLOOKUP(Table1[[#This Row],[Address B]],IP_Master[],2,FALSE)</f>
        <v>Blast Furnace</v>
      </c>
      <c r="U218" s="9" t="e">
        <f>VLOOKUP(Table1[[#This Row],[Address A]],IP_Master[],3,FALSE)</f>
        <v>#N/A</v>
      </c>
      <c r="V218" s="9" t="str">
        <f>VLOOKUP(Table1[[#This Row],[Address B]],IP_Master[],3,FALSE)</f>
        <v>PLCs &amp; Control Equipment</v>
      </c>
      <c r="W218" s="9" t="str">
        <f>VLOOKUP(Table1[[#This Row],[Port B]],traffic_types[],2,FALSE)</f>
        <v>Modbus</v>
      </c>
    </row>
    <row r="219" spans="1:23" x14ac:dyDescent="0.6">
      <c r="A219" t="s">
        <v>66</v>
      </c>
      <c r="B219">
        <v>3217</v>
      </c>
      <c r="C219" t="s">
        <v>65</v>
      </c>
      <c r="D219">
        <v>502</v>
      </c>
      <c r="E219">
        <v>10</v>
      </c>
      <c r="F219">
        <v>613</v>
      </c>
      <c r="G219">
        <v>5</v>
      </c>
      <c r="H219">
        <v>308</v>
      </c>
      <c r="I219">
        <v>5</v>
      </c>
      <c r="J219">
        <v>305</v>
      </c>
      <c r="K219">
        <v>143.27601999999999</v>
      </c>
      <c r="L219">
        <v>8.7348000000020007E-2</v>
      </c>
      <c r="M219">
        <v>28209.003068180598</v>
      </c>
      <c r="N219">
        <v>27934.240051282701</v>
      </c>
      <c r="O219" s="8" t="str">
        <f>formatIP(Table1[[#This Row],[Address A]])</f>
        <v>010.011.001.080</v>
      </c>
      <c r="P219" s="8" t="str">
        <f>formatIP(Table1[[#This Row],[Address B]])</f>
        <v>010.012.001.024</v>
      </c>
      <c r="Q219" s="8" t="e">
        <f>VLOOKUP(Table1[[#This Row],[Address A]],IP_Master[],4,FALSE)</f>
        <v>#N/A</v>
      </c>
      <c r="R219" s="8" t="str">
        <f>VLOOKUP(Table1[[#This Row],[Address B]],IP_Master[],4,FALSE)</f>
        <v>BFNCPLC</v>
      </c>
      <c r="S219" s="8" t="e">
        <f>VLOOKUP(Table1[[#This Row],[Address A]],IP_Master[],2,FALSE)</f>
        <v>#N/A</v>
      </c>
      <c r="T219" s="8" t="str">
        <f>VLOOKUP(Table1[[#This Row],[Address B]],IP_Master[],2,FALSE)</f>
        <v>Blast Furnace</v>
      </c>
      <c r="U219" s="9" t="e">
        <f>VLOOKUP(Table1[[#This Row],[Address A]],IP_Master[],3,FALSE)</f>
        <v>#N/A</v>
      </c>
      <c r="V219" s="9" t="str">
        <f>VLOOKUP(Table1[[#This Row],[Address B]],IP_Master[],3,FALSE)</f>
        <v>PLCs &amp; Control Equipment</v>
      </c>
      <c r="W219" s="9" t="str">
        <f>VLOOKUP(Table1[[#This Row],[Port B]],traffic_types[],2,FALSE)</f>
        <v>Modbus</v>
      </c>
    </row>
    <row r="220" spans="1:23" x14ac:dyDescent="0.6">
      <c r="A220" t="s">
        <v>66</v>
      </c>
      <c r="B220">
        <v>3218</v>
      </c>
      <c r="C220" t="s">
        <v>65</v>
      </c>
      <c r="D220">
        <v>502</v>
      </c>
      <c r="E220">
        <v>10</v>
      </c>
      <c r="F220">
        <v>614</v>
      </c>
      <c r="G220">
        <v>5</v>
      </c>
      <c r="H220">
        <v>308</v>
      </c>
      <c r="I220">
        <v>5</v>
      </c>
      <c r="J220">
        <v>306</v>
      </c>
      <c r="K220">
        <v>143.37003999999999</v>
      </c>
      <c r="L220">
        <v>8.0218999999999596E-2</v>
      </c>
      <c r="M220">
        <v>30715.915182188899</v>
      </c>
      <c r="N220">
        <v>30516.461187499401</v>
      </c>
      <c r="O220" s="8" t="str">
        <f>formatIP(Table1[[#This Row],[Address A]])</f>
        <v>010.011.001.080</v>
      </c>
      <c r="P220" s="8" t="str">
        <f>formatIP(Table1[[#This Row],[Address B]])</f>
        <v>010.012.001.024</v>
      </c>
      <c r="Q220" s="8" t="e">
        <f>VLOOKUP(Table1[[#This Row],[Address A]],IP_Master[],4,FALSE)</f>
        <v>#N/A</v>
      </c>
      <c r="R220" s="8" t="str">
        <f>VLOOKUP(Table1[[#This Row],[Address B]],IP_Master[],4,FALSE)</f>
        <v>BFNCPLC</v>
      </c>
      <c r="S220" s="8" t="e">
        <f>VLOOKUP(Table1[[#This Row],[Address A]],IP_Master[],2,FALSE)</f>
        <v>#N/A</v>
      </c>
      <c r="T220" s="8" t="str">
        <f>VLOOKUP(Table1[[#This Row],[Address B]],IP_Master[],2,FALSE)</f>
        <v>Blast Furnace</v>
      </c>
      <c r="U220" s="9" t="e">
        <f>VLOOKUP(Table1[[#This Row],[Address A]],IP_Master[],3,FALSE)</f>
        <v>#N/A</v>
      </c>
      <c r="V220" s="9" t="str">
        <f>VLOOKUP(Table1[[#This Row],[Address B]],IP_Master[],3,FALSE)</f>
        <v>PLCs &amp; Control Equipment</v>
      </c>
      <c r="W220" s="9" t="str">
        <f>VLOOKUP(Table1[[#This Row],[Port B]],traffic_types[],2,FALSE)</f>
        <v>Modbus</v>
      </c>
    </row>
    <row r="221" spans="1:23" x14ac:dyDescent="0.6">
      <c r="A221" t="s">
        <v>66</v>
      </c>
      <c r="B221">
        <v>3219</v>
      </c>
      <c r="C221" t="s">
        <v>65</v>
      </c>
      <c r="D221">
        <v>502</v>
      </c>
      <c r="E221">
        <v>10</v>
      </c>
      <c r="F221">
        <v>613</v>
      </c>
      <c r="G221">
        <v>5</v>
      </c>
      <c r="H221">
        <v>308</v>
      </c>
      <c r="I221">
        <v>5</v>
      </c>
      <c r="J221">
        <v>305</v>
      </c>
      <c r="K221">
        <v>143.41492600000001</v>
      </c>
      <c r="L221">
        <v>0.13497799999998999</v>
      </c>
      <c r="M221">
        <v>18254.826712502701</v>
      </c>
      <c r="N221">
        <v>18077.019958809498</v>
      </c>
      <c r="O221" s="8" t="str">
        <f>formatIP(Table1[[#This Row],[Address A]])</f>
        <v>010.011.001.080</v>
      </c>
      <c r="P221" s="8" t="str">
        <f>formatIP(Table1[[#This Row],[Address B]])</f>
        <v>010.012.001.024</v>
      </c>
      <c r="Q221" s="8" t="e">
        <f>VLOOKUP(Table1[[#This Row],[Address A]],IP_Master[],4,FALSE)</f>
        <v>#N/A</v>
      </c>
      <c r="R221" s="8" t="str">
        <f>VLOOKUP(Table1[[#This Row],[Address B]],IP_Master[],4,FALSE)</f>
        <v>BFNCPLC</v>
      </c>
      <c r="S221" s="8" t="e">
        <f>VLOOKUP(Table1[[#This Row],[Address A]],IP_Master[],2,FALSE)</f>
        <v>#N/A</v>
      </c>
      <c r="T221" s="8" t="str">
        <f>VLOOKUP(Table1[[#This Row],[Address B]],IP_Master[],2,FALSE)</f>
        <v>Blast Furnace</v>
      </c>
      <c r="U221" s="9" t="e">
        <f>VLOOKUP(Table1[[#This Row],[Address A]],IP_Master[],3,FALSE)</f>
        <v>#N/A</v>
      </c>
      <c r="V221" s="9" t="str">
        <f>VLOOKUP(Table1[[#This Row],[Address B]],IP_Master[],3,FALSE)</f>
        <v>PLCs &amp; Control Equipment</v>
      </c>
      <c r="W221" s="9" t="str">
        <f>VLOOKUP(Table1[[#This Row],[Port B]],traffic_types[],2,FALSE)</f>
        <v>Modbus</v>
      </c>
    </row>
    <row r="222" spans="1:23" x14ac:dyDescent="0.6">
      <c r="A222" t="s">
        <v>66</v>
      </c>
      <c r="B222">
        <v>3220</v>
      </c>
      <c r="C222" t="s">
        <v>65</v>
      </c>
      <c r="D222">
        <v>502</v>
      </c>
      <c r="E222">
        <v>10</v>
      </c>
      <c r="F222">
        <v>614</v>
      </c>
      <c r="G222">
        <v>5</v>
      </c>
      <c r="H222">
        <v>308</v>
      </c>
      <c r="I222">
        <v>5</v>
      </c>
      <c r="J222">
        <v>306</v>
      </c>
      <c r="K222">
        <v>143.524822</v>
      </c>
      <c r="L222">
        <v>0.158763999999991</v>
      </c>
      <c r="M222">
        <v>15519.891159205799</v>
      </c>
      <c r="N222">
        <v>15419.1126451849</v>
      </c>
      <c r="O222" s="8" t="str">
        <f>formatIP(Table1[[#This Row],[Address A]])</f>
        <v>010.011.001.080</v>
      </c>
      <c r="P222" s="8" t="str">
        <f>formatIP(Table1[[#This Row],[Address B]])</f>
        <v>010.012.001.024</v>
      </c>
      <c r="Q222" s="8" t="e">
        <f>VLOOKUP(Table1[[#This Row],[Address A]],IP_Master[],4,FALSE)</f>
        <v>#N/A</v>
      </c>
      <c r="R222" s="8" t="str">
        <f>VLOOKUP(Table1[[#This Row],[Address B]],IP_Master[],4,FALSE)</f>
        <v>BFNCPLC</v>
      </c>
      <c r="S222" s="8" t="e">
        <f>VLOOKUP(Table1[[#This Row],[Address A]],IP_Master[],2,FALSE)</f>
        <v>#N/A</v>
      </c>
      <c r="T222" s="8" t="str">
        <f>VLOOKUP(Table1[[#This Row],[Address B]],IP_Master[],2,FALSE)</f>
        <v>Blast Furnace</v>
      </c>
      <c r="U222" s="9" t="e">
        <f>VLOOKUP(Table1[[#This Row],[Address A]],IP_Master[],3,FALSE)</f>
        <v>#N/A</v>
      </c>
      <c r="V222" s="9" t="str">
        <f>VLOOKUP(Table1[[#This Row],[Address B]],IP_Master[],3,FALSE)</f>
        <v>PLCs &amp; Control Equipment</v>
      </c>
      <c r="W222" s="9" t="str">
        <f>VLOOKUP(Table1[[#This Row],[Port B]],traffic_types[],2,FALSE)</f>
        <v>Modbus</v>
      </c>
    </row>
    <row r="223" spans="1:23" x14ac:dyDescent="0.6">
      <c r="A223" t="s">
        <v>66</v>
      </c>
      <c r="B223">
        <v>3282</v>
      </c>
      <c r="C223" t="s">
        <v>65</v>
      </c>
      <c r="D223">
        <v>502</v>
      </c>
      <c r="E223">
        <v>1</v>
      </c>
      <c r="F223">
        <v>62</v>
      </c>
      <c r="G223">
        <v>1</v>
      </c>
      <c r="H223">
        <v>62</v>
      </c>
      <c r="I223">
        <v>0</v>
      </c>
      <c r="J223">
        <v>0</v>
      </c>
      <c r="K223">
        <v>228.22761499999999</v>
      </c>
      <c r="L223">
        <v>0</v>
      </c>
      <c r="M223">
        <v>0</v>
      </c>
      <c r="N223">
        <v>0</v>
      </c>
      <c r="O223" s="8" t="str">
        <f>formatIP(Table1[[#This Row],[Address A]])</f>
        <v>010.011.001.080</v>
      </c>
      <c r="P223" s="8" t="str">
        <f>formatIP(Table1[[#This Row],[Address B]])</f>
        <v>010.012.001.024</v>
      </c>
      <c r="Q223" s="8" t="e">
        <f>VLOOKUP(Table1[[#This Row],[Address A]],IP_Master[],4,FALSE)</f>
        <v>#N/A</v>
      </c>
      <c r="R223" s="8" t="str">
        <f>VLOOKUP(Table1[[#This Row],[Address B]],IP_Master[],4,FALSE)</f>
        <v>BFNCPLC</v>
      </c>
      <c r="S223" s="8" t="e">
        <f>VLOOKUP(Table1[[#This Row],[Address A]],IP_Master[],2,FALSE)</f>
        <v>#N/A</v>
      </c>
      <c r="T223" s="8" t="str">
        <f>VLOOKUP(Table1[[#This Row],[Address B]],IP_Master[],2,FALSE)</f>
        <v>Blast Furnace</v>
      </c>
      <c r="U223" s="9" t="e">
        <f>VLOOKUP(Table1[[#This Row],[Address A]],IP_Master[],3,FALSE)</f>
        <v>#N/A</v>
      </c>
      <c r="V223" s="9" t="str">
        <f>VLOOKUP(Table1[[#This Row],[Address B]],IP_Master[],3,FALSE)</f>
        <v>PLCs &amp; Control Equipment</v>
      </c>
      <c r="W223" s="9" t="str">
        <f>VLOOKUP(Table1[[#This Row],[Port B]],traffic_types[],2,FALSE)</f>
        <v>Modbus</v>
      </c>
    </row>
    <row r="224" spans="1:23" x14ac:dyDescent="0.6">
      <c r="A224" t="s">
        <v>66</v>
      </c>
      <c r="B224">
        <v>3302</v>
      </c>
      <c r="C224" t="s">
        <v>65</v>
      </c>
      <c r="D224">
        <v>502</v>
      </c>
      <c r="E224">
        <v>1</v>
      </c>
      <c r="F224">
        <v>62</v>
      </c>
      <c r="G224">
        <v>1</v>
      </c>
      <c r="H224">
        <v>62</v>
      </c>
      <c r="I224">
        <v>0</v>
      </c>
      <c r="J224">
        <v>0</v>
      </c>
      <c r="K224">
        <v>230.22882799999999</v>
      </c>
      <c r="L224">
        <v>0</v>
      </c>
      <c r="M224">
        <v>0</v>
      </c>
      <c r="N224">
        <v>0</v>
      </c>
      <c r="O224" s="8" t="str">
        <f>formatIP(Table1[[#This Row],[Address A]])</f>
        <v>010.011.001.080</v>
      </c>
      <c r="P224" s="8" t="str">
        <f>formatIP(Table1[[#This Row],[Address B]])</f>
        <v>010.012.001.024</v>
      </c>
      <c r="Q224" s="8" t="e">
        <f>VLOOKUP(Table1[[#This Row],[Address A]],IP_Master[],4,FALSE)</f>
        <v>#N/A</v>
      </c>
      <c r="R224" s="8" t="str">
        <f>VLOOKUP(Table1[[#This Row],[Address B]],IP_Master[],4,FALSE)</f>
        <v>BFNCPLC</v>
      </c>
      <c r="S224" s="8" t="e">
        <f>VLOOKUP(Table1[[#This Row],[Address A]],IP_Master[],2,FALSE)</f>
        <v>#N/A</v>
      </c>
      <c r="T224" s="8" t="str">
        <f>VLOOKUP(Table1[[#This Row],[Address B]],IP_Master[],2,FALSE)</f>
        <v>Blast Furnace</v>
      </c>
      <c r="U224" s="9" t="e">
        <f>VLOOKUP(Table1[[#This Row],[Address A]],IP_Master[],3,FALSE)</f>
        <v>#N/A</v>
      </c>
      <c r="V224" s="9" t="str">
        <f>VLOOKUP(Table1[[#This Row],[Address B]],IP_Master[],3,FALSE)</f>
        <v>PLCs &amp; Control Equipment</v>
      </c>
      <c r="W224" s="9" t="str">
        <f>VLOOKUP(Table1[[#This Row],[Port B]],traffic_types[],2,FALSE)</f>
        <v>Modbus</v>
      </c>
    </row>
    <row r="225" spans="1:23" x14ac:dyDescent="0.6">
      <c r="A225" t="s">
        <v>66</v>
      </c>
      <c r="B225">
        <v>3311</v>
      </c>
      <c r="C225" t="s">
        <v>65</v>
      </c>
      <c r="D225">
        <v>502</v>
      </c>
      <c r="E225">
        <v>1</v>
      </c>
      <c r="F225">
        <v>62</v>
      </c>
      <c r="G225">
        <v>1</v>
      </c>
      <c r="H225">
        <v>62</v>
      </c>
      <c r="I225">
        <v>0</v>
      </c>
      <c r="J225">
        <v>0</v>
      </c>
      <c r="K225">
        <v>232.228163</v>
      </c>
      <c r="L225">
        <v>0</v>
      </c>
      <c r="M225">
        <v>0</v>
      </c>
      <c r="N225">
        <v>0</v>
      </c>
      <c r="O225" s="8" t="str">
        <f>formatIP(Table1[[#This Row],[Address A]])</f>
        <v>010.011.001.080</v>
      </c>
      <c r="P225" s="8" t="str">
        <f>formatIP(Table1[[#This Row],[Address B]])</f>
        <v>010.012.001.024</v>
      </c>
      <c r="Q225" s="8" t="e">
        <f>VLOOKUP(Table1[[#This Row],[Address A]],IP_Master[],4,FALSE)</f>
        <v>#N/A</v>
      </c>
      <c r="R225" s="8" t="str">
        <f>VLOOKUP(Table1[[#This Row],[Address B]],IP_Master[],4,FALSE)</f>
        <v>BFNCPLC</v>
      </c>
      <c r="S225" s="8" t="e">
        <f>VLOOKUP(Table1[[#This Row],[Address A]],IP_Master[],2,FALSE)</f>
        <v>#N/A</v>
      </c>
      <c r="T225" s="8" t="str">
        <f>VLOOKUP(Table1[[#This Row],[Address B]],IP_Master[],2,FALSE)</f>
        <v>Blast Furnace</v>
      </c>
      <c r="U225" s="9" t="e">
        <f>VLOOKUP(Table1[[#This Row],[Address A]],IP_Master[],3,FALSE)</f>
        <v>#N/A</v>
      </c>
      <c r="V225" s="9" t="str">
        <f>VLOOKUP(Table1[[#This Row],[Address B]],IP_Master[],3,FALSE)</f>
        <v>PLCs &amp; Control Equipment</v>
      </c>
      <c r="W225" s="9" t="str">
        <f>VLOOKUP(Table1[[#This Row],[Port B]],traffic_types[],2,FALSE)</f>
        <v>Modbus</v>
      </c>
    </row>
    <row r="226" spans="1:23" x14ac:dyDescent="0.6">
      <c r="A226" t="s">
        <v>66</v>
      </c>
      <c r="B226">
        <v>3312</v>
      </c>
      <c r="C226" t="s">
        <v>65</v>
      </c>
      <c r="D226">
        <v>502</v>
      </c>
      <c r="E226">
        <v>1</v>
      </c>
      <c r="F226">
        <v>62</v>
      </c>
      <c r="G226">
        <v>1</v>
      </c>
      <c r="H226">
        <v>62</v>
      </c>
      <c r="I226">
        <v>0</v>
      </c>
      <c r="J226">
        <v>0</v>
      </c>
      <c r="K226">
        <v>234.23295400000001</v>
      </c>
      <c r="L226">
        <v>0</v>
      </c>
      <c r="M226">
        <v>0</v>
      </c>
      <c r="N226">
        <v>0</v>
      </c>
      <c r="O226" s="8" t="str">
        <f>formatIP(Table1[[#This Row],[Address A]])</f>
        <v>010.011.001.080</v>
      </c>
      <c r="P226" s="8" t="str">
        <f>formatIP(Table1[[#This Row],[Address B]])</f>
        <v>010.012.001.024</v>
      </c>
      <c r="Q226" s="8" t="e">
        <f>VLOOKUP(Table1[[#This Row],[Address A]],IP_Master[],4,FALSE)</f>
        <v>#N/A</v>
      </c>
      <c r="R226" s="8" t="str">
        <f>VLOOKUP(Table1[[#This Row],[Address B]],IP_Master[],4,FALSE)</f>
        <v>BFNCPLC</v>
      </c>
      <c r="S226" s="8" t="e">
        <f>VLOOKUP(Table1[[#This Row],[Address A]],IP_Master[],2,FALSE)</f>
        <v>#N/A</v>
      </c>
      <c r="T226" s="8" t="str">
        <f>VLOOKUP(Table1[[#This Row],[Address B]],IP_Master[],2,FALSE)</f>
        <v>Blast Furnace</v>
      </c>
      <c r="U226" s="9" t="e">
        <f>VLOOKUP(Table1[[#This Row],[Address A]],IP_Master[],3,FALSE)</f>
        <v>#N/A</v>
      </c>
      <c r="V226" s="9" t="str">
        <f>VLOOKUP(Table1[[#This Row],[Address B]],IP_Master[],3,FALSE)</f>
        <v>PLCs &amp; Control Equipment</v>
      </c>
      <c r="W226" s="9" t="str">
        <f>VLOOKUP(Table1[[#This Row],[Port B]],traffic_types[],2,FALSE)</f>
        <v>Modbus</v>
      </c>
    </row>
    <row r="227" spans="1:23" x14ac:dyDescent="0.6">
      <c r="A227" t="s">
        <v>66</v>
      </c>
      <c r="B227">
        <v>3313</v>
      </c>
      <c r="C227" t="s">
        <v>65</v>
      </c>
      <c r="D227">
        <v>502</v>
      </c>
      <c r="E227">
        <v>1</v>
      </c>
      <c r="F227">
        <v>62</v>
      </c>
      <c r="G227">
        <v>1</v>
      </c>
      <c r="H227">
        <v>62</v>
      </c>
      <c r="I227">
        <v>0</v>
      </c>
      <c r="J227">
        <v>0</v>
      </c>
      <c r="K227">
        <v>236.260232</v>
      </c>
      <c r="L227">
        <v>0</v>
      </c>
      <c r="M227">
        <v>0</v>
      </c>
      <c r="N227">
        <v>0</v>
      </c>
      <c r="O227" s="8" t="str">
        <f>formatIP(Table1[[#This Row],[Address A]])</f>
        <v>010.011.001.080</v>
      </c>
      <c r="P227" s="8" t="str">
        <f>formatIP(Table1[[#This Row],[Address B]])</f>
        <v>010.012.001.024</v>
      </c>
      <c r="Q227" s="8" t="e">
        <f>VLOOKUP(Table1[[#This Row],[Address A]],IP_Master[],4,FALSE)</f>
        <v>#N/A</v>
      </c>
      <c r="R227" s="8" t="str">
        <f>VLOOKUP(Table1[[#This Row],[Address B]],IP_Master[],4,FALSE)</f>
        <v>BFNCPLC</v>
      </c>
      <c r="S227" s="8" t="e">
        <f>VLOOKUP(Table1[[#This Row],[Address A]],IP_Master[],2,FALSE)</f>
        <v>#N/A</v>
      </c>
      <c r="T227" s="8" t="str">
        <f>VLOOKUP(Table1[[#This Row],[Address B]],IP_Master[],2,FALSE)</f>
        <v>Blast Furnace</v>
      </c>
      <c r="U227" s="9" t="e">
        <f>VLOOKUP(Table1[[#This Row],[Address A]],IP_Master[],3,FALSE)</f>
        <v>#N/A</v>
      </c>
      <c r="V227" s="9" t="str">
        <f>VLOOKUP(Table1[[#This Row],[Address B]],IP_Master[],3,FALSE)</f>
        <v>PLCs &amp; Control Equipment</v>
      </c>
      <c r="W227" s="9" t="str">
        <f>VLOOKUP(Table1[[#This Row],[Port B]],traffic_types[],2,FALSE)</f>
        <v>Modbus</v>
      </c>
    </row>
    <row r="228" spans="1:23" x14ac:dyDescent="0.6">
      <c r="A228" t="s">
        <v>66</v>
      </c>
      <c r="B228">
        <v>3321</v>
      </c>
      <c r="C228" t="s">
        <v>65</v>
      </c>
      <c r="D228">
        <v>502</v>
      </c>
      <c r="E228">
        <v>1</v>
      </c>
      <c r="F228">
        <v>62</v>
      </c>
      <c r="G228">
        <v>1</v>
      </c>
      <c r="H228">
        <v>62</v>
      </c>
      <c r="I228">
        <v>0</v>
      </c>
      <c r="J228">
        <v>0</v>
      </c>
      <c r="K228">
        <v>238.40099699999999</v>
      </c>
      <c r="L228">
        <v>0</v>
      </c>
      <c r="M228">
        <v>0</v>
      </c>
      <c r="N228">
        <v>0</v>
      </c>
      <c r="O228" s="8" t="str">
        <f>formatIP(Table1[[#This Row],[Address A]])</f>
        <v>010.011.001.080</v>
      </c>
      <c r="P228" s="8" t="str">
        <f>formatIP(Table1[[#This Row],[Address B]])</f>
        <v>010.012.001.024</v>
      </c>
      <c r="Q228" s="8" t="e">
        <f>VLOOKUP(Table1[[#This Row],[Address A]],IP_Master[],4,FALSE)</f>
        <v>#N/A</v>
      </c>
      <c r="R228" s="8" t="str">
        <f>VLOOKUP(Table1[[#This Row],[Address B]],IP_Master[],4,FALSE)</f>
        <v>BFNCPLC</v>
      </c>
      <c r="S228" s="8" t="e">
        <f>VLOOKUP(Table1[[#This Row],[Address A]],IP_Master[],2,FALSE)</f>
        <v>#N/A</v>
      </c>
      <c r="T228" s="8" t="str">
        <f>VLOOKUP(Table1[[#This Row],[Address B]],IP_Master[],2,FALSE)</f>
        <v>Blast Furnace</v>
      </c>
      <c r="U228" s="9" t="e">
        <f>VLOOKUP(Table1[[#This Row],[Address A]],IP_Master[],3,FALSE)</f>
        <v>#N/A</v>
      </c>
      <c r="V228" s="9" t="str">
        <f>VLOOKUP(Table1[[#This Row],[Address B]],IP_Master[],3,FALSE)</f>
        <v>PLCs &amp; Control Equipment</v>
      </c>
      <c r="W228" s="9" t="str">
        <f>VLOOKUP(Table1[[#This Row],[Port B]],traffic_types[],2,FALSE)</f>
        <v>Modbus</v>
      </c>
    </row>
    <row r="229" spans="1:23" x14ac:dyDescent="0.6">
      <c r="A229" t="s">
        <v>66</v>
      </c>
      <c r="B229">
        <v>3383</v>
      </c>
      <c r="C229" t="s">
        <v>65</v>
      </c>
      <c r="D229">
        <v>502</v>
      </c>
      <c r="E229">
        <v>1</v>
      </c>
      <c r="F229">
        <v>62</v>
      </c>
      <c r="G229">
        <v>1</v>
      </c>
      <c r="H229">
        <v>62</v>
      </c>
      <c r="I229">
        <v>0</v>
      </c>
      <c r="J229">
        <v>0</v>
      </c>
      <c r="K229">
        <v>319.24726500000003</v>
      </c>
      <c r="L229">
        <v>0</v>
      </c>
      <c r="M229">
        <v>0</v>
      </c>
      <c r="N229">
        <v>0</v>
      </c>
      <c r="O229" s="8" t="str">
        <f>formatIP(Table1[[#This Row],[Address A]])</f>
        <v>010.011.001.080</v>
      </c>
      <c r="P229" s="8" t="str">
        <f>formatIP(Table1[[#This Row],[Address B]])</f>
        <v>010.012.001.024</v>
      </c>
      <c r="Q229" s="8" t="e">
        <f>VLOOKUP(Table1[[#This Row],[Address A]],IP_Master[],4,FALSE)</f>
        <v>#N/A</v>
      </c>
      <c r="R229" s="8" t="str">
        <f>VLOOKUP(Table1[[#This Row],[Address B]],IP_Master[],4,FALSE)</f>
        <v>BFNCPLC</v>
      </c>
      <c r="S229" s="8" t="e">
        <f>VLOOKUP(Table1[[#This Row],[Address A]],IP_Master[],2,FALSE)</f>
        <v>#N/A</v>
      </c>
      <c r="T229" s="8" t="str">
        <f>VLOOKUP(Table1[[#This Row],[Address B]],IP_Master[],2,FALSE)</f>
        <v>Blast Furnace</v>
      </c>
      <c r="U229" s="9" t="e">
        <f>VLOOKUP(Table1[[#This Row],[Address A]],IP_Master[],3,FALSE)</f>
        <v>#N/A</v>
      </c>
      <c r="V229" s="9" t="str">
        <f>VLOOKUP(Table1[[#This Row],[Address B]],IP_Master[],3,FALSE)</f>
        <v>PLCs &amp; Control Equipment</v>
      </c>
      <c r="W229" s="9" t="str">
        <f>VLOOKUP(Table1[[#This Row],[Port B]],traffic_types[],2,FALSE)</f>
        <v>Modbus</v>
      </c>
    </row>
    <row r="230" spans="1:23" x14ac:dyDescent="0.6">
      <c r="A230" t="s">
        <v>66</v>
      </c>
      <c r="B230">
        <v>3384</v>
      </c>
      <c r="C230" t="s">
        <v>65</v>
      </c>
      <c r="D230">
        <v>502</v>
      </c>
      <c r="E230">
        <v>1</v>
      </c>
      <c r="F230">
        <v>62</v>
      </c>
      <c r="G230">
        <v>1</v>
      </c>
      <c r="H230">
        <v>62</v>
      </c>
      <c r="I230">
        <v>0</v>
      </c>
      <c r="J230">
        <v>0</v>
      </c>
      <c r="K230">
        <v>321.263397</v>
      </c>
      <c r="L230">
        <v>0</v>
      </c>
      <c r="M230">
        <v>0</v>
      </c>
      <c r="N230">
        <v>0</v>
      </c>
      <c r="O230" s="8" t="str">
        <f>formatIP(Table1[[#This Row],[Address A]])</f>
        <v>010.011.001.080</v>
      </c>
      <c r="P230" s="8" t="str">
        <f>formatIP(Table1[[#This Row],[Address B]])</f>
        <v>010.012.001.024</v>
      </c>
      <c r="Q230" s="8" t="e">
        <f>VLOOKUP(Table1[[#This Row],[Address A]],IP_Master[],4,FALSE)</f>
        <v>#N/A</v>
      </c>
      <c r="R230" s="8" t="str">
        <f>VLOOKUP(Table1[[#This Row],[Address B]],IP_Master[],4,FALSE)</f>
        <v>BFNCPLC</v>
      </c>
      <c r="S230" s="8" t="e">
        <f>VLOOKUP(Table1[[#This Row],[Address A]],IP_Master[],2,FALSE)</f>
        <v>#N/A</v>
      </c>
      <c r="T230" s="8" t="str">
        <f>VLOOKUP(Table1[[#This Row],[Address B]],IP_Master[],2,FALSE)</f>
        <v>Blast Furnace</v>
      </c>
      <c r="U230" s="9" t="e">
        <f>VLOOKUP(Table1[[#This Row],[Address A]],IP_Master[],3,FALSE)</f>
        <v>#N/A</v>
      </c>
      <c r="V230" s="9" t="str">
        <f>VLOOKUP(Table1[[#This Row],[Address B]],IP_Master[],3,FALSE)</f>
        <v>PLCs &amp; Control Equipment</v>
      </c>
      <c r="W230" s="9" t="str">
        <f>VLOOKUP(Table1[[#This Row],[Port B]],traffic_types[],2,FALSE)</f>
        <v>Modbus</v>
      </c>
    </row>
    <row r="231" spans="1:23" x14ac:dyDescent="0.6">
      <c r="A231" t="s">
        <v>66</v>
      </c>
      <c r="B231">
        <v>3385</v>
      </c>
      <c r="C231" t="s">
        <v>65</v>
      </c>
      <c r="D231">
        <v>502</v>
      </c>
      <c r="E231">
        <v>1</v>
      </c>
      <c r="F231">
        <v>62</v>
      </c>
      <c r="G231">
        <v>1</v>
      </c>
      <c r="H231">
        <v>62</v>
      </c>
      <c r="I231">
        <v>0</v>
      </c>
      <c r="J231">
        <v>0</v>
      </c>
      <c r="K231">
        <v>323.26367199999999</v>
      </c>
      <c r="L231">
        <v>0</v>
      </c>
      <c r="M231">
        <v>0</v>
      </c>
      <c r="N231">
        <v>0</v>
      </c>
      <c r="O231" s="8" t="str">
        <f>formatIP(Table1[[#This Row],[Address A]])</f>
        <v>010.011.001.080</v>
      </c>
      <c r="P231" s="8" t="str">
        <f>formatIP(Table1[[#This Row],[Address B]])</f>
        <v>010.012.001.024</v>
      </c>
      <c r="Q231" s="8" t="e">
        <f>VLOOKUP(Table1[[#This Row],[Address A]],IP_Master[],4,FALSE)</f>
        <v>#N/A</v>
      </c>
      <c r="R231" s="8" t="str">
        <f>VLOOKUP(Table1[[#This Row],[Address B]],IP_Master[],4,FALSE)</f>
        <v>BFNCPLC</v>
      </c>
      <c r="S231" s="8" t="e">
        <f>VLOOKUP(Table1[[#This Row],[Address A]],IP_Master[],2,FALSE)</f>
        <v>#N/A</v>
      </c>
      <c r="T231" s="8" t="str">
        <f>VLOOKUP(Table1[[#This Row],[Address B]],IP_Master[],2,FALSE)</f>
        <v>Blast Furnace</v>
      </c>
      <c r="U231" s="9" t="e">
        <f>VLOOKUP(Table1[[#This Row],[Address A]],IP_Master[],3,FALSE)</f>
        <v>#N/A</v>
      </c>
      <c r="V231" s="9" t="str">
        <f>VLOOKUP(Table1[[#This Row],[Address B]],IP_Master[],3,FALSE)</f>
        <v>PLCs &amp; Control Equipment</v>
      </c>
      <c r="W231" s="9" t="str">
        <f>VLOOKUP(Table1[[#This Row],[Port B]],traffic_types[],2,FALSE)</f>
        <v>Modbus</v>
      </c>
    </row>
    <row r="232" spans="1:23" x14ac:dyDescent="0.6">
      <c r="A232" t="s">
        <v>66</v>
      </c>
      <c r="B232">
        <v>3386</v>
      </c>
      <c r="C232" t="s">
        <v>65</v>
      </c>
      <c r="D232">
        <v>502</v>
      </c>
      <c r="E232">
        <v>1</v>
      </c>
      <c r="F232">
        <v>62</v>
      </c>
      <c r="G232">
        <v>1</v>
      </c>
      <c r="H232">
        <v>62</v>
      </c>
      <c r="I232">
        <v>0</v>
      </c>
      <c r="J232">
        <v>0</v>
      </c>
      <c r="K232">
        <v>325.26832300000001</v>
      </c>
      <c r="L232">
        <v>0</v>
      </c>
      <c r="M232">
        <v>0</v>
      </c>
      <c r="N232">
        <v>0</v>
      </c>
      <c r="O232" s="8" t="str">
        <f>formatIP(Table1[[#This Row],[Address A]])</f>
        <v>010.011.001.080</v>
      </c>
      <c r="P232" s="8" t="str">
        <f>formatIP(Table1[[#This Row],[Address B]])</f>
        <v>010.012.001.024</v>
      </c>
      <c r="Q232" s="8" t="e">
        <f>VLOOKUP(Table1[[#This Row],[Address A]],IP_Master[],4,FALSE)</f>
        <v>#N/A</v>
      </c>
      <c r="R232" s="8" t="str">
        <f>VLOOKUP(Table1[[#This Row],[Address B]],IP_Master[],4,FALSE)</f>
        <v>BFNCPLC</v>
      </c>
      <c r="S232" s="8" t="e">
        <f>VLOOKUP(Table1[[#This Row],[Address A]],IP_Master[],2,FALSE)</f>
        <v>#N/A</v>
      </c>
      <c r="T232" s="8" t="str">
        <f>VLOOKUP(Table1[[#This Row],[Address B]],IP_Master[],2,FALSE)</f>
        <v>Blast Furnace</v>
      </c>
      <c r="U232" s="9" t="e">
        <f>VLOOKUP(Table1[[#This Row],[Address A]],IP_Master[],3,FALSE)</f>
        <v>#N/A</v>
      </c>
      <c r="V232" s="9" t="str">
        <f>VLOOKUP(Table1[[#This Row],[Address B]],IP_Master[],3,FALSE)</f>
        <v>PLCs &amp; Control Equipment</v>
      </c>
      <c r="W232" s="9" t="str">
        <f>VLOOKUP(Table1[[#This Row],[Port B]],traffic_types[],2,FALSE)</f>
        <v>Modbus</v>
      </c>
    </row>
    <row r="233" spans="1:23" x14ac:dyDescent="0.6">
      <c r="A233" t="s">
        <v>66</v>
      </c>
      <c r="B233">
        <v>3387</v>
      </c>
      <c r="C233" t="s">
        <v>65</v>
      </c>
      <c r="D233">
        <v>502</v>
      </c>
      <c r="E233">
        <v>1</v>
      </c>
      <c r="F233">
        <v>62</v>
      </c>
      <c r="G233">
        <v>1</v>
      </c>
      <c r="H233">
        <v>62</v>
      </c>
      <c r="I233">
        <v>0</v>
      </c>
      <c r="J233">
        <v>0</v>
      </c>
      <c r="K233">
        <v>327.29560500000002</v>
      </c>
      <c r="L233">
        <v>0</v>
      </c>
      <c r="M233">
        <v>0</v>
      </c>
      <c r="N233">
        <v>0</v>
      </c>
      <c r="O233" s="8" t="str">
        <f>formatIP(Table1[[#This Row],[Address A]])</f>
        <v>010.011.001.080</v>
      </c>
      <c r="P233" s="8" t="str">
        <f>formatIP(Table1[[#This Row],[Address B]])</f>
        <v>010.012.001.024</v>
      </c>
      <c r="Q233" s="8" t="e">
        <f>VLOOKUP(Table1[[#This Row],[Address A]],IP_Master[],4,FALSE)</f>
        <v>#N/A</v>
      </c>
      <c r="R233" s="8" t="str">
        <f>VLOOKUP(Table1[[#This Row],[Address B]],IP_Master[],4,FALSE)</f>
        <v>BFNCPLC</v>
      </c>
      <c r="S233" s="8" t="e">
        <f>VLOOKUP(Table1[[#This Row],[Address A]],IP_Master[],2,FALSE)</f>
        <v>#N/A</v>
      </c>
      <c r="T233" s="8" t="str">
        <f>VLOOKUP(Table1[[#This Row],[Address B]],IP_Master[],2,FALSE)</f>
        <v>Blast Furnace</v>
      </c>
      <c r="U233" s="9" t="e">
        <f>VLOOKUP(Table1[[#This Row],[Address A]],IP_Master[],3,FALSE)</f>
        <v>#N/A</v>
      </c>
      <c r="V233" s="9" t="str">
        <f>VLOOKUP(Table1[[#This Row],[Address B]],IP_Master[],3,FALSE)</f>
        <v>PLCs &amp; Control Equipment</v>
      </c>
      <c r="W233" s="9" t="str">
        <f>VLOOKUP(Table1[[#This Row],[Port B]],traffic_types[],2,FALSE)</f>
        <v>Modbus</v>
      </c>
    </row>
    <row r="234" spans="1:23" x14ac:dyDescent="0.6">
      <c r="A234" t="s">
        <v>66</v>
      </c>
      <c r="B234">
        <v>3388</v>
      </c>
      <c r="C234" t="s">
        <v>65</v>
      </c>
      <c r="D234">
        <v>502</v>
      </c>
      <c r="E234">
        <v>1</v>
      </c>
      <c r="F234">
        <v>62</v>
      </c>
      <c r="G234">
        <v>1</v>
      </c>
      <c r="H234">
        <v>62</v>
      </c>
      <c r="I234">
        <v>0</v>
      </c>
      <c r="J234">
        <v>0</v>
      </c>
      <c r="K234">
        <v>329.32680900000003</v>
      </c>
      <c r="L234">
        <v>0</v>
      </c>
      <c r="M234">
        <v>0</v>
      </c>
      <c r="N234">
        <v>0</v>
      </c>
      <c r="O234" s="8" t="str">
        <f>formatIP(Table1[[#This Row],[Address A]])</f>
        <v>010.011.001.080</v>
      </c>
      <c r="P234" s="8" t="str">
        <f>formatIP(Table1[[#This Row],[Address B]])</f>
        <v>010.012.001.024</v>
      </c>
      <c r="Q234" s="8" t="e">
        <f>VLOOKUP(Table1[[#This Row],[Address A]],IP_Master[],4,FALSE)</f>
        <v>#N/A</v>
      </c>
      <c r="R234" s="8" t="str">
        <f>VLOOKUP(Table1[[#This Row],[Address B]],IP_Master[],4,FALSE)</f>
        <v>BFNCPLC</v>
      </c>
      <c r="S234" s="8" t="e">
        <f>VLOOKUP(Table1[[#This Row],[Address A]],IP_Master[],2,FALSE)</f>
        <v>#N/A</v>
      </c>
      <c r="T234" s="8" t="str">
        <f>VLOOKUP(Table1[[#This Row],[Address B]],IP_Master[],2,FALSE)</f>
        <v>Blast Furnace</v>
      </c>
      <c r="U234" s="9" t="e">
        <f>VLOOKUP(Table1[[#This Row],[Address A]],IP_Master[],3,FALSE)</f>
        <v>#N/A</v>
      </c>
      <c r="V234" s="9" t="str">
        <f>VLOOKUP(Table1[[#This Row],[Address B]],IP_Master[],3,FALSE)</f>
        <v>PLCs &amp; Control Equipment</v>
      </c>
      <c r="W234" s="9" t="str">
        <f>VLOOKUP(Table1[[#This Row],[Port B]],traffic_types[],2,FALSE)</f>
        <v>Modbus</v>
      </c>
    </row>
    <row r="235" spans="1:23" x14ac:dyDescent="0.6">
      <c r="A235" t="s">
        <v>66</v>
      </c>
      <c r="B235">
        <v>3448</v>
      </c>
      <c r="C235" t="s">
        <v>65</v>
      </c>
      <c r="D235">
        <v>502</v>
      </c>
      <c r="E235">
        <v>1</v>
      </c>
      <c r="F235">
        <v>62</v>
      </c>
      <c r="G235">
        <v>1</v>
      </c>
      <c r="H235">
        <v>62</v>
      </c>
      <c r="I235">
        <v>0</v>
      </c>
      <c r="J235">
        <v>0</v>
      </c>
      <c r="K235">
        <v>410.282442</v>
      </c>
      <c r="L235">
        <v>0</v>
      </c>
      <c r="M235">
        <v>0</v>
      </c>
      <c r="N235">
        <v>0</v>
      </c>
      <c r="O235" s="8" t="str">
        <f>formatIP(Table1[[#This Row],[Address A]])</f>
        <v>010.011.001.080</v>
      </c>
      <c r="P235" s="8" t="str">
        <f>formatIP(Table1[[#This Row],[Address B]])</f>
        <v>010.012.001.024</v>
      </c>
      <c r="Q235" s="8" t="e">
        <f>VLOOKUP(Table1[[#This Row],[Address A]],IP_Master[],4,FALSE)</f>
        <v>#N/A</v>
      </c>
      <c r="R235" s="8" t="str">
        <f>VLOOKUP(Table1[[#This Row],[Address B]],IP_Master[],4,FALSE)</f>
        <v>BFNCPLC</v>
      </c>
      <c r="S235" s="8" t="e">
        <f>VLOOKUP(Table1[[#This Row],[Address A]],IP_Master[],2,FALSE)</f>
        <v>#N/A</v>
      </c>
      <c r="T235" s="8" t="str">
        <f>VLOOKUP(Table1[[#This Row],[Address B]],IP_Master[],2,FALSE)</f>
        <v>Blast Furnace</v>
      </c>
      <c r="U235" s="9" t="e">
        <f>VLOOKUP(Table1[[#This Row],[Address A]],IP_Master[],3,FALSE)</f>
        <v>#N/A</v>
      </c>
      <c r="V235" s="9" t="str">
        <f>VLOOKUP(Table1[[#This Row],[Address B]],IP_Master[],3,FALSE)</f>
        <v>PLCs &amp; Control Equipment</v>
      </c>
      <c r="W235" s="9" t="str">
        <f>VLOOKUP(Table1[[#This Row],[Port B]],traffic_types[],2,FALSE)</f>
        <v>Modbus</v>
      </c>
    </row>
    <row r="236" spans="1:23" x14ac:dyDescent="0.6">
      <c r="A236" t="s">
        <v>66</v>
      </c>
      <c r="B236">
        <v>3449</v>
      </c>
      <c r="C236" t="s">
        <v>65</v>
      </c>
      <c r="D236">
        <v>502</v>
      </c>
      <c r="E236">
        <v>1</v>
      </c>
      <c r="F236">
        <v>62</v>
      </c>
      <c r="G236">
        <v>1</v>
      </c>
      <c r="H236">
        <v>62</v>
      </c>
      <c r="I236">
        <v>0</v>
      </c>
      <c r="J236">
        <v>0</v>
      </c>
      <c r="K236">
        <v>412.298789</v>
      </c>
      <c r="L236">
        <v>0</v>
      </c>
      <c r="M236">
        <v>0</v>
      </c>
      <c r="N236">
        <v>0</v>
      </c>
      <c r="O236" s="8" t="str">
        <f>formatIP(Table1[[#This Row],[Address A]])</f>
        <v>010.011.001.080</v>
      </c>
      <c r="P236" s="8" t="str">
        <f>formatIP(Table1[[#This Row],[Address B]])</f>
        <v>010.012.001.024</v>
      </c>
      <c r="Q236" s="8" t="e">
        <f>VLOOKUP(Table1[[#This Row],[Address A]],IP_Master[],4,FALSE)</f>
        <v>#N/A</v>
      </c>
      <c r="R236" s="8" t="str">
        <f>VLOOKUP(Table1[[#This Row],[Address B]],IP_Master[],4,FALSE)</f>
        <v>BFNCPLC</v>
      </c>
      <c r="S236" s="8" t="e">
        <f>VLOOKUP(Table1[[#This Row],[Address A]],IP_Master[],2,FALSE)</f>
        <v>#N/A</v>
      </c>
      <c r="T236" s="8" t="str">
        <f>VLOOKUP(Table1[[#This Row],[Address B]],IP_Master[],2,FALSE)</f>
        <v>Blast Furnace</v>
      </c>
      <c r="U236" s="9" t="e">
        <f>VLOOKUP(Table1[[#This Row],[Address A]],IP_Master[],3,FALSE)</f>
        <v>#N/A</v>
      </c>
      <c r="V236" s="9" t="str">
        <f>VLOOKUP(Table1[[#This Row],[Address B]],IP_Master[],3,FALSE)</f>
        <v>PLCs &amp; Control Equipment</v>
      </c>
      <c r="W236" s="9" t="str">
        <f>VLOOKUP(Table1[[#This Row],[Port B]],traffic_types[],2,FALSE)</f>
        <v>Modbus</v>
      </c>
    </row>
    <row r="237" spans="1:23" x14ac:dyDescent="0.6">
      <c r="A237" t="s">
        <v>66</v>
      </c>
      <c r="B237">
        <v>3450</v>
      </c>
      <c r="C237" t="s">
        <v>65</v>
      </c>
      <c r="D237">
        <v>502</v>
      </c>
      <c r="E237">
        <v>1</v>
      </c>
      <c r="F237">
        <v>62</v>
      </c>
      <c r="G237">
        <v>1</v>
      </c>
      <c r="H237">
        <v>62</v>
      </c>
      <c r="I237">
        <v>0</v>
      </c>
      <c r="J237">
        <v>0</v>
      </c>
      <c r="K237">
        <v>414.298922</v>
      </c>
      <c r="L237">
        <v>0</v>
      </c>
      <c r="M237">
        <v>0</v>
      </c>
      <c r="N237">
        <v>0</v>
      </c>
      <c r="O237" s="8" t="str">
        <f>formatIP(Table1[[#This Row],[Address A]])</f>
        <v>010.011.001.080</v>
      </c>
      <c r="P237" s="8" t="str">
        <f>formatIP(Table1[[#This Row],[Address B]])</f>
        <v>010.012.001.024</v>
      </c>
      <c r="Q237" s="8" t="e">
        <f>VLOOKUP(Table1[[#This Row],[Address A]],IP_Master[],4,FALSE)</f>
        <v>#N/A</v>
      </c>
      <c r="R237" s="8" t="str">
        <f>VLOOKUP(Table1[[#This Row],[Address B]],IP_Master[],4,FALSE)</f>
        <v>BFNCPLC</v>
      </c>
      <c r="S237" s="8" t="e">
        <f>VLOOKUP(Table1[[#This Row],[Address A]],IP_Master[],2,FALSE)</f>
        <v>#N/A</v>
      </c>
      <c r="T237" s="8" t="str">
        <f>VLOOKUP(Table1[[#This Row],[Address B]],IP_Master[],2,FALSE)</f>
        <v>Blast Furnace</v>
      </c>
      <c r="U237" s="9" t="e">
        <f>VLOOKUP(Table1[[#This Row],[Address A]],IP_Master[],3,FALSE)</f>
        <v>#N/A</v>
      </c>
      <c r="V237" s="9" t="str">
        <f>VLOOKUP(Table1[[#This Row],[Address B]],IP_Master[],3,FALSE)</f>
        <v>PLCs &amp; Control Equipment</v>
      </c>
      <c r="W237" s="9" t="str">
        <f>VLOOKUP(Table1[[#This Row],[Port B]],traffic_types[],2,FALSE)</f>
        <v>Modbus</v>
      </c>
    </row>
    <row r="238" spans="1:23" x14ac:dyDescent="0.6">
      <c r="A238" t="s">
        <v>66</v>
      </c>
      <c r="B238">
        <v>3451</v>
      </c>
      <c r="C238" t="s">
        <v>65</v>
      </c>
      <c r="D238">
        <v>502</v>
      </c>
      <c r="E238">
        <v>1</v>
      </c>
      <c r="F238">
        <v>62</v>
      </c>
      <c r="G238">
        <v>1</v>
      </c>
      <c r="H238">
        <v>62</v>
      </c>
      <c r="I238">
        <v>0</v>
      </c>
      <c r="J238">
        <v>0</v>
      </c>
      <c r="K238">
        <v>416.30357700000002</v>
      </c>
      <c r="L238">
        <v>0</v>
      </c>
      <c r="M238">
        <v>0</v>
      </c>
      <c r="N238">
        <v>0</v>
      </c>
      <c r="O238" s="8" t="str">
        <f>formatIP(Table1[[#This Row],[Address A]])</f>
        <v>010.011.001.080</v>
      </c>
      <c r="P238" s="8" t="str">
        <f>formatIP(Table1[[#This Row],[Address B]])</f>
        <v>010.012.001.024</v>
      </c>
      <c r="Q238" s="8" t="e">
        <f>VLOOKUP(Table1[[#This Row],[Address A]],IP_Master[],4,FALSE)</f>
        <v>#N/A</v>
      </c>
      <c r="R238" s="8" t="str">
        <f>VLOOKUP(Table1[[#This Row],[Address B]],IP_Master[],4,FALSE)</f>
        <v>BFNCPLC</v>
      </c>
      <c r="S238" s="8" t="e">
        <f>VLOOKUP(Table1[[#This Row],[Address A]],IP_Master[],2,FALSE)</f>
        <v>#N/A</v>
      </c>
      <c r="T238" s="8" t="str">
        <f>VLOOKUP(Table1[[#This Row],[Address B]],IP_Master[],2,FALSE)</f>
        <v>Blast Furnace</v>
      </c>
      <c r="U238" s="9" t="e">
        <f>VLOOKUP(Table1[[#This Row],[Address A]],IP_Master[],3,FALSE)</f>
        <v>#N/A</v>
      </c>
      <c r="V238" s="9" t="str">
        <f>VLOOKUP(Table1[[#This Row],[Address B]],IP_Master[],3,FALSE)</f>
        <v>PLCs &amp; Control Equipment</v>
      </c>
      <c r="W238" s="9" t="str">
        <f>VLOOKUP(Table1[[#This Row],[Port B]],traffic_types[],2,FALSE)</f>
        <v>Modbus</v>
      </c>
    </row>
    <row r="239" spans="1:23" x14ac:dyDescent="0.6">
      <c r="A239" t="s">
        <v>66</v>
      </c>
      <c r="B239">
        <v>3452</v>
      </c>
      <c r="C239" t="s">
        <v>65</v>
      </c>
      <c r="D239">
        <v>502</v>
      </c>
      <c r="E239">
        <v>1</v>
      </c>
      <c r="F239">
        <v>62</v>
      </c>
      <c r="G239">
        <v>1</v>
      </c>
      <c r="H239">
        <v>62</v>
      </c>
      <c r="I239">
        <v>0</v>
      </c>
      <c r="J239">
        <v>0</v>
      </c>
      <c r="K239">
        <v>418.33074599999998</v>
      </c>
      <c r="L239">
        <v>0</v>
      </c>
      <c r="M239">
        <v>0</v>
      </c>
      <c r="N239">
        <v>0</v>
      </c>
      <c r="O239" s="8" t="str">
        <f>formatIP(Table1[[#This Row],[Address A]])</f>
        <v>010.011.001.080</v>
      </c>
      <c r="P239" s="8" t="str">
        <f>formatIP(Table1[[#This Row],[Address B]])</f>
        <v>010.012.001.024</v>
      </c>
      <c r="Q239" s="8" t="e">
        <f>VLOOKUP(Table1[[#This Row],[Address A]],IP_Master[],4,FALSE)</f>
        <v>#N/A</v>
      </c>
      <c r="R239" s="8" t="str">
        <f>VLOOKUP(Table1[[#This Row],[Address B]],IP_Master[],4,FALSE)</f>
        <v>BFNCPLC</v>
      </c>
      <c r="S239" s="8" t="e">
        <f>VLOOKUP(Table1[[#This Row],[Address A]],IP_Master[],2,FALSE)</f>
        <v>#N/A</v>
      </c>
      <c r="T239" s="8" t="str">
        <f>VLOOKUP(Table1[[#This Row],[Address B]],IP_Master[],2,FALSE)</f>
        <v>Blast Furnace</v>
      </c>
      <c r="U239" s="9" t="e">
        <f>VLOOKUP(Table1[[#This Row],[Address A]],IP_Master[],3,FALSE)</f>
        <v>#N/A</v>
      </c>
      <c r="V239" s="9" t="str">
        <f>VLOOKUP(Table1[[#This Row],[Address B]],IP_Master[],3,FALSE)</f>
        <v>PLCs &amp; Control Equipment</v>
      </c>
      <c r="W239" s="9" t="str">
        <f>VLOOKUP(Table1[[#This Row],[Port B]],traffic_types[],2,FALSE)</f>
        <v>Modbus</v>
      </c>
    </row>
    <row r="240" spans="1:23" x14ac:dyDescent="0.6">
      <c r="A240" t="s">
        <v>66</v>
      </c>
      <c r="B240">
        <v>3453</v>
      </c>
      <c r="C240" t="s">
        <v>65</v>
      </c>
      <c r="D240">
        <v>502</v>
      </c>
      <c r="E240">
        <v>1</v>
      </c>
      <c r="F240">
        <v>62</v>
      </c>
      <c r="G240">
        <v>1</v>
      </c>
      <c r="H240">
        <v>62</v>
      </c>
      <c r="I240">
        <v>0</v>
      </c>
      <c r="J240">
        <v>0</v>
      </c>
      <c r="K240">
        <v>420.36217799999997</v>
      </c>
      <c r="L240">
        <v>0</v>
      </c>
      <c r="M240">
        <v>0</v>
      </c>
      <c r="N240">
        <v>0</v>
      </c>
      <c r="O240" s="8" t="str">
        <f>formatIP(Table1[[#This Row],[Address A]])</f>
        <v>010.011.001.080</v>
      </c>
      <c r="P240" s="8" t="str">
        <f>formatIP(Table1[[#This Row],[Address B]])</f>
        <v>010.012.001.024</v>
      </c>
      <c r="Q240" s="8" t="e">
        <f>VLOOKUP(Table1[[#This Row],[Address A]],IP_Master[],4,FALSE)</f>
        <v>#N/A</v>
      </c>
      <c r="R240" s="8" t="str">
        <f>VLOOKUP(Table1[[#This Row],[Address B]],IP_Master[],4,FALSE)</f>
        <v>BFNCPLC</v>
      </c>
      <c r="S240" s="8" t="e">
        <f>VLOOKUP(Table1[[#This Row],[Address A]],IP_Master[],2,FALSE)</f>
        <v>#N/A</v>
      </c>
      <c r="T240" s="8" t="str">
        <f>VLOOKUP(Table1[[#This Row],[Address B]],IP_Master[],2,FALSE)</f>
        <v>Blast Furnace</v>
      </c>
      <c r="U240" s="9" t="e">
        <f>VLOOKUP(Table1[[#This Row],[Address A]],IP_Master[],3,FALSE)</f>
        <v>#N/A</v>
      </c>
      <c r="V240" s="9" t="str">
        <f>VLOOKUP(Table1[[#This Row],[Address B]],IP_Master[],3,FALSE)</f>
        <v>PLCs &amp; Control Equipment</v>
      </c>
      <c r="W240" s="9" t="str">
        <f>VLOOKUP(Table1[[#This Row],[Port B]],traffic_types[],2,FALSE)</f>
        <v>Modbus</v>
      </c>
    </row>
    <row r="241" spans="1:23" x14ac:dyDescent="0.6">
      <c r="A241" t="s">
        <v>66</v>
      </c>
      <c r="B241">
        <v>3513</v>
      </c>
      <c r="C241" t="s">
        <v>65</v>
      </c>
      <c r="D241">
        <v>502</v>
      </c>
      <c r="E241">
        <v>10</v>
      </c>
      <c r="F241">
        <v>614</v>
      </c>
      <c r="G241">
        <v>5</v>
      </c>
      <c r="H241">
        <v>308</v>
      </c>
      <c r="I241">
        <v>5</v>
      </c>
      <c r="J241">
        <v>306</v>
      </c>
      <c r="K241">
        <v>501.31768899999997</v>
      </c>
      <c r="L241">
        <v>2.3474000000021499E-2</v>
      </c>
      <c r="M241">
        <v>104967.197750607</v>
      </c>
      <c r="N241">
        <v>104285.592570408</v>
      </c>
      <c r="O241" s="8" t="str">
        <f>formatIP(Table1[[#This Row],[Address A]])</f>
        <v>010.011.001.080</v>
      </c>
      <c r="P241" s="8" t="str">
        <f>formatIP(Table1[[#This Row],[Address B]])</f>
        <v>010.012.001.024</v>
      </c>
      <c r="Q241" s="8" t="e">
        <f>VLOOKUP(Table1[[#This Row],[Address A]],IP_Master[],4,FALSE)</f>
        <v>#N/A</v>
      </c>
      <c r="R241" s="8" t="str">
        <f>VLOOKUP(Table1[[#This Row],[Address B]],IP_Master[],4,FALSE)</f>
        <v>BFNCPLC</v>
      </c>
      <c r="S241" s="8" t="e">
        <f>VLOOKUP(Table1[[#This Row],[Address A]],IP_Master[],2,FALSE)</f>
        <v>#N/A</v>
      </c>
      <c r="T241" s="8" t="str">
        <f>VLOOKUP(Table1[[#This Row],[Address B]],IP_Master[],2,FALSE)</f>
        <v>Blast Furnace</v>
      </c>
      <c r="U241" s="9" t="e">
        <f>VLOOKUP(Table1[[#This Row],[Address A]],IP_Master[],3,FALSE)</f>
        <v>#N/A</v>
      </c>
      <c r="V241" s="9" t="str">
        <f>VLOOKUP(Table1[[#This Row],[Address B]],IP_Master[],3,FALSE)</f>
        <v>PLCs &amp; Control Equipment</v>
      </c>
      <c r="W241" s="9" t="str">
        <f>VLOOKUP(Table1[[#This Row],[Port B]],traffic_types[],2,FALSE)</f>
        <v>Modbus</v>
      </c>
    </row>
    <row r="242" spans="1:23" x14ac:dyDescent="0.6">
      <c r="A242" t="s">
        <v>66</v>
      </c>
      <c r="B242">
        <v>3514</v>
      </c>
      <c r="C242" t="s">
        <v>65</v>
      </c>
      <c r="D242">
        <v>502</v>
      </c>
      <c r="E242">
        <v>10</v>
      </c>
      <c r="F242">
        <v>613</v>
      </c>
      <c r="G242">
        <v>5</v>
      </c>
      <c r="H242">
        <v>308</v>
      </c>
      <c r="I242">
        <v>5</v>
      </c>
      <c r="J242">
        <v>305</v>
      </c>
      <c r="K242">
        <v>501.33797199999998</v>
      </c>
      <c r="L242">
        <v>2.0601999999996699E-2</v>
      </c>
      <c r="M242">
        <v>119600.038831201</v>
      </c>
      <c r="N242">
        <v>118435.10338804001</v>
      </c>
      <c r="O242" s="8" t="str">
        <f>formatIP(Table1[[#This Row],[Address A]])</f>
        <v>010.011.001.080</v>
      </c>
      <c r="P242" s="8" t="str">
        <f>formatIP(Table1[[#This Row],[Address B]])</f>
        <v>010.012.001.024</v>
      </c>
      <c r="Q242" s="8" t="e">
        <f>VLOOKUP(Table1[[#This Row],[Address A]],IP_Master[],4,FALSE)</f>
        <v>#N/A</v>
      </c>
      <c r="R242" s="8" t="str">
        <f>VLOOKUP(Table1[[#This Row],[Address B]],IP_Master[],4,FALSE)</f>
        <v>BFNCPLC</v>
      </c>
      <c r="S242" s="8" t="e">
        <f>VLOOKUP(Table1[[#This Row],[Address A]],IP_Master[],2,FALSE)</f>
        <v>#N/A</v>
      </c>
      <c r="T242" s="8" t="str">
        <f>VLOOKUP(Table1[[#This Row],[Address B]],IP_Master[],2,FALSE)</f>
        <v>Blast Furnace</v>
      </c>
      <c r="U242" s="9" t="e">
        <f>VLOOKUP(Table1[[#This Row],[Address A]],IP_Master[],3,FALSE)</f>
        <v>#N/A</v>
      </c>
      <c r="V242" s="9" t="str">
        <f>VLOOKUP(Table1[[#This Row],[Address B]],IP_Master[],3,FALSE)</f>
        <v>PLCs &amp; Control Equipment</v>
      </c>
      <c r="W242" s="9" t="str">
        <f>VLOOKUP(Table1[[#This Row],[Port B]],traffic_types[],2,FALSE)</f>
        <v>Modbus</v>
      </c>
    </row>
    <row r="243" spans="1:23" x14ac:dyDescent="0.6">
      <c r="A243" t="s">
        <v>66</v>
      </c>
      <c r="B243">
        <v>3515</v>
      </c>
      <c r="C243" t="s">
        <v>65</v>
      </c>
      <c r="D243">
        <v>502</v>
      </c>
      <c r="E243">
        <v>10</v>
      </c>
      <c r="F243">
        <v>614</v>
      </c>
      <c r="G243">
        <v>5</v>
      </c>
      <c r="H243">
        <v>308</v>
      </c>
      <c r="I243">
        <v>5</v>
      </c>
      <c r="J243">
        <v>306</v>
      </c>
      <c r="K243">
        <v>501.37031100000002</v>
      </c>
      <c r="L243">
        <v>3.1723999999996998E-2</v>
      </c>
      <c r="M243">
        <v>77669.902912628793</v>
      </c>
      <c r="N243">
        <v>77165.552893715605</v>
      </c>
      <c r="O243" s="8" t="str">
        <f>formatIP(Table1[[#This Row],[Address A]])</f>
        <v>010.011.001.080</v>
      </c>
      <c r="P243" s="8" t="str">
        <f>formatIP(Table1[[#This Row],[Address B]])</f>
        <v>010.012.001.024</v>
      </c>
      <c r="Q243" s="8" t="e">
        <f>VLOOKUP(Table1[[#This Row],[Address A]],IP_Master[],4,FALSE)</f>
        <v>#N/A</v>
      </c>
      <c r="R243" s="8" t="str">
        <f>VLOOKUP(Table1[[#This Row],[Address B]],IP_Master[],4,FALSE)</f>
        <v>BFNCPLC</v>
      </c>
      <c r="S243" s="8" t="e">
        <f>VLOOKUP(Table1[[#This Row],[Address A]],IP_Master[],2,FALSE)</f>
        <v>#N/A</v>
      </c>
      <c r="T243" s="8" t="str">
        <f>VLOOKUP(Table1[[#This Row],[Address B]],IP_Master[],2,FALSE)</f>
        <v>Blast Furnace</v>
      </c>
      <c r="U243" s="9" t="e">
        <f>VLOOKUP(Table1[[#This Row],[Address A]],IP_Master[],3,FALSE)</f>
        <v>#N/A</v>
      </c>
      <c r="V243" s="9" t="str">
        <f>VLOOKUP(Table1[[#This Row],[Address B]],IP_Master[],3,FALSE)</f>
        <v>PLCs &amp; Control Equipment</v>
      </c>
      <c r="W243" s="9" t="str">
        <f>VLOOKUP(Table1[[#This Row],[Port B]],traffic_types[],2,FALSE)</f>
        <v>Modbus</v>
      </c>
    </row>
    <row r="244" spans="1:23" x14ac:dyDescent="0.6">
      <c r="A244" t="s">
        <v>66</v>
      </c>
      <c r="B244">
        <v>3516</v>
      </c>
      <c r="C244" t="s">
        <v>65</v>
      </c>
      <c r="D244">
        <v>502</v>
      </c>
      <c r="E244">
        <v>10</v>
      </c>
      <c r="F244">
        <v>613</v>
      </c>
      <c r="G244">
        <v>5</v>
      </c>
      <c r="H244">
        <v>308</v>
      </c>
      <c r="I244">
        <v>5</v>
      </c>
      <c r="J244">
        <v>305</v>
      </c>
      <c r="K244">
        <v>501.39530400000001</v>
      </c>
      <c r="L244">
        <v>2.5067999999976099E-2</v>
      </c>
      <c r="M244">
        <v>98292.6440083911</v>
      </c>
      <c r="N244">
        <v>97335.248125192506</v>
      </c>
      <c r="O244" s="8" t="str">
        <f>formatIP(Table1[[#This Row],[Address A]])</f>
        <v>010.011.001.080</v>
      </c>
      <c r="P244" s="8" t="str">
        <f>formatIP(Table1[[#This Row],[Address B]])</f>
        <v>010.012.001.024</v>
      </c>
      <c r="Q244" s="8" t="e">
        <f>VLOOKUP(Table1[[#This Row],[Address A]],IP_Master[],4,FALSE)</f>
        <v>#N/A</v>
      </c>
      <c r="R244" s="8" t="str">
        <f>VLOOKUP(Table1[[#This Row],[Address B]],IP_Master[],4,FALSE)</f>
        <v>BFNCPLC</v>
      </c>
      <c r="S244" s="8" t="e">
        <f>VLOOKUP(Table1[[#This Row],[Address A]],IP_Master[],2,FALSE)</f>
        <v>#N/A</v>
      </c>
      <c r="T244" s="8" t="str">
        <f>VLOOKUP(Table1[[#This Row],[Address B]],IP_Master[],2,FALSE)</f>
        <v>Blast Furnace</v>
      </c>
      <c r="U244" s="9" t="e">
        <f>VLOOKUP(Table1[[#This Row],[Address A]],IP_Master[],3,FALSE)</f>
        <v>#N/A</v>
      </c>
      <c r="V244" s="9" t="str">
        <f>VLOOKUP(Table1[[#This Row],[Address B]],IP_Master[],3,FALSE)</f>
        <v>PLCs &amp; Control Equipment</v>
      </c>
      <c r="W244" s="9" t="str">
        <f>VLOOKUP(Table1[[#This Row],[Port B]],traffic_types[],2,FALSE)</f>
        <v>Modbus</v>
      </c>
    </row>
    <row r="245" spans="1:23" x14ac:dyDescent="0.6">
      <c r="A245" t="s">
        <v>66</v>
      </c>
      <c r="B245">
        <v>3517</v>
      </c>
      <c r="C245" t="s">
        <v>65</v>
      </c>
      <c r="D245">
        <v>502</v>
      </c>
      <c r="E245">
        <v>10</v>
      </c>
      <c r="F245">
        <v>614</v>
      </c>
      <c r="G245">
        <v>5</v>
      </c>
      <c r="H245">
        <v>308</v>
      </c>
      <c r="I245">
        <v>5</v>
      </c>
      <c r="J245">
        <v>306</v>
      </c>
      <c r="K245">
        <v>501.43114400000002</v>
      </c>
      <c r="L245">
        <v>2.6033999999981499E-2</v>
      </c>
      <c r="M245">
        <v>94645.463624558499</v>
      </c>
      <c r="N245">
        <v>94030.882691931401</v>
      </c>
      <c r="O245" s="8" t="str">
        <f>formatIP(Table1[[#This Row],[Address A]])</f>
        <v>010.011.001.080</v>
      </c>
      <c r="P245" s="8" t="str">
        <f>formatIP(Table1[[#This Row],[Address B]])</f>
        <v>010.012.001.024</v>
      </c>
      <c r="Q245" s="8" t="e">
        <f>VLOOKUP(Table1[[#This Row],[Address A]],IP_Master[],4,FALSE)</f>
        <v>#N/A</v>
      </c>
      <c r="R245" s="8" t="str">
        <f>VLOOKUP(Table1[[#This Row],[Address B]],IP_Master[],4,FALSE)</f>
        <v>BFNCPLC</v>
      </c>
      <c r="S245" s="8" t="e">
        <f>VLOOKUP(Table1[[#This Row],[Address A]],IP_Master[],2,FALSE)</f>
        <v>#N/A</v>
      </c>
      <c r="T245" s="8" t="str">
        <f>VLOOKUP(Table1[[#This Row],[Address B]],IP_Master[],2,FALSE)</f>
        <v>Blast Furnace</v>
      </c>
      <c r="U245" s="9" t="e">
        <f>VLOOKUP(Table1[[#This Row],[Address A]],IP_Master[],3,FALSE)</f>
        <v>#N/A</v>
      </c>
      <c r="V245" s="9" t="str">
        <f>VLOOKUP(Table1[[#This Row],[Address B]],IP_Master[],3,FALSE)</f>
        <v>PLCs &amp; Control Equipment</v>
      </c>
      <c r="W245" s="9" t="str">
        <f>VLOOKUP(Table1[[#This Row],[Port B]],traffic_types[],2,FALSE)</f>
        <v>Modbus</v>
      </c>
    </row>
    <row r="246" spans="1:23" x14ac:dyDescent="0.6">
      <c r="A246" t="s">
        <v>66</v>
      </c>
      <c r="B246">
        <v>3518</v>
      </c>
      <c r="C246" t="s">
        <v>65</v>
      </c>
      <c r="D246">
        <v>502</v>
      </c>
      <c r="E246">
        <v>10</v>
      </c>
      <c r="F246">
        <v>614</v>
      </c>
      <c r="G246">
        <v>5</v>
      </c>
      <c r="H246">
        <v>308</v>
      </c>
      <c r="I246">
        <v>5</v>
      </c>
      <c r="J246">
        <v>306</v>
      </c>
      <c r="K246">
        <v>506.31800700000002</v>
      </c>
      <c r="L246">
        <v>6.2732999999980193E-2</v>
      </c>
      <c r="M246">
        <v>39277.5732070964</v>
      </c>
      <c r="N246">
        <v>39022.524030426997</v>
      </c>
      <c r="O246" s="8" t="str">
        <f>formatIP(Table1[[#This Row],[Address A]])</f>
        <v>010.011.001.080</v>
      </c>
      <c r="P246" s="8" t="str">
        <f>formatIP(Table1[[#This Row],[Address B]])</f>
        <v>010.012.001.024</v>
      </c>
      <c r="Q246" s="8" t="e">
        <f>VLOOKUP(Table1[[#This Row],[Address A]],IP_Master[],4,FALSE)</f>
        <v>#N/A</v>
      </c>
      <c r="R246" s="8" t="str">
        <f>VLOOKUP(Table1[[#This Row],[Address B]],IP_Master[],4,FALSE)</f>
        <v>BFNCPLC</v>
      </c>
      <c r="S246" s="8" t="e">
        <f>VLOOKUP(Table1[[#This Row],[Address A]],IP_Master[],2,FALSE)</f>
        <v>#N/A</v>
      </c>
      <c r="T246" s="8" t="str">
        <f>VLOOKUP(Table1[[#This Row],[Address B]],IP_Master[],2,FALSE)</f>
        <v>Blast Furnace</v>
      </c>
      <c r="U246" s="9" t="e">
        <f>VLOOKUP(Table1[[#This Row],[Address A]],IP_Master[],3,FALSE)</f>
        <v>#N/A</v>
      </c>
      <c r="V246" s="9" t="str">
        <f>VLOOKUP(Table1[[#This Row],[Address B]],IP_Master[],3,FALSE)</f>
        <v>PLCs &amp; Control Equipment</v>
      </c>
      <c r="W246" s="9" t="str">
        <f>VLOOKUP(Table1[[#This Row],[Port B]],traffic_types[],2,FALSE)</f>
        <v>Modbus</v>
      </c>
    </row>
    <row r="247" spans="1:23" x14ac:dyDescent="0.6">
      <c r="A247" t="s">
        <v>66</v>
      </c>
      <c r="B247">
        <v>3519</v>
      </c>
      <c r="C247" t="s">
        <v>65</v>
      </c>
      <c r="D247">
        <v>502</v>
      </c>
      <c r="E247">
        <v>10</v>
      </c>
      <c r="F247">
        <v>613</v>
      </c>
      <c r="G247">
        <v>5</v>
      </c>
      <c r="H247">
        <v>308</v>
      </c>
      <c r="I247">
        <v>5</v>
      </c>
      <c r="J247">
        <v>305</v>
      </c>
      <c r="K247">
        <v>506.36393900000002</v>
      </c>
      <c r="L247">
        <v>0.29772199999996501</v>
      </c>
      <c r="M247">
        <v>8276.1771048168794</v>
      </c>
      <c r="N247">
        <v>8195.5649901595807</v>
      </c>
      <c r="O247" s="8" t="str">
        <f>formatIP(Table1[[#This Row],[Address A]])</f>
        <v>010.011.001.080</v>
      </c>
      <c r="P247" s="8" t="str">
        <f>formatIP(Table1[[#This Row],[Address B]])</f>
        <v>010.012.001.024</v>
      </c>
      <c r="Q247" s="8" t="e">
        <f>VLOOKUP(Table1[[#This Row],[Address A]],IP_Master[],4,FALSE)</f>
        <v>#N/A</v>
      </c>
      <c r="R247" s="8" t="str">
        <f>VLOOKUP(Table1[[#This Row],[Address B]],IP_Master[],4,FALSE)</f>
        <v>BFNCPLC</v>
      </c>
      <c r="S247" s="8" t="e">
        <f>VLOOKUP(Table1[[#This Row],[Address A]],IP_Master[],2,FALSE)</f>
        <v>#N/A</v>
      </c>
      <c r="T247" s="8" t="str">
        <f>VLOOKUP(Table1[[#This Row],[Address B]],IP_Master[],2,FALSE)</f>
        <v>Blast Furnace</v>
      </c>
      <c r="U247" s="9" t="e">
        <f>VLOOKUP(Table1[[#This Row],[Address A]],IP_Master[],3,FALSE)</f>
        <v>#N/A</v>
      </c>
      <c r="V247" s="9" t="str">
        <f>VLOOKUP(Table1[[#This Row],[Address B]],IP_Master[],3,FALSE)</f>
        <v>PLCs &amp; Control Equipment</v>
      </c>
      <c r="W247" s="9" t="str">
        <f>VLOOKUP(Table1[[#This Row],[Port B]],traffic_types[],2,FALSE)</f>
        <v>Modbus</v>
      </c>
    </row>
    <row r="248" spans="1:23" x14ac:dyDescent="0.6">
      <c r="A248" t="s">
        <v>66</v>
      </c>
      <c r="B248">
        <v>3520</v>
      </c>
      <c r="C248" t="s">
        <v>65</v>
      </c>
      <c r="D248">
        <v>502</v>
      </c>
      <c r="E248">
        <v>10</v>
      </c>
      <c r="F248">
        <v>614</v>
      </c>
      <c r="G248">
        <v>5</v>
      </c>
      <c r="H248">
        <v>308</v>
      </c>
      <c r="I248">
        <v>5</v>
      </c>
      <c r="J248">
        <v>306</v>
      </c>
      <c r="K248">
        <v>506.62032699999997</v>
      </c>
      <c r="L248">
        <v>0.21823900000004001</v>
      </c>
      <c r="M248">
        <v>11290.3743143964</v>
      </c>
      <c r="N248">
        <v>11217.0601954717</v>
      </c>
      <c r="O248" s="8" t="str">
        <f>formatIP(Table1[[#This Row],[Address A]])</f>
        <v>010.011.001.080</v>
      </c>
      <c r="P248" s="8" t="str">
        <f>formatIP(Table1[[#This Row],[Address B]])</f>
        <v>010.012.001.024</v>
      </c>
      <c r="Q248" s="8" t="e">
        <f>VLOOKUP(Table1[[#This Row],[Address A]],IP_Master[],4,FALSE)</f>
        <v>#N/A</v>
      </c>
      <c r="R248" s="8" t="str">
        <f>VLOOKUP(Table1[[#This Row],[Address B]],IP_Master[],4,FALSE)</f>
        <v>BFNCPLC</v>
      </c>
      <c r="S248" s="8" t="e">
        <f>VLOOKUP(Table1[[#This Row],[Address A]],IP_Master[],2,FALSE)</f>
        <v>#N/A</v>
      </c>
      <c r="T248" s="8" t="str">
        <f>VLOOKUP(Table1[[#This Row],[Address B]],IP_Master[],2,FALSE)</f>
        <v>Blast Furnace</v>
      </c>
      <c r="U248" s="9" t="e">
        <f>VLOOKUP(Table1[[#This Row],[Address A]],IP_Master[],3,FALSE)</f>
        <v>#N/A</v>
      </c>
      <c r="V248" s="9" t="str">
        <f>VLOOKUP(Table1[[#This Row],[Address B]],IP_Master[],3,FALSE)</f>
        <v>PLCs &amp; Control Equipment</v>
      </c>
      <c r="W248" s="9" t="str">
        <f>VLOOKUP(Table1[[#This Row],[Port B]],traffic_types[],2,FALSE)</f>
        <v>Modbus</v>
      </c>
    </row>
    <row r="249" spans="1:23" x14ac:dyDescent="0.6">
      <c r="A249" t="s">
        <v>66</v>
      </c>
      <c r="B249">
        <v>3521</v>
      </c>
      <c r="C249" t="s">
        <v>65</v>
      </c>
      <c r="D249">
        <v>502</v>
      </c>
      <c r="E249">
        <v>10</v>
      </c>
      <c r="F249">
        <v>613</v>
      </c>
      <c r="G249">
        <v>5</v>
      </c>
      <c r="H249">
        <v>308</v>
      </c>
      <c r="I249">
        <v>5</v>
      </c>
      <c r="J249">
        <v>305</v>
      </c>
      <c r="K249">
        <v>506.76323000000002</v>
      </c>
      <c r="L249">
        <v>0.65420699999998499</v>
      </c>
      <c r="M249">
        <v>3766.3919829657202</v>
      </c>
      <c r="N249">
        <v>3729.706346768</v>
      </c>
      <c r="O249" s="8" t="str">
        <f>formatIP(Table1[[#This Row],[Address A]])</f>
        <v>010.011.001.080</v>
      </c>
      <c r="P249" s="8" t="str">
        <f>formatIP(Table1[[#This Row],[Address B]])</f>
        <v>010.012.001.024</v>
      </c>
      <c r="Q249" s="8" t="e">
        <f>VLOOKUP(Table1[[#This Row],[Address A]],IP_Master[],4,FALSE)</f>
        <v>#N/A</v>
      </c>
      <c r="R249" s="8" t="str">
        <f>VLOOKUP(Table1[[#This Row],[Address B]],IP_Master[],4,FALSE)</f>
        <v>BFNCPLC</v>
      </c>
      <c r="S249" s="8" t="e">
        <f>VLOOKUP(Table1[[#This Row],[Address A]],IP_Master[],2,FALSE)</f>
        <v>#N/A</v>
      </c>
      <c r="T249" s="8" t="str">
        <f>VLOOKUP(Table1[[#This Row],[Address B]],IP_Master[],2,FALSE)</f>
        <v>Blast Furnace</v>
      </c>
      <c r="U249" s="9" t="e">
        <f>VLOOKUP(Table1[[#This Row],[Address A]],IP_Master[],3,FALSE)</f>
        <v>#N/A</v>
      </c>
      <c r="V249" s="9" t="str">
        <f>VLOOKUP(Table1[[#This Row],[Address B]],IP_Master[],3,FALSE)</f>
        <v>PLCs &amp; Control Equipment</v>
      </c>
      <c r="W249" s="9" t="str">
        <f>VLOOKUP(Table1[[#This Row],[Port B]],traffic_types[],2,FALSE)</f>
        <v>Modbus</v>
      </c>
    </row>
    <row r="250" spans="1:23" x14ac:dyDescent="0.6">
      <c r="A250" t="s">
        <v>66</v>
      </c>
      <c r="B250">
        <v>3522</v>
      </c>
      <c r="C250" t="s">
        <v>65</v>
      </c>
      <c r="D250">
        <v>502</v>
      </c>
      <c r="E250">
        <v>10</v>
      </c>
      <c r="F250">
        <v>614</v>
      </c>
      <c r="G250">
        <v>5</v>
      </c>
      <c r="H250">
        <v>308</v>
      </c>
      <c r="I250">
        <v>5</v>
      </c>
      <c r="J250">
        <v>306</v>
      </c>
      <c r="K250">
        <v>507.400038</v>
      </c>
      <c r="L250">
        <v>0.18911500000001499</v>
      </c>
      <c r="M250">
        <v>13029.109272135</v>
      </c>
      <c r="N250">
        <v>12944.504666471699</v>
      </c>
      <c r="O250" s="8" t="str">
        <f>formatIP(Table1[[#This Row],[Address A]])</f>
        <v>010.011.001.080</v>
      </c>
      <c r="P250" s="8" t="str">
        <f>formatIP(Table1[[#This Row],[Address B]])</f>
        <v>010.012.001.024</v>
      </c>
      <c r="Q250" s="8" t="e">
        <f>VLOOKUP(Table1[[#This Row],[Address A]],IP_Master[],4,FALSE)</f>
        <v>#N/A</v>
      </c>
      <c r="R250" s="8" t="str">
        <f>VLOOKUP(Table1[[#This Row],[Address B]],IP_Master[],4,FALSE)</f>
        <v>BFNCPLC</v>
      </c>
      <c r="S250" s="8" t="e">
        <f>VLOOKUP(Table1[[#This Row],[Address A]],IP_Master[],2,FALSE)</f>
        <v>#N/A</v>
      </c>
      <c r="T250" s="8" t="str">
        <f>VLOOKUP(Table1[[#This Row],[Address B]],IP_Master[],2,FALSE)</f>
        <v>Blast Furnace</v>
      </c>
      <c r="U250" s="9" t="e">
        <f>VLOOKUP(Table1[[#This Row],[Address A]],IP_Master[],3,FALSE)</f>
        <v>#N/A</v>
      </c>
      <c r="V250" s="9" t="str">
        <f>VLOOKUP(Table1[[#This Row],[Address B]],IP_Master[],3,FALSE)</f>
        <v>PLCs &amp; Control Equipment</v>
      </c>
      <c r="W250" s="9" t="str">
        <f>VLOOKUP(Table1[[#This Row],[Port B]],traffic_types[],2,FALSE)</f>
        <v>Modbus</v>
      </c>
    </row>
    <row r="251" spans="1:23" x14ac:dyDescent="0.6">
      <c r="A251" t="s">
        <v>66</v>
      </c>
      <c r="B251">
        <v>3581</v>
      </c>
      <c r="C251" t="s">
        <v>65</v>
      </c>
      <c r="D251">
        <v>502</v>
      </c>
      <c r="E251">
        <v>10</v>
      </c>
      <c r="F251">
        <v>614</v>
      </c>
      <c r="G251">
        <v>5</v>
      </c>
      <c r="H251">
        <v>308</v>
      </c>
      <c r="I251">
        <v>5</v>
      </c>
      <c r="J251">
        <v>306</v>
      </c>
      <c r="K251">
        <v>591.32170399999995</v>
      </c>
      <c r="L251">
        <v>2.9215000000022001E-2</v>
      </c>
      <c r="M251">
        <v>84340.236179981104</v>
      </c>
      <c r="N251">
        <v>83792.572308682502</v>
      </c>
      <c r="O251" s="8" t="str">
        <f>formatIP(Table1[[#This Row],[Address A]])</f>
        <v>010.011.001.080</v>
      </c>
      <c r="P251" s="8" t="str">
        <f>formatIP(Table1[[#This Row],[Address B]])</f>
        <v>010.012.001.024</v>
      </c>
      <c r="Q251" s="8" t="e">
        <f>VLOOKUP(Table1[[#This Row],[Address A]],IP_Master[],4,FALSE)</f>
        <v>#N/A</v>
      </c>
      <c r="R251" s="8" t="str">
        <f>VLOOKUP(Table1[[#This Row],[Address B]],IP_Master[],4,FALSE)</f>
        <v>BFNCPLC</v>
      </c>
      <c r="S251" s="8" t="e">
        <f>VLOOKUP(Table1[[#This Row],[Address A]],IP_Master[],2,FALSE)</f>
        <v>#N/A</v>
      </c>
      <c r="T251" s="8" t="str">
        <f>VLOOKUP(Table1[[#This Row],[Address B]],IP_Master[],2,FALSE)</f>
        <v>Blast Furnace</v>
      </c>
      <c r="U251" s="9" t="e">
        <f>VLOOKUP(Table1[[#This Row],[Address A]],IP_Master[],3,FALSE)</f>
        <v>#N/A</v>
      </c>
      <c r="V251" s="9" t="str">
        <f>VLOOKUP(Table1[[#This Row],[Address B]],IP_Master[],3,FALSE)</f>
        <v>PLCs &amp; Control Equipment</v>
      </c>
      <c r="W251" s="9" t="str">
        <f>VLOOKUP(Table1[[#This Row],[Port B]],traffic_types[],2,FALSE)</f>
        <v>Modbus</v>
      </c>
    </row>
    <row r="252" spans="1:23" x14ac:dyDescent="0.6">
      <c r="A252" t="s">
        <v>66</v>
      </c>
      <c r="B252">
        <v>3582</v>
      </c>
      <c r="C252" t="s">
        <v>65</v>
      </c>
      <c r="D252">
        <v>502</v>
      </c>
      <c r="E252">
        <v>10</v>
      </c>
      <c r="F252">
        <v>613</v>
      </c>
      <c r="G252">
        <v>5</v>
      </c>
      <c r="H252">
        <v>308</v>
      </c>
      <c r="I252">
        <v>5</v>
      </c>
      <c r="J252">
        <v>305</v>
      </c>
      <c r="K252">
        <v>591.34813299999996</v>
      </c>
      <c r="L252">
        <v>2.3552999999992601E-2</v>
      </c>
      <c r="M252">
        <v>104615.123338886</v>
      </c>
      <c r="N252">
        <v>103596.144864806</v>
      </c>
      <c r="O252" s="8" t="str">
        <f>formatIP(Table1[[#This Row],[Address A]])</f>
        <v>010.011.001.080</v>
      </c>
      <c r="P252" s="8" t="str">
        <f>formatIP(Table1[[#This Row],[Address B]])</f>
        <v>010.012.001.024</v>
      </c>
      <c r="Q252" s="8" t="e">
        <f>VLOOKUP(Table1[[#This Row],[Address A]],IP_Master[],4,FALSE)</f>
        <v>#N/A</v>
      </c>
      <c r="R252" s="8" t="str">
        <f>VLOOKUP(Table1[[#This Row],[Address B]],IP_Master[],4,FALSE)</f>
        <v>BFNCPLC</v>
      </c>
      <c r="S252" s="8" t="e">
        <f>VLOOKUP(Table1[[#This Row],[Address A]],IP_Master[],2,FALSE)</f>
        <v>#N/A</v>
      </c>
      <c r="T252" s="8" t="str">
        <f>VLOOKUP(Table1[[#This Row],[Address B]],IP_Master[],2,FALSE)</f>
        <v>Blast Furnace</v>
      </c>
      <c r="U252" s="9" t="e">
        <f>VLOOKUP(Table1[[#This Row],[Address A]],IP_Master[],3,FALSE)</f>
        <v>#N/A</v>
      </c>
      <c r="V252" s="9" t="str">
        <f>VLOOKUP(Table1[[#This Row],[Address B]],IP_Master[],3,FALSE)</f>
        <v>PLCs &amp; Control Equipment</v>
      </c>
      <c r="W252" s="9" t="str">
        <f>VLOOKUP(Table1[[#This Row],[Port B]],traffic_types[],2,FALSE)</f>
        <v>Modbus</v>
      </c>
    </row>
    <row r="253" spans="1:23" x14ac:dyDescent="0.6">
      <c r="A253" t="s">
        <v>66</v>
      </c>
      <c r="B253">
        <v>3583</v>
      </c>
      <c r="C253" t="s">
        <v>65</v>
      </c>
      <c r="D253">
        <v>502</v>
      </c>
      <c r="E253">
        <v>10</v>
      </c>
      <c r="F253">
        <v>614</v>
      </c>
      <c r="G253">
        <v>5</v>
      </c>
      <c r="H253">
        <v>308</v>
      </c>
      <c r="I253">
        <v>5</v>
      </c>
      <c r="J253">
        <v>306</v>
      </c>
      <c r="K253">
        <v>591.405574</v>
      </c>
      <c r="L253">
        <v>2.3403000000030299E-2</v>
      </c>
      <c r="M253">
        <v>105285.64713912</v>
      </c>
      <c r="N253">
        <v>104601.974105749</v>
      </c>
      <c r="O253" s="8" t="str">
        <f>formatIP(Table1[[#This Row],[Address A]])</f>
        <v>010.011.001.080</v>
      </c>
      <c r="P253" s="8" t="str">
        <f>formatIP(Table1[[#This Row],[Address B]])</f>
        <v>010.012.001.024</v>
      </c>
      <c r="Q253" s="8" t="e">
        <f>VLOOKUP(Table1[[#This Row],[Address A]],IP_Master[],4,FALSE)</f>
        <v>#N/A</v>
      </c>
      <c r="R253" s="8" t="str">
        <f>VLOOKUP(Table1[[#This Row],[Address B]],IP_Master[],4,FALSE)</f>
        <v>BFNCPLC</v>
      </c>
      <c r="S253" s="8" t="e">
        <f>VLOOKUP(Table1[[#This Row],[Address A]],IP_Master[],2,FALSE)</f>
        <v>#N/A</v>
      </c>
      <c r="T253" s="8" t="str">
        <f>VLOOKUP(Table1[[#This Row],[Address B]],IP_Master[],2,FALSE)</f>
        <v>Blast Furnace</v>
      </c>
      <c r="U253" s="9" t="e">
        <f>VLOOKUP(Table1[[#This Row],[Address A]],IP_Master[],3,FALSE)</f>
        <v>#N/A</v>
      </c>
      <c r="V253" s="9" t="str">
        <f>VLOOKUP(Table1[[#This Row],[Address B]],IP_Master[],3,FALSE)</f>
        <v>PLCs &amp; Control Equipment</v>
      </c>
      <c r="W253" s="9" t="str">
        <f>VLOOKUP(Table1[[#This Row],[Port B]],traffic_types[],2,FALSE)</f>
        <v>Modbus</v>
      </c>
    </row>
    <row r="254" spans="1:23" x14ac:dyDescent="0.6">
      <c r="A254" t="s">
        <v>66</v>
      </c>
      <c r="B254">
        <v>3584</v>
      </c>
      <c r="C254" t="s">
        <v>65</v>
      </c>
      <c r="D254">
        <v>502</v>
      </c>
      <c r="E254">
        <v>10</v>
      </c>
      <c r="F254">
        <v>613</v>
      </c>
      <c r="G254">
        <v>5</v>
      </c>
      <c r="H254">
        <v>308</v>
      </c>
      <c r="I254">
        <v>5</v>
      </c>
      <c r="J254">
        <v>305</v>
      </c>
      <c r="K254">
        <v>591.42328599999996</v>
      </c>
      <c r="L254">
        <v>2.39710000000741E-2</v>
      </c>
      <c r="M254">
        <v>102790.87230371599</v>
      </c>
      <c r="N254">
        <v>101789.66250855</v>
      </c>
      <c r="O254" s="8" t="str">
        <f>formatIP(Table1[[#This Row],[Address A]])</f>
        <v>010.011.001.080</v>
      </c>
      <c r="P254" s="8" t="str">
        <f>formatIP(Table1[[#This Row],[Address B]])</f>
        <v>010.012.001.024</v>
      </c>
      <c r="Q254" s="8" t="e">
        <f>VLOOKUP(Table1[[#This Row],[Address A]],IP_Master[],4,FALSE)</f>
        <v>#N/A</v>
      </c>
      <c r="R254" s="8" t="str">
        <f>VLOOKUP(Table1[[#This Row],[Address B]],IP_Master[],4,FALSE)</f>
        <v>BFNCPLC</v>
      </c>
      <c r="S254" s="8" t="e">
        <f>VLOOKUP(Table1[[#This Row],[Address A]],IP_Master[],2,FALSE)</f>
        <v>#N/A</v>
      </c>
      <c r="T254" s="8" t="str">
        <f>VLOOKUP(Table1[[#This Row],[Address B]],IP_Master[],2,FALSE)</f>
        <v>Blast Furnace</v>
      </c>
      <c r="U254" s="9" t="e">
        <f>VLOOKUP(Table1[[#This Row],[Address A]],IP_Master[],3,FALSE)</f>
        <v>#N/A</v>
      </c>
      <c r="V254" s="9" t="str">
        <f>VLOOKUP(Table1[[#This Row],[Address B]],IP_Master[],3,FALSE)</f>
        <v>PLCs &amp; Control Equipment</v>
      </c>
      <c r="W254" s="9" t="str">
        <f>VLOOKUP(Table1[[#This Row],[Port B]],traffic_types[],2,FALSE)</f>
        <v>Modbus</v>
      </c>
    </row>
    <row r="255" spans="1:23" x14ac:dyDescent="0.6">
      <c r="A255" t="s">
        <v>66</v>
      </c>
      <c r="B255">
        <v>3585</v>
      </c>
      <c r="C255" t="s">
        <v>65</v>
      </c>
      <c r="D255">
        <v>502</v>
      </c>
      <c r="E255">
        <v>10</v>
      </c>
      <c r="F255">
        <v>614</v>
      </c>
      <c r="G255">
        <v>5</v>
      </c>
      <c r="H255">
        <v>308</v>
      </c>
      <c r="I255">
        <v>5</v>
      </c>
      <c r="J255">
        <v>306</v>
      </c>
      <c r="K255">
        <v>591.46634900000004</v>
      </c>
      <c r="L255">
        <v>2.7041999999937599E-2</v>
      </c>
      <c r="M255">
        <v>91117.520893635199</v>
      </c>
      <c r="N255">
        <v>90525.848680040202</v>
      </c>
      <c r="O255" s="8" t="str">
        <f>formatIP(Table1[[#This Row],[Address A]])</f>
        <v>010.011.001.080</v>
      </c>
      <c r="P255" s="8" t="str">
        <f>formatIP(Table1[[#This Row],[Address B]])</f>
        <v>010.012.001.024</v>
      </c>
      <c r="Q255" s="8" t="e">
        <f>VLOOKUP(Table1[[#This Row],[Address A]],IP_Master[],4,FALSE)</f>
        <v>#N/A</v>
      </c>
      <c r="R255" s="8" t="str">
        <f>VLOOKUP(Table1[[#This Row],[Address B]],IP_Master[],4,FALSE)</f>
        <v>BFNCPLC</v>
      </c>
      <c r="S255" s="8" t="e">
        <f>VLOOKUP(Table1[[#This Row],[Address A]],IP_Master[],2,FALSE)</f>
        <v>#N/A</v>
      </c>
      <c r="T255" s="8" t="str">
        <f>VLOOKUP(Table1[[#This Row],[Address B]],IP_Master[],2,FALSE)</f>
        <v>Blast Furnace</v>
      </c>
      <c r="U255" s="9" t="e">
        <f>VLOOKUP(Table1[[#This Row],[Address A]],IP_Master[],3,FALSE)</f>
        <v>#N/A</v>
      </c>
      <c r="V255" s="9" t="str">
        <f>VLOOKUP(Table1[[#This Row],[Address B]],IP_Master[],3,FALSE)</f>
        <v>PLCs &amp; Control Equipment</v>
      </c>
      <c r="W255" s="9" t="str">
        <f>VLOOKUP(Table1[[#This Row],[Port B]],traffic_types[],2,FALSE)</f>
        <v>Modbus</v>
      </c>
    </row>
    <row r="256" spans="1:23" x14ac:dyDescent="0.6">
      <c r="A256" t="s">
        <v>66</v>
      </c>
      <c r="B256">
        <v>3586</v>
      </c>
      <c r="C256" t="s">
        <v>65</v>
      </c>
      <c r="D256">
        <v>502</v>
      </c>
      <c r="E256">
        <v>10</v>
      </c>
      <c r="F256">
        <v>614</v>
      </c>
      <c r="G256">
        <v>5</v>
      </c>
      <c r="H256">
        <v>308</v>
      </c>
      <c r="I256">
        <v>5</v>
      </c>
      <c r="J256">
        <v>306</v>
      </c>
      <c r="K256">
        <v>596.32189500000004</v>
      </c>
      <c r="L256">
        <v>2.9088999999999001E-2</v>
      </c>
      <c r="M256">
        <v>84705.558802299201</v>
      </c>
      <c r="N256">
        <v>84155.522706180403</v>
      </c>
      <c r="O256" s="8" t="str">
        <f>formatIP(Table1[[#This Row],[Address A]])</f>
        <v>010.011.001.080</v>
      </c>
      <c r="P256" s="8" t="str">
        <f>formatIP(Table1[[#This Row],[Address B]])</f>
        <v>010.012.001.024</v>
      </c>
      <c r="Q256" s="8" t="e">
        <f>VLOOKUP(Table1[[#This Row],[Address A]],IP_Master[],4,FALSE)</f>
        <v>#N/A</v>
      </c>
      <c r="R256" s="8" t="str">
        <f>VLOOKUP(Table1[[#This Row],[Address B]],IP_Master[],4,FALSE)</f>
        <v>BFNCPLC</v>
      </c>
      <c r="S256" s="8" t="e">
        <f>VLOOKUP(Table1[[#This Row],[Address A]],IP_Master[],2,FALSE)</f>
        <v>#N/A</v>
      </c>
      <c r="T256" s="8" t="str">
        <f>VLOOKUP(Table1[[#This Row],[Address B]],IP_Master[],2,FALSE)</f>
        <v>Blast Furnace</v>
      </c>
      <c r="U256" s="9" t="e">
        <f>VLOOKUP(Table1[[#This Row],[Address A]],IP_Master[],3,FALSE)</f>
        <v>#N/A</v>
      </c>
      <c r="V256" s="9" t="str">
        <f>VLOOKUP(Table1[[#This Row],[Address B]],IP_Master[],3,FALSE)</f>
        <v>PLCs &amp; Control Equipment</v>
      </c>
      <c r="W256" s="9" t="str">
        <f>VLOOKUP(Table1[[#This Row],[Port B]],traffic_types[],2,FALSE)</f>
        <v>Modbus</v>
      </c>
    </row>
    <row r="257" spans="1:23" x14ac:dyDescent="0.6">
      <c r="A257" t="s">
        <v>66</v>
      </c>
      <c r="B257">
        <v>3587</v>
      </c>
      <c r="C257" t="s">
        <v>65</v>
      </c>
      <c r="D257">
        <v>502</v>
      </c>
      <c r="E257">
        <v>10</v>
      </c>
      <c r="F257">
        <v>613</v>
      </c>
      <c r="G257">
        <v>5</v>
      </c>
      <c r="H257">
        <v>308</v>
      </c>
      <c r="I257">
        <v>5</v>
      </c>
      <c r="J257">
        <v>305</v>
      </c>
      <c r="K257">
        <v>596.34419500000001</v>
      </c>
      <c r="L257">
        <v>2.53249999999525E-2</v>
      </c>
      <c r="M257">
        <v>97295.162882709497</v>
      </c>
      <c r="N257">
        <v>96347.482724761096</v>
      </c>
      <c r="O257" s="8" t="str">
        <f>formatIP(Table1[[#This Row],[Address A]])</f>
        <v>010.011.001.080</v>
      </c>
      <c r="P257" s="8" t="str">
        <f>formatIP(Table1[[#This Row],[Address B]])</f>
        <v>010.012.001.024</v>
      </c>
      <c r="Q257" s="8" t="e">
        <f>VLOOKUP(Table1[[#This Row],[Address A]],IP_Master[],4,FALSE)</f>
        <v>#N/A</v>
      </c>
      <c r="R257" s="8" t="str">
        <f>VLOOKUP(Table1[[#This Row],[Address B]],IP_Master[],4,FALSE)</f>
        <v>BFNCPLC</v>
      </c>
      <c r="S257" s="8" t="e">
        <f>VLOOKUP(Table1[[#This Row],[Address A]],IP_Master[],2,FALSE)</f>
        <v>#N/A</v>
      </c>
      <c r="T257" s="8" t="str">
        <f>VLOOKUP(Table1[[#This Row],[Address B]],IP_Master[],2,FALSE)</f>
        <v>Blast Furnace</v>
      </c>
      <c r="U257" s="9" t="e">
        <f>VLOOKUP(Table1[[#This Row],[Address A]],IP_Master[],3,FALSE)</f>
        <v>#N/A</v>
      </c>
      <c r="V257" s="9" t="str">
        <f>VLOOKUP(Table1[[#This Row],[Address B]],IP_Master[],3,FALSE)</f>
        <v>PLCs &amp; Control Equipment</v>
      </c>
      <c r="W257" s="9" t="str">
        <f>VLOOKUP(Table1[[#This Row],[Port B]],traffic_types[],2,FALSE)</f>
        <v>Modbus</v>
      </c>
    </row>
    <row r="258" spans="1:23" x14ac:dyDescent="0.6">
      <c r="A258" t="s">
        <v>66</v>
      </c>
      <c r="B258">
        <v>3588</v>
      </c>
      <c r="C258" t="s">
        <v>65</v>
      </c>
      <c r="D258">
        <v>502</v>
      </c>
      <c r="E258">
        <v>10</v>
      </c>
      <c r="F258">
        <v>614</v>
      </c>
      <c r="G258">
        <v>5</v>
      </c>
      <c r="H258">
        <v>308</v>
      </c>
      <c r="I258">
        <v>5</v>
      </c>
      <c r="J258">
        <v>306</v>
      </c>
      <c r="K258">
        <v>596.37424499999997</v>
      </c>
      <c r="L258">
        <v>3.3431000000064201E-2</v>
      </c>
      <c r="M258">
        <v>73704.047141732895</v>
      </c>
      <c r="N258">
        <v>73225.449433020302</v>
      </c>
      <c r="O258" s="8" t="str">
        <f>formatIP(Table1[[#This Row],[Address A]])</f>
        <v>010.011.001.080</v>
      </c>
      <c r="P258" s="8" t="str">
        <f>formatIP(Table1[[#This Row],[Address B]])</f>
        <v>010.012.001.024</v>
      </c>
      <c r="Q258" s="8" t="e">
        <f>VLOOKUP(Table1[[#This Row],[Address A]],IP_Master[],4,FALSE)</f>
        <v>#N/A</v>
      </c>
      <c r="R258" s="8" t="str">
        <f>VLOOKUP(Table1[[#This Row],[Address B]],IP_Master[],4,FALSE)</f>
        <v>BFNCPLC</v>
      </c>
      <c r="S258" s="8" t="e">
        <f>VLOOKUP(Table1[[#This Row],[Address A]],IP_Master[],2,FALSE)</f>
        <v>#N/A</v>
      </c>
      <c r="T258" s="8" t="str">
        <f>VLOOKUP(Table1[[#This Row],[Address B]],IP_Master[],2,FALSE)</f>
        <v>Blast Furnace</v>
      </c>
      <c r="U258" s="9" t="e">
        <f>VLOOKUP(Table1[[#This Row],[Address A]],IP_Master[],3,FALSE)</f>
        <v>#N/A</v>
      </c>
      <c r="V258" s="9" t="str">
        <f>VLOOKUP(Table1[[#This Row],[Address B]],IP_Master[],3,FALSE)</f>
        <v>PLCs &amp; Control Equipment</v>
      </c>
      <c r="W258" s="9" t="str">
        <f>VLOOKUP(Table1[[#This Row],[Port B]],traffic_types[],2,FALSE)</f>
        <v>Modbus</v>
      </c>
    </row>
    <row r="259" spans="1:23" x14ac:dyDescent="0.6">
      <c r="A259" t="s">
        <v>66</v>
      </c>
      <c r="B259">
        <v>3589</v>
      </c>
      <c r="C259" t="s">
        <v>65</v>
      </c>
      <c r="D259">
        <v>502</v>
      </c>
      <c r="E259">
        <v>10</v>
      </c>
      <c r="F259">
        <v>613</v>
      </c>
      <c r="G259">
        <v>5</v>
      </c>
      <c r="H259">
        <v>308</v>
      </c>
      <c r="I259">
        <v>5</v>
      </c>
      <c r="J259">
        <v>305</v>
      </c>
      <c r="K259">
        <v>596.40343199999995</v>
      </c>
      <c r="L259">
        <v>2.58060000001024E-2</v>
      </c>
      <c r="M259">
        <v>95481.670928862499</v>
      </c>
      <c r="N259">
        <v>94551.654653581398</v>
      </c>
      <c r="O259" s="8" t="str">
        <f>formatIP(Table1[[#This Row],[Address A]])</f>
        <v>010.011.001.080</v>
      </c>
      <c r="P259" s="8" t="str">
        <f>formatIP(Table1[[#This Row],[Address B]])</f>
        <v>010.012.001.024</v>
      </c>
      <c r="Q259" s="8" t="e">
        <f>VLOOKUP(Table1[[#This Row],[Address A]],IP_Master[],4,FALSE)</f>
        <v>#N/A</v>
      </c>
      <c r="R259" s="8" t="str">
        <f>VLOOKUP(Table1[[#This Row],[Address B]],IP_Master[],4,FALSE)</f>
        <v>BFNCPLC</v>
      </c>
      <c r="S259" s="8" t="e">
        <f>VLOOKUP(Table1[[#This Row],[Address A]],IP_Master[],2,FALSE)</f>
        <v>#N/A</v>
      </c>
      <c r="T259" s="8" t="str">
        <f>VLOOKUP(Table1[[#This Row],[Address B]],IP_Master[],2,FALSE)</f>
        <v>Blast Furnace</v>
      </c>
      <c r="U259" s="9" t="e">
        <f>VLOOKUP(Table1[[#This Row],[Address A]],IP_Master[],3,FALSE)</f>
        <v>#N/A</v>
      </c>
      <c r="V259" s="9" t="str">
        <f>VLOOKUP(Table1[[#This Row],[Address B]],IP_Master[],3,FALSE)</f>
        <v>PLCs &amp; Control Equipment</v>
      </c>
      <c r="W259" s="9" t="str">
        <f>VLOOKUP(Table1[[#This Row],[Port B]],traffic_types[],2,FALSE)</f>
        <v>Modbus</v>
      </c>
    </row>
    <row r="260" spans="1:23" x14ac:dyDescent="0.6">
      <c r="A260" t="s">
        <v>66</v>
      </c>
      <c r="B260">
        <v>3590</v>
      </c>
      <c r="C260" t="s">
        <v>65</v>
      </c>
      <c r="D260">
        <v>502</v>
      </c>
      <c r="E260">
        <v>10</v>
      </c>
      <c r="F260">
        <v>614</v>
      </c>
      <c r="G260">
        <v>5</v>
      </c>
      <c r="H260">
        <v>308</v>
      </c>
      <c r="I260">
        <v>5</v>
      </c>
      <c r="J260">
        <v>306</v>
      </c>
      <c r="K260">
        <v>596.43532300000004</v>
      </c>
      <c r="L260">
        <v>3.22289999999157E-2</v>
      </c>
      <c r="M260">
        <v>76452.884048727705</v>
      </c>
      <c r="N260">
        <v>75956.436749710003</v>
      </c>
      <c r="O260" s="8" t="str">
        <f>formatIP(Table1[[#This Row],[Address A]])</f>
        <v>010.011.001.080</v>
      </c>
      <c r="P260" s="8" t="str">
        <f>formatIP(Table1[[#This Row],[Address B]])</f>
        <v>010.012.001.024</v>
      </c>
      <c r="Q260" s="8" t="e">
        <f>VLOOKUP(Table1[[#This Row],[Address A]],IP_Master[],4,FALSE)</f>
        <v>#N/A</v>
      </c>
      <c r="R260" s="8" t="str">
        <f>VLOOKUP(Table1[[#This Row],[Address B]],IP_Master[],4,FALSE)</f>
        <v>BFNCPLC</v>
      </c>
      <c r="S260" s="8" t="e">
        <f>VLOOKUP(Table1[[#This Row],[Address A]],IP_Master[],2,FALSE)</f>
        <v>#N/A</v>
      </c>
      <c r="T260" s="8" t="str">
        <f>VLOOKUP(Table1[[#This Row],[Address B]],IP_Master[],2,FALSE)</f>
        <v>Blast Furnace</v>
      </c>
      <c r="U260" s="9" t="e">
        <f>VLOOKUP(Table1[[#This Row],[Address A]],IP_Master[],3,FALSE)</f>
        <v>#N/A</v>
      </c>
      <c r="V260" s="9" t="str">
        <f>VLOOKUP(Table1[[#This Row],[Address B]],IP_Master[],3,FALSE)</f>
        <v>PLCs &amp; Control Equipment</v>
      </c>
      <c r="W260" s="9" t="str">
        <f>VLOOKUP(Table1[[#This Row],[Port B]],traffic_types[],2,FALSE)</f>
        <v>Modbus</v>
      </c>
    </row>
    <row r="261" spans="1:23" x14ac:dyDescent="0.6">
      <c r="A261" t="s">
        <v>66</v>
      </c>
      <c r="B261">
        <v>3652</v>
      </c>
      <c r="C261" t="s">
        <v>65</v>
      </c>
      <c r="D261">
        <v>502</v>
      </c>
      <c r="E261">
        <v>10</v>
      </c>
      <c r="F261">
        <v>614</v>
      </c>
      <c r="G261">
        <v>5</v>
      </c>
      <c r="H261">
        <v>308</v>
      </c>
      <c r="I261">
        <v>5</v>
      </c>
      <c r="J261">
        <v>306</v>
      </c>
      <c r="K261">
        <v>681.32564500000001</v>
      </c>
      <c r="L261">
        <v>2.12020000000166E-2</v>
      </c>
      <c r="M261">
        <v>116215.451372421</v>
      </c>
      <c r="N261">
        <v>115460.805584288</v>
      </c>
      <c r="O261" s="8" t="str">
        <f>formatIP(Table1[[#This Row],[Address A]])</f>
        <v>010.011.001.080</v>
      </c>
      <c r="P261" s="8" t="str">
        <f>formatIP(Table1[[#This Row],[Address B]])</f>
        <v>010.012.001.024</v>
      </c>
      <c r="Q261" s="8" t="e">
        <f>VLOOKUP(Table1[[#This Row],[Address A]],IP_Master[],4,FALSE)</f>
        <v>#N/A</v>
      </c>
      <c r="R261" s="8" t="str">
        <f>VLOOKUP(Table1[[#This Row],[Address B]],IP_Master[],4,FALSE)</f>
        <v>BFNCPLC</v>
      </c>
      <c r="S261" s="8" t="e">
        <f>VLOOKUP(Table1[[#This Row],[Address A]],IP_Master[],2,FALSE)</f>
        <v>#N/A</v>
      </c>
      <c r="T261" s="8" t="str">
        <f>VLOOKUP(Table1[[#This Row],[Address B]],IP_Master[],2,FALSE)</f>
        <v>Blast Furnace</v>
      </c>
      <c r="U261" s="9" t="e">
        <f>VLOOKUP(Table1[[#This Row],[Address A]],IP_Master[],3,FALSE)</f>
        <v>#N/A</v>
      </c>
      <c r="V261" s="9" t="str">
        <f>VLOOKUP(Table1[[#This Row],[Address B]],IP_Master[],3,FALSE)</f>
        <v>PLCs &amp; Control Equipment</v>
      </c>
      <c r="W261" s="9" t="str">
        <f>VLOOKUP(Table1[[#This Row],[Port B]],traffic_types[],2,FALSE)</f>
        <v>Modbus</v>
      </c>
    </row>
    <row r="262" spans="1:23" x14ac:dyDescent="0.6">
      <c r="A262" t="s">
        <v>66</v>
      </c>
      <c r="B262">
        <v>3653</v>
      </c>
      <c r="C262" t="s">
        <v>65</v>
      </c>
      <c r="D262">
        <v>502</v>
      </c>
      <c r="E262">
        <v>10</v>
      </c>
      <c r="F262">
        <v>613</v>
      </c>
      <c r="G262">
        <v>5</v>
      </c>
      <c r="H262">
        <v>308</v>
      </c>
      <c r="I262">
        <v>5</v>
      </c>
      <c r="J262">
        <v>305</v>
      </c>
      <c r="K262">
        <v>681.34399699999994</v>
      </c>
      <c r="L262">
        <v>1.5943000000106601E-2</v>
      </c>
      <c r="M262">
        <v>154550.58646324501</v>
      </c>
      <c r="N262">
        <v>153045.22360808399</v>
      </c>
      <c r="O262" s="8" t="str">
        <f>formatIP(Table1[[#This Row],[Address A]])</f>
        <v>010.011.001.080</v>
      </c>
      <c r="P262" s="8" t="str">
        <f>formatIP(Table1[[#This Row],[Address B]])</f>
        <v>010.012.001.024</v>
      </c>
      <c r="Q262" s="8" t="e">
        <f>VLOOKUP(Table1[[#This Row],[Address A]],IP_Master[],4,FALSE)</f>
        <v>#N/A</v>
      </c>
      <c r="R262" s="8" t="str">
        <f>VLOOKUP(Table1[[#This Row],[Address B]],IP_Master[],4,FALSE)</f>
        <v>BFNCPLC</v>
      </c>
      <c r="S262" s="8" t="e">
        <f>VLOOKUP(Table1[[#This Row],[Address A]],IP_Master[],2,FALSE)</f>
        <v>#N/A</v>
      </c>
      <c r="T262" s="8" t="str">
        <f>VLOOKUP(Table1[[#This Row],[Address B]],IP_Master[],2,FALSE)</f>
        <v>Blast Furnace</v>
      </c>
      <c r="U262" s="9" t="e">
        <f>VLOOKUP(Table1[[#This Row],[Address A]],IP_Master[],3,FALSE)</f>
        <v>#N/A</v>
      </c>
      <c r="V262" s="9" t="str">
        <f>VLOOKUP(Table1[[#This Row],[Address B]],IP_Master[],3,FALSE)</f>
        <v>PLCs &amp; Control Equipment</v>
      </c>
      <c r="W262" s="9" t="str">
        <f>VLOOKUP(Table1[[#This Row],[Port B]],traffic_types[],2,FALSE)</f>
        <v>Modbus</v>
      </c>
    </row>
    <row r="263" spans="1:23" x14ac:dyDescent="0.6">
      <c r="A263" t="s">
        <v>66</v>
      </c>
      <c r="B263">
        <v>3654</v>
      </c>
      <c r="C263" t="s">
        <v>65</v>
      </c>
      <c r="D263">
        <v>502</v>
      </c>
      <c r="E263">
        <v>10</v>
      </c>
      <c r="F263">
        <v>614</v>
      </c>
      <c r="G263">
        <v>5</v>
      </c>
      <c r="H263">
        <v>308</v>
      </c>
      <c r="I263">
        <v>5</v>
      </c>
      <c r="J263">
        <v>306</v>
      </c>
      <c r="K263">
        <v>681.37815699999999</v>
      </c>
      <c r="L263">
        <v>2.2995000000037201E-2</v>
      </c>
      <c r="M263">
        <v>107153.729071364</v>
      </c>
      <c r="N263">
        <v>106457.925635836</v>
      </c>
      <c r="O263" s="8" t="str">
        <f>formatIP(Table1[[#This Row],[Address A]])</f>
        <v>010.011.001.080</v>
      </c>
      <c r="P263" s="8" t="str">
        <f>formatIP(Table1[[#This Row],[Address B]])</f>
        <v>010.012.001.024</v>
      </c>
      <c r="Q263" s="8" t="e">
        <f>VLOOKUP(Table1[[#This Row],[Address A]],IP_Master[],4,FALSE)</f>
        <v>#N/A</v>
      </c>
      <c r="R263" s="8" t="str">
        <f>VLOOKUP(Table1[[#This Row],[Address B]],IP_Master[],4,FALSE)</f>
        <v>BFNCPLC</v>
      </c>
      <c r="S263" s="8" t="e">
        <f>VLOOKUP(Table1[[#This Row],[Address A]],IP_Master[],2,FALSE)</f>
        <v>#N/A</v>
      </c>
      <c r="T263" s="8" t="str">
        <f>VLOOKUP(Table1[[#This Row],[Address B]],IP_Master[],2,FALSE)</f>
        <v>Blast Furnace</v>
      </c>
      <c r="U263" s="9" t="e">
        <f>VLOOKUP(Table1[[#This Row],[Address A]],IP_Master[],3,FALSE)</f>
        <v>#N/A</v>
      </c>
      <c r="V263" s="9" t="str">
        <f>VLOOKUP(Table1[[#This Row],[Address B]],IP_Master[],3,FALSE)</f>
        <v>PLCs &amp; Control Equipment</v>
      </c>
      <c r="W263" s="9" t="str">
        <f>VLOOKUP(Table1[[#This Row],[Port B]],traffic_types[],2,FALSE)</f>
        <v>Modbus</v>
      </c>
    </row>
    <row r="264" spans="1:23" x14ac:dyDescent="0.6">
      <c r="A264" t="s">
        <v>66</v>
      </c>
      <c r="B264">
        <v>3655</v>
      </c>
      <c r="C264" t="s">
        <v>65</v>
      </c>
      <c r="D264">
        <v>502</v>
      </c>
      <c r="E264">
        <v>10</v>
      </c>
      <c r="F264">
        <v>613</v>
      </c>
      <c r="G264">
        <v>5</v>
      </c>
      <c r="H264">
        <v>308</v>
      </c>
      <c r="I264">
        <v>5</v>
      </c>
      <c r="J264">
        <v>305</v>
      </c>
      <c r="K264">
        <v>681.39876000000004</v>
      </c>
      <c r="L264">
        <v>1.7324999999914301E-2</v>
      </c>
      <c r="M264">
        <v>142222.22222292601</v>
      </c>
      <c r="N264">
        <v>140836.940837637</v>
      </c>
      <c r="O264" s="8" t="str">
        <f>formatIP(Table1[[#This Row],[Address A]])</f>
        <v>010.011.001.080</v>
      </c>
      <c r="P264" s="8" t="str">
        <f>formatIP(Table1[[#This Row],[Address B]])</f>
        <v>010.012.001.024</v>
      </c>
      <c r="Q264" s="8" t="e">
        <f>VLOOKUP(Table1[[#This Row],[Address A]],IP_Master[],4,FALSE)</f>
        <v>#N/A</v>
      </c>
      <c r="R264" s="8" t="str">
        <f>VLOOKUP(Table1[[#This Row],[Address B]],IP_Master[],4,FALSE)</f>
        <v>BFNCPLC</v>
      </c>
      <c r="S264" s="8" t="e">
        <f>VLOOKUP(Table1[[#This Row],[Address A]],IP_Master[],2,FALSE)</f>
        <v>#N/A</v>
      </c>
      <c r="T264" s="8" t="str">
        <f>VLOOKUP(Table1[[#This Row],[Address B]],IP_Master[],2,FALSE)</f>
        <v>Blast Furnace</v>
      </c>
      <c r="U264" s="9" t="e">
        <f>VLOOKUP(Table1[[#This Row],[Address A]],IP_Master[],3,FALSE)</f>
        <v>#N/A</v>
      </c>
      <c r="V264" s="9" t="str">
        <f>VLOOKUP(Table1[[#This Row],[Address B]],IP_Master[],3,FALSE)</f>
        <v>PLCs &amp; Control Equipment</v>
      </c>
      <c r="W264" s="9" t="str">
        <f>VLOOKUP(Table1[[#This Row],[Port B]],traffic_types[],2,FALSE)</f>
        <v>Modbus</v>
      </c>
    </row>
    <row r="265" spans="1:23" x14ac:dyDescent="0.6">
      <c r="A265" t="s">
        <v>66</v>
      </c>
      <c r="B265">
        <v>3656</v>
      </c>
      <c r="C265" t="s">
        <v>65</v>
      </c>
      <c r="D265">
        <v>502</v>
      </c>
      <c r="E265">
        <v>10</v>
      </c>
      <c r="F265">
        <v>614</v>
      </c>
      <c r="G265">
        <v>5</v>
      </c>
      <c r="H265">
        <v>308</v>
      </c>
      <c r="I265">
        <v>5</v>
      </c>
      <c r="J265">
        <v>306</v>
      </c>
      <c r="K265">
        <v>681.43900699999995</v>
      </c>
      <c r="L265">
        <v>2.51490000000558E-2</v>
      </c>
      <c r="M265">
        <v>97976.062666290105</v>
      </c>
      <c r="N265">
        <v>97339.854467158395</v>
      </c>
      <c r="O265" s="8" t="str">
        <f>formatIP(Table1[[#This Row],[Address A]])</f>
        <v>010.011.001.080</v>
      </c>
      <c r="P265" s="8" t="str">
        <f>formatIP(Table1[[#This Row],[Address B]])</f>
        <v>010.012.001.024</v>
      </c>
      <c r="Q265" s="8" t="e">
        <f>VLOOKUP(Table1[[#This Row],[Address A]],IP_Master[],4,FALSE)</f>
        <v>#N/A</v>
      </c>
      <c r="R265" s="8" t="str">
        <f>VLOOKUP(Table1[[#This Row],[Address B]],IP_Master[],4,FALSE)</f>
        <v>BFNCPLC</v>
      </c>
      <c r="S265" s="8" t="e">
        <f>VLOOKUP(Table1[[#This Row],[Address A]],IP_Master[],2,FALSE)</f>
        <v>#N/A</v>
      </c>
      <c r="T265" s="8" t="str">
        <f>VLOOKUP(Table1[[#This Row],[Address B]],IP_Master[],2,FALSE)</f>
        <v>Blast Furnace</v>
      </c>
      <c r="U265" s="9" t="e">
        <f>VLOOKUP(Table1[[#This Row],[Address A]],IP_Master[],3,FALSE)</f>
        <v>#N/A</v>
      </c>
      <c r="V265" s="9" t="str">
        <f>VLOOKUP(Table1[[#This Row],[Address B]],IP_Master[],3,FALSE)</f>
        <v>PLCs &amp; Control Equipment</v>
      </c>
      <c r="W265" s="9" t="str">
        <f>VLOOKUP(Table1[[#This Row],[Port B]],traffic_types[],2,FALSE)</f>
        <v>Modbus</v>
      </c>
    </row>
    <row r="266" spans="1:23" x14ac:dyDescent="0.6">
      <c r="A266" t="s">
        <v>66</v>
      </c>
      <c r="B266">
        <v>3658</v>
      </c>
      <c r="C266" t="s">
        <v>65</v>
      </c>
      <c r="D266">
        <v>502</v>
      </c>
      <c r="E266">
        <v>10</v>
      </c>
      <c r="F266">
        <v>614</v>
      </c>
      <c r="G266">
        <v>5</v>
      </c>
      <c r="H266">
        <v>308</v>
      </c>
      <c r="I266">
        <v>5</v>
      </c>
      <c r="J266">
        <v>306</v>
      </c>
      <c r="K266">
        <v>686.32590500000003</v>
      </c>
      <c r="L266">
        <v>2.3187000000007198E-2</v>
      </c>
      <c r="M266">
        <v>106266.442403038</v>
      </c>
      <c r="N266">
        <v>105576.400569252</v>
      </c>
      <c r="O266" s="8" t="str">
        <f>formatIP(Table1[[#This Row],[Address A]])</f>
        <v>010.011.001.080</v>
      </c>
      <c r="P266" s="8" t="str">
        <f>formatIP(Table1[[#This Row],[Address B]])</f>
        <v>010.012.001.024</v>
      </c>
      <c r="Q266" s="8" t="e">
        <f>VLOOKUP(Table1[[#This Row],[Address A]],IP_Master[],4,FALSE)</f>
        <v>#N/A</v>
      </c>
      <c r="R266" s="8" t="str">
        <f>VLOOKUP(Table1[[#This Row],[Address B]],IP_Master[],4,FALSE)</f>
        <v>BFNCPLC</v>
      </c>
      <c r="S266" s="8" t="e">
        <f>VLOOKUP(Table1[[#This Row],[Address A]],IP_Master[],2,FALSE)</f>
        <v>#N/A</v>
      </c>
      <c r="T266" s="8" t="str">
        <f>VLOOKUP(Table1[[#This Row],[Address B]],IP_Master[],2,FALSE)</f>
        <v>Blast Furnace</v>
      </c>
      <c r="U266" s="9" t="e">
        <f>VLOOKUP(Table1[[#This Row],[Address A]],IP_Master[],3,FALSE)</f>
        <v>#N/A</v>
      </c>
      <c r="V266" s="9" t="str">
        <f>VLOOKUP(Table1[[#This Row],[Address B]],IP_Master[],3,FALSE)</f>
        <v>PLCs &amp; Control Equipment</v>
      </c>
      <c r="W266" s="9" t="str">
        <f>VLOOKUP(Table1[[#This Row],[Port B]],traffic_types[],2,FALSE)</f>
        <v>Modbus</v>
      </c>
    </row>
    <row r="267" spans="1:23" x14ac:dyDescent="0.6">
      <c r="A267" t="s">
        <v>66</v>
      </c>
      <c r="B267">
        <v>3659</v>
      </c>
      <c r="C267" t="s">
        <v>65</v>
      </c>
      <c r="D267">
        <v>502</v>
      </c>
      <c r="E267">
        <v>10</v>
      </c>
      <c r="F267">
        <v>613</v>
      </c>
      <c r="G267">
        <v>5</v>
      </c>
      <c r="H267">
        <v>308</v>
      </c>
      <c r="I267">
        <v>5</v>
      </c>
      <c r="J267">
        <v>305</v>
      </c>
      <c r="K267">
        <v>686.34634300000005</v>
      </c>
      <c r="L267">
        <v>1.7431999999985199E-2</v>
      </c>
      <c r="M267">
        <v>141349.242772033</v>
      </c>
      <c r="N267">
        <v>139972.46443334501</v>
      </c>
      <c r="O267" s="8" t="str">
        <f>formatIP(Table1[[#This Row],[Address A]])</f>
        <v>010.011.001.080</v>
      </c>
      <c r="P267" s="8" t="str">
        <f>formatIP(Table1[[#This Row],[Address B]])</f>
        <v>010.012.001.024</v>
      </c>
      <c r="Q267" s="8" t="e">
        <f>VLOOKUP(Table1[[#This Row],[Address A]],IP_Master[],4,FALSE)</f>
        <v>#N/A</v>
      </c>
      <c r="R267" s="8" t="str">
        <f>VLOOKUP(Table1[[#This Row],[Address B]],IP_Master[],4,FALSE)</f>
        <v>BFNCPLC</v>
      </c>
      <c r="S267" s="8" t="e">
        <f>VLOOKUP(Table1[[#This Row],[Address A]],IP_Master[],2,FALSE)</f>
        <v>#N/A</v>
      </c>
      <c r="T267" s="8" t="str">
        <f>VLOOKUP(Table1[[#This Row],[Address B]],IP_Master[],2,FALSE)</f>
        <v>Blast Furnace</v>
      </c>
      <c r="U267" s="9" t="e">
        <f>VLOOKUP(Table1[[#This Row],[Address A]],IP_Master[],3,FALSE)</f>
        <v>#N/A</v>
      </c>
      <c r="V267" s="9" t="str">
        <f>VLOOKUP(Table1[[#This Row],[Address B]],IP_Master[],3,FALSE)</f>
        <v>PLCs &amp; Control Equipment</v>
      </c>
      <c r="W267" s="9" t="str">
        <f>VLOOKUP(Table1[[#This Row],[Port B]],traffic_types[],2,FALSE)</f>
        <v>Modbus</v>
      </c>
    </row>
    <row r="268" spans="1:23" x14ac:dyDescent="0.6">
      <c r="A268" t="s">
        <v>66</v>
      </c>
      <c r="B268">
        <v>3660</v>
      </c>
      <c r="C268" t="s">
        <v>65</v>
      </c>
      <c r="D268">
        <v>502</v>
      </c>
      <c r="E268">
        <v>10</v>
      </c>
      <c r="F268">
        <v>614</v>
      </c>
      <c r="G268">
        <v>5</v>
      </c>
      <c r="H268">
        <v>308</v>
      </c>
      <c r="I268">
        <v>5</v>
      </c>
      <c r="J268">
        <v>306</v>
      </c>
      <c r="K268">
        <v>686.37826900000005</v>
      </c>
      <c r="L268">
        <v>2.1997999999939601E-2</v>
      </c>
      <c r="M268">
        <v>112010.182744194</v>
      </c>
      <c r="N268">
        <v>111282.84389520501</v>
      </c>
      <c r="O268" s="8" t="str">
        <f>formatIP(Table1[[#This Row],[Address A]])</f>
        <v>010.011.001.080</v>
      </c>
      <c r="P268" s="8" t="str">
        <f>formatIP(Table1[[#This Row],[Address B]])</f>
        <v>010.012.001.024</v>
      </c>
      <c r="Q268" s="8" t="e">
        <f>VLOOKUP(Table1[[#This Row],[Address A]],IP_Master[],4,FALSE)</f>
        <v>#N/A</v>
      </c>
      <c r="R268" s="8" t="str">
        <f>VLOOKUP(Table1[[#This Row],[Address B]],IP_Master[],4,FALSE)</f>
        <v>BFNCPLC</v>
      </c>
      <c r="S268" s="8" t="e">
        <f>VLOOKUP(Table1[[#This Row],[Address A]],IP_Master[],2,FALSE)</f>
        <v>#N/A</v>
      </c>
      <c r="T268" s="8" t="str">
        <f>VLOOKUP(Table1[[#This Row],[Address B]],IP_Master[],2,FALSE)</f>
        <v>Blast Furnace</v>
      </c>
      <c r="U268" s="9" t="e">
        <f>VLOOKUP(Table1[[#This Row],[Address A]],IP_Master[],3,FALSE)</f>
        <v>#N/A</v>
      </c>
      <c r="V268" s="9" t="str">
        <f>VLOOKUP(Table1[[#This Row],[Address B]],IP_Master[],3,FALSE)</f>
        <v>PLCs &amp; Control Equipment</v>
      </c>
      <c r="W268" s="9" t="str">
        <f>VLOOKUP(Table1[[#This Row],[Port B]],traffic_types[],2,FALSE)</f>
        <v>Modbus</v>
      </c>
    </row>
    <row r="269" spans="1:23" x14ac:dyDescent="0.6">
      <c r="A269" t="s">
        <v>66</v>
      </c>
      <c r="B269">
        <v>3661</v>
      </c>
      <c r="C269" t="s">
        <v>65</v>
      </c>
      <c r="D269">
        <v>502</v>
      </c>
      <c r="E269">
        <v>10</v>
      </c>
      <c r="F269">
        <v>613</v>
      </c>
      <c r="G269">
        <v>5</v>
      </c>
      <c r="H269">
        <v>308</v>
      </c>
      <c r="I269">
        <v>5</v>
      </c>
      <c r="J269">
        <v>305</v>
      </c>
      <c r="K269">
        <v>686.39761299999998</v>
      </c>
      <c r="L269">
        <v>2.5659000000018799E-2</v>
      </c>
      <c r="M269">
        <v>96028.683892521105</v>
      </c>
      <c r="N269">
        <v>95093.339568892698</v>
      </c>
      <c r="O269" s="8" t="str">
        <f>formatIP(Table1[[#This Row],[Address A]])</f>
        <v>010.011.001.080</v>
      </c>
      <c r="P269" s="8" t="str">
        <f>formatIP(Table1[[#This Row],[Address B]])</f>
        <v>010.012.001.024</v>
      </c>
      <c r="Q269" s="8" t="e">
        <f>VLOOKUP(Table1[[#This Row],[Address A]],IP_Master[],4,FALSE)</f>
        <v>#N/A</v>
      </c>
      <c r="R269" s="8" t="str">
        <f>VLOOKUP(Table1[[#This Row],[Address B]],IP_Master[],4,FALSE)</f>
        <v>BFNCPLC</v>
      </c>
      <c r="S269" s="8" t="e">
        <f>VLOOKUP(Table1[[#This Row],[Address A]],IP_Master[],2,FALSE)</f>
        <v>#N/A</v>
      </c>
      <c r="T269" s="8" t="str">
        <f>VLOOKUP(Table1[[#This Row],[Address B]],IP_Master[],2,FALSE)</f>
        <v>Blast Furnace</v>
      </c>
      <c r="U269" s="9" t="e">
        <f>VLOOKUP(Table1[[#This Row],[Address A]],IP_Master[],3,FALSE)</f>
        <v>#N/A</v>
      </c>
      <c r="V269" s="9" t="str">
        <f>VLOOKUP(Table1[[#This Row],[Address B]],IP_Master[],3,FALSE)</f>
        <v>PLCs &amp; Control Equipment</v>
      </c>
      <c r="W269" s="9" t="str">
        <f>VLOOKUP(Table1[[#This Row],[Port B]],traffic_types[],2,FALSE)</f>
        <v>Modbus</v>
      </c>
    </row>
    <row r="270" spans="1:23" x14ac:dyDescent="0.6">
      <c r="A270" t="s">
        <v>66</v>
      </c>
      <c r="B270">
        <v>3662</v>
      </c>
      <c r="C270" t="s">
        <v>65</v>
      </c>
      <c r="D270">
        <v>502</v>
      </c>
      <c r="E270">
        <v>10</v>
      </c>
      <c r="F270">
        <v>614</v>
      </c>
      <c r="G270">
        <v>5</v>
      </c>
      <c r="H270">
        <v>308</v>
      </c>
      <c r="I270">
        <v>5</v>
      </c>
      <c r="J270">
        <v>306</v>
      </c>
      <c r="K270">
        <v>686.43926399999998</v>
      </c>
      <c r="L270">
        <v>2.39229999999679E-2</v>
      </c>
      <c r="M270">
        <v>102997.11574649101</v>
      </c>
      <c r="N270">
        <v>102328.30330657899</v>
      </c>
      <c r="O270" s="8" t="str">
        <f>formatIP(Table1[[#This Row],[Address A]])</f>
        <v>010.011.001.080</v>
      </c>
      <c r="P270" s="8" t="str">
        <f>formatIP(Table1[[#This Row],[Address B]])</f>
        <v>010.012.001.024</v>
      </c>
      <c r="Q270" s="8" t="e">
        <f>VLOOKUP(Table1[[#This Row],[Address A]],IP_Master[],4,FALSE)</f>
        <v>#N/A</v>
      </c>
      <c r="R270" s="8" t="str">
        <f>VLOOKUP(Table1[[#This Row],[Address B]],IP_Master[],4,FALSE)</f>
        <v>BFNCPLC</v>
      </c>
      <c r="S270" s="8" t="e">
        <f>VLOOKUP(Table1[[#This Row],[Address A]],IP_Master[],2,FALSE)</f>
        <v>#N/A</v>
      </c>
      <c r="T270" s="8" t="str">
        <f>VLOOKUP(Table1[[#This Row],[Address B]],IP_Master[],2,FALSE)</f>
        <v>Blast Furnace</v>
      </c>
      <c r="U270" s="9" t="e">
        <f>VLOOKUP(Table1[[#This Row],[Address A]],IP_Master[],3,FALSE)</f>
        <v>#N/A</v>
      </c>
      <c r="V270" s="9" t="str">
        <f>VLOOKUP(Table1[[#This Row],[Address B]],IP_Master[],3,FALSE)</f>
        <v>PLCs &amp; Control Equipment</v>
      </c>
      <c r="W270" s="9" t="str">
        <f>VLOOKUP(Table1[[#This Row],[Port B]],traffic_types[],2,FALSE)</f>
        <v>Modbus</v>
      </c>
    </row>
    <row r="271" spans="1:23" x14ac:dyDescent="0.6">
      <c r="A271" t="s">
        <v>66</v>
      </c>
      <c r="B271">
        <v>3721</v>
      </c>
      <c r="C271" t="s">
        <v>65</v>
      </c>
      <c r="D271">
        <v>502</v>
      </c>
      <c r="E271">
        <v>10</v>
      </c>
      <c r="F271">
        <v>614</v>
      </c>
      <c r="G271">
        <v>5</v>
      </c>
      <c r="H271">
        <v>308</v>
      </c>
      <c r="I271">
        <v>5</v>
      </c>
      <c r="J271">
        <v>306</v>
      </c>
      <c r="K271">
        <v>771.329567</v>
      </c>
      <c r="L271">
        <v>2.62940000000071E-2</v>
      </c>
      <c r="M271">
        <v>93709.591541771093</v>
      </c>
      <c r="N271">
        <v>93101.087700590797</v>
      </c>
      <c r="O271" s="8" t="str">
        <f>formatIP(Table1[[#This Row],[Address A]])</f>
        <v>010.011.001.080</v>
      </c>
      <c r="P271" s="8" t="str">
        <f>formatIP(Table1[[#This Row],[Address B]])</f>
        <v>010.012.001.024</v>
      </c>
      <c r="Q271" s="8" t="e">
        <f>VLOOKUP(Table1[[#This Row],[Address A]],IP_Master[],4,FALSE)</f>
        <v>#N/A</v>
      </c>
      <c r="R271" s="8" t="str">
        <f>VLOOKUP(Table1[[#This Row],[Address B]],IP_Master[],4,FALSE)</f>
        <v>BFNCPLC</v>
      </c>
      <c r="S271" s="8" t="e">
        <f>VLOOKUP(Table1[[#This Row],[Address A]],IP_Master[],2,FALSE)</f>
        <v>#N/A</v>
      </c>
      <c r="T271" s="8" t="str">
        <f>VLOOKUP(Table1[[#This Row],[Address B]],IP_Master[],2,FALSE)</f>
        <v>Blast Furnace</v>
      </c>
      <c r="U271" s="9" t="e">
        <f>VLOOKUP(Table1[[#This Row],[Address A]],IP_Master[],3,FALSE)</f>
        <v>#N/A</v>
      </c>
      <c r="V271" s="9" t="str">
        <f>VLOOKUP(Table1[[#This Row],[Address B]],IP_Master[],3,FALSE)</f>
        <v>PLCs &amp; Control Equipment</v>
      </c>
      <c r="W271" s="9" t="str">
        <f>VLOOKUP(Table1[[#This Row],[Port B]],traffic_types[],2,FALSE)</f>
        <v>Modbus</v>
      </c>
    </row>
    <row r="272" spans="1:23" x14ac:dyDescent="0.6">
      <c r="A272" t="s">
        <v>66</v>
      </c>
      <c r="B272">
        <v>3722</v>
      </c>
      <c r="C272" t="s">
        <v>65</v>
      </c>
      <c r="D272">
        <v>502</v>
      </c>
      <c r="E272">
        <v>10</v>
      </c>
      <c r="F272">
        <v>613</v>
      </c>
      <c r="G272">
        <v>5</v>
      </c>
      <c r="H272">
        <v>308</v>
      </c>
      <c r="I272">
        <v>5</v>
      </c>
      <c r="J272">
        <v>305</v>
      </c>
      <c r="K272">
        <v>771.35236499999996</v>
      </c>
      <c r="L272">
        <v>1.6206000000011E-2</v>
      </c>
      <c r="M272">
        <v>152042.45341221301</v>
      </c>
      <c r="N272">
        <v>150561.520424432</v>
      </c>
      <c r="O272" s="8" t="str">
        <f>formatIP(Table1[[#This Row],[Address A]])</f>
        <v>010.011.001.080</v>
      </c>
      <c r="P272" s="8" t="str">
        <f>formatIP(Table1[[#This Row],[Address B]])</f>
        <v>010.012.001.024</v>
      </c>
      <c r="Q272" s="8" t="e">
        <f>VLOOKUP(Table1[[#This Row],[Address A]],IP_Master[],4,FALSE)</f>
        <v>#N/A</v>
      </c>
      <c r="R272" s="8" t="str">
        <f>VLOOKUP(Table1[[#This Row],[Address B]],IP_Master[],4,FALSE)</f>
        <v>BFNCPLC</v>
      </c>
      <c r="S272" s="8" t="e">
        <f>VLOOKUP(Table1[[#This Row],[Address A]],IP_Master[],2,FALSE)</f>
        <v>#N/A</v>
      </c>
      <c r="T272" s="8" t="str">
        <f>VLOOKUP(Table1[[#This Row],[Address B]],IP_Master[],2,FALSE)</f>
        <v>Blast Furnace</v>
      </c>
      <c r="U272" s="9" t="e">
        <f>VLOOKUP(Table1[[#This Row],[Address A]],IP_Master[],3,FALSE)</f>
        <v>#N/A</v>
      </c>
      <c r="V272" s="9" t="str">
        <f>VLOOKUP(Table1[[#This Row],[Address B]],IP_Master[],3,FALSE)</f>
        <v>PLCs &amp; Control Equipment</v>
      </c>
      <c r="W272" s="9" t="str">
        <f>VLOOKUP(Table1[[#This Row],[Port B]],traffic_types[],2,FALSE)</f>
        <v>Modbus</v>
      </c>
    </row>
    <row r="273" spans="1:23" x14ac:dyDescent="0.6">
      <c r="A273" t="s">
        <v>66</v>
      </c>
      <c r="B273">
        <v>3723</v>
      </c>
      <c r="C273" t="s">
        <v>65</v>
      </c>
      <c r="D273">
        <v>502</v>
      </c>
      <c r="E273">
        <v>10</v>
      </c>
      <c r="F273">
        <v>614</v>
      </c>
      <c r="G273">
        <v>5</v>
      </c>
      <c r="H273">
        <v>308</v>
      </c>
      <c r="I273">
        <v>5</v>
      </c>
      <c r="J273">
        <v>306</v>
      </c>
      <c r="K273">
        <v>771.38208099999997</v>
      </c>
      <c r="L273">
        <v>2.3011999999994301E-2</v>
      </c>
      <c r="M273">
        <v>107074.569789702</v>
      </c>
      <c r="N273">
        <v>106379.28037548299</v>
      </c>
      <c r="O273" s="8" t="str">
        <f>formatIP(Table1[[#This Row],[Address A]])</f>
        <v>010.011.001.080</v>
      </c>
      <c r="P273" s="8" t="str">
        <f>formatIP(Table1[[#This Row],[Address B]])</f>
        <v>010.012.001.024</v>
      </c>
      <c r="Q273" s="8" t="e">
        <f>VLOOKUP(Table1[[#This Row],[Address A]],IP_Master[],4,FALSE)</f>
        <v>#N/A</v>
      </c>
      <c r="R273" s="8" t="str">
        <f>VLOOKUP(Table1[[#This Row],[Address B]],IP_Master[],4,FALSE)</f>
        <v>BFNCPLC</v>
      </c>
      <c r="S273" s="8" t="e">
        <f>VLOOKUP(Table1[[#This Row],[Address A]],IP_Master[],2,FALSE)</f>
        <v>#N/A</v>
      </c>
      <c r="T273" s="8" t="str">
        <f>VLOOKUP(Table1[[#This Row],[Address B]],IP_Master[],2,FALSE)</f>
        <v>Blast Furnace</v>
      </c>
      <c r="U273" s="9" t="e">
        <f>VLOOKUP(Table1[[#This Row],[Address A]],IP_Master[],3,FALSE)</f>
        <v>#N/A</v>
      </c>
      <c r="V273" s="9" t="str">
        <f>VLOOKUP(Table1[[#This Row],[Address B]],IP_Master[],3,FALSE)</f>
        <v>PLCs &amp; Control Equipment</v>
      </c>
      <c r="W273" s="9" t="str">
        <f>VLOOKUP(Table1[[#This Row],[Port B]],traffic_types[],2,FALSE)</f>
        <v>Modbus</v>
      </c>
    </row>
    <row r="274" spans="1:23" x14ac:dyDescent="0.6">
      <c r="A274" t="s">
        <v>66</v>
      </c>
      <c r="B274">
        <v>3724</v>
      </c>
      <c r="C274" t="s">
        <v>65</v>
      </c>
      <c r="D274">
        <v>502</v>
      </c>
      <c r="E274">
        <v>10</v>
      </c>
      <c r="F274">
        <v>613</v>
      </c>
      <c r="G274">
        <v>5</v>
      </c>
      <c r="H274">
        <v>308</v>
      </c>
      <c r="I274">
        <v>5</v>
      </c>
      <c r="J274">
        <v>305</v>
      </c>
      <c r="K274">
        <v>771.40189499999997</v>
      </c>
      <c r="L274">
        <v>1.87590000000455E-2</v>
      </c>
      <c r="M274">
        <v>131350.285196121</v>
      </c>
      <c r="N274">
        <v>130070.899301353</v>
      </c>
      <c r="O274" s="8" t="str">
        <f>formatIP(Table1[[#This Row],[Address A]])</f>
        <v>010.011.001.080</v>
      </c>
      <c r="P274" s="8" t="str">
        <f>formatIP(Table1[[#This Row],[Address B]])</f>
        <v>010.012.001.024</v>
      </c>
      <c r="Q274" s="8" t="e">
        <f>VLOOKUP(Table1[[#This Row],[Address A]],IP_Master[],4,FALSE)</f>
        <v>#N/A</v>
      </c>
      <c r="R274" s="8" t="str">
        <f>VLOOKUP(Table1[[#This Row],[Address B]],IP_Master[],4,FALSE)</f>
        <v>BFNCPLC</v>
      </c>
      <c r="S274" s="8" t="e">
        <f>VLOOKUP(Table1[[#This Row],[Address A]],IP_Master[],2,FALSE)</f>
        <v>#N/A</v>
      </c>
      <c r="T274" s="8" t="str">
        <f>VLOOKUP(Table1[[#This Row],[Address B]],IP_Master[],2,FALSE)</f>
        <v>Blast Furnace</v>
      </c>
      <c r="U274" s="9" t="e">
        <f>VLOOKUP(Table1[[#This Row],[Address A]],IP_Master[],3,FALSE)</f>
        <v>#N/A</v>
      </c>
      <c r="V274" s="9" t="str">
        <f>VLOOKUP(Table1[[#This Row],[Address B]],IP_Master[],3,FALSE)</f>
        <v>PLCs &amp; Control Equipment</v>
      </c>
      <c r="W274" s="9" t="str">
        <f>VLOOKUP(Table1[[#This Row],[Port B]],traffic_types[],2,FALSE)</f>
        <v>Modbus</v>
      </c>
    </row>
    <row r="275" spans="1:23" x14ac:dyDescent="0.6">
      <c r="A275" t="s">
        <v>66</v>
      </c>
      <c r="B275">
        <v>3725</v>
      </c>
      <c r="C275" t="s">
        <v>65</v>
      </c>
      <c r="D275">
        <v>502</v>
      </c>
      <c r="E275">
        <v>10</v>
      </c>
      <c r="F275">
        <v>614</v>
      </c>
      <c r="G275">
        <v>5</v>
      </c>
      <c r="H275">
        <v>308</v>
      </c>
      <c r="I275">
        <v>5</v>
      </c>
      <c r="J275">
        <v>306</v>
      </c>
      <c r="K275">
        <v>771.44304099999999</v>
      </c>
      <c r="L275">
        <v>2.7626000000054801E-2</v>
      </c>
      <c r="M275">
        <v>89191.341489724</v>
      </c>
      <c r="N275">
        <v>88612.176934595904</v>
      </c>
      <c r="O275" s="8" t="str">
        <f>formatIP(Table1[[#This Row],[Address A]])</f>
        <v>010.011.001.080</v>
      </c>
      <c r="P275" s="8" t="str">
        <f>formatIP(Table1[[#This Row],[Address B]])</f>
        <v>010.012.001.024</v>
      </c>
      <c r="Q275" s="8" t="e">
        <f>VLOOKUP(Table1[[#This Row],[Address A]],IP_Master[],4,FALSE)</f>
        <v>#N/A</v>
      </c>
      <c r="R275" s="8" t="str">
        <f>VLOOKUP(Table1[[#This Row],[Address B]],IP_Master[],4,FALSE)</f>
        <v>BFNCPLC</v>
      </c>
      <c r="S275" s="8" t="e">
        <f>VLOOKUP(Table1[[#This Row],[Address A]],IP_Master[],2,FALSE)</f>
        <v>#N/A</v>
      </c>
      <c r="T275" s="8" t="str">
        <f>VLOOKUP(Table1[[#This Row],[Address B]],IP_Master[],2,FALSE)</f>
        <v>Blast Furnace</v>
      </c>
      <c r="U275" s="9" t="e">
        <f>VLOOKUP(Table1[[#This Row],[Address A]],IP_Master[],3,FALSE)</f>
        <v>#N/A</v>
      </c>
      <c r="V275" s="9" t="str">
        <f>VLOOKUP(Table1[[#This Row],[Address B]],IP_Master[],3,FALSE)</f>
        <v>PLCs &amp; Control Equipment</v>
      </c>
      <c r="W275" s="9" t="str">
        <f>VLOOKUP(Table1[[#This Row],[Port B]],traffic_types[],2,FALSE)</f>
        <v>Modbus</v>
      </c>
    </row>
    <row r="276" spans="1:23" x14ac:dyDescent="0.6">
      <c r="A276" t="s">
        <v>66</v>
      </c>
      <c r="B276">
        <v>3726</v>
      </c>
      <c r="C276" t="s">
        <v>65</v>
      </c>
      <c r="D276">
        <v>502</v>
      </c>
      <c r="E276">
        <v>10</v>
      </c>
      <c r="F276">
        <v>614</v>
      </c>
      <c r="G276">
        <v>5</v>
      </c>
      <c r="H276">
        <v>308</v>
      </c>
      <c r="I276">
        <v>5</v>
      </c>
      <c r="J276">
        <v>306</v>
      </c>
      <c r="K276">
        <v>776.32986300000005</v>
      </c>
      <c r="L276">
        <v>2.3139999999898499E-2</v>
      </c>
      <c r="M276">
        <v>106482.281763648</v>
      </c>
      <c r="N276">
        <v>105790.838375572</v>
      </c>
      <c r="O276" s="8" t="str">
        <f>formatIP(Table1[[#This Row],[Address A]])</f>
        <v>010.011.001.080</v>
      </c>
      <c r="P276" s="8" t="str">
        <f>formatIP(Table1[[#This Row],[Address B]])</f>
        <v>010.012.001.024</v>
      </c>
      <c r="Q276" s="8" t="e">
        <f>VLOOKUP(Table1[[#This Row],[Address A]],IP_Master[],4,FALSE)</f>
        <v>#N/A</v>
      </c>
      <c r="R276" s="8" t="str">
        <f>VLOOKUP(Table1[[#This Row],[Address B]],IP_Master[],4,FALSE)</f>
        <v>BFNCPLC</v>
      </c>
      <c r="S276" s="8" t="e">
        <f>VLOOKUP(Table1[[#This Row],[Address A]],IP_Master[],2,FALSE)</f>
        <v>#N/A</v>
      </c>
      <c r="T276" s="8" t="str">
        <f>VLOOKUP(Table1[[#This Row],[Address B]],IP_Master[],2,FALSE)</f>
        <v>Blast Furnace</v>
      </c>
      <c r="U276" s="9" t="e">
        <f>VLOOKUP(Table1[[#This Row],[Address A]],IP_Master[],3,FALSE)</f>
        <v>#N/A</v>
      </c>
      <c r="V276" s="9" t="str">
        <f>VLOOKUP(Table1[[#This Row],[Address B]],IP_Master[],3,FALSE)</f>
        <v>PLCs &amp; Control Equipment</v>
      </c>
      <c r="W276" s="9" t="str">
        <f>VLOOKUP(Table1[[#This Row],[Port B]],traffic_types[],2,FALSE)</f>
        <v>Modbus</v>
      </c>
    </row>
    <row r="277" spans="1:23" x14ac:dyDescent="0.6">
      <c r="A277" t="s">
        <v>66</v>
      </c>
      <c r="B277">
        <v>3727</v>
      </c>
      <c r="C277" t="s">
        <v>65</v>
      </c>
      <c r="D277">
        <v>502</v>
      </c>
      <c r="E277">
        <v>10</v>
      </c>
      <c r="F277">
        <v>613</v>
      </c>
      <c r="G277">
        <v>5</v>
      </c>
      <c r="H277">
        <v>308</v>
      </c>
      <c r="I277">
        <v>5</v>
      </c>
      <c r="J277">
        <v>305</v>
      </c>
      <c r="K277">
        <v>776.35083999999995</v>
      </c>
      <c r="L277">
        <v>1.89750000000686E-2</v>
      </c>
      <c r="M277">
        <v>129855.072463299</v>
      </c>
      <c r="N277">
        <v>128590.25032891599</v>
      </c>
      <c r="O277" s="8" t="str">
        <f>formatIP(Table1[[#This Row],[Address A]])</f>
        <v>010.011.001.080</v>
      </c>
      <c r="P277" s="8" t="str">
        <f>formatIP(Table1[[#This Row],[Address B]])</f>
        <v>010.012.001.024</v>
      </c>
      <c r="Q277" s="8" t="e">
        <f>VLOOKUP(Table1[[#This Row],[Address A]],IP_Master[],4,FALSE)</f>
        <v>#N/A</v>
      </c>
      <c r="R277" s="8" t="str">
        <f>VLOOKUP(Table1[[#This Row],[Address B]],IP_Master[],4,FALSE)</f>
        <v>BFNCPLC</v>
      </c>
      <c r="S277" s="8" t="e">
        <f>VLOOKUP(Table1[[#This Row],[Address A]],IP_Master[],2,FALSE)</f>
        <v>#N/A</v>
      </c>
      <c r="T277" s="8" t="str">
        <f>VLOOKUP(Table1[[#This Row],[Address B]],IP_Master[],2,FALSE)</f>
        <v>Blast Furnace</v>
      </c>
      <c r="U277" s="9" t="e">
        <f>VLOOKUP(Table1[[#This Row],[Address A]],IP_Master[],3,FALSE)</f>
        <v>#N/A</v>
      </c>
      <c r="V277" s="9" t="str">
        <f>VLOOKUP(Table1[[#This Row],[Address B]],IP_Master[],3,FALSE)</f>
        <v>PLCs &amp; Control Equipment</v>
      </c>
      <c r="W277" s="9" t="str">
        <f>VLOOKUP(Table1[[#This Row],[Port B]],traffic_types[],2,FALSE)</f>
        <v>Modbus</v>
      </c>
    </row>
    <row r="278" spans="1:23" x14ac:dyDescent="0.6">
      <c r="A278" t="s">
        <v>66</v>
      </c>
      <c r="B278">
        <v>3728</v>
      </c>
      <c r="C278" t="s">
        <v>65</v>
      </c>
      <c r="D278">
        <v>502</v>
      </c>
      <c r="E278">
        <v>10</v>
      </c>
      <c r="F278">
        <v>614</v>
      </c>
      <c r="G278">
        <v>5</v>
      </c>
      <c r="H278">
        <v>308</v>
      </c>
      <c r="I278">
        <v>5</v>
      </c>
      <c r="J278">
        <v>306</v>
      </c>
      <c r="K278">
        <v>776.38217299999997</v>
      </c>
      <c r="L278">
        <v>2.66820000000507E-2</v>
      </c>
      <c r="M278">
        <v>92346.900532018393</v>
      </c>
      <c r="N278">
        <v>91747.245333758605</v>
      </c>
      <c r="O278" s="8" t="str">
        <f>formatIP(Table1[[#This Row],[Address A]])</f>
        <v>010.011.001.080</v>
      </c>
      <c r="P278" s="8" t="str">
        <f>formatIP(Table1[[#This Row],[Address B]])</f>
        <v>010.012.001.024</v>
      </c>
      <c r="Q278" s="8" t="e">
        <f>VLOOKUP(Table1[[#This Row],[Address A]],IP_Master[],4,FALSE)</f>
        <v>#N/A</v>
      </c>
      <c r="R278" s="8" t="str">
        <f>VLOOKUP(Table1[[#This Row],[Address B]],IP_Master[],4,FALSE)</f>
        <v>BFNCPLC</v>
      </c>
      <c r="S278" s="8" t="e">
        <f>VLOOKUP(Table1[[#This Row],[Address A]],IP_Master[],2,FALSE)</f>
        <v>#N/A</v>
      </c>
      <c r="T278" s="8" t="str">
        <f>VLOOKUP(Table1[[#This Row],[Address B]],IP_Master[],2,FALSE)</f>
        <v>Blast Furnace</v>
      </c>
      <c r="U278" s="9" t="e">
        <f>VLOOKUP(Table1[[#This Row],[Address A]],IP_Master[],3,FALSE)</f>
        <v>#N/A</v>
      </c>
      <c r="V278" s="9" t="str">
        <f>VLOOKUP(Table1[[#This Row],[Address B]],IP_Master[],3,FALSE)</f>
        <v>PLCs &amp; Control Equipment</v>
      </c>
      <c r="W278" s="9" t="str">
        <f>VLOOKUP(Table1[[#This Row],[Port B]],traffic_types[],2,FALSE)</f>
        <v>Modbus</v>
      </c>
    </row>
    <row r="279" spans="1:23" x14ac:dyDescent="0.6">
      <c r="A279" t="s">
        <v>66</v>
      </c>
      <c r="B279">
        <v>3729</v>
      </c>
      <c r="C279" t="s">
        <v>65</v>
      </c>
      <c r="D279">
        <v>502</v>
      </c>
      <c r="E279">
        <v>10</v>
      </c>
      <c r="F279">
        <v>613</v>
      </c>
      <c r="G279">
        <v>5</v>
      </c>
      <c r="H279">
        <v>308</v>
      </c>
      <c r="I279">
        <v>5</v>
      </c>
      <c r="J279">
        <v>305</v>
      </c>
      <c r="K279">
        <v>776.40665200000001</v>
      </c>
      <c r="L279">
        <v>2.0368999999959701E-2</v>
      </c>
      <c r="M279">
        <v>120968.13785678599</v>
      </c>
      <c r="N279">
        <v>119789.87677376599</v>
      </c>
      <c r="O279" s="8" t="str">
        <f>formatIP(Table1[[#This Row],[Address A]])</f>
        <v>010.011.001.080</v>
      </c>
      <c r="P279" s="8" t="str">
        <f>formatIP(Table1[[#This Row],[Address B]])</f>
        <v>010.012.001.024</v>
      </c>
      <c r="Q279" s="8" t="e">
        <f>VLOOKUP(Table1[[#This Row],[Address A]],IP_Master[],4,FALSE)</f>
        <v>#N/A</v>
      </c>
      <c r="R279" s="8" t="str">
        <f>VLOOKUP(Table1[[#This Row],[Address B]],IP_Master[],4,FALSE)</f>
        <v>BFNCPLC</v>
      </c>
      <c r="S279" s="8" t="e">
        <f>VLOOKUP(Table1[[#This Row],[Address A]],IP_Master[],2,FALSE)</f>
        <v>#N/A</v>
      </c>
      <c r="T279" s="8" t="str">
        <f>VLOOKUP(Table1[[#This Row],[Address B]],IP_Master[],2,FALSE)</f>
        <v>Blast Furnace</v>
      </c>
      <c r="U279" s="9" t="e">
        <f>VLOOKUP(Table1[[#This Row],[Address A]],IP_Master[],3,FALSE)</f>
        <v>#N/A</v>
      </c>
      <c r="V279" s="9" t="str">
        <f>VLOOKUP(Table1[[#This Row],[Address B]],IP_Master[],3,FALSE)</f>
        <v>PLCs &amp; Control Equipment</v>
      </c>
      <c r="W279" s="9" t="str">
        <f>VLOOKUP(Table1[[#This Row],[Port B]],traffic_types[],2,FALSE)</f>
        <v>Modbus</v>
      </c>
    </row>
    <row r="280" spans="1:23" x14ac:dyDescent="0.6">
      <c r="A280" t="s">
        <v>66</v>
      </c>
      <c r="B280">
        <v>3730</v>
      </c>
      <c r="C280" t="s">
        <v>65</v>
      </c>
      <c r="D280">
        <v>502</v>
      </c>
      <c r="E280">
        <v>10</v>
      </c>
      <c r="F280">
        <v>614</v>
      </c>
      <c r="G280">
        <v>5</v>
      </c>
      <c r="H280">
        <v>308</v>
      </c>
      <c r="I280">
        <v>5</v>
      </c>
      <c r="J280">
        <v>306</v>
      </c>
      <c r="K280">
        <v>776.44316900000001</v>
      </c>
      <c r="L280">
        <v>2.3600999999985099E-2</v>
      </c>
      <c r="M280">
        <v>104402.355832446</v>
      </c>
      <c r="N280">
        <v>103724.41845691099</v>
      </c>
      <c r="O280" s="8" t="str">
        <f>formatIP(Table1[[#This Row],[Address A]])</f>
        <v>010.011.001.080</v>
      </c>
      <c r="P280" s="8" t="str">
        <f>formatIP(Table1[[#This Row],[Address B]])</f>
        <v>010.012.001.024</v>
      </c>
      <c r="Q280" s="8" t="e">
        <f>VLOOKUP(Table1[[#This Row],[Address A]],IP_Master[],4,FALSE)</f>
        <v>#N/A</v>
      </c>
      <c r="R280" s="8" t="str">
        <f>VLOOKUP(Table1[[#This Row],[Address B]],IP_Master[],4,FALSE)</f>
        <v>BFNCPLC</v>
      </c>
      <c r="S280" s="8" t="e">
        <f>VLOOKUP(Table1[[#This Row],[Address A]],IP_Master[],2,FALSE)</f>
        <v>#N/A</v>
      </c>
      <c r="T280" s="8" t="str">
        <f>VLOOKUP(Table1[[#This Row],[Address B]],IP_Master[],2,FALSE)</f>
        <v>Blast Furnace</v>
      </c>
      <c r="U280" s="9" t="e">
        <f>VLOOKUP(Table1[[#This Row],[Address A]],IP_Master[],3,FALSE)</f>
        <v>#N/A</v>
      </c>
      <c r="V280" s="9" t="str">
        <f>VLOOKUP(Table1[[#This Row],[Address B]],IP_Master[],3,FALSE)</f>
        <v>PLCs &amp; Control Equipment</v>
      </c>
      <c r="W280" s="9" t="str">
        <f>VLOOKUP(Table1[[#This Row],[Port B]],traffic_types[],2,FALSE)</f>
        <v>Modbus</v>
      </c>
    </row>
    <row r="281" spans="1:23" x14ac:dyDescent="0.6">
      <c r="A281" t="s">
        <v>66</v>
      </c>
      <c r="B281">
        <v>3795</v>
      </c>
      <c r="C281" t="s">
        <v>65</v>
      </c>
      <c r="D281">
        <v>502</v>
      </c>
      <c r="E281">
        <v>10</v>
      </c>
      <c r="F281">
        <v>614</v>
      </c>
      <c r="G281">
        <v>5</v>
      </c>
      <c r="H281">
        <v>308</v>
      </c>
      <c r="I281">
        <v>5</v>
      </c>
      <c r="J281">
        <v>306</v>
      </c>
      <c r="K281">
        <v>861.333619</v>
      </c>
      <c r="L281">
        <v>2.6721999999949699E-2</v>
      </c>
      <c r="M281">
        <v>92208.667016115403</v>
      </c>
      <c r="N281">
        <v>91609.909438088696</v>
      </c>
      <c r="O281" s="8" t="str">
        <f>formatIP(Table1[[#This Row],[Address A]])</f>
        <v>010.011.001.080</v>
      </c>
      <c r="P281" s="8" t="str">
        <f>formatIP(Table1[[#This Row],[Address B]])</f>
        <v>010.012.001.024</v>
      </c>
      <c r="Q281" s="8" t="e">
        <f>VLOOKUP(Table1[[#This Row],[Address A]],IP_Master[],4,FALSE)</f>
        <v>#N/A</v>
      </c>
      <c r="R281" s="8" t="str">
        <f>VLOOKUP(Table1[[#This Row],[Address B]],IP_Master[],4,FALSE)</f>
        <v>BFNCPLC</v>
      </c>
      <c r="S281" s="8" t="e">
        <f>VLOOKUP(Table1[[#This Row],[Address A]],IP_Master[],2,FALSE)</f>
        <v>#N/A</v>
      </c>
      <c r="T281" s="8" t="str">
        <f>VLOOKUP(Table1[[#This Row],[Address B]],IP_Master[],2,FALSE)</f>
        <v>Blast Furnace</v>
      </c>
      <c r="U281" s="9" t="e">
        <f>VLOOKUP(Table1[[#This Row],[Address A]],IP_Master[],3,FALSE)</f>
        <v>#N/A</v>
      </c>
      <c r="V281" s="9" t="str">
        <f>VLOOKUP(Table1[[#This Row],[Address B]],IP_Master[],3,FALSE)</f>
        <v>PLCs &amp; Control Equipment</v>
      </c>
      <c r="W281" s="9" t="str">
        <f>VLOOKUP(Table1[[#This Row],[Port B]],traffic_types[],2,FALSE)</f>
        <v>Modbus</v>
      </c>
    </row>
    <row r="282" spans="1:23" x14ac:dyDescent="0.6">
      <c r="A282" t="s">
        <v>66</v>
      </c>
      <c r="B282">
        <v>3796</v>
      </c>
      <c r="C282" t="s">
        <v>65</v>
      </c>
      <c r="D282">
        <v>502</v>
      </c>
      <c r="E282">
        <v>10</v>
      </c>
      <c r="F282">
        <v>613</v>
      </c>
      <c r="G282">
        <v>5</v>
      </c>
      <c r="H282">
        <v>308</v>
      </c>
      <c r="I282">
        <v>5</v>
      </c>
      <c r="J282">
        <v>305</v>
      </c>
      <c r="K282">
        <v>861.35357699999997</v>
      </c>
      <c r="L282">
        <v>2.7547000000026901E-2</v>
      </c>
      <c r="M282">
        <v>89447.126728776202</v>
      </c>
      <c r="N282">
        <v>88575.888481418006</v>
      </c>
      <c r="O282" s="8" t="str">
        <f>formatIP(Table1[[#This Row],[Address A]])</f>
        <v>010.011.001.080</v>
      </c>
      <c r="P282" s="8" t="str">
        <f>formatIP(Table1[[#This Row],[Address B]])</f>
        <v>010.012.001.024</v>
      </c>
      <c r="Q282" s="8" t="e">
        <f>VLOOKUP(Table1[[#This Row],[Address A]],IP_Master[],4,FALSE)</f>
        <v>#N/A</v>
      </c>
      <c r="R282" s="8" t="str">
        <f>VLOOKUP(Table1[[#This Row],[Address B]],IP_Master[],4,FALSE)</f>
        <v>BFNCPLC</v>
      </c>
      <c r="S282" s="8" t="e">
        <f>VLOOKUP(Table1[[#This Row],[Address A]],IP_Master[],2,FALSE)</f>
        <v>#N/A</v>
      </c>
      <c r="T282" s="8" t="str">
        <f>VLOOKUP(Table1[[#This Row],[Address B]],IP_Master[],2,FALSE)</f>
        <v>Blast Furnace</v>
      </c>
      <c r="U282" s="9" t="e">
        <f>VLOOKUP(Table1[[#This Row],[Address A]],IP_Master[],3,FALSE)</f>
        <v>#N/A</v>
      </c>
      <c r="V282" s="9" t="str">
        <f>VLOOKUP(Table1[[#This Row],[Address B]],IP_Master[],3,FALSE)</f>
        <v>PLCs &amp; Control Equipment</v>
      </c>
      <c r="W282" s="9" t="str">
        <f>VLOOKUP(Table1[[#This Row],[Port B]],traffic_types[],2,FALSE)</f>
        <v>Modbus</v>
      </c>
    </row>
    <row r="283" spans="1:23" x14ac:dyDescent="0.6">
      <c r="A283" t="s">
        <v>66</v>
      </c>
      <c r="B283">
        <v>3797</v>
      </c>
      <c r="C283" t="s">
        <v>65</v>
      </c>
      <c r="D283">
        <v>502</v>
      </c>
      <c r="E283">
        <v>10</v>
      </c>
      <c r="F283">
        <v>614</v>
      </c>
      <c r="G283">
        <v>5</v>
      </c>
      <c r="H283">
        <v>308</v>
      </c>
      <c r="I283">
        <v>5</v>
      </c>
      <c r="J283">
        <v>306</v>
      </c>
      <c r="K283">
        <v>861.38590999999997</v>
      </c>
      <c r="L283">
        <v>2.57420000000366E-2</v>
      </c>
      <c r="M283">
        <v>95719.0583480887</v>
      </c>
      <c r="N283">
        <v>95097.506021153094</v>
      </c>
      <c r="O283" s="8" t="str">
        <f>formatIP(Table1[[#This Row],[Address A]])</f>
        <v>010.011.001.080</v>
      </c>
      <c r="P283" s="8" t="str">
        <f>formatIP(Table1[[#This Row],[Address B]])</f>
        <v>010.012.001.024</v>
      </c>
      <c r="Q283" s="8" t="e">
        <f>VLOOKUP(Table1[[#This Row],[Address A]],IP_Master[],4,FALSE)</f>
        <v>#N/A</v>
      </c>
      <c r="R283" s="8" t="str">
        <f>VLOOKUP(Table1[[#This Row],[Address B]],IP_Master[],4,FALSE)</f>
        <v>BFNCPLC</v>
      </c>
      <c r="S283" s="8" t="e">
        <f>VLOOKUP(Table1[[#This Row],[Address A]],IP_Master[],2,FALSE)</f>
        <v>#N/A</v>
      </c>
      <c r="T283" s="8" t="str">
        <f>VLOOKUP(Table1[[#This Row],[Address B]],IP_Master[],2,FALSE)</f>
        <v>Blast Furnace</v>
      </c>
      <c r="U283" s="9" t="e">
        <f>VLOOKUP(Table1[[#This Row],[Address A]],IP_Master[],3,FALSE)</f>
        <v>#N/A</v>
      </c>
      <c r="V283" s="9" t="str">
        <f>VLOOKUP(Table1[[#This Row],[Address B]],IP_Master[],3,FALSE)</f>
        <v>PLCs &amp; Control Equipment</v>
      </c>
      <c r="W283" s="9" t="str">
        <f>VLOOKUP(Table1[[#This Row],[Port B]],traffic_types[],2,FALSE)</f>
        <v>Modbus</v>
      </c>
    </row>
    <row r="284" spans="1:23" x14ac:dyDescent="0.6">
      <c r="A284" t="s">
        <v>66</v>
      </c>
      <c r="B284">
        <v>3798</v>
      </c>
      <c r="C284" t="s">
        <v>65</v>
      </c>
      <c r="D284">
        <v>502</v>
      </c>
      <c r="E284">
        <v>10</v>
      </c>
      <c r="F284">
        <v>613</v>
      </c>
      <c r="G284">
        <v>5</v>
      </c>
      <c r="H284">
        <v>308</v>
      </c>
      <c r="I284">
        <v>5</v>
      </c>
      <c r="J284">
        <v>305</v>
      </c>
      <c r="K284">
        <v>861.40834900000004</v>
      </c>
      <c r="L284">
        <v>2.24329999999782E-2</v>
      </c>
      <c r="M284">
        <v>109838.184817118</v>
      </c>
      <c r="N284">
        <v>108768.3323676</v>
      </c>
      <c r="O284" s="8" t="str">
        <f>formatIP(Table1[[#This Row],[Address A]])</f>
        <v>010.011.001.080</v>
      </c>
      <c r="P284" s="8" t="str">
        <f>formatIP(Table1[[#This Row],[Address B]])</f>
        <v>010.012.001.024</v>
      </c>
      <c r="Q284" s="8" t="e">
        <f>VLOOKUP(Table1[[#This Row],[Address A]],IP_Master[],4,FALSE)</f>
        <v>#N/A</v>
      </c>
      <c r="R284" s="8" t="str">
        <f>VLOOKUP(Table1[[#This Row],[Address B]],IP_Master[],4,FALSE)</f>
        <v>BFNCPLC</v>
      </c>
      <c r="S284" s="8" t="e">
        <f>VLOOKUP(Table1[[#This Row],[Address A]],IP_Master[],2,FALSE)</f>
        <v>#N/A</v>
      </c>
      <c r="T284" s="8" t="str">
        <f>VLOOKUP(Table1[[#This Row],[Address B]],IP_Master[],2,FALSE)</f>
        <v>Blast Furnace</v>
      </c>
      <c r="U284" s="9" t="e">
        <f>VLOOKUP(Table1[[#This Row],[Address A]],IP_Master[],3,FALSE)</f>
        <v>#N/A</v>
      </c>
      <c r="V284" s="9" t="str">
        <f>VLOOKUP(Table1[[#This Row],[Address B]],IP_Master[],3,FALSE)</f>
        <v>PLCs &amp; Control Equipment</v>
      </c>
      <c r="W284" s="9" t="str">
        <f>VLOOKUP(Table1[[#This Row],[Port B]],traffic_types[],2,FALSE)</f>
        <v>Modbus</v>
      </c>
    </row>
    <row r="285" spans="1:23" x14ac:dyDescent="0.6">
      <c r="A285" t="s">
        <v>66</v>
      </c>
      <c r="B285">
        <v>3799</v>
      </c>
      <c r="C285" t="s">
        <v>65</v>
      </c>
      <c r="D285">
        <v>502</v>
      </c>
      <c r="E285">
        <v>10</v>
      </c>
      <c r="F285">
        <v>614</v>
      </c>
      <c r="G285">
        <v>5</v>
      </c>
      <c r="H285">
        <v>308</v>
      </c>
      <c r="I285">
        <v>5</v>
      </c>
      <c r="J285">
        <v>306</v>
      </c>
      <c r="K285">
        <v>861.44706299999996</v>
      </c>
      <c r="L285">
        <v>2.3159000000077899E-2</v>
      </c>
      <c r="M285">
        <v>106394.92206018</v>
      </c>
      <c r="N285">
        <v>105704.045942906</v>
      </c>
      <c r="O285" s="8" t="str">
        <f>formatIP(Table1[[#This Row],[Address A]])</f>
        <v>010.011.001.080</v>
      </c>
      <c r="P285" s="8" t="str">
        <f>formatIP(Table1[[#This Row],[Address B]])</f>
        <v>010.012.001.024</v>
      </c>
      <c r="Q285" s="8" t="e">
        <f>VLOOKUP(Table1[[#This Row],[Address A]],IP_Master[],4,FALSE)</f>
        <v>#N/A</v>
      </c>
      <c r="R285" s="8" t="str">
        <f>VLOOKUP(Table1[[#This Row],[Address B]],IP_Master[],4,FALSE)</f>
        <v>BFNCPLC</v>
      </c>
      <c r="S285" s="8" t="e">
        <f>VLOOKUP(Table1[[#This Row],[Address A]],IP_Master[],2,FALSE)</f>
        <v>#N/A</v>
      </c>
      <c r="T285" s="8" t="str">
        <f>VLOOKUP(Table1[[#This Row],[Address B]],IP_Master[],2,FALSE)</f>
        <v>Blast Furnace</v>
      </c>
      <c r="U285" s="9" t="e">
        <f>VLOOKUP(Table1[[#This Row],[Address A]],IP_Master[],3,FALSE)</f>
        <v>#N/A</v>
      </c>
      <c r="V285" s="9" t="str">
        <f>VLOOKUP(Table1[[#This Row],[Address B]],IP_Master[],3,FALSE)</f>
        <v>PLCs &amp; Control Equipment</v>
      </c>
      <c r="W285" s="9" t="str">
        <f>VLOOKUP(Table1[[#This Row],[Port B]],traffic_types[],2,FALSE)</f>
        <v>Modbus</v>
      </c>
    </row>
    <row r="286" spans="1:23" x14ac:dyDescent="0.6">
      <c r="A286" t="s">
        <v>66</v>
      </c>
      <c r="B286">
        <v>3800</v>
      </c>
      <c r="C286" t="s">
        <v>65</v>
      </c>
      <c r="D286">
        <v>502</v>
      </c>
      <c r="E286">
        <v>10</v>
      </c>
      <c r="F286">
        <v>614</v>
      </c>
      <c r="G286">
        <v>5</v>
      </c>
      <c r="H286">
        <v>308</v>
      </c>
      <c r="I286">
        <v>5</v>
      </c>
      <c r="J286">
        <v>306</v>
      </c>
      <c r="K286">
        <v>866.33394999999996</v>
      </c>
      <c r="L286">
        <v>3.4277000000088299E-2</v>
      </c>
      <c r="M286">
        <v>71884.937421409501</v>
      </c>
      <c r="N286">
        <v>71418.152113478296</v>
      </c>
      <c r="O286" s="8" t="str">
        <f>formatIP(Table1[[#This Row],[Address A]])</f>
        <v>010.011.001.080</v>
      </c>
      <c r="P286" s="8" t="str">
        <f>formatIP(Table1[[#This Row],[Address B]])</f>
        <v>010.012.001.024</v>
      </c>
      <c r="Q286" s="8" t="e">
        <f>VLOOKUP(Table1[[#This Row],[Address A]],IP_Master[],4,FALSE)</f>
        <v>#N/A</v>
      </c>
      <c r="R286" s="8" t="str">
        <f>VLOOKUP(Table1[[#This Row],[Address B]],IP_Master[],4,FALSE)</f>
        <v>BFNCPLC</v>
      </c>
      <c r="S286" s="8" t="e">
        <f>VLOOKUP(Table1[[#This Row],[Address A]],IP_Master[],2,FALSE)</f>
        <v>#N/A</v>
      </c>
      <c r="T286" s="8" t="str">
        <f>VLOOKUP(Table1[[#This Row],[Address B]],IP_Master[],2,FALSE)</f>
        <v>Blast Furnace</v>
      </c>
      <c r="U286" s="9" t="e">
        <f>VLOOKUP(Table1[[#This Row],[Address A]],IP_Master[],3,FALSE)</f>
        <v>#N/A</v>
      </c>
      <c r="V286" s="9" t="str">
        <f>VLOOKUP(Table1[[#This Row],[Address B]],IP_Master[],3,FALSE)</f>
        <v>PLCs &amp; Control Equipment</v>
      </c>
      <c r="W286" s="9" t="str">
        <f>VLOOKUP(Table1[[#This Row],[Port B]],traffic_types[],2,FALSE)</f>
        <v>Modbus</v>
      </c>
    </row>
    <row r="287" spans="1:23" x14ac:dyDescent="0.6">
      <c r="A287" t="s">
        <v>66</v>
      </c>
      <c r="B287">
        <v>3801</v>
      </c>
      <c r="C287" t="s">
        <v>65</v>
      </c>
      <c r="D287">
        <v>502</v>
      </c>
      <c r="E287">
        <v>10</v>
      </c>
      <c r="F287">
        <v>613</v>
      </c>
      <c r="G287">
        <v>5</v>
      </c>
      <c r="H287">
        <v>308</v>
      </c>
      <c r="I287">
        <v>5</v>
      </c>
      <c r="J287">
        <v>305</v>
      </c>
      <c r="K287">
        <v>866.35958600000004</v>
      </c>
      <c r="L287">
        <v>2.7867000000014699E-2</v>
      </c>
      <c r="M287">
        <v>88419.994976089904</v>
      </c>
      <c r="N287">
        <v>87558.761258790299</v>
      </c>
      <c r="O287" s="8" t="str">
        <f>formatIP(Table1[[#This Row],[Address A]])</f>
        <v>010.011.001.080</v>
      </c>
      <c r="P287" s="8" t="str">
        <f>formatIP(Table1[[#This Row],[Address B]])</f>
        <v>010.012.001.024</v>
      </c>
      <c r="Q287" s="8" t="e">
        <f>VLOOKUP(Table1[[#This Row],[Address A]],IP_Master[],4,FALSE)</f>
        <v>#N/A</v>
      </c>
      <c r="R287" s="8" t="str">
        <f>VLOOKUP(Table1[[#This Row],[Address B]],IP_Master[],4,FALSE)</f>
        <v>BFNCPLC</v>
      </c>
      <c r="S287" s="8" t="e">
        <f>VLOOKUP(Table1[[#This Row],[Address A]],IP_Master[],2,FALSE)</f>
        <v>#N/A</v>
      </c>
      <c r="T287" s="8" t="str">
        <f>VLOOKUP(Table1[[#This Row],[Address B]],IP_Master[],2,FALSE)</f>
        <v>Blast Furnace</v>
      </c>
      <c r="U287" s="9" t="e">
        <f>VLOOKUP(Table1[[#This Row],[Address A]],IP_Master[],3,FALSE)</f>
        <v>#N/A</v>
      </c>
      <c r="V287" s="9" t="str">
        <f>VLOOKUP(Table1[[#This Row],[Address B]],IP_Master[],3,FALSE)</f>
        <v>PLCs &amp; Control Equipment</v>
      </c>
      <c r="W287" s="9" t="str">
        <f>VLOOKUP(Table1[[#This Row],[Port B]],traffic_types[],2,FALSE)</f>
        <v>Modbus</v>
      </c>
    </row>
    <row r="288" spans="1:23" x14ac:dyDescent="0.6">
      <c r="A288" t="s">
        <v>66</v>
      </c>
      <c r="B288">
        <v>3802</v>
      </c>
      <c r="C288" t="s">
        <v>65</v>
      </c>
      <c r="D288">
        <v>502</v>
      </c>
      <c r="E288">
        <v>10</v>
      </c>
      <c r="F288">
        <v>614</v>
      </c>
      <c r="G288">
        <v>5</v>
      </c>
      <c r="H288">
        <v>308</v>
      </c>
      <c r="I288">
        <v>5</v>
      </c>
      <c r="J288">
        <v>306</v>
      </c>
      <c r="K288">
        <v>866.41816300000005</v>
      </c>
      <c r="L288">
        <v>2.8399999999919601E-2</v>
      </c>
      <c r="M288">
        <v>86760.563380527296</v>
      </c>
      <c r="N288">
        <v>86197.183098835594</v>
      </c>
      <c r="O288" s="8" t="str">
        <f>formatIP(Table1[[#This Row],[Address A]])</f>
        <v>010.011.001.080</v>
      </c>
      <c r="P288" s="8" t="str">
        <f>formatIP(Table1[[#This Row],[Address B]])</f>
        <v>010.012.001.024</v>
      </c>
      <c r="Q288" s="8" t="e">
        <f>VLOOKUP(Table1[[#This Row],[Address A]],IP_Master[],4,FALSE)</f>
        <v>#N/A</v>
      </c>
      <c r="R288" s="8" t="str">
        <f>VLOOKUP(Table1[[#This Row],[Address B]],IP_Master[],4,FALSE)</f>
        <v>BFNCPLC</v>
      </c>
      <c r="S288" s="8" t="e">
        <f>VLOOKUP(Table1[[#This Row],[Address A]],IP_Master[],2,FALSE)</f>
        <v>#N/A</v>
      </c>
      <c r="T288" s="8" t="str">
        <f>VLOOKUP(Table1[[#This Row],[Address B]],IP_Master[],2,FALSE)</f>
        <v>Blast Furnace</v>
      </c>
      <c r="U288" s="9" t="e">
        <f>VLOOKUP(Table1[[#This Row],[Address A]],IP_Master[],3,FALSE)</f>
        <v>#N/A</v>
      </c>
      <c r="V288" s="9" t="str">
        <f>VLOOKUP(Table1[[#This Row],[Address B]],IP_Master[],3,FALSE)</f>
        <v>PLCs &amp; Control Equipment</v>
      </c>
      <c r="W288" s="9" t="str">
        <f>VLOOKUP(Table1[[#This Row],[Port B]],traffic_types[],2,FALSE)</f>
        <v>Modbus</v>
      </c>
    </row>
    <row r="289" spans="1:23" x14ac:dyDescent="0.6">
      <c r="A289" t="s">
        <v>66</v>
      </c>
      <c r="B289">
        <v>3803</v>
      </c>
      <c r="C289" t="s">
        <v>65</v>
      </c>
      <c r="D289">
        <v>502</v>
      </c>
      <c r="E289">
        <v>10</v>
      </c>
      <c r="F289">
        <v>613</v>
      </c>
      <c r="G289">
        <v>5</v>
      </c>
      <c r="H289">
        <v>308</v>
      </c>
      <c r="I289">
        <v>5</v>
      </c>
      <c r="J289">
        <v>305</v>
      </c>
      <c r="K289">
        <v>866.442588</v>
      </c>
      <c r="L289">
        <v>1.7888999999968298E-2</v>
      </c>
      <c r="M289">
        <v>137738.27491779099</v>
      </c>
      <c r="N289">
        <v>136396.668343917</v>
      </c>
      <c r="O289" s="8" t="str">
        <f>formatIP(Table1[[#This Row],[Address A]])</f>
        <v>010.011.001.080</v>
      </c>
      <c r="P289" s="8" t="str">
        <f>formatIP(Table1[[#This Row],[Address B]])</f>
        <v>010.012.001.024</v>
      </c>
      <c r="Q289" s="8" t="e">
        <f>VLOOKUP(Table1[[#This Row],[Address A]],IP_Master[],4,FALSE)</f>
        <v>#N/A</v>
      </c>
      <c r="R289" s="8" t="str">
        <f>VLOOKUP(Table1[[#This Row],[Address B]],IP_Master[],4,FALSE)</f>
        <v>BFNCPLC</v>
      </c>
      <c r="S289" s="8" t="e">
        <f>VLOOKUP(Table1[[#This Row],[Address A]],IP_Master[],2,FALSE)</f>
        <v>#N/A</v>
      </c>
      <c r="T289" s="8" t="str">
        <f>VLOOKUP(Table1[[#This Row],[Address B]],IP_Master[],2,FALSE)</f>
        <v>Blast Furnace</v>
      </c>
      <c r="U289" s="9" t="e">
        <f>VLOOKUP(Table1[[#This Row],[Address A]],IP_Master[],3,FALSE)</f>
        <v>#N/A</v>
      </c>
      <c r="V289" s="9" t="str">
        <f>VLOOKUP(Table1[[#This Row],[Address B]],IP_Master[],3,FALSE)</f>
        <v>PLCs &amp; Control Equipment</v>
      </c>
      <c r="W289" s="9" t="str">
        <f>VLOOKUP(Table1[[#This Row],[Port B]],traffic_types[],2,FALSE)</f>
        <v>Modbus</v>
      </c>
    </row>
    <row r="290" spans="1:23" x14ac:dyDescent="0.6">
      <c r="A290" t="s">
        <v>66</v>
      </c>
      <c r="B290">
        <v>3804</v>
      </c>
      <c r="C290" t="s">
        <v>65</v>
      </c>
      <c r="D290">
        <v>502</v>
      </c>
      <c r="E290">
        <v>10</v>
      </c>
      <c r="F290">
        <v>614</v>
      </c>
      <c r="G290">
        <v>5</v>
      </c>
      <c r="H290">
        <v>308</v>
      </c>
      <c r="I290">
        <v>5</v>
      </c>
      <c r="J290">
        <v>306</v>
      </c>
      <c r="K290">
        <v>866.478477</v>
      </c>
      <c r="L290">
        <v>2.74789999999712E-2</v>
      </c>
      <c r="M290">
        <v>89668.474107594404</v>
      </c>
      <c r="N290">
        <v>89086.211288713894</v>
      </c>
      <c r="O290" s="8" t="str">
        <f>formatIP(Table1[[#This Row],[Address A]])</f>
        <v>010.011.001.080</v>
      </c>
      <c r="P290" s="8" t="str">
        <f>formatIP(Table1[[#This Row],[Address B]])</f>
        <v>010.012.001.024</v>
      </c>
      <c r="Q290" s="8" t="e">
        <f>VLOOKUP(Table1[[#This Row],[Address A]],IP_Master[],4,FALSE)</f>
        <v>#N/A</v>
      </c>
      <c r="R290" s="8" t="str">
        <f>VLOOKUP(Table1[[#This Row],[Address B]],IP_Master[],4,FALSE)</f>
        <v>BFNCPLC</v>
      </c>
      <c r="S290" s="8" t="e">
        <f>VLOOKUP(Table1[[#This Row],[Address A]],IP_Master[],2,FALSE)</f>
        <v>#N/A</v>
      </c>
      <c r="T290" s="8" t="str">
        <f>VLOOKUP(Table1[[#This Row],[Address B]],IP_Master[],2,FALSE)</f>
        <v>Blast Furnace</v>
      </c>
      <c r="U290" s="9" t="e">
        <f>VLOOKUP(Table1[[#This Row],[Address A]],IP_Master[],3,FALSE)</f>
        <v>#N/A</v>
      </c>
      <c r="V290" s="9" t="str">
        <f>VLOOKUP(Table1[[#This Row],[Address B]],IP_Master[],3,FALSE)</f>
        <v>PLCs &amp; Control Equipment</v>
      </c>
      <c r="W290" s="9" t="str">
        <f>VLOOKUP(Table1[[#This Row],[Port B]],traffic_types[],2,FALSE)</f>
        <v>Modbus</v>
      </c>
    </row>
    <row r="291" spans="1:23" hidden="1" x14ac:dyDescent="0.6">
      <c r="A291" t="s">
        <v>67</v>
      </c>
      <c r="B291">
        <v>8081</v>
      </c>
      <c r="C291" t="s">
        <v>51</v>
      </c>
      <c r="D291">
        <v>1688</v>
      </c>
      <c r="E291">
        <v>3</v>
      </c>
      <c r="F291">
        <v>186</v>
      </c>
      <c r="G291">
        <v>0</v>
      </c>
      <c r="H291">
        <v>0</v>
      </c>
      <c r="I291">
        <v>3</v>
      </c>
      <c r="J291">
        <v>186</v>
      </c>
      <c r="K291">
        <v>578.24688800000001</v>
      </c>
      <c r="L291">
        <v>9.0579940000000096</v>
      </c>
      <c r="M291">
        <v>0</v>
      </c>
      <c r="N291">
        <v>164.27478313630999</v>
      </c>
      <c r="O291" s="8" t="str">
        <f>formatIP(Table1[[#This Row],[Address A]])</f>
        <v>010.011.001.159</v>
      </c>
      <c r="P291" s="8" t="str">
        <f>formatIP(Table1[[#This Row],[Address B]])</f>
        <v>010.012.000.252</v>
      </c>
      <c r="Q291" s="8" t="e">
        <f>VLOOKUP(Table1[[#This Row],[Address A]],IP_Master[],4,FALSE)</f>
        <v>#N/A</v>
      </c>
      <c r="R291" s="8" t="str">
        <f>VLOOKUP(Table1[[#This Row],[Address B]],IP_Master[],4,FALSE)</f>
        <v>PP_FIX3</v>
      </c>
      <c r="S291" s="8" t="e">
        <f>VLOOKUP(Table1[[#This Row],[Address A]],IP_Master[],2,FALSE)</f>
        <v>#N/A</v>
      </c>
      <c r="T291" s="8" t="str">
        <f>VLOOKUP(Table1[[#This Row],[Address B]],IP_Master[],2,FALSE)</f>
        <v>Other ProcN Devices</v>
      </c>
      <c r="U291" s="9" t="e">
        <f>VLOOKUP(Table1[[#This Row],[Address A]],IP_Master[],3,FALSE)</f>
        <v>#N/A</v>
      </c>
      <c r="V291" s="9" t="str">
        <f>VLOOKUP(Table1[[#This Row],[Address B]],IP_Master[],3,FALSE)</f>
        <v>iFIX Nodes &amp; Ethernet Switches</v>
      </c>
      <c r="W291" s="9" t="e">
        <f>VLOOKUP(Table1[[#This Row],[Port B]],traffic_types[],2,FALSE)</f>
        <v>#N/A</v>
      </c>
    </row>
    <row r="292" spans="1:23" hidden="1" x14ac:dyDescent="0.6">
      <c r="A292" t="s">
        <v>68</v>
      </c>
      <c r="B292">
        <v>8081</v>
      </c>
      <c r="C292" t="s">
        <v>69</v>
      </c>
      <c r="D292">
        <v>4077</v>
      </c>
      <c r="E292">
        <v>3</v>
      </c>
      <c r="F292">
        <v>186</v>
      </c>
      <c r="G292">
        <v>0</v>
      </c>
      <c r="H292">
        <v>0</v>
      </c>
      <c r="I292">
        <v>3</v>
      </c>
      <c r="J292">
        <v>186</v>
      </c>
      <c r="K292">
        <v>7.8997719999999996</v>
      </c>
      <c r="L292">
        <v>9.1291670000000007</v>
      </c>
      <c r="M292">
        <v>0</v>
      </c>
      <c r="N292">
        <v>162.994060684836</v>
      </c>
      <c r="O292" s="8" t="str">
        <f>formatIP(Table1[[#This Row],[Address A]])</f>
        <v>010.011.001.190</v>
      </c>
      <c r="P292" s="8" t="str">
        <f>formatIP(Table1[[#This Row],[Address B]])</f>
        <v>010.012.000.041</v>
      </c>
      <c r="Q292" s="8" t="e">
        <f>VLOOKUP(Table1[[#This Row],[Address A]],IP_Master[],4,FALSE)</f>
        <v>#N/A</v>
      </c>
      <c r="R292" s="8" t="str">
        <f>VLOOKUP(Table1[[#This Row],[Address B]],IP_Master[],4,FALSE)</f>
        <v>PPPCAP1</v>
      </c>
      <c r="S292" s="8" t="e">
        <f>VLOOKUP(Table1[[#This Row],[Address A]],IP_Master[],2,FALSE)</f>
        <v>#N/A</v>
      </c>
      <c r="T292" s="8" t="str">
        <f>VLOOKUP(Table1[[#This Row],[Address B]],IP_Master[],2,FALSE)</f>
        <v>Acid Plant</v>
      </c>
      <c r="U292" s="9" t="e">
        <f>VLOOKUP(Table1[[#This Row],[Address A]],IP_Master[],3,FALSE)</f>
        <v>#N/A</v>
      </c>
      <c r="V292" s="9" t="str">
        <f>VLOOKUP(Table1[[#This Row],[Address B]],IP_Master[],3,FALSE)</f>
        <v>iFIX Nodes &amp; Ethernet Switches</v>
      </c>
      <c r="W292" s="9" t="e">
        <f>VLOOKUP(Table1[[#This Row],[Port B]],traffic_types[],2,FALSE)</f>
        <v>#N/A</v>
      </c>
    </row>
    <row r="293" spans="1:23" hidden="1" x14ac:dyDescent="0.6">
      <c r="A293" t="s">
        <v>68</v>
      </c>
      <c r="B293">
        <v>8081</v>
      </c>
      <c r="C293" t="s">
        <v>69</v>
      </c>
      <c r="D293">
        <v>4078</v>
      </c>
      <c r="E293">
        <v>3</v>
      </c>
      <c r="F293">
        <v>186</v>
      </c>
      <c r="G293">
        <v>0</v>
      </c>
      <c r="H293">
        <v>0</v>
      </c>
      <c r="I293">
        <v>3</v>
      </c>
      <c r="J293">
        <v>186</v>
      </c>
      <c r="K293">
        <v>29.021874</v>
      </c>
      <c r="L293">
        <v>8.9295740000000006</v>
      </c>
      <c r="M293">
        <v>0</v>
      </c>
      <c r="N293">
        <v>166.63728863213399</v>
      </c>
      <c r="O293" s="8" t="str">
        <f>formatIP(Table1[[#This Row],[Address A]])</f>
        <v>010.011.001.190</v>
      </c>
      <c r="P293" s="8" t="str">
        <f>formatIP(Table1[[#This Row],[Address B]])</f>
        <v>010.012.000.041</v>
      </c>
      <c r="Q293" s="8" t="e">
        <f>VLOOKUP(Table1[[#This Row],[Address A]],IP_Master[],4,FALSE)</f>
        <v>#N/A</v>
      </c>
      <c r="R293" s="8" t="str">
        <f>VLOOKUP(Table1[[#This Row],[Address B]],IP_Master[],4,FALSE)</f>
        <v>PPPCAP1</v>
      </c>
      <c r="S293" s="8" t="e">
        <f>VLOOKUP(Table1[[#This Row],[Address A]],IP_Master[],2,FALSE)</f>
        <v>#N/A</v>
      </c>
      <c r="T293" s="8" t="str">
        <f>VLOOKUP(Table1[[#This Row],[Address B]],IP_Master[],2,FALSE)</f>
        <v>Acid Plant</v>
      </c>
      <c r="U293" s="9" t="e">
        <f>VLOOKUP(Table1[[#This Row],[Address A]],IP_Master[],3,FALSE)</f>
        <v>#N/A</v>
      </c>
      <c r="V293" s="9" t="str">
        <f>VLOOKUP(Table1[[#This Row],[Address B]],IP_Master[],3,FALSE)</f>
        <v>iFIX Nodes &amp; Ethernet Switches</v>
      </c>
      <c r="W293" s="9" t="e">
        <f>VLOOKUP(Table1[[#This Row],[Port B]],traffic_types[],2,FALSE)</f>
        <v>#N/A</v>
      </c>
    </row>
    <row r="294" spans="1:23" hidden="1" x14ac:dyDescent="0.6">
      <c r="A294" t="s">
        <v>68</v>
      </c>
      <c r="B294">
        <v>8081</v>
      </c>
      <c r="C294" t="s">
        <v>69</v>
      </c>
      <c r="D294">
        <v>4081</v>
      </c>
      <c r="E294">
        <v>3</v>
      </c>
      <c r="F294">
        <v>186</v>
      </c>
      <c r="G294">
        <v>0</v>
      </c>
      <c r="H294">
        <v>0</v>
      </c>
      <c r="I294">
        <v>3</v>
      </c>
      <c r="J294">
        <v>186</v>
      </c>
      <c r="K294">
        <v>51.796743999999997</v>
      </c>
      <c r="L294">
        <v>8.8876600000000003</v>
      </c>
      <c r="M294">
        <v>0</v>
      </c>
      <c r="N294">
        <v>167.42314624996899</v>
      </c>
      <c r="O294" s="8" t="str">
        <f>formatIP(Table1[[#This Row],[Address A]])</f>
        <v>010.011.001.190</v>
      </c>
      <c r="P294" s="8" t="str">
        <f>formatIP(Table1[[#This Row],[Address B]])</f>
        <v>010.012.000.041</v>
      </c>
      <c r="Q294" s="8" t="e">
        <f>VLOOKUP(Table1[[#This Row],[Address A]],IP_Master[],4,FALSE)</f>
        <v>#N/A</v>
      </c>
      <c r="R294" s="8" t="str">
        <f>VLOOKUP(Table1[[#This Row],[Address B]],IP_Master[],4,FALSE)</f>
        <v>PPPCAP1</v>
      </c>
      <c r="S294" s="8" t="e">
        <f>VLOOKUP(Table1[[#This Row],[Address A]],IP_Master[],2,FALSE)</f>
        <v>#N/A</v>
      </c>
      <c r="T294" s="8" t="str">
        <f>VLOOKUP(Table1[[#This Row],[Address B]],IP_Master[],2,FALSE)</f>
        <v>Acid Plant</v>
      </c>
      <c r="U294" s="9" t="e">
        <f>VLOOKUP(Table1[[#This Row],[Address A]],IP_Master[],3,FALSE)</f>
        <v>#N/A</v>
      </c>
      <c r="V294" s="9" t="str">
        <f>VLOOKUP(Table1[[#This Row],[Address B]],IP_Master[],3,FALSE)</f>
        <v>iFIX Nodes &amp; Ethernet Switches</v>
      </c>
      <c r="W294" s="9" t="e">
        <f>VLOOKUP(Table1[[#This Row],[Port B]],traffic_types[],2,FALSE)</f>
        <v>#N/A</v>
      </c>
    </row>
    <row r="295" spans="1:23" hidden="1" x14ac:dyDescent="0.6">
      <c r="A295" t="s">
        <v>68</v>
      </c>
      <c r="B295">
        <v>8081</v>
      </c>
      <c r="C295" t="s">
        <v>69</v>
      </c>
      <c r="D295">
        <v>4082</v>
      </c>
      <c r="E295">
        <v>3</v>
      </c>
      <c r="F295">
        <v>186</v>
      </c>
      <c r="G295">
        <v>0</v>
      </c>
      <c r="H295">
        <v>0</v>
      </c>
      <c r="I295">
        <v>3</v>
      </c>
      <c r="J295">
        <v>186</v>
      </c>
      <c r="K295">
        <v>72.656520999999998</v>
      </c>
      <c r="L295">
        <v>9.0510289999999998</v>
      </c>
      <c r="M295">
        <v>0</v>
      </c>
      <c r="N295">
        <v>164.401196814196</v>
      </c>
      <c r="O295" s="8" t="str">
        <f>formatIP(Table1[[#This Row],[Address A]])</f>
        <v>010.011.001.190</v>
      </c>
      <c r="P295" s="8" t="str">
        <f>formatIP(Table1[[#This Row],[Address B]])</f>
        <v>010.012.000.041</v>
      </c>
      <c r="Q295" s="8" t="e">
        <f>VLOOKUP(Table1[[#This Row],[Address A]],IP_Master[],4,FALSE)</f>
        <v>#N/A</v>
      </c>
      <c r="R295" s="8" t="str">
        <f>VLOOKUP(Table1[[#This Row],[Address B]],IP_Master[],4,FALSE)</f>
        <v>PPPCAP1</v>
      </c>
      <c r="S295" s="8" t="e">
        <f>VLOOKUP(Table1[[#This Row],[Address A]],IP_Master[],2,FALSE)</f>
        <v>#N/A</v>
      </c>
      <c r="T295" s="8" t="str">
        <f>VLOOKUP(Table1[[#This Row],[Address B]],IP_Master[],2,FALSE)</f>
        <v>Acid Plant</v>
      </c>
      <c r="U295" s="9" t="e">
        <f>VLOOKUP(Table1[[#This Row],[Address A]],IP_Master[],3,FALSE)</f>
        <v>#N/A</v>
      </c>
      <c r="V295" s="9" t="str">
        <f>VLOOKUP(Table1[[#This Row],[Address B]],IP_Master[],3,FALSE)</f>
        <v>iFIX Nodes &amp; Ethernet Switches</v>
      </c>
      <c r="W295" s="9" t="e">
        <f>VLOOKUP(Table1[[#This Row],[Port B]],traffic_types[],2,FALSE)</f>
        <v>#N/A</v>
      </c>
    </row>
    <row r="296" spans="1:23" x14ac:dyDescent="0.6">
      <c r="A296" t="s">
        <v>70</v>
      </c>
      <c r="B296">
        <v>42523</v>
      </c>
      <c r="C296" t="s">
        <v>71</v>
      </c>
      <c r="D296">
        <v>502</v>
      </c>
      <c r="E296">
        <v>2133</v>
      </c>
      <c r="F296">
        <v>176642</v>
      </c>
      <c r="G296">
        <v>1012</v>
      </c>
      <c r="H296">
        <v>66300</v>
      </c>
      <c r="I296">
        <v>1121</v>
      </c>
      <c r="J296">
        <v>110342</v>
      </c>
      <c r="K296">
        <v>0</v>
      </c>
      <c r="L296">
        <v>894.58169399999997</v>
      </c>
      <c r="M296">
        <v>592.90280983549803</v>
      </c>
      <c r="N296">
        <v>986.75839883663002</v>
      </c>
      <c r="O296" s="8" t="str">
        <f>formatIP(Table1[[#This Row],[Address A]])</f>
        <v>010.011.002.031</v>
      </c>
      <c r="P296" s="8" t="str">
        <f>formatIP(Table1[[#This Row],[Address B]])</f>
        <v>010.012.017.019</v>
      </c>
      <c r="Q296" s="8" t="e">
        <f>VLOOKUP(Table1[[#This Row],[Address A]],IP_Master[],4,FALSE)</f>
        <v>#N/A</v>
      </c>
      <c r="R296" s="8" t="str">
        <f>VLOOKUP(Table1[[#This Row],[Address B]],IP_Master[],4,FALSE)</f>
        <v>SF-RS485E3</v>
      </c>
      <c r="S296" s="8" t="e">
        <f>VLOOKUP(Table1[[#This Row],[Address A]],IP_Master[],2,FALSE)</f>
        <v>#N/A</v>
      </c>
      <c r="T296" s="8" t="str">
        <f>VLOOKUP(Table1[[#This Row],[Address B]],IP_Master[],2,FALSE)</f>
        <v>Slag Fumer</v>
      </c>
      <c r="U296" s="9" t="e">
        <f>VLOOKUP(Table1[[#This Row],[Address A]],IP_Master[],3,FALSE)</f>
        <v>#N/A</v>
      </c>
      <c r="V296" s="9" t="str">
        <f>VLOOKUP(Table1[[#This Row],[Address B]],IP_Master[],3,FALSE)</f>
        <v>Motor Control Equipment</v>
      </c>
      <c r="W296" s="9" t="str">
        <f>VLOOKUP(Table1[[#This Row],[Port B]],traffic_types[],2,FALSE)</f>
        <v>Modbus</v>
      </c>
    </row>
    <row r="297" spans="1:23" x14ac:dyDescent="0.6">
      <c r="A297" t="s">
        <v>70</v>
      </c>
      <c r="B297">
        <v>18128</v>
      </c>
      <c r="C297" t="s">
        <v>72</v>
      </c>
      <c r="D297">
        <v>502</v>
      </c>
      <c r="E297">
        <v>3321</v>
      </c>
      <c r="F297">
        <v>244695</v>
      </c>
      <c r="G297">
        <v>1624</v>
      </c>
      <c r="H297">
        <v>112314</v>
      </c>
      <c r="I297">
        <v>1697</v>
      </c>
      <c r="J297">
        <v>132381</v>
      </c>
      <c r="K297">
        <v>4.2750000000000002E-3</v>
      </c>
      <c r="L297">
        <v>902.78915700000005</v>
      </c>
      <c r="M297">
        <v>995.26228580966404</v>
      </c>
      <c r="N297">
        <v>1173.0845367253301</v>
      </c>
      <c r="O297" s="8" t="str">
        <f>formatIP(Table1[[#This Row],[Address A]])</f>
        <v>010.011.002.031</v>
      </c>
      <c r="P297" s="8" t="str">
        <f>formatIP(Table1[[#This Row],[Address B]])</f>
        <v>010.012.017.020</v>
      </c>
      <c r="Q297" s="8" t="e">
        <f>VLOOKUP(Table1[[#This Row],[Address A]],IP_Master[],4,FALSE)</f>
        <v>#N/A</v>
      </c>
      <c r="R297" s="8" t="str">
        <f>VLOOKUP(Table1[[#This Row],[Address B]],IP_Master[],4,FALSE)</f>
        <v>SF-RS485E4</v>
      </c>
      <c r="S297" s="8" t="e">
        <f>VLOOKUP(Table1[[#This Row],[Address A]],IP_Master[],2,FALSE)</f>
        <v>#N/A</v>
      </c>
      <c r="T297" s="8" t="str">
        <f>VLOOKUP(Table1[[#This Row],[Address B]],IP_Master[],2,FALSE)</f>
        <v>Slag Fumer</v>
      </c>
      <c r="U297" s="9" t="e">
        <f>VLOOKUP(Table1[[#This Row],[Address A]],IP_Master[],3,FALSE)</f>
        <v>#N/A</v>
      </c>
      <c r="V297" s="9" t="str">
        <f>VLOOKUP(Table1[[#This Row],[Address B]],IP_Master[],3,FALSE)</f>
        <v>Motor Control Equipment</v>
      </c>
      <c r="W297" s="9" t="str">
        <f>VLOOKUP(Table1[[#This Row],[Port B]],traffic_types[],2,FALSE)</f>
        <v>Modbus</v>
      </c>
    </row>
    <row r="298" spans="1:23" x14ac:dyDescent="0.6">
      <c r="A298" t="s">
        <v>70</v>
      </c>
      <c r="B298">
        <v>56026</v>
      </c>
      <c r="C298" t="s">
        <v>73</v>
      </c>
      <c r="D298">
        <v>502</v>
      </c>
      <c r="E298">
        <v>4604</v>
      </c>
      <c r="F298">
        <v>397116</v>
      </c>
      <c r="G298">
        <v>2014</v>
      </c>
      <c r="H298">
        <v>128652</v>
      </c>
      <c r="I298">
        <v>2590</v>
      </c>
      <c r="J298">
        <v>268464</v>
      </c>
      <c r="K298">
        <v>0.30628499999999997</v>
      </c>
      <c r="L298">
        <v>901.12377300000003</v>
      </c>
      <c r="M298">
        <v>1142.1472064526299</v>
      </c>
      <c r="N298">
        <v>2383.3707026171201</v>
      </c>
      <c r="O298" s="8" t="str">
        <f>formatIP(Table1[[#This Row],[Address A]])</f>
        <v>010.011.002.031</v>
      </c>
      <c r="P298" s="8" t="str">
        <f>formatIP(Table1[[#This Row],[Address B]])</f>
        <v>010.012.001.157</v>
      </c>
      <c r="Q298" s="8" t="e">
        <f>VLOOKUP(Table1[[#This Row],[Address A]],IP_Master[],4,FALSE)</f>
        <v>#N/A</v>
      </c>
      <c r="R298" s="8" t="str">
        <f>VLOOKUP(Table1[[#This Row],[Address B]],IP_Master[],4,FALSE)</f>
        <v>Elpro 945UE</v>
      </c>
      <c r="S298" s="8" t="e">
        <f>VLOOKUP(Table1[[#This Row],[Address A]],IP_Master[],2,FALSE)</f>
        <v>#N/A</v>
      </c>
      <c r="T298" s="8" t="str">
        <f>VLOOKUP(Table1[[#This Row],[Address B]],IP_Master[],2,FALSE)</f>
        <v>Copper Plant</v>
      </c>
      <c r="U298" s="9" t="e">
        <f>VLOOKUP(Table1[[#This Row],[Address A]],IP_Master[],3,FALSE)</f>
        <v>#N/A</v>
      </c>
      <c r="V298" s="9" t="str">
        <f>VLOOKUP(Table1[[#This Row],[Address B]],IP_Master[],3,FALSE)</f>
        <v>PLCs &amp; Control Equipment</v>
      </c>
      <c r="W298" s="9" t="str">
        <f>VLOOKUP(Table1[[#This Row],[Port B]],traffic_types[],2,FALSE)</f>
        <v>Modbus</v>
      </c>
    </row>
    <row r="299" spans="1:23" x14ac:dyDescent="0.6">
      <c r="A299" t="s">
        <v>70</v>
      </c>
      <c r="B299">
        <v>12639</v>
      </c>
      <c r="C299" t="s">
        <v>74</v>
      </c>
      <c r="D299">
        <v>502</v>
      </c>
      <c r="E299">
        <v>64</v>
      </c>
      <c r="F299">
        <v>7534</v>
      </c>
      <c r="G299">
        <v>28</v>
      </c>
      <c r="H299">
        <v>3545</v>
      </c>
      <c r="I299">
        <v>36</v>
      </c>
      <c r="J299">
        <v>3989</v>
      </c>
      <c r="K299">
        <v>3.8632789999999999</v>
      </c>
      <c r="L299">
        <v>199.77798000000001</v>
      </c>
      <c r="M299">
        <v>141.95758711745901</v>
      </c>
      <c r="N299">
        <v>159.73732440382099</v>
      </c>
      <c r="O299" s="8" t="str">
        <f>formatIP(Table1[[#This Row],[Address A]])</f>
        <v>010.011.002.031</v>
      </c>
      <c r="P299" s="8" t="str">
        <f>formatIP(Table1[[#This Row],[Address B]])</f>
        <v>010.012.001.080</v>
      </c>
      <c r="Q299" s="8" t="e">
        <f>VLOOKUP(Table1[[#This Row],[Address A]],IP_Master[],4,FALSE)</f>
        <v>#N/A</v>
      </c>
      <c r="R299" s="8" t="str">
        <f>VLOOKUP(Table1[[#This Row],[Address B]],IP_Master[],4,FALSE)</f>
        <v>EGX100</v>
      </c>
      <c r="S299" s="8" t="e">
        <f>VLOOKUP(Table1[[#This Row],[Address A]],IP_Master[],2,FALSE)</f>
        <v>#N/A</v>
      </c>
      <c r="T299" s="8" t="str">
        <f>VLOOKUP(Table1[[#This Row],[Address B]],IP_Master[],2,FALSE)</f>
        <v>PETs Plant</v>
      </c>
      <c r="U299" s="9" t="e">
        <f>VLOOKUP(Table1[[#This Row],[Address A]],IP_Master[],3,FALSE)</f>
        <v>#N/A</v>
      </c>
      <c r="V299" s="9" t="str">
        <f>VLOOKUP(Table1[[#This Row],[Address B]],IP_Master[],3,FALSE)</f>
        <v>PLCs &amp; Control Equipment</v>
      </c>
      <c r="W299" s="9" t="str">
        <f>VLOOKUP(Table1[[#This Row],[Port B]],traffic_types[],2,FALSE)</f>
        <v>Modbus</v>
      </c>
    </row>
    <row r="300" spans="1:23" x14ac:dyDescent="0.6">
      <c r="A300" t="s">
        <v>70</v>
      </c>
      <c r="B300">
        <v>42522</v>
      </c>
      <c r="C300" t="s">
        <v>75</v>
      </c>
      <c r="D300">
        <v>502</v>
      </c>
      <c r="E300">
        <v>302</v>
      </c>
      <c r="F300">
        <v>22912</v>
      </c>
      <c r="G300">
        <v>136</v>
      </c>
      <c r="H300">
        <v>10567</v>
      </c>
      <c r="I300">
        <v>166</v>
      </c>
      <c r="J300">
        <v>12345</v>
      </c>
      <c r="K300">
        <v>20.845488</v>
      </c>
      <c r="L300">
        <v>881.47382700000003</v>
      </c>
      <c r="M300">
        <v>95.903017662712799</v>
      </c>
      <c r="N300">
        <v>112.03962837571601</v>
      </c>
      <c r="O300" s="8" t="str">
        <f>formatIP(Table1[[#This Row],[Address A]])</f>
        <v>010.011.002.031</v>
      </c>
      <c r="P300" s="8" t="str">
        <f>formatIP(Table1[[#This Row],[Address B]])</f>
        <v>010.012.001.240</v>
      </c>
      <c r="Q300" s="8" t="e">
        <f>VLOOKUP(Table1[[#This Row],[Address A]],IP_Master[],4,FALSE)</f>
        <v>#N/A</v>
      </c>
      <c r="R300" s="8">
        <f>VLOOKUP(Table1[[#This Row],[Address B]],IP_Master[],4,FALSE)</f>
        <v>0</v>
      </c>
      <c r="S300" s="8" t="e">
        <f>VLOOKUP(Table1[[#This Row],[Address A]],IP_Master[],2,FALSE)</f>
        <v>#N/A</v>
      </c>
      <c r="T300" s="8" t="str">
        <f>VLOOKUP(Table1[[#This Row],[Address B]],IP_Master[],2,FALSE)</f>
        <v>EAF Dust Washing</v>
      </c>
      <c r="U300" s="9" t="e">
        <f>VLOOKUP(Table1[[#This Row],[Address A]],IP_Master[],3,FALSE)</f>
        <v>#N/A</v>
      </c>
      <c r="V300" s="9" t="str">
        <f>VLOOKUP(Table1[[#This Row],[Address B]],IP_Master[],3,FALSE)</f>
        <v>PLCs &amp; Control Equipment</v>
      </c>
      <c r="W300" s="9" t="str">
        <f>VLOOKUP(Table1[[#This Row],[Port B]],traffic_types[],2,FALSE)</f>
        <v>Modbus</v>
      </c>
    </row>
    <row r="301" spans="1:23" x14ac:dyDescent="0.6">
      <c r="A301" t="s">
        <v>70</v>
      </c>
      <c r="B301">
        <v>42491</v>
      </c>
      <c r="C301" t="s">
        <v>76</v>
      </c>
      <c r="D301">
        <v>502</v>
      </c>
      <c r="E301">
        <v>909</v>
      </c>
      <c r="F301">
        <v>66458</v>
      </c>
      <c r="G301">
        <v>505</v>
      </c>
      <c r="H301">
        <v>32724</v>
      </c>
      <c r="I301">
        <v>404</v>
      </c>
      <c r="J301">
        <v>33734</v>
      </c>
      <c r="K301">
        <v>26.172823999999999</v>
      </c>
      <c r="L301">
        <v>875.63158099999998</v>
      </c>
      <c r="M301">
        <v>298.97505489811698</v>
      </c>
      <c r="N301">
        <v>308.20268004929301</v>
      </c>
      <c r="O301" s="8" t="str">
        <f>formatIP(Table1[[#This Row],[Address A]])</f>
        <v>010.011.002.031</v>
      </c>
      <c r="P301" s="8" t="str">
        <f>formatIP(Table1[[#This Row],[Address B]])</f>
        <v>010.012.001.033</v>
      </c>
      <c r="Q301" s="8" t="e">
        <f>VLOOKUP(Table1[[#This Row],[Address A]],IP_Master[],4,FALSE)</f>
        <v>#N/A</v>
      </c>
      <c r="R301" s="8" t="str">
        <f>VLOOKUP(Table1[[#This Row],[Address B]],IP_Master[],4,FALSE)</f>
        <v>EGX100</v>
      </c>
      <c r="S301" s="8" t="e">
        <f>VLOOKUP(Table1[[#This Row],[Address A]],IP_Master[],2,FALSE)</f>
        <v>#N/A</v>
      </c>
      <c r="T301" s="8" t="str">
        <f>VLOOKUP(Table1[[#This Row],[Address B]],IP_Master[],2,FALSE)</f>
        <v>Blast Furnace</v>
      </c>
      <c r="U301" s="9" t="e">
        <f>VLOOKUP(Table1[[#This Row],[Address A]],IP_Master[],3,FALSE)</f>
        <v>#N/A</v>
      </c>
      <c r="V301" s="9" t="str">
        <f>VLOOKUP(Table1[[#This Row],[Address B]],IP_Master[],3,FALSE)</f>
        <v>PLCs &amp; Control Equipment</v>
      </c>
      <c r="W301" s="9" t="str">
        <f>VLOOKUP(Table1[[#This Row],[Port B]],traffic_types[],2,FALSE)</f>
        <v>Modbus</v>
      </c>
    </row>
    <row r="302" spans="1:23" x14ac:dyDescent="0.6">
      <c r="A302" t="s">
        <v>70</v>
      </c>
      <c r="B302">
        <v>15742</v>
      </c>
      <c r="C302" t="s">
        <v>74</v>
      </c>
      <c r="D302">
        <v>502</v>
      </c>
      <c r="E302">
        <v>172</v>
      </c>
      <c r="F302">
        <v>19734</v>
      </c>
      <c r="G302">
        <v>76</v>
      </c>
      <c r="H302">
        <v>9287</v>
      </c>
      <c r="I302">
        <v>96</v>
      </c>
      <c r="J302">
        <v>10447</v>
      </c>
      <c r="K302">
        <v>220.85984199999999</v>
      </c>
      <c r="L302">
        <v>588.64068399999996</v>
      </c>
      <c r="M302">
        <v>126.21621647884599</v>
      </c>
      <c r="N302">
        <v>141.98135173409099</v>
      </c>
      <c r="O302" s="8" t="str">
        <f>formatIP(Table1[[#This Row],[Address A]])</f>
        <v>010.011.002.031</v>
      </c>
      <c r="P302" s="8" t="str">
        <f>formatIP(Table1[[#This Row],[Address B]])</f>
        <v>010.012.001.080</v>
      </c>
      <c r="Q302" s="8" t="e">
        <f>VLOOKUP(Table1[[#This Row],[Address A]],IP_Master[],4,FALSE)</f>
        <v>#N/A</v>
      </c>
      <c r="R302" s="8" t="str">
        <f>VLOOKUP(Table1[[#This Row],[Address B]],IP_Master[],4,FALSE)</f>
        <v>EGX100</v>
      </c>
      <c r="S302" s="8" t="e">
        <f>VLOOKUP(Table1[[#This Row],[Address A]],IP_Master[],2,FALSE)</f>
        <v>#N/A</v>
      </c>
      <c r="T302" s="8" t="str">
        <f>VLOOKUP(Table1[[#This Row],[Address B]],IP_Master[],2,FALSE)</f>
        <v>PETs Plant</v>
      </c>
      <c r="U302" s="9" t="e">
        <f>VLOOKUP(Table1[[#This Row],[Address A]],IP_Master[],3,FALSE)</f>
        <v>#N/A</v>
      </c>
      <c r="V302" s="9" t="str">
        <f>VLOOKUP(Table1[[#This Row],[Address B]],IP_Master[],3,FALSE)</f>
        <v>PLCs &amp; Control Equipment</v>
      </c>
      <c r="W302" s="9" t="str">
        <f>VLOOKUP(Table1[[#This Row],[Port B]],traffic_types[],2,FALSE)</f>
        <v>Modbus</v>
      </c>
    </row>
    <row r="303" spans="1:23" x14ac:dyDescent="0.6">
      <c r="A303" t="s">
        <v>70</v>
      </c>
      <c r="B303">
        <v>19133</v>
      </c>
      <c r="C303" t="s">
        <v>74</v>
      </c>
      <c r="D303">
        <v>502</v>
      </c>
      <c r="E303">
        <v>24</v>
      </c>
      <c r="F303">
        <v>2732</v>
      </c>
      <c r="G303">
        <v>12</v>
      </c>
      <c r="H303">
        <v>1368</v>
      </c>
      <c r="I303">
        <v>12</v>
      </c>
      <c r="J303">
        <v>1364</v>
      </c>
      <c r="K303">
        <v>840.434258</v>
      </c>
      <c r="L303">
        <v>61.354556000000002</v>
      </c>
      <c r="M303">
        <v>178.373061651689</v>
      </c>
      <c r="N303">
        <v>177.85150299188899</v>
      </c>
      <c r="O303" s="8" t="str">
        <f>formatIP(Table1[[#This Row],[Address A]])</f>
        <v>010.011.002.031</v>
      </c>
      <c r="P303" s="8" t="str">
        <f>formatIP(Table1[[#This Row],[Address B]])</f>
        <v>010.012.001.080</v>
      </c>
      <c r="Q303" s="8" t="e">
        <f>VLOOKUP(Table1[[#This Row],[Address A]],IP_Master[],4,FALSE)</f>
        <v>#N/A</v>
      </c>
      <c r="R303" s="8" t="str">
        <f>VLOOKUP(Table1[[#This Row],[Address B]],IP_Master[],4,FALSE)</f>
        <v>EGX100</v>
      </c>
      <c r="S303" s="8" t="e">
        <f>VLOOKUP(Table1[[#This Row],[Address A]],IP_Master[],2,FALSE)</f>
        <v>#N/A</v>
      </c>
      <c r="T303" s="8" t="str">
        <f>VLOOKUP(Table1[[#This Row],[Address B]],IP_Master[],2,FALSE)</f>
        <v>PETs Plant</v>
      </c>
      <c r="U303" s="9" t="e">
        <f>VLOOKUP(Table1[[#This Row],[Address A]],IP_Master[],3,FALSE)</f>
        <v>#N/A</v>
      </c>
      <c r="V303" s="9" t="str">
        <f>VLOOKUP(Table1[[#This Row],[Address B]],IP_Master[],3,FALSE)</f>
        <v>PLCs &amp; Control Equipment</v>
      </c>
      <c r="W303" s="9" t="str">
        <f>VLOOKUP(Table1[[#This Row],[Port B]],traffic_types[],2,FALSE)</f>
        <v>Modbus</v>
      </c>
    </row>
    <row r="304" spans="1:23" x14ac:dyDescent="0.6">
      <c r="A304" t="s">
        <v>77</v>
      </c>
      <c r="B304">
        <v>49291</v>
      </c>
      <c r="C304" t="s">
        <v>78</v>
      </c>
      <c r="D304">
        <v>445</v>
      </c>
      <c r="E304">
        <v>54564</v>
      </c>
      <c r="F304">
        <v>6465450</v>
      </c>
      <c r="G304">
        <v>54564</v>
      </c>
      <c r="H304">
        <v>6465450</v>
      </c>
      <c r="I304">
        <v>0</v>
      </c>
      <c r="J304">
        <v>0</v>
      </c>
      <c r="K304">
        <v>0.49830400000000002</v>
      </c>
      <c r="L304">
        <v>902.34788700000001</v>
      </c>
      <c r="M304">
        <v>57321.129406046901</v>
      </c>
      <c r="N304">
        <v>0</v>
      </c>
      <c r="O304" s="8" t="str">
        <f>formatIP(Table1[[#This Row],[Address A]])</f>
        <v>010.011.003.007</v>
      </c>
      <c r="P304" s="8" t="str">
        <f>formatIP(Table1[[#This Row],[Address B]])</f>
        <v>010.012.000.241</v>
      </c>
      <c r="Q304" s="8" t="e">
        <f>VLOOKUP(Table1[[#This Row],[Address A]],IP_Master[],4,FALSE)</f>
        <v>#N/A</v>
      </c>
      <c r="R304" s="8" t="str">
        <f>VLOOKUP(Table1[[#This Row],[Address B]],IP_Master[],4,FALSE)</f>
        <v>PPPCHIST</v>
      </c>
      <c r="S304" s="8" t="e">
        <f>VLOOKUP(Table1[[#This Row],[Address A]],IP_Master[],2,FALSE)</f>
        <v>#N/A</v>
      </c>
      <c r="T304" s="8" t="str">
        <f>VLOOKUP(Table1[[#This Row],[Address B]],IP_Master[],2,FALSE)</f>
        <v>Other ProcN Devices</v>
      </c>
      <c r="U304" s="9" t="e">
        <f>VLOOKUP(Table1[[#This Row],[Address A]],IP_Master[],3,FALSE)</f>
        <v>#N/A</v>
      </c>
      <c r="V304" s="9" t="str">
        <f>VLOOKUP(Table1[[#This Row],[Address B]],IP_Master[],3,FALSE)</f>
        <v>iFIX Nodes &amp; Ethernet Switches</v>
      </c>
      <c r="W304" s="9" t="str">
        <f>VLOOKUP(Table1[[#This Row],[Port B]],traffic_types[],2,FALSE)</f>
        <v>SMB</v>
      </c>
    </row>
    <row r="305" spans="1:23" hidden="1" x14ac:dyDescent="0.6">
      <c r="A305" t="s">
        <v>77</v>
      </c>
      <c r="B305">
        <v>64469</v>
      </c>
      <c r="C305" t="s">
        <v>78</v>
      </c>
      <c r="D305">
        <v>14000</v>
      </c>
      <c r="E305">
        <v>358</v>
      </c>
      <c r="F305">
        <v>23500</v>
      </c>
      <c r="G305">
        <v>358</v>
      </c>
      <c r="H305">
        <v>23500</v>
      </c>
      <c r="I305">
        <v>0</v>
      </c>
      <c r="J305">
        <v>0</v>
      </c>
      <c r="K305">
        <v>3.7584849999999999</v>
      </c>
      <c r="L305">
        <v>894.055475</v>
      </c>
      <c r="M305">
        <v>210.277779463293</v>
      </c>
      <c r="N305">
        <v>0</v>
      </c>
      <c r="O305" s="8" t="str">
        <f>formatIP(Table1[[#This Row],[Address A]])</f>
        <v>010.011.003.007</v>
      </c>
      <c r="P305" s="8" t="str">
        <f>formatIP(Table1[[#This Row],[Address B]])</f>
        <v>010.012.000.241</v>
      </c>
      <c r="Q305" s="8" t="e">
        <f>VLOOKUP(Table1[[#This Row],[Address A]],IP_Master[],4,FALSE)</f>
        <v>#N/A</v>
      </c>
      <c r="R305" s="8" t="str">
        <f>VLOOKUP(Table1[[#This Row],[Address B]],IP_Master[],4,FALSE)</f>
        <v>PPPCHIST</v>
      </c>
      <c r="S305" s="8" t="e">
        <f>VLOOKUP(Table1[[#This Row],[Address A]],IP_Master[],2,FALSE)</f>
        <v>#N/A</v>
      </c>
      <c r="T305" s="8" t="str">
        <f>VLOOKUP(Table1[[#This Row],[Address B]],IP_Master[],2,FALSE)</f>
        <v>Other ProcN Devices</v>
      </c>
      <c r="U305" s="9" t="e">
        <f>VLOOKUP(Table1[[#This Row],[Address A]],IP_Master[],3,FALSE)</f>
        <v>#N/A</v>
      </c>
      <c r="V305" s="9" t="str">
        <f>VLOOKUP(Table1[[#This Row],[Address B]],IP_Master[],3,FALSE)</f>
        <v>iFIX Nodes &amp; Ethernet Switches</v>
      </c>
      <c r="W305" s="9" t="e">
        <f>VLOOKUP(Table1[[#This Row],[Port B]],traffic_types[],2,FALSE)</f>
        <v>#N/A</v>
      </c>
    </row>
    <row r="306" spans="1:23" hidden="1" x14ac:dyDescent="0.6">
      <c r="A306" t="s">
        <v>77</v>
      </c>
      <c r="B306">
        <v>64468</v>
      </c>
      <c r="C306" t="s">
        <v>78</v>
      </c>
      <c r="D306">
        <v>14000</v>
      </c>
      <c r="E306">
        <v>353</v>
      </c>
      <c r="F306">
        <v>23200</v>
      </c>
      <c r="G306">
        <v>353</v>
      </c>
      <c r="H306">
        <v>23200</v>
      </c>
      <c r="I306">
        <v>0</v>
      </c>
      <c r="J306">
        <v>0</v>
      </c>
      <c r="K306">
        <v>3.7585980000000001</v>
      </c>
      <c r="L306">
        <v>894.05536800000004</v>
      </c>
      <c r="M306">
        <v>207.59340712330501</v>
      </c>
      <c r="N306">
        <v>0</v>
      </c>
      <c r="O306" s="8" t="str">
        <f>formatIP(Table1[[#This Row],[Address A]])</f>
        <v>010.011.003.007</v>
      </c>
      <c r="P306" s="8" t="str">
        <f>formatIP(Table1[[#This Row],[Address B]])</f>
        <v>010.012.000.241</v>
      </c>
      <c r="Q306" s="8" t="e">
        <f>VLOOKUP(Table1[[#This Row],[Address A]],IP_Master[],4,FALSE)</f>
        <v>#N/A</v>
      </c>
      <c r="R306" s="8" t="str">
        <f>VLOOKUP(Table1[[#This Row],[Address B]],IP_Master[],4,FALSE)</f>
        <v>PPPCHIST</v>
      </c>
      <c r="S306" s="8" t="e">
        <f>VLOOKUP(Table1[[#This Row],[Address A]],IP_Master[],2,FALSE)</f>
        <v>#N/A</v>
      </c>
      <c r="T306" s="8" t="str">
        <f>VLOOKUP(Table1[[#This Row],[Address B]],IP_Master[],2,FALSE)</f>
        <v>Other ProcN Devices</v>
      </c>
      <c r="U306" s="9" t="e">
        <f>VLOOKUP(Table1[[#This Row],[Address A]],IP_Master[],3,FALSE)</f>
        <v>#N/A</v>
      </c>
      <c r="V306" s="9" t="str">
        <f>VLOOKUP(Table1[[#This Row],[Address B]],IP_Master[],3,FALSE)</f>
        <v>iFIX Nodes &amp; Ethernet Switches</v>
      </c>
      <c r="W306" s="9" t="e">
        <f>VLOOKUP(Table1[[#This Row],[Port B]],traffic_types[],2,FALSE)</f>
        <v>#N/A</v>
      </c>
    </row>
    <row r="307" spans="1:23" hidden="1" x14ac:dyDescent="0.6">
      <c r="A307" t="s">
        <v>77</v>
      </c>
      <c r="B307">
        <v>64669</v>
      </c>
      <c r="C307" t="s">
        <v>78</v>
      </c>
      <c r="D307">
        <v>14000</v>
      </c>
      <c r="E307">
        <v>130</v>
      </c>
      <c r="F307">
        <v>9173</v>
      </c>
      <c r="G307">
        <v>130</v>
      </c>
      <c r="H307">
        <v>9173</v>
      </c>
      <c r="I307">
        <v>0</v>
      </c>
      <c r="J307">
        <v>0</v>
      </c>
      <c r="K307">
        <v>290.47635300000002</v>
      </c>
      <c r="L307">
        <v>319.670525</v>
      </c>
      <c r="M307">
        <v>229.561358526877</v>
      </c>
      <c r="N307">
        <v>0</v>
      </c>
      <c r="O307" s="8" t="str">
        <f>formatIP(Table1[[#This Row],[Address A]])</f>
        <v>010.011.003.007</v>
      </c>
      <c r="P307" s="8" t="str">
        <f>formatIP(Table1[[#This Row],[Address B]])</f>
        <v>010.012.000.241</v>
      </c>
      <c r="Q307" s="8" t="e">
        <f>VLOOKUP(Table1[[#This Row],[Address A]],IP_Master[],4,FALSE)</f>
        <v>#N/A</v>
      </c>
      <c r="R307" s="8" t="str">
        <f>VLOOKUP(Table1[[#This Row],[Address B]],IP_Master[],4,FALSE)</f>
        <v>PPPCHIST</v>
      </c>
      <c r="S307" s="8" t="e">
        <f>VLOOKUP(Table1[[#This Row],[Address A]],IP_Master[],2,FALSE)</f>
        <v>#N/A</v>
      </c>
      <c r="T307" s="8" t="str">
        <f>VLOOKUP(Table1[[#This Row],[Address B]],IP_Master[],2,FALSE)</f>
        <v>Other ProcN Devices</v>
      </c>
      <c r="U307" s="9" t="e">
        <f>VLOOKUP(Table1[[#This Row],[Address A]],IP_Master[],3,FALSE)</f>
        <v>#N/A</v>
      </c>
      <c r="V307" s="9" t="str">
        <f>VLOOKUP(Table1[[#This Row],[Address B]],IP_Master[],3,FALSE)</f>
        <v>iFIX Nodes &amp; Ethernet Switches</v>
      </c>
      <c r="W307" s="9" t="e">
        <f>VLOOKUP(Table1[[#This Row],[Port B]],traffic_types[],2,FALSE)</f>
        <v>#N/A</v>
      </c>
    </row>
    <row r="308" spans="1:23" hidden="1" x14ac:dyDescent="0.6">
      <c r="A308" t="s">
        <v>77</v>
      </c>
      <c r="B308">
        <v>64670</v>
      </c>
      <c r="C308" t="s">
        <v>78</v>
      </c>
      <c r="D308">
        <v>14000</v>
      </c>
      <c r="E308">
        <v>132</v>
      </c>
      <c r="F308">
        <v>9337</v>
      </c>
      <c r="G308">
        <v>132</v>
      </c>
      <c r="H308">
        <v>9337</v>
      </c>
      <c r="I308">
        <v>0</v>
      </c>
      <c r="J308">
        <v>0</v>
      </c>
      <c r="K308">
        <v>290.73714100000001</v>
      </c>
      <c r="L308">
        <v>314.336907</v>
      </c>
      <c r="M308">
        <v>237.63038426792201</v>
      </c>
      <c r="N308">
        <v>0</v>
      </c>
      <c r="O308" s="8" t="str">
        <f>formatIP(Table1[[#This Row],[Address A]])</f>
        <v>010.011.003.007</v>
      </c>
      <c r="P308" s="8" t="str">
        <f>formatIP(Table1[[#This Row],[Address B]])</f>
        <v>010.012.000.241</v>
      </c>
      <c r="Q308" s="8" t="e">
        <f>VLOOKUP(Table1[[#This Row],[Address A]],IP_Master[],4,FALSE)</f>
        <v>#N/A</v>
      </c>
      <c r="R308" s="8" t="str">
        <f>VLOOKUP(Table1[[#This Row],[Address B]],IP_Master[],4,FALSE)</f>
        <v>PPPCHIST</v>
      </c>
      <c r="S308" s="8" t="e">
        <f>VLOOKUP(Table1[[#This Row],[Address A]],IP_Master[],2,FALSE)</f>
        <v>#N/A</v>
      </c>
      <c r="T308" s="8" t="str">
        <f>VLOOKUP(Table1[[#This Row],[Address B]],IP_Master[],2,FALSE)</f>
        <v>Other ProcN Devices</v>
      </c>
      <c r="U308" s="9" t="e">
        <f>VLOOKUP(Table1[[#This Row],[Address A]],IP_Master[],3,FALSE)</f>
        <v>#N/A</v>
      </c>
      <c r="V308" s="9" t="str">
        <f>VLOOKUP(Table1[[#This Row],[Address B]],IP_Master[],3,FALSE)</f>
        <v>iFIX Nodes &amp; Ethernet Switches</v>
      </c>
      <c r="W308" s="9" t="e">
        <f>VLOOKUP(Table1[[#This Row],[Port B]],traffic_types[],2,FALSE)</f>
        <v>#N/A</v>
      </c>
    </row>
    <row r="309" spans="1:23" hidden="1" x14ac:dyDescent="0.6">
      <c r="A309" t="s">
        <v>79</v>
      </c>
      <c r="B309">
        <v>49403</v>
      </c>
      <c r="C309" t="s">
        <v>78</v>
      </c>
      <c r="D309">
        <v>14000</v>
      </c>
      <c r="E309">
        <v>367</v>
      </c>
      <c r="F309" s="13">
        <v>24084</v>
      </c>
      <c r="G309">
        <v>367</v>
      </c>
      <c r="H309">
        <v>24084</v>
      </c>
      <c r="I309">
        <v>0</v>
      </c>
      <c r="J309">
        <v>0</v>
      </c>
      <c r="K309">
        <v>3.7583790000000001</v>
      </c>
      <c r="L309">
        <v>894.05524700000001</v>
      </c>
      <c r="M309">
        <v>215.50346093992599</v>
      </c>
      <c r="N309">
        <v>0</v>
      </c>
      <c r="O309" s="8" t="str">
        <f>formatIP(Table1[[#This Row],[Address A]])</f>
        <v>010.011.009.008</v>
      </c>
      <c r="P309" s="8" t="str">
        <f>formatIP(Table1[[#This Row],[Address B]])</f>
        <v>010.012.000.241</v>
      </c>
      <c r="Q309" s="8" t="str">
        <f>VLOOKUP(Table1[[#This Row],[Address A]],IP_Master[],4,FALSE)</f>
        <v>PPPCRF8</v>
      </c>
      <c r="R309" s="8" t="str">
        <f>VLOOKUP(Table1[[#This Row],[Address B]],IP_Master[],4,FALSE)</f>
        <v>PPPCHIST</v>
      </c>
      <c r="S309" s="8" t="str">
        <f>VLOOKUP(Table1[[#This Row],[Address A]],IP_Master[],2,FALSE)</f>
        <v>Refinery</v>
      </c>
      <c r="T309" s="8" t="str">
        <f>VLOOKUP(Table1[[#This Row],[Address B]],IP_Master[],2,FALSE)</f>
        <v>Other ProcN Devices</v>
      </c>
      <c r="U309" s="8" t="str">
        <f>VLOOKUP(Table1[[#This Row],[Address A]],IP_Master[],3,FALSE)</f>
        <v>iFIX Nodes &amp; Ethernet Switches</v>
      </c>
      <c r="V309" s="8" t="str">
        <f>VLOOKUP(Table1[[#This Row],[Address B]],IP_Master[],3,FALSE)</f>
        <v>iFIX Nodes &amp; Ethernet Switches</v>
      </c>
      <c r="W309" s="9" t="e">
        <f>VLOOKUP(Table1[[#This Row],[Port B]],traffic_types[],2,FALSE)</f>
        <v>#N/A</v>
      </c>
    </row>
    <row r="310" spans="1:23" hidden="1" x14ac:dyDescent="0.6">
      <c r="A310" t="s">
        <v>80</v>
      </c>
      <c r="B310">
        <v>49163</v>
      </c>
      <c r="C310" t="s">
        <v>78</v>
      </c>
      <c r="D310">
        <v>14000</v>
      </c>
      <c r="E310">
        <v>360</v>
      </c>
      <c r="F310" s="13">
        <v>23576</v>
      </c>
      <c r="G310">
        <v>360</v>
      </c>
      <c r="H310">
        <v>23576</v>
      </c>
      <c r="I310">
        <v>0</v>
      </c>
      <c r="J310">
        <v>0</v>
      </c>
      <c r="K310">
        <v>3.7580550000000001</v>
      </c>
      <c r="L310">
        <v>894.05535399999997</v>
      </c>
      <c r="M310">
        <v>210.95785530075801</v>
      </c>
      <c r="N310">
        <v>0</v>
      </c>
      <c r="O310" s="8" t="str">
        <f>formatIP(Table1[[#This Row],[Address A]])</f>
        <v>010.011.009.036</v>
      </c>
      <c r="P310" s="8" t="str">
        <f>formatIP(Table1[[#This Row],[Address B]])</f>
        <v>010.012.000.241</v>
      </c>
      <c r="Q310" s="8" t="str">
        <f>VLOOKUP(Table1[[#This Row],[Address A]],IP_Master[],4,FALSE)</f>
        <v>PPPCSF12</v>
      </c>
      <c r="R310" s="8" t="str">
        <f>VLOOKUP(Table1[[#This Row],[Address B]],IP_Master[],4,FALSE)</f>
        <v>PPPCHIST</v>
      </c>
      <c r="S310" s="8" t="str">
        <f>VLOOKUP(Table1[[#This Row],[Address A]],IP_Master[],2,FALSE)</f>
        <v>Slag Fumer</v>
      </c>
      <c r="T310" s="8" t="str">
        <f>VLOOKUP(Table1[[#This Row],[Address B]],IP_Master[],2,FALSE)</f>
        <v>Other ProcN Devices</v>
      </c>
      <c r="U310" s="9" t="str">
        <f>VLOOKUP(Table1[[#This Row],[Address A]],IP_Master[],3,FALSE)</f>
        <v>iFIX Nodes &amp; Ethernet Switches</v>
      </c>
      <c r="V310" s="9" t="str">
        <f>VLOOKUP(Table1[[#This Row],[Address B]],IP_Master[],3,FALSE)</f>
        <v>iFIX Nodes &amp; Ethernet Switches</v>
      </c>
      <c r="W310" s="9" t="e">
        <f>VLOOKUP(Table1[[#This Row],[Port B]],traffic_types[],2,FALSE)</f>
        <v>#N/A</v>
      </c>
    </row>
    <row r="311" spans="1:23" hidden="1" x14ac:dyDescent="0.6">
      <c r="A311" t="s">
        <v>81</v>
      </c>
      <c r="B311">
        <v>49173</v>
      </c>
      <c r="C311" t="s">
        <v>78</v>
      </c>
      <c r="D311">
        <v>14000</v>
      </c>
      <c r="E311">
        <v>363</v>
      </c>
      <c r="F311" s="13">
        <v>23838</v>
      </c>
      <c r="G311">
        <v>363</v>
      </c>
      <c r="H311">
        <v>23838</v>
      </c>
      <c r="I311">
        <v>0</v>
      </c>
      <c r="J311">
        <v>0</v>
      </c>
      <c r="K311">
        <v>3.7581730000000002</v>
      </c>
      <c r="L311">
        <v>894.05523800000003</v>
      </c>
      <c r="M311">
        <v>213.30225683438101</v>
      </c>
      <c r="N311">
        <v>0</v>
      </c>
      <c r="O311" s="8" t="str">
        <f>formatIP(Table1[[#This Row],[Address A]])</f>
        <v>010.011.009.037</v>
      </c>
      <c r="P311" s="8" t="str">
        <f>formatIP(Table1[[#This Row],[Address B]])</f>
        <v>010.012.000.241</v>
      </c>
      <c r="Q311" s="8" t="str">
        <f>VLOOKUP(Table1[[#This Row],[Address A]],IP_Master[],4,FALSE)</f>
        <v>PPPCSF13</v>
      </c>
      <c r="R311" s="8" t="str">
        <f>VLOOKUP(Table1[[#This Row],[Address B]],IP_Master[],4,FALSE)</f>
        <v>PPPCHIST</v>
      </c>
      <c r="S311" s="8" t="str">
        <f>VLOOKUP(Table1[[#This Row],[Address A]],IP_Master[],2,FALSE)</f>
        <v>Slag Fumer</v>
      </c>
      <c r="T311" s="8" t="str">
        <f>VLOOKUP(Table1[[#This Row],[Address B]],IP_Master[],2,FALSE)</f>
        <v>Other ProcN Devices</v>
      </c>
      <c r="U311" s="9" t="str">
        <f>VLOOKUP(Table1[[#This Row],[Address A]],IP_Master[],3,FALSE)</f>
        <v>iFIX Nodes &amp; Ethernet Switches</v>
      </c>
      <c r="V311" s="9" t="str">
        <f>VLOOKUP(Table1[[#This Row],[Address B]],IP_Master[],3,FALSE)</f>
        <v>iFIX Nodes &amp; Ethernet Switches</v>
      </c>
      <c r="W311" s="9" t="e">
        <f>VLOOKUP(Table1[[#This Row],[Port B]],traffic_types[],2,FALSE)</f>
        <v>#N/A</v>
      </c>
    </row>
    <row r="312" spans="1:23" x14ac:dyDescent="0.6">
      <c r="A312" t="s">
        <v>82</v>
      </c>
      <c r="B312">
        <v>58354</v>
      </c>
      <c r="C312" t="s">
        <v>83</v>
      </c>
      <c r="D312">
        <v>502</v>
      </c>
      <c r="E312">
        <v>901</v>
      </c>
      <c r="F312" s="13">
        <v>147885</v>
      </c>
      <c r="G312">
        <v>451</v>
      </c>
      <c r="H312">
        <v>74310</v>
      </c>
      <c r="I312">
        <v>450</v>
      </c>
      <c r="J312">
        <v>73575</v>
      </c>
      <c r="K312">
        <v>9.3992999999999993E-2</v>
      </c>
      <c r="L312">
        <v>900.10948099999996</v>
      </c>
      <c r="M312">
        <v>660.45299216218302</v>
      </c>
      <c r="N312">
        <v>653.92045348314696</v>
      </c>
      <c r="O312" s="8" t="str">
        <f>formatIP(Table1[[#This Row],[Address A]])</f>
        <v>010.011.009.178</v>
      </c>
      <c r="P312" s="8" t="str">
        <f>formatIP(Table1[[#This Row],[Address B]])</f>
        <v>010.012.001.102</v>
      </c>
      <c r="Q312" s="8" t="str">
        <f>VLOOKUP(Table1[[#This Row],[Address A]],IP_Master[],4,FALSE)</f>
        <v>PPPCPP1</v>
      </c>
      <c r="R312" s="8" t="str">
        <f>VLOOKUP(Table1[[#This Row],[Address B]],IP_Master[],4,FALSE)</f>
        <v>PPPLC</v>
      </c>
      <c r="S312" s="8" t="str">
        <f>VLOOKUP(Table1[[#This Row],[Address A]],IP_Master[],2,FALSE)</f>
        <v>Power Plant</v>
      </c>
      <c r="T312" s="8" t="str">
        <f>VLOOKUP(Table1[[#This Row],[Address B]],IP_Master[],2,FALSE)</f>
        <v>Power Plant</v>
      </c>
      <c r="U312" s="9" t="str">
        <f>VLOOKUP(Table1[[#This Row],[Address A]],IP_Master[],3,FALSE)</f>
        <v>iFIX Nodes &amp; Ethernet Switches</v>
      </c>
      <c r="V312" s="9" t="str">
        <f>VLOOKUP(Table1[[#This Row],[Address B]],IP_Master[],3,FALSE)</f>
        <v>PLCs &amp; Control Equipment</v>
      </c>
      <c r="W312" s="9" t="str">
        <f>VLOOKUP(Table1[[#This Row],[Port B]],traffic_types[],2,FALSE)</f>
        <v>Modbus</v>
      </c>
    </row>
    <row r="313" spans="1:23" hidden="1" x14ac:dyDescent="0.6">
      <c r="A313" t="s">
        <v>82</v>
      </c>
      <c r="B313">
        <v>58340</v>
      </c>
      <c r="C313" t="s">
        <v>78</v>
      </c>
      <c r="D313">
        <v>14000</v>
      </c>
      <c r="E313">
        <v>1427</v>
      </c>
      <c r="F313" s="13">
        <v>376260</v>
      </c>
      <c r="G313">
        <v>1427</v>
      </c>
      <c r="H313">
        <v>376260</v>
      </c>
      <c r="I313">
        <v>0</v>
      </c>
      <c r="J313">
        <v>0</v>
      </c>
      <c r="K313">
        <v>0.51046499999999995</v>
      </c>
      <c r="L313">
        <v>900.90667800000006</v>
      </c>
      <c r="M313">
        <v>3341.1673744969198</v>
      </c>
      <c r="N313">
        <v>0</v>
      </c>
      <c r="O313" s="8" t="str">
        <f>formatIP(Table1[[#This Row],[Address A]])</f>
        <v>010.011.009.178</v>
      </c>
      <c r="P313" s="8" t="str">
        <f>formatIP(Table1[[#This Row],[Address B]])</f>
        <v>010.012.000.241</v>
      </c>
      <c r="Q313" s="8" t="str">
        <f>VLOOKUP(Table1[[#This Row],[Address A]],IP_Master[],4,FALSE)</f>
        <v>PPPCPP1</v>
      </c>
      <c r="R313" s="8" t="str">
        <f>VLOOKUP(Table1[[#This Row],[Address B]],IP_Master[],4,FALSE)</f>
        <v>PPPCHIST</v>
      </c>
      <c r="S313" s="8" t="str">
        <f>VLOOKUP(Table1[[#This Row],[Address A]],IP_Master[],2,FALSE)</f>
        <v>Power Plant</v>
      </c>
      <c r="T313" s="8" t="str">
        <f>VLOOKUP(Table1[[#This Row],[Address B]],IP_Master[],2,FALSE)</f>
        <v>Other ProcN Devices</v>
      </c>
      <c r="U313" s="9" t="str">
        <f>VLOOKUP(Table1[[#This Row],[Address A]],IP_Master[],3,FALSE)</f>
        <v>iFIX Nodes &amp; Ethernet Switches</v>
      </c>
      <c r="V313" s="9" t="str">
        <f>VLOOKUP(Table1[[#This Row],[Address B]],IP_Master[],3,FALSE)</f>
        <v>iFIX Nodes &amp; Ethernet Switches</v>
      </c>
      <c r="W313" s="9" t="e">
        <f>VLOOKUP(Table1[[#This Row],[Port B]],traffic_types[],2,FALSE)</f>
        <v>#N/A</v>
      </c>
    </row>
    <row r="314" spans="1:23" hidden="1" x14ac:dyDescent="0.6">
      <c r="A314" t="s">
        <v>82</v>
      </c>
      <c r="B314">
        <v>58376</v>
      </c>
      <c r="C314" t="s">
        <v>84</v>
      </c>
      <c r="D314">
        <v>14000</v>
      </c>
      <c r="E314">
        <v>970</v>
      </c>
      <c r="F314" s="13">
        <v>202444</v>
      </c>
      <c r="G314">
        <v>349</v>
      </c>
      <c r="H314">
        <v>22992</v>
      </c>
      <c r="I314">
        <v>621</v>
      </c>
      <c r="J314">
        <v>179452</v>
      </c>
      <c r="K314">
        <v>0.75739299999999998</v>
      </c>
      <c r="L314">
        <v>900.00436500000001</v>
      </c>
      <c r="M314">
        <v>204.37234212747401</v>
      </c>
      <c r="N314">
        <v>1595.1211525512999</v>
      </c>
      <c r="O314" s="8" t="str">
        <f>formatIP(Table1[[#This Row],[Address A]])</f>
        <v>010.011.009.178</v>
      </c>
      <c r="P314" s="8" t="str">
        <f>formatIP(Table1[[#This Row],[Address B]])</f>
        <v>010.012.001.241</v>
      </c>
      <c r="Q314" s="8" t="str">
        <f>VLOOKUP(Table1[[#This Row],[Address A]],IP_Master[],4,FALSE)</f>
        <v>PPPCPP1</v>
      </c>
      <c r="R314" s="8" t="str">
        <f>VLOOKUP(Table1[[#This Row],[Address B]],IP_Master[],4,FALSE)</f>
        <v>PPPCHIST1</v>
      </c>
      <c r="S314" s="8" t="str">
        <f>VLOOKUP(Table1[[#This Row],[Address A]],IP_Master[],2,FALSE)</f>
        <v>Power Plant</v>
      </c>
      <c r="T314" s="8" t="str">
        <f>VLOOKUP(Table1[[#This Row],[Address B]],IP_Master[],2,FALSE)</f>
        <v>Other ProcN Devices</v>
      </c>
      <c r="U314" s="9" t="str">
        <f>VLOOKUP(Table1[[#This Row],[Address A]],IP_Master[],3,FALSE)</f>
        <v>iFIX Nodes &amp; Ethernet Switches</v>
      </c>
      <c r="V314" s="9" t="str">
        <f>VLOOKUP(Table1[[#This Row],[Address B]],IP_Master[],3,FALSE)</f>
        <v>PLCs &amp; Control Equipment</v>
      </c>
      <c r="W314" s="9" t="e">
        <f>VLOOKUP(Table1[[#This Row],[Port B]],traffic_types[],2,FALSE)</f>
        <v>#N/A</v>
      </c>
    </row>
    <row r="315" spans="1:23" hidden="1" x14ac:dyDescent="0.6">
      <c r="A315" t="s">
        <v>82</v>
      </c>
      <c r="B315">
        <v>58377</v>
      </c>
      <c r="C315" t="s">
        <v>84</v>
      </c>
      <c r="D315">
        <v>14000</v>
      </c>
      <c r="E315">
        <v>968</v>
      </c>
      <c r="F315" s="13">
        <v>202324</v>
      </c>
      <c r="G315">
        <v>347</v>
      </c>
      <c r="H315">
        <v>22872</v>
      </c>
      <c r="I315">
        <v>621</v>
      </c>
      <c r="J315">
        <v>179452</v>
      </c>
      <c r="K315">
        <v>0.75747299999999995</v>
      </c>
      <c r="L315">
        <v>900.00433999999996</v>
      </c>
      <c r="M315">
        <v>203.30568628146801</v>
      </c>
      <c r="N315">
        <v>1595.1211968600101</v>
      </c>
      <c r="O315" s="8" t="str">
        <f>formatIP(Table1[[#This Row],[Address A]])</f>
        <v>010.011.009.178</v>
      </c>
      <c r="P315" s="8" t="str">
        <f>formatIP(Table1[[#This Row],[Address B]])</f>
        <v>010.012.001.241</v>
      </c>
      <c r="Q315" s="8" t="str">
        <f>VLOOKUP(Table1[[#This Row],[Address A]],IP_Master[],4,FALSE)</f>
        <v>PPPCPP1</v>
      </c>
      <c r="R315" s="8" t="str">
        <f>VLOOKUP(Table1[[#This Row],[Address B]],IP_Master[],4,FALSE)</f>
        <v>PPPCHIST1</v>
      </c>
      <c r="S315" s="8" t="str">
        <f>VLOOKUP(Table1[[#This Row],[Address A]],IP_Master[],2,FALSE)</f>
        <v>Power Plant</v>
      </c>
      <c r="T315" s="8" t="str">
        <f>VLOOKUP(Table1[[#This Row],[Address B]],IP_Master[],2,FALSE)</f>
        <v>Other ProcN Devices</v>
      </c>
      <c r="U315" s="9" t="str">
        <f>VLOOKUP(Table1[[#This Row],[Address A]],IP_Master[],3,FALSE)</f>
        <v>iFIX Nodes &amp; Ethernet Switches</v>
      </c>
      <c r="V315" s="9" t="str">
        <f>VLOOKUP(Table1[[#This Row],[Address B]],IP_Master[],3,FALSE)</f>
        <v>PLCs &amp; Control Equipment</v>
      </c>
      <c r="W315" s="9" t="e">
        <f>VLOOKUP(Table1[[#This Row],[Port B]],traffic_types[],2,FALSE)</f>
        <v>#N/A</v>
      </c>
    </row>
    <row r="316" spans="1:23" x14ac:dyDescent="0.6">
      <c r="A316" t="s">
        <v>82</v>
      </c>
      <c r="B316">
        <v>58358</v>
      </c>
      <c r="C316" t="s">
        <v>83</v>
      </c>
      <c r="D316">
        <v>502</v>
      </c>
      <c r="E316">
        <v>904</v>
      </c>
      <c r="F316" s="13">
        <v>148482</v>
      </c>
      <c r="G316">
        <v>452</v>
      </c>
      <c r="H316">
        <v>74580</v>
      </c>
      <c r="I316">
        <v>452</v>
      </c>
      <c r="J316">
        <v>73902</v>
      </c>
      <c r="K316">
        <v>0.88660799999999995</v>
      </c>
      <c r="L316">
        <v>900.31491200000005</v>
      </c>
      <c r="M316">
        <v>662.701452622391</v>
      </c>
      <c r="N316">
        <v>656.67689396218702</v>
      </c>
      <c r="O316" s="8" t="str">
        <f>formatIP(Table1[[#This Row],[Address A]])</f>
        <v>010.011.009.178</v>
      </c>
      <c r="P316" s="8" t="str">
        <f>formatIP(Table1[[#This Row],[Address B]])</f>
        <v>010.012.001.102</v>
      </c>
      <c r="Q316" s="8" t="str">
        <f>VLOOKUP(Table1[[#This Row],[Address A]],IP_Master[],4,FALSE)</f>
        <v>PPPCPP1</v>
      </c>
      <c r="R316" s="8" t="str">
        <f>VLOOKUP(Table1[[#This Row],[Address B]],IP_Master[],4,FALSE)</f>
        <v>PPPLC</v>
      </c>
      <c r="S316" s="8" t="str">
        <f>VLOOKUP(Table1[[#This Row],[Address A]],IP_Master[],2,FALSE)</f>
        <v>Power Plant</v>
      </c>
      <c r="T316" s="8" t="str">
        <f>VLOOKUP(Table1[[#This Row],[Address B]],IP_Master[],2,FALSE)</f>
        <v>Power Plant</v>
      </c>
      <c r="U316" s="9" t="str">
        <f>VLOOKUP(Table1[[#This Row],[Address A]],IP_Master[],3,FALSE)</f>
        <v>iFIX Nodes &amp; Ethernet Switches</v>
      </c>
      <c r="V316" s="9" t="str">
        <f>VLOOKUP(Table1[[#This Row],[Address B]],IP_Master[],3,FALSE)</f>
        <v>PLCs &amp; Control Equipment</v>
      </c>
      <c r="W316" s="9" t="str">
        <f>VLOOKUP(Table1[[#This Row],[Port B]],traffic_types[],2,FALSE)</f>
        <v>Modbus</v>
      </c>
    </row>
    <row r="317" spans="1:23" hidden="1" x14ac:dyDescent="0.6">
      <c r="A317" t="s">
        <v>82</v>
      </c>
      <c r="B317">
        <v>58370</v>
      </c>
      <c r="C317" t="s">
        <v>85</v>
      </c>
      <c r="D317">
        <v>14000</v>
      </c>
      <c r="E317">
        <v>1888</v>
      </c>
      <c r="F317" s="13">
        <v>471867</v>
      </c>
      <c r="G317">
        <v>1188</v>
      </c>
      <c r="H317">
        <v>414763</v>
      </c>
      <c r="I317">
        <v>700</v>
      </c>
      <c r="J317">
        <v>57104</v>
      </c>
      <c r="K317">
        <v>1.4906509999999999</v>
      </c>
      <c r="L317">
        <v>900.90657099999999</v>
      </c>
      <c r="M317">
        <v>3683.0722594429799</v>
      </c>
      <c r="N317">
        <v>507.08032853275699</v>
      </c>
      <c r="O317" s="8" t="str">
        <f>formatIP(Table1[[#This Row],[Address A]])</f>
        <v>010.011.009.178</v>
      </c>
      <c r="P317" s="8" t="str">
        <f>formatIP(Table1[[#This Row],[Address B]])</f>
        <v>010.012.001.242</v>
      </c>
      <c r="Q317" s="8" t="str">
        <f>VLOOKUP(Table1[[#This Row],[Address A]],IP_Master[],4,FALSE)</f>
        <v>PPPCPP1</v>
      </c>
      <c r="R317" s="8" t="str">
        <f>VLOOKUP(Table1[[#This Row],[Address B]],IP_Master[],4,FALSE)</f>
        <v>PPPCHIST2</v>
      </c>
      <c r="S317" s="8" t="str">
        <f>VLOOKUP(Table1[[#This Row],[Address A]],IP_Master[],2,FALSE)</f>
        <v>Power Plant</v>
      </c>
      <c r="T317" s="8" t="str">
        <f>VLOOKUP(Table1[[#This Row],[Address B]],IP_Master[],2,FALSE)</f>
        <v>Other ProcN Devices</v>
      </c>
      <c r="U317" s="9" t="str">
        <f>VLOOKUP(Table1[[#This Row],[Address A]],IP_Master[],3,FALSE)</f>
        <v>iFIX Nodes &amp; Ethernet Switches</v>
      </c>
      <c r="V317" s="9" t="str">
        <f>VLOOKUP(Table1[[#This Row],[Address B]],IP_Master[],3,FALSE)</f>
        <v>PLCs &amp; Control Equipment</v>
      </c>
      <c r="W317" s="9" t="e">
        <f>VLOOKUP(Table1[[#This Row],[Port B]],traffic_types[],2,FALSE)</f>
        <v>#N/A</v>
      </c>
    </row>
    <row r="318" spans="1:23" x14ac:dyDescent="0.6">
      <c r="A318" t="s">
        <v>82</v>
      </c>
      <c r="B318">
        <v>58352</v>
      </c>
      <c r="C318" t="s">
        <v>83</v>
      </c>
      <c r="D318">
        <v>502</v>
      </c>
      <c r="E318">
        <v>904</v>
      </c>
      <c r="F318" s="13">
        <v>148482</v>
      </c>
      <c r="G318">
        <v>452</v>
      </c>
      <c r="H318">
        <v>74580</v>
      </c>
      <c r="I318">
        <v>452</v>
      </c>
      <c r="J318">
        <v>73902</v>
      </c>
      <c r="K318">
        <v>1.88571</v>
      </c>
      <c r="L318">
        <v>900.32985799999994</v>
      </c>
      <c r="M318">
        <v>662.69045139231605</v>
      </c>
      <c r="N318">
        <v>656.66599274329496</v>
      </c>
      <c r="O318" s="8" t="str">
        <f>formatIP(Table1[[#This Row],[Address A]])</f>
        <v>010.011.009.178</v>
      </c>
      <c r="P318" s="8" t="str">
        <f>formatIP(Table1[[#This Row],[Address B]])</f>
        <v>010.012.001.102</v>
      </c>
      <c r="Q318" s="8" t="str">
        <f>VLOOKUP(Table1[[#This Row],[Address A]],IP_Master[],4,FALSE)</f>
        <v>PPPCPP1</v>
      </c>
      <c r="R318" s="8" t="str">
        <f>VLOOKUP(Table1[[#This Row],[Address B]],IP_Master[],4,FALSE)</f>
        <v>PPPLC</v>
      </c>
      <c r="S318" s="8" t="str">
        <f>VLOOKUP(Table1[[#This Row],[Address A]],IP_Master[],2,FALSE)</f>
        <v>Power Plant</v>
      </c>
      <c r="T318" s="8" t="str">
        <f>VLOOKUP(Table1[[#This Row],[Address B]],IP_Master[],2,FALSE)</f>
        <v>Power Plant</v>
      </c>
      <c r="U318" s="9" t="str">
        <f>VLOOKUP(Table1[[#This Row],[Address A]],IP_Master[],3,FALSE)</f>
        <v>iFIX Nodes &amp; Ethernet Switches</v>
      </c>
      <c r="V318" s="9" t="str">
        <f>VLOOKUP(Table1[[#This Row],[Address B]],IP_Master[],3,FALSE)</f>
        <v>PLCs &amp; Control Equipment</v>
      </c>
      <c r="W318" s="9" t="str">
        <f>VLOOKUP(Table1[[#This Row],[Port B]],traffic_types[],2,FALSE)</f>
        <v>Modbus</v>
      </c>
    </row>
    <row r="319" spans="1:23" x14ac:dyDescent="0.6">
      <c r="A319" t="s">
        <v>82</v>
      </c>
      <c r="B319">
        <v>58353</v>
      </c>
      <c r="C319" t="s">
        <v>83</v>
      </c>
      <c r="D319">
        <v>502</v>
      </c>
      <c r="E319">
        <v>900</v>
      </c>
      <c r="F319" s="13">
        <v>147825</v>
      </c>
      <c r="G319">
        <v>450</v>
      </c>
      <c r="H319">
        <v>74250</v>
      </c>
      <c r="I319">
        <v>450</v>
      </c>
      <c r="J319">
        <v>73575</v>
      </c>
      <c r="K319">
        <v>2.8846729999999998</v>
      </c>
      <c r="L319">
        <v>896.32575399999996</v>
      </c>
      <c r="M319">
        <v>662.70549222665795</v>
      </c>
      <c r="N319">
        <v>656.68089684277902</v>
      </c>
      <c r="O319" s="8" t="str">
        <f>formatIP(Table1[[#This Row],[Address A]])</f>
        <v>010.011.009.178</v>
      </c>
      <c r="P319" s="8" t="str">
        <f>formatIP(Table1[[#This Row],[Address B]])</f>
        <v>010.012.001.102</v>
      </c>
      <c r="Q319" s="8" t="str">
        <f>VLOOKUP(Table1[[#This Row],[Address A]],IP_Master[],4,FALSE)</f>
        <v>PPPCPP1</v>
      </c>
      <c r="R319" s="8" t="str">
        <f>VLOOKUP(Table1[[#This Row],[Address B]],IP_Master[],4,FALSE)</f>
        <v>PPPLC</v>
      </c>
      <c r="S319" s="8" t="str">
        <f>VLOOKUP(Table1[[#This Row],[Address A]],IP_Master[],2,FALSE)</f>
        <v>Power Plant</v>
      </c>
      <c r="T319" s="8" t="str">
        <f>VLOOKUP(Table1[[#This Row],[Address B]],IP_Master[],2,FALSE)</f>
        <v>Power Plant</v>
      </c>
      <c r="U319" s="9" t="str">
        <f>VLOOKUP(Table1[[#This Row],[Address A]],IP_Master[],3,FALSE)</f>
        <v>iFIX Nodes &amp; Ethernet Switches</v>
      </c>
      <c r="V319" s="9" t="str">
        <f>VLOOKUP(Table1[[#This Row],[Address B]],IP_Master[],3,FALSE)</f>
        <v>PLCs &amp; Control Equipment</v>
      </c>
      <c r="W319" s="9" t="str">
        <f>VLOOKUP(Table1[[#This Row],[Port B]],traffic_types[],2,FALSE)</f>
        <v>Modbus</v>
      </c>
    </row>
    <row r="320" spans="1:23" hidden="1" x14ac:dyDescent="0.6">
      <c r="A320" t="s">
        <v>86</v>
      </c>
      <c r="B320">
        <v>14000</v>
      </c>
      <c r="C320" t="s">
        <v>55</v>
      </c>
      <c r="D320">
        <v>3978</v>
      </c>
      <c r="E320">
        <v>367</v>
      </c>
      <c r="F320">
        <v>24052</v>
      </c>
      <c r="G320">
        <v>0</v>
      </c>
      <c r="H320">
        <v>0</v>
      </c>
      <c r="I320">
        <v>367</v>
      </c>
      <c r="J320">
        <v>24052</v>
      </c>
      <c r="K320">
        <v>3.7575440000000002</v>
      </c>
      <c r="L320">
        <v>894.05548099999999</v>
      </c>
      <c r="M320">
        <v>0</v>
      </c>
      <c r="N320">
        <v>215.21706883870701</v>
      </c>
      <c r="O320" s="8" t="str">
        <f>formatIP(Table1[[#This Row],[Address A]])</f>
        <v>010.011.009.194</v>
      </c>
      <c r="P320" s="8" t="str">
        <f>formatIP(Table1[[#This Row],[Address B]])</f>
        <v>010.012.000.064</v>
      </c>
      <c r="Q320" s="8" t="str">
        <f>VLOOKUP(Table1[[#This Row],[Address A]],IP_Master[],4,FALSE)</f>
        <v>PPPCHIST</v>
      </c>
      <c r="R320" s="8" t="str">
        <f>VLOOKUP(Table1[[#This Row],[Address B]],IP_Master[],4,FALSE)</f>
        <v>PPPCPET4</v>
      </c>
      <c r="S320" s="8" t="str">
        <f>VLOOKUP(Table1[[#This Row],[Address A]],IP_Master[],2,FALSE)</f>
        <v>Other ProcN Devices</v>
      </c>
      <c r="T320" s="8" t="str">
        <f>VLOOKUP(Table1[[#This Row],[Address B]],IP_Master[],2,FALSE)</f>
        <v>PETs Plant</v>
      </c>
      <c r="U320" s="9" t="str">
        <f>VLOOKUP(Table1[[#This Row],[Address A]],IP_Master[],3,FALSE)</f>
        <v>iFIX Nodes &amp; Ethernet Switches</v>
      </c>
      <c r="V320" s="9" t="str">
        <f>VLOOKUP(Table1[[#This Row],[Address B]],IP_Master[],3,FALSE)</f>
        <v>iFIX Nodes &amp; Ethernet Switches</v>
      </c>
      <c r="W320" s="9" t="e">
        <f>VLOOKUP(Table1[[#This Row],[Port B]],traffic_types[],2,FALSE)</f>
        <v>#N/A</v>
      </c>
    </row>
    <row r="321" spans="1:23" hidden="1" x14ac:dyDescent="0.6">
      <c r="A321" t="s">
        <v>86</v>
      </c>
      <c r="B321">
        <v>14000</v>
      </c>
      <c r="C321" t="s">
        <v>55</v>
      </c>
      <c r="D321">
        <v>3986</v>
      </c>
      <c r="E321">
        <v>364</v>
      </c>
      <c r="F321">
        <v>23872</v>
      </c>
      <c r="G321">
        <v>0</v>
      </c>
      <c r="H321">
        <v>0</v>
      </c>
      <c r="I321">
        <v>364</v>
      </c>
      <c r="J321">
        <v>23872</v>
      </c>
      <c r="K321">
        <v>3.7575449999999999</v>
      </c>
      <c r="L321">
        <v>894.05548399999998</v>
      </c>
      <c r="M321">
        <v>0</v>
      </c>
      <c r="N321">
        <v>213.606429821977</v>
      </c>
      <c r="O321" s="8" t="str">
        <f>formatIP(Table1[[#This Row],[Address A]])</f>
        <v>010.011.009.194</v>
      </c>
      <c r="P321" s="8" t="str">
        <f>formatIP(Table1[[#This Row],[Address B]])</f>
        <v>010.012.000.064</v>
      </c>
      <c r="Q321" s="8" t="str">
        <f>VLOOKUP(Table1[[#This Row],[Address A]],IP_Master[],4,FALSE)</f>
        <v>PPPCHIST</v>
      </c>
      <c r="R321" s="8" t="str">
        <f>VLOOKUP(Table1[[#This Row],[Address B]],IP_Master[],4,FALSE)</f>
        <v>PPPCPET4</v>
      </c>
      <c r="S321" s="8" t="str">
        <f>VLOOKUP(Table1[[#This Row],[Address A]],IP_Master[],2,FALSE)</f>
        <v>Other ProcN Devices</v>
      </c>
      <c r="T321" s="8" t="str">
        <f>VLOOKUP(Table1[[#This Row],[Address B]],IP_Master[],2,FALSE)</f>
        <v>PETs Plant</v>
      </c>
      <c r="U321" s="9" t="str">
        <f>VLOOKUP(Table1[[#This Row],[Address A]],IP_Master[],3,FALSE)</f>
        <v>iFIX Nodes &amp; Ethernet Switches</v>
      </c>
      <c r="V321" s="9" t="str">
        <f>VLOOKUP(Table1[[#This Row],[Address B]],IP_Master[],3,FALSE)</f>
        <v>iFIX Nodes &amp; Ethernet Switches</v>
      </c>
      <c r="W321" s="9" t="e">
        <f>VLOOKUP(Table1[[#This Row],[Port B]],traffic_types[],2,FALSE)</f>
        <v>#N/A</v>
      </c>
    </row>
    <row r="322" spans="1:23" x14ac:dyDescent="0.6">
      <c r="A322" t="s">
        <v>53</v>
      </c>
      <c r="B322">
        <v>2552</v>
      </c>
      <c r="C322" t="s">
        <v>87</v>
      </c>
      <c r="D322">
        <v>502</v>
      </c>
      <c r="E322">
        <v>1</v>
      </c>
      <c r="F322" s="13">
        <v>62</v>
      </c>
      <c r="G322">
        <v>1</v>
      </c>
      <c r="H322">
        <v>62</v>
      </c>
      <c r="I322">
        <v>0</v>
      </c>
      <c r="J322">
        <v>0</v>
      </c>
      <c r="K322">
        <v>0.57637000000000005</v>
      </c>
      <c r="L322">
        <v>0</v>
      </c>
      <c r="M322">
        <v>0</v>
      </c>
      <c r="N322">
        <v>0</v>
      </c>
      <c r="O322" s="8" t="str">
        <f>formatIP(Table1[[#This Row],[Address A]])</f>
        <v>010.012.000.001</v>
      </c>
      <c r="P322" s="8" t="str">
        <f>formatIP(Table1[[#This Row],[Address B]])</f>
        <v>010.011.009.028</v>
      </c>
      <c r="Q322" s="8" t="str">
        <f>VLOOKUP(Table1[[#This Row],[Address A]],IP_Master[],4,FALSE)</f>
        <v>PPPCFC1</v>
      </c>
      <c r="R322" s="8" t="str">
        <f>VLOOKUP(Table1[[#This Row],[Address B]],IP_Master[],4,FALSE)</f>
        <v>EGX100</v>
      </c>
      <c r="S322" s="8" t="str">
        <f>VLOOKUP(Table1[[#This Row],[Address A]],IP_Master[],2,FALSE)</f>
        <v>Fume Control</v>
      </c>
      <c r="T322" s="8" t="str">
        <f>VLOOKUP(Table1[[#This Row],[Address B]],IP_Master[],2,FALSE)</f>
        <v>Miscellaneous</v>
      </c>
      <c r="U322" s="9" t="str">
        <f>VLOOKUP(Table1[[#This Row],[Address A]],IP_Master[],3,FALSE)</f>
        <v>iFIX Nodes &amp; Ethernet Switches</v>
      </c>
      <c r="V322" s="9" t="str">
        <f>VLOOKUP(Table1[[#This Row],[Address B]],IP_Master[],3,FALSE)</f>
        <v>iFIX Nodes &amp; Ethernet Switches</v>
      </c>
      <c r="W322" s="9" t="str">
        <f>VLOOKUP(Table1[[#This Row],[Port B]],traffic_types[],2,FALSE)</f>
        <v>Modbus</v>
      </c>
    </row>
    <row r="323" spans="1:23" x14ac:dyDescent="0.6">
      <c r="A323" t="s">
        <v>53</v>
      </c>
      <c r="B323">
        <v>2558</v>
      </c>
      <c r="C323" t="s">
        <v>87</v>
      </c>
      <c r="D323">
        <v>502</v>
      </c>
      <c r="E323">
        <v>1</v>
      </c>
      <c r="F323" s="13">
        <v>62</v>
      </c>
      <c r="G323">
        <v>1</v>
      </c>
      <c r="H323">
        <v>62</v>
      </c>
      <c r="I323">
        <v>0</v>
      </c>
      <c r="J323">
        <v>0</v>
      </c>
      <c r="K323">
        <v>0.69389299999999998</v>
      </c>
      <c r="L323">
        <v>0</v>
      </c>
      <c r="M323">
        <v>0</v>
      </c>
      <c r="N323">
        <v>0</v>
      </c>
      <c r="O323" s="8" t="str">
        <f>formatIP(Table1[[#This Row],[Address A]])</f>
        <v>010.012.000.001</v>
      </c>
      <c r="P323" s="8" t="str">
        <f>formatIP(Table1[[#This Row],[Address B]])</f>
        <v>010.011.009.028</v>
      </c>
      <c r="Q323" s="8" t="str">
        <f>VLOOKUP(Table1[[#This Row],[Address A]],IP_Master[],4,FALSE)</f>
        <v>PPPCFC1</v>
      </c>
      <c r="R323" s="8" t="str">
        <f>VLOOKUP(Table1[[#This Row],[Address B]],IP_Master[],4,FALSE)</f>
        <v>EGX100</v>
      </c>
      <c r="S323" s="8" t="str">
        <f>VLOOKUP(Table1[[#This Row],[Address A]],IP_Master[],2,FALSE)</f>
        <v>Fume Control</v>
      </c>
      <c r="T323" s="8" t="str">
        <f>VLOOKUP(Table1[[#This Row],[Address B]],IP_Master[],2,FALSE)</f>
        <v>Miscellaneous</v>
      </c>
      <c r="U323" s="9" t="str">
        <f>VLOOKUP(Table1[[#This Row],[Address A]],IP_Master[],3,FALSE)</f>
        <v>iFIX Nodes &amp; Ethernet Switches</v>
      </c>
      <c r="V323" s="9" t="str">
        <f>VLOOKUP(Table1[[#This Row],[Address B]],IP_Master[],3,FALSE)</f>
        <v>iFIX Nodes &amp; Ethernet Switches</v>
      </c>
      <c r="W323" s="9" t="str">
        <f>VLOOKUP(Table1[[#This Row],[Port B]],traffic_types[],2,FALSE)</f>
        <v>Modbus</v>
      </c>
    </row>
    <row r="324" spans="1:23" x14ac:dyDescent="0.6">
      <c r="A324" t="s">
        <v>53</v>
      </c>
      <c r="B324">
        <v>2559</v>
      </c>
      <c r="C324" t="s">
        <v>87</v>
      </c>
      <c r="D324">
        <v>502</v>
      </c>
      <c r="E324">
        <v>2</v>
      </c>
      <c r="F324" s="13">
        <v>124</v>
      </c>
      <c r="G324">
        <v>2</v>
      </c>
      <c r="H324">
        <v>124</v>
      </c>
      <c r="I324">
        <v>0</v>
      </c>
      <c r="J324">
        <v>0</v>
      </c>
      <c r="K324">
        <v>0.76061900000000005</v>
      </c>
      <c r="L324">
        <v>2.9345870000000001</v>
      </c>
      <c r="M324">
        <v>338.03734562989598</v>
      </c>
      <c r="N324">
        <v>0</v>
      </c>
      <c r="O324" s="8" t="str">
        <f>formatIP(Table1[[#This Row],[Address A]])</f>
        <v>010.012.000.001</v>
      </c>
      <c r="P324" s="8" t="str">
        <f>formatIP(Table1[[#This Row],[Address B]])</f>
        <v>010.011.009.028</v>
      </c>
      <c r="Q324" s="8" t="str">
        <f>VLOOKUP(Table1[[#This Row],[Address A]],IP_Master[],4,FALSE)</f>
        <v>PPPCFC1</v>
      </c>
      <c r="R324" s="8" t="str">
        <f>VLOOKUP(Table1[[#This Row],[Address B]],IP_Master[],4,FALSE)</f>
        <v>EGX100</v>
      </c>
      <c r="S324" s="8" t="str">
        <f>VLOOKUP(Table1[[#This Row],[Address A]],IP_Master[],2,FALSE)</f>
        <v>Fume Control</v>
      </c>
      <c r="T324" s="8" t="str">
        <f>VLOOKUP(Table1[[#This Row],[Address B]],IP_Master[],2,FALSE)</f>
        <v>Miscellaneous</v>
      </c>
      <c r="U324" s="9" t="str">
        <f>VLOOKUP(Table1[[#This Row],[Address A]],IP_Master[],3,FALSE)</f>
        <v>iFIX Nodes &amp; Ethernet Switches</v>
      </c>
      <c r="V324" s="9" t="str">
        <f>VLOOKUP(Table1[[#This Row],[Address B]],IP_Master[],3,FALSE)</f>
        <v>iFIX Nodes &amp; Ethernet Switches</v>
      </c>
      <c r="W324" s="9" t="str">
        <f>VLOOKUP(Table1[[#This Row],[Port B]],traffic_types[],2,FALSE)</f>
        <v>Modbus</v>
      </c>
    </row>
    <row r="325" spans="1:23" x14ac:dyDescent="0.6">
      <c r="A325" t="s">
        <v>53</v>
      </c>
      <c r="B325">
        <v>2554</v>
      </c>
      <c r="C325" t="s">
        <v>87</v>
      </c>
      <c r="D325">
        <v>502</v>
      </c>
      <c r="E325">
        <v>1</v>
      </c>
      <c r="F325" s="13">
        <v>62</v>
      </c>
      <c r="G325">
        <v>1</v>
      </c>
      <c r="H325">
        <v>62</v>
      </c>
      <c r="I325">
        <v>0</v>
      </c>
      <c r="J325">
        <v>0</v>
      </c>
      <c r="K325">
        <v>1.1799269999999999</v>
      </c>
      <c r="L325">
        <v>0</v>
      </c>
      <c r="M325">
        <v>0</v>
      </c>
      <c r="N325">
        <v>0</v>
      </c>
      <c r="O325" s="8" t="str">
        <f>formatIP(Table1[[#This Row],[Address A]])</f>
        <v>010.012.000.001</v>
      </c>
      <c r="P325" s="8" t="str">
        <f>formatIP(Table1[[#This Row],[Address B]])</f>
        <v>010.011.009.028</v>
      </c>
      <c r="Q325" s="8" t="str">
        <f>VLOOKUP(Table1[[#This Row],[Address A]],IP_Master[],4,FALSE)</f>
        <v>PPPCFC1</v>
      </c>
      <c r="R325" s="8" t="str">
        <f>VLOOKUP(Table1[[#This Row],[Address B]],IP_Master[],4,FALSE)</f>
        <v>EGX100</v>
      </c>
      <c r="S325" s="8" t="str">
        <f>VLOOKUP(Table1[[#This Row],[Address A]],IP_Master[],2,FALSE)</f>
        <v>Fume Control</v>
      </c>
      <c r="T325" s="8" t="str">
        <f>VLOOKUP(Table1[[#This Row],[Address B]],IP_Master[],2,FALSE)</f>
        <v>Miscellaneous</v>
      </c>
      <c r="U325" s="9" t="str">
        <f>VLOOKUP(Table1[[#This Row],[Address A]],IP_Master[],3,FALSE)</f>
        <v>iFIX Nodes &amp; Ethernet Switches</v>
      </c>
      <c r="V325" s="9" t="str">
        <f>VLOOKUP(Table1[[#This Row],[Address B]],IP_Master[],3,FALSE)</f>
        <v>iFIX Nodes &amp; Ethernet Switches</v>
      </c>
      <c r="W325" s="9" t="str">
        <f>VLOOKUP(Table1[[#This Row],[Port B]],traffic_types[],2,FALSE)</f>
        <v>Modbus</v>
      </c>
    </row>
    <row r="326" spans="1:23" x14ac:dyDescent="0.6">
      <c r="A326" t="s">
        <v>53</v>
      </c>
      <c r="B326">
        <v>2561</v>
      </c>
      <c r="C326" t="s">
        <v>87</v>
      </c>
      <c r="D326">
        <v>502</v>
      </c>
      <c r="E326">
        <v>1</v>
      </c>
      <c r="F326" s="13">
        <v>62</v>
      </c>
      <c r="G326">
        <v>1</v>
      </c>
      <c r="H326">
        <v>62</v>
      </c>
      <c r="I326">
        <v>0</v>
      </c>
      <c r="J326">
        <v>0</v>
      </c>
      <c r="K326">
        <v>1.3193999999999999</v>
      </c>
      <c r="L326">
        <v>0</v>
      </c>
      <c r="M326">
        <v>0</v>
      </c>
      <c r="N326">
        <v>0</v>
      </c>
      <c r="O326" s="8" t="str">
        <f>formatIP(Table1[[#This Row],[Address A]])</f>
        <v>010.012.000.001</v>
      </c>
      <c r="P326" s="8" t="str">
        <f>formatIP(Table1[[#This Row],[Address B]])</f>
        <v>010.011.009.028</v>
      </c>
      <c r="Q326" s="8" t="str">
        <f>VLOOKUP(Table1[[#This Row],[Address A]],IP_Master[],4,FALSE)</f>
        <v>PPPCFC1</v>
      </c>
      <c r="R326" s="8" t="str">
        <f>VLOOKUP(Table1[[#This Row],[Address B]],IP_Master[],4,FALSE)</f>
        <v>EGX100</v>
      </c>
      <c r="S326" s="8" t="str">
        <f>VLOOKUP(Table1[[#This Row],[Address A]],IP_Master[],2,FALSE)</f>
        <v>Fume Control</v>
      </c>
      <c r="T326" s="8" t="str">
        <f>VLOOKUP(Table1[[#This Row],[Address B]],IP_Master[],2,FALSE)</f>
        <v>Miscellaneous</v>
      </c>
      <c r="U326" s="9" t="str">
        <f>VLOOKUP(Table1[[#This Row],[Address A]],IP_Master[],3,FALSE)</f>
        <v>iFIX Nodes &amp; Ethernet Switches</v>
      </c>
      <c r="V326" s="9" t="str">
        <f>VLOOKUP(Table1[[#This Row],[Address B]],IP_Master[],3,FALSE)</f>
        <v>iFIX Nodes &amp; Ethernet Switches</v>
      </c>
      <c r="W326" s="9" t="str">
        <f>VLOOKUP(Table1[[#This Row],[Port B]],traffic_types[],2,FALSE)</f>
        <v>Modbus</v>
      </c>
    </row>
    <row r="327" spans="1:23" x14ac:dyDescent="0.6">
      <c r="A327" t="s">
        <v>53</v>
      </c>
      <c r="B327">
        <v>2563</v>
      </c>
      <c r="C327" t="s">
        <v>87</v>
      </c>
      <c r="D327">
        <v>502</v>
      </c>
      <c r="E327">
        <v>1</v>
      </c>
      <c r="F327" s="13">
        <v>62</v>
      </c>
      <c r="G327">
        <v>1</v>
      </c>
      <c r="H327">
        <v>62</v>
      </c>
      <c r="I327">
        <v>0</v>
      </c>
      <c r="J327">
        <v>0</v>
      </c>
      <c r="K327">
        <v>3.772481</v>
      </c>
      <c r="L327">
        <v>0</v>
      </c>
      <c r="M327">
        <v>0</v>
      </c>
      <c r="N327">
        <v>0</v>
      </c>
      <c r="O327" s="8" t="str">
        <f>formatIP(Table1[[#This Row],[Address A]])</f>
        <v>010.012.000.001</v>
      </c>
      <c r="P327" s="8" t="str">
        <f>formatIP(Table1[[#This Row],[Address B]])</f>
        <v>010.011.009.028</v>
      </c>
      <c r="Q327" s="8" t="str">
        <f>VLOOKUP(Table1[[#This Row],[Address A]],IP_Master[],4,FALSE)</f>
        <v>PPPCFC1</v>
      </c>
      <c r="R327" s="8" t="str">
        <f>VLOOKUP(Table1[[#This Row],[Address B]],IP_Master[],4,FALSE)</f>
        <v>EGX100</v>
      </c>
      <c r="S327" s="8" t="str">
        <f>VLOOKUP(Table1[[#This Row],[Address A]],IP_Master[],2,FALSE)</f>
        <v>Fume Control</v>
      </c>
      <c r="T327" s="8" t="str">
        <f>VLOOKUP(Table1[[#This Row],[Address B]],IP_Master[],2,FALSE)</f>
        <v>Miscellaneous</v>
      </c>
      <c r="U327" s="9" t="str">
        <f>VLOOKUP(Table1[[#This Row],[Address A]],IP_Master[],3,FALSE)</f>
        <v>iFIX Nodes &amp; Ethernet Switches</v>
      </c>
      <c r="V327" s="9" t="str">
        <f>VLOOKUP(Table1[[#This Row],[Address B]],IP_Master[],3,FALSE)</f>
        <v>iFIX Nodes &amp; Ethernet Switches</v>
      </c>
      <c r="W327" s="9" t="str">
        <f>VLOOKUP(Table1[[#This Row],[Port B]],traffic_types[],2,FALSE)</f>
        <v>Modbus</v>
      </c>
    </row>
    <row r="328" spans="1:23" x14ac:dyDescent="0.6">
      <c r="A328" t="s">
        <v>53</v>
      </c>
      <c r="B328">
        <v>2568</v>
      </c>
      <c r="C328" t="s">
        <v>87</v>
      </c>
      <c r="D328">
        <v>502</v>
      </c>
      <c r="E328">
        <v>2</v>
      </c>
      <c r="F328" s="13">
        <v>124</v>
      </c>
      <c r="G328">
        <v>2</v>
      </c>
      <c r="H328">
        <v>124</v>
      </c>
      <c r="I328">
        <v>0</v>
      </c>
      <c r="J328">
        <v>0</v>
      </c>
      <c r="K328">
        <v>27.268816000000001</v>
      </c>
      <c r="L328">
        <v>2.9841280000000001</v>
      </c>
      <c r="M328">
        <v>332.42541874879402</v>
      </c>
      <c r="N328">
        <v>0</v>
      </c>
      <c r="O328" s="8" t="str">
        <f>formatIP(Table1[[#This Row],[Address A]])</f>
        <v>010.012.000.001</v>
      </c>
      <c r="P328" s="8" t="str">
        <f>formatIP(Table1[[#This Row],[Address B]])</f>
        <v>010.011.009.028</v>
      </c>
      <c r="Q328" s="8" t="str">
        <f>VLOOKUP(Table1[[#This Row],[Address A]],IP_Master[],4,FALSE)</f>
        <v>PPPCFC1</v>
      </c>
      <c r="R328" s="8" t="str">
        <f>VLOOKUP(Table1[[#This Row],[Address B]],IP_Master[],4,FALSE)</f>
        <v>EGX100</v>
      </c>
      <c r="S328" s="8" t="str">
        <f>VLOOKUP(Table1[[#This Row],[Address A]],IP_Master[],2,FALSE)</f>
        <v>Fume Control</v>
      </c>
      <c r="T328" s="8" t="str">
        <f>VLOOKUP(Table1[[#This Row],[Address B]],IP_Master[],2,FALSE)</f>
        <v>Miscellaneous</v>
      </c>
      <c r="U328" s="9" t="str">
        <f>VLOOKUP(Table1[[#This Row],[Address A]],IP_Master[],3,FALSE)</f>
        <v>iFIX Nodes &amp; Ethernet Switches</v>
      </c>
      <c r="V328" s="9" t="str">
        <f>VLOOKUP(Table1[[#This Row],[Address B]],IP_Master[],3,FALSE)</f>
        <v>iFIX Nodes &amp; Ethernet Switches</v>
      </c>
      <c r="W328" s="9" t="str">
        <f>VLOOKUP(Table1[[#This Row],[Port B]],traffic_types[],2,FALSE)</f>
        <v>Modbus</v>
      </c>
    </row>
    <row r="329" spans="1:23" x14ac:dyDescent="0.6">
      <c r="A329" t="s">
        <v>53</v>
      </c>
      <c r="B329">
        <v>2569</v>
      </c>
      <c r="C329" t="s">
        <v>87</v>
      </c>
      <c r="D329">
        <v>502</v>
      </c>
      <c r="E329">
        <v>2</v>
      </c>
      <c r="F329" s="13">
        <v>124</v>
      </c>
      <c r="G329">
        <v>2</v>
      </c>
      <c r="H329">
        <v>124</v>
      </c>
      <c r="I329">
        <v>0</v>
      </c>
      <c r="J329">
        <v>0</v>
      </c>
      <c r="K329">
        <v>29.738059</v>
      </c>
      <c r="L329">
        <v>2.9292470000000002</v>
      </c>
      <c r="M329">
        <v>338.65358571673897</v>
      </c>
      <c r="N329">
        <v>0</v>
      </c>
      <c r="O329" s="8" t="str">
        <f>formatIP(Table1[[#This Row],[Address A]])</f>
        <v>010.012.000.001</v>
      </c>
      <c r="P329" s="8" t="str">
        <f>formatIP(Table1[[#This Row],[Address B]])</f>
        <v>010.011.009.028</v>
      </c>
      <c r="Q329" s="8" t="str">
        <f>VLOOKUP(Table1[[#This Row],[Address A]],IP_Master[],4,FALSE)</f>
        <v>PPPCFC1</v>
      </c>
      <c r="R329" s="8" t="str">
        <f>VLOOKUP(Table1[[#This Row],[Address B]],IP_Master[],4,FALSE)</f>
        <v>EGX100</v>
      </c>
      <c r="S329" s="8" t="str">
        <f>VLOOKUP(Table1[[#This Row],[Address A]],IP_Master[],2,FALSE)</f>
        <v>Fume Control</v>
      </c>
      <c r="T329" s="8" t="str">
        <f>VLOOKUP(Table1[[#This Row],[Address B]],IP_Master[],2,FALSE)</f>
        <v>Miscellaneous</v>
      </c>
      <c r="U329" s="9" t="str">
        <f>VLOOKUP(Table1[[#This Row],[Address A]],IP_Master[],3,FALSE)</f>
        <v>iFIX Nodes &amp; Ethernet Switches</v>
      </c>
      <c r="V329" s="9" t="str">
        <f>VLOOKUP(Table1[[#This Row],[Address B]],IP_Master[],3,FALSE)</f>
        <v>iFIX Nodes &amp; Ethernet Switches</v>
      </c>
      <c r="W329" s="9" t="str">
        <f>VLOOKUP(Table1[[#This Row],[Port B]],traffic_types[],2,FALSE)</f>
        <v>Modbus</v>
      </c>
    </row>
    <row r="330" spans="1:23" x14ac:dyDescent="0.6">
      <c r="A330" t="s">
        <v>53</v>
      </c>
      <c r="B330">
        <v>2571</v>
      </c>
      <c r="C330" t="s">
        <v>87</v>
      </c>
      <c r="D330">
        <v>502</v>
      </c>
      <c r="E330">
        <v>1</v>
      </c>
      <c r="F330" s="13">
        <v>62</v>
      </c>
      <c r="G330">
        <v>1</v>
      </c>
      <c r="H330">
        <v>62</v>
      </c>
      <c r="I330">
        <v>0</v>
      </c>
      <c r="J330">
        <v>0</v>
      </c>
      <c r="K330">
        <v>30.275922000000001</v>
      </c>
      <c r="L330">
        <v>0</v>
      </c>
      <c r="M330">
        <v>0</v>
      </c>
      <c r="N330">
        <v>0</v>
      </c>
      <c r="O330" s="8" t="str">
        <f>formatIP(Table1[[#This Row],[Address A]])</f>
        <v>010.012.000.001</v>
      </c>
      <c r="P330" s="8" t="str">
        <f>formatIP(Table1[[#This Row],[Address B]])</f>
        <v>010.011.009.028</v>
      </c>
      <c r="Q330" s="8" t="str">
        <f>VLOOKUP(Table1[[#This Row],[Address A]],IP_Master[],4,FALSE)</f>
        <v>PPPCFC1</v>
      </c>
      <c r="R330" s="8" t="str">
        <f>VLOOKUP(Table1[[#This Row],[Address B]],IP_Master[],4,FALSE)</f>
        <v>EGX100</v>
      </c>
      <c r="S330" s="8" t="str">
        <f>VLOOKUP(Table1[[#This Row],[Address A]],IP_Master[],2,FALSE)</f>
        <v>Fume Control</v>
      </c>
      <c r="T330" s="8" t="str">
        <f>VLOOKUP(Table1[[#This Row],[Address B]],IP_Master[],2,FALSE)</f>
        <v>Miscellaneous</v>
      </c>
      <c r="U330" s="9" t="str">
        <f>VLOOKUP(Table1[[#This Row],[Address A]],IP_Master[],3,FALSE)</f>
        <v>iFIX Nodes &amp; Ethernet Switches</v>
      </c>
      <c r="V330" s="9" t="str">
        <f>VLOOKUP(Table1[[#This Row],[Address B]],IP_Master[],3,FALSE)</f>
        <v>iFIX Nodes &amp; Ethernet Switches</v>
      </c>
      <c r="W330" s="9" t="str">
        <f>VLOOKUP(Table1[[#This Row],[Port B]],traffic_types[],2,FALSE)</f>
        <v>Modbus</v>
      </c>
    </row>
    <row r="331" spans="1:23" x14ac:dyDescent="0.6">
      <c r="A331" t="s">
        <v>53</v>
      </c>
      <c r="B331">
        <v>2572</v>
      </c>
      <c r="C331" t="s">
        <v>87</v>
      </c>
      <c r="D331">
        <v>502</v>
      </c>
      <c r="E331">
        <v>2</v>
      </c>
      <c r="F331" s="13">
        <v>124</v>
      </c>
      <c r="G331">
        <v>2</v>
      </c>
      <c r="H331">
        <v>124</v>
      </c>
      <c r="I331">
        <v>0</v>
      </c>
      <c r="J331">
        <v>0</v>
      </c>
      <c r="K331">
        <v>30.705946000000001</v>
      </c>
      <c r="L331">
        <v>2.9673219999999998</v>
      </c>
      <c r="M331">
        <v>334.30817417186302</v>
      </c>
      <c r="N331">
        <v>0</v>
      </c>
      <c r="O331" s="8" t="str">
        <f>formatIP(Table1[[#This Row],[Address A]])</f>
        <v>010.012.000.001</v>
      </c>
      <c r="P331" s="8" t="str">
        <f>formatIP(Table1[[#This Row],[Address B]])</f>
        <v>010.011.009.028</v>
      </c>
      <c r="Q331" s="8" t="str">
        <f>VLOOKUP(Table1[[#This Row],[Address A]],IP_Master[],4,FALSE)</f>
        <v>PPPCFC1</v>
      </c>
      <c r="R331" s="8" t="str">
        <f>VLOOKUP(Table1[[#This Row],[Address B]],IP_Master[],4,FALSE)</f>
        <v>EGX100</v>
      </c>
      <c r="S331" s="8" t="str">
        <f>VLOOKUP(Table1[[#This Row],[Address A]],IP_Master[],2,FALSE)</f>
        <v>Fume Control</v>
      </c>
      <c r="T331" s="8" t="str">
        <f>VLOOKUP(Table1[[#This Row],[Address B]],IP_Master[],2,FALSE)</f>
        <v>Miscellaneous</v>
      </c>
      <c r="U331" s="9" t="str">
        <f>VLOOKUP(Table1[[#This Row],[Address A]],IP_Master[],3,FALSE)</f>
        <v>iFIX Nodes &amp; Ethernet Switches</v>
      </c>
      <c r="V331" s="9" t="str">
        <f>VLOOKUP(Table1[[#This Row],[Address B]],IP_Master[],3,FALSE)</f>
        <v>iFIX Nodes &amp; Ethernet Switches</v>
      </c>
      <c r="W331" s="9" t="str">
        <f>VLOOKUP(Table1[[#This Row],[Port B]],traffic_types[],2,FALSE)</f>
        <v>Modbus</v>
      </c>
    </row>
    <row r="332" spans="1:23" x14ac:dyDescent="0.6">
      <c r="A332" t="s">
        <v>53</v>
      </c>
      <c r="B332">
        <v>2574</v>
      </c>
      <c r="C332" t="s">
        <v>87</v>
      </c>
      <c r="D332">
        <v>502</v>
      </c>
      <c r="E332">
        <v>2</v>
      </c>
      <c r="F332" s="13">
        <v>124</v>
      </c>
      <c r="G332">
        <v>2</v>
      </c>
      <c r="H332">
        <v>124</v>
      </c>
      <c r="I332">
        <v>0</v>
      </c>
      <c r="J332">
        <v>0</v>
      </c>
      <c r="K332">
        <v>31.323654999999999</v>
      </c>
      <c r="L332">
        <v>2.9532829999999999</v>
      </c>
      <c r="M332">
        <v>335.89737251729701</v>
      </c>
      <c r="N332">
        <v>0</v>
      </c>
      <c r="O332" s="8" t="str">
        <f>formatIP(Table1[[#This Row],[Address A]])</f>
        <v>010.012.000.001</v>
      </c>
      <c r="P332" s="8" t="str">
        <f>formatIP(Table1[[#This Row],[Address B]])</f>
        <v>010.011.009.028</v>
      </c>
      <c r="Q332" s="8" t="str">
        <f>VLOOKUP(Table1[[#This Row],[Address A]],IP_Master[],4,FALSE)</f>
        <v>PPPCFC1</v>
      </c>
      <c r="R332" s="8" t="str">
        <f>VLOOKUP(Table1[[#This Row],[Address B]],IP_Master[],4,FALSE)</f>
        <v>EGX100</v>
      </c>
      <c r="S332" s="8" t="str">
        <f>VLOOKUP(Table1[[#This Row],[Address A]],IP_Master[],2,FALSE)</f>
        <v>Fume Control</v>
      </c>
      <c r="T332" s="8" t="str">
        <f>VLOOKUP(Table1[[#This Row],[Address B]],IP_Master[],2,FALSE)</f>
        <v>Miscellaneous</v>
      </c>
      <c r="U332" s="9" t="str">
        <f>VLOOKUP(Table1[[#This Row],[Address A]],IP_Master[],3,FALSE)</f>
        <v>iFIX Nodes &amp; Ethernet Switches</v>
      </c>
      <c r="V332" s="9" t="str">
        <f>VLOOKUP(Table1[[#This Row],[Address B]],IP_Master[],3,FALSE)</f>
        <v>iFIX Nodes &amp; Ethernet Switches</v>
      </c>
      <c r="W332" s="9" t="str">
        <f>VLOOKUP(Table1[[#This Row],[Port B]],traffic_types[],2,FALSE)</f>
        <v>Modbus</v>
      </c>
    </row>
    <row r="333" spans="1:23" x14ac:dyDescent="0.6">
      <c r="A333" t="s">
        <v>53</v>
      </c>
      <c r="B333">
        <v>2576</v>
      </c>
      <c r="C333" t="s">
        <v>87</v>
      </c>
      <c r="D333">
        <v>502</v>
      </c>
      <c r="E333">
        <v>1</v>
      </c>
      <c r="F333" s="13">
        <v>62</v>
      </c>
      <c r="G333">
        <v>1</v>
      </c>
      <c r="H333">
        <v>62</v>
      </c>
      <c r="I333">
        <v>0</v>
      </c>
      <c r="J333">
        <v>0</v>
      </c>
      <c r="K333">
        <v>32.744912999999997</v>
      </c>
      <c r="L333">
        <v>0</v>
      </c>
      <c r="M333">
        <v>0</v>
      </c>
      <c r="N333">
        <v>0</v>
      </c>
      <c r="O333" s="8" t="str">
        <f>formatIP(Table1[[#This Row],[Address A]])</f>
        <v>010.012.000.001</v>
      </c>
      <c r="P333" s="8" t="str">
        <f>formatIP(Table1[[#This Row],[Address B]])</f>
        <v>010.011.009.028</v>
      </c>
      <c r="Q333" s="8" t="str">
        <f>VLOOKUP(Table1[[#This Row],[Address A]],IP_Master[],4,FALSE)</f>
        <v>PPPCFC1</v>
      </c>
      <c r="R333" s="8" t="str">
        <f>VLOOKUP(Table1[[#This Row],[Address B]],IP_Master[],4,FALSE)</f>
        <v>EGX100</v>
      </c>
      <c r="S333" s="8" t="str">
        <f>VLOOKUP(Table1[[#This Row],[Address A]],IP_Master[],2,FALSE)</f>
        <v>Fume Control</v>
      </c>
      <c r="T333" s="8" t="str">
        <f>VLOOKUP(Table1[[#This Row],[Address B]],IP_Master[],2,FALSE)</f>
        <v>Miscellaneous</v>
      </c>
      <c r="U333" s="9" t="str">
        <f>VLOOKUP(Table1[[#This Row],[Address A]],IP_Master[],3,FALSE)</f>
        <v>iFIX Nodes &amp; Ethernet Switches</v>
      </c>
      <c r="V333" s="9" t="str">
        <f>VLOOKUP(Table1[[#This Row],[Address B]],IP_Master[],3,FALSE)</f>
        <v>iFIX Nodes &amp; Ethernet Switches</v>
      </c>
      <c r="W333" s="9" t="str">
        <f>VLOOKUP(Table1[[#This Row],[Port B]],traffic_types[],2,FALSE)</f>
        <v>Modbus</v>
      </c>
    </row>
    <row r="334" spans="1:23" x14ac:dyDescent="0.6">
      <c r="A334" t="s">
        <v>53</v>
      </c>
      <c r="B334">
        <v>2577</v>
      </c>
      <c r="C334" t="s">
        <v>87</v>
      </c>
      <c r="D334">
        <v>502</v>
      </c>
      <c r="E334">
        <v>1</v>
      </c>
      <c r="F334" s="13">
        <v>62</v>
      </c>
      <c r="G334">
        <v>1</v>
      </c>
      <c r="H334">
        <v>62</v>
      </c>
      <c r="I334">
        <v>0</v>
      </c>
      <c r="J334">
        <v>0</v>
      </c>
      <c r="K334">
        <v>33.713766</v>
      </c>
      <c r="L334">
        <v>0</v>
      </c>
      <c r="M334">
        <v>0</v>
      </c>
      <c r="N334">
        <v>0</v>
      </c>
      <c r="O334" s="8" t="str">
        <f>formatIP(Table1[[#This Row],[Address A]])</f>
        <v>010.012.000.001</v>
      </c>
      <c r="P334" s="8" t="str">
        <f>formatIP(Table1[[#This Row],[Address B]])</f>
        <v>010.011.009.028</v>
      </c>
      <c r="Q334" s="8" t="str">
        <f>VLOOKUP(Table1[[#This Row],[Address A]],IP_Master[],4,FALSE)</f>
        <v>PPPCFC1</v>
      </c>
      <c r="R334" s="8" t="str">
        <f>VLOOKUP(Table1[[#This Row],[Address B]],IP_Master[],4,FALSE)</f>
        <v>EGX100</v>
      </c>
      <c r="S334" s="8" t="str">
        <f>VLOOKUP(Table1[[#This Row],[Address A]],IP_Master[],2,FALSE)</f>
        <v>Fume Control</v>
      </c>
      <c r="T334" s="8" t="str">
        <f>VLOOKUP(Table1[[#This Row],[Address B]],IP_Master[],2,FALSE)</f>
        <v>Miscellaneous</v>
      </c>
      <c r="U334" s="9" t="str">
        <f>VLOOKUP(Table1[[#This Row],[Address A]],IP_Master[],3,FALSE)</f>
        <v>iFIX Nodes &amp; Ethernet Switches</v>
      </c>
      <c r="V334" s="9" t="str">
        <f>VLOOKUP(Table1[[#This Row],[Address B]],IP_Master[],3,FALSE)</f>
        <v>iFIX Nodes &amp; Ethernet Switches</v>
      </c>
      <c r="W334" s="9" t="str">
        <f>VLOOKUP(Table1[[#This Row],[Port B]],traffic_types[],2,FALSE)</f>
        <v>Modbus</v>
      </c>
    </row>
    <row r="335" spans="1:23" x14ac:dyDescent="0.6">
      <c r="A335" t="s">
        <v>53</v>
      </c>
      <c r="B335">
        <v>2578</v>
      </c>
      <c r="C335" t="s">
        <v>87</v>
      </c>
      <c r="D335">
        <v>502</v>
      </c>
      <c r="E335">
        <v>2</v>
      </c>
      <c r="F335" s="13">
        <v>124</v>
      </c>
      <c r="G335">
        <v>2</v>
      </c>
      <c r="H335">
        <v>124</v>
      </c>
      <c r="I335">
        <v>0</v>
      </c>
      <c r="J335">
        <v>0</v>
      </c>
      <c r="K335">
        <v>33.778478999999997</v>
      </c>
      <c r="L335">
        <v>3.0133969999999999</v>
      </c>
      <c r="M335">
        <v>329.19658445269499</v>
      </c>
      <c r="N335">
        <v>0</v>
      </c>
      <c r="O335" s="8" t="str">
        <f>formatIP(Table1[[#This Row],[Address A]])</f>
        <v>010.012.000.001</v>
      </c>
      <c r="P335" s="8" t="str">
        <f>formatIP(Table1[[#This Row],[Address B]])</f>
        <v>010.011.009.028</v>
      </c>
      <c r="Q335" s="8" t="str">
        <f>VLOOKUP(Table1[[#This Row],[Address A]],IP_Master[],4,FALSE)</f>
        <v>PPPCFC1</v>
      </c>
      <c r="R335" s="8" t="str">
        <f>VLOOKUP(Table1[[#This Row],[Address B]],IP_Master[],4,FALSE)</f>
        <v>EGX100</v>
      </c>
      <c r="S335" s="8" t="str">
        <f>VLOOKUP(Table1[[#This Row],[Address A]],IP_Master[],2,FALSE)</f>
        <v>Fume Control</v>
      </c>
      <c r="T335" s="8" t="str">
        <f>VLOOKUP(Table1[[#This Row],[Address B]],IP_Master[],2,FALSE)</f>
        <v>Miscellaneous</v>
      </c>
      <c r="U335" s="9" t="str">
        <f>VLOOKUP(Table1[[#This Row],[Address A]],IP_Master[],3,FALSE)</f>
        <v>iFIX Nodes &amp; Ethernet Switches</v>
      </c>
      <c r="V335" s="9" t="str">
        <f>VLOOKUP(Table1[[#This Row],[Address B]],IP_Master[],3,FALSE)</f>
        <v>iFIX Nodes &amp; Ethernet Switches</v>
      </c>
      <c r="W335" s="9" t="str">
        <f>VLOOKUP(Table1[[#This Row],[Port B]],traffic_types[],2,FALSE)</f>
        <v>Modbus</v>
      </c>
    </row>
    <row r="336" spans="1:23" x14ac:dyDescent="0.6">
      <c r="A336" t="s">
        <v>53</v>
      </c>
      <c r="B336">
        <v>2580</v>
      </c>
      <c r="C336" t="s">
        <v>87</v>
      </c>
      <c r="D336">
        <v>502</v>
      </c>
      <c r="E336">
        <v>1</v>
      </c>
      <c r="F336" s="13">
        <v>62</v>
      </c>
      <c r="G336">
        <v>1</v>
      </c>
      <c r="H336">
        <v>62</v>
      </c>
      <c r="I336">
        <v>0</v>
      </c>
      <c r="J336">
        <v>0</v>
      </c>
      <c r="K336">
        <v>34.339100000000002</v>
      </c>
      <c r="L336">
        <v>0</v>
      </c>
      <c r="M336">
        <v>0</v>
      </c>
      <c r="N336">
        <v>0</v>
      </c>
      <c r="O336" s="8" t="str">
        <f>formatIP(Table1[[#This Row],[Address A]])</f>
        <v>010.012.000.001</v>
      </c>
      <c r="P336" s="8" t="str">
        <f>formatIP(Table1[[#This Row],[Address B]])</f>
        <v>010.011.009.028</v>
      </c>
      <c r="Q336" s="8" t="str">
        <f>VLOOKUP(Table1[[#This Row],[Address A]],IP_Master[],4,FALSE)</f>
        <v>PPPCFC1</v>
      </c>
      <c r="R336" s="8" t="str">
        <f>VLOOKUP(Table1[[#This Row],[Address B]],IP_Master[],4,FALSE)</f>
        <v>EGX100</v>
      </c>
      <c r="S336" s="8" t="str">
        <f>VLOOKUP(Table1[[#This Row],[Address A]],IP_Master[],2,FALSE)</f>
        <v>Fume Control</v>
      </c>
      <c r="T336" s="8" t="str">
        <f>VLOOKUP(Table1[[#This Row],[Address B]],IP_Master[],2,FALSE)</f>
        <v>Miscellaneous</v>
      </c>
      <c r="U336" s="9" t="str">
        <f>VLOOKUP(Table1[[#This Row],[Address A]],IP_Master[],3,FALSE)</f>
        <v>iFIX Nodes &amp; Ethernet Switches</v>
      </c>
      <c r="V336" s="9" t="str">
        <f>VLOOKUP(Table1[[#This Row],[Address B]],IP_Master[],3,FALSE)</f>
        <v>iFIX Nodes &amp; Ethernet Switches</v>
      </c>
      <c r="W336" s="9" t="str">
        <f>VLOOKUP(Table1[[#This Row],[Port B]],traffic_types[],2,FALSE)</f>
        <v>Modbus</v>
      </c>
    </row>
    <row r="337" spans="1:23" x14ac:dyDescent="0.6">
      <c r="A337" t="s">
        <v>53</v>
      </c>
      <c r="B337">
        <v>2582</v>
      </c>
      <c r="C337" t="s">
        <v>87</v>
      </c>
      <c r="D337">
        <v>502</v>
      </c>
      <c r="E337">
        <v>1</v>
      </c>
      <c r="F337" s="13">
        <v>62</v>
      </c>
      <c r="G337">
        <v>1</v>
      </c>
      <c r="H337">
        <v>62</v>
      </c>
      <c r="I337">
        <v>0</v>
      </c>
      <c r="J337">
        <v>0</v>
      </c>
      <c r="K337">
        <v>36.792341999999998</v>
      </c>
      <c r="L337">
        <v>0</v>
      </c>
      <c r="M337">
        <v>0</v>
      </c>
      <c r="N337">
        <v>0</v>
      </c>
      <c r="O337" s="8" t="str">
        <f>formatIP(Table1[[#This Row],[Address A]])</f>
        <v>010.012.000.001</v>
      </c>
      <c r="P337" s="8" t="str">
        <f>formatIP(Table1[[#This Row],[Address B]])</f>
        <v>010.011.009.028</v>
      </c>
      <c r="Q337" s="8" t="str">
        <f>VLOOKUP(Table1[[#This Row],[Address A]],IP_Master[],4,FALSE)</f>
        <v>PPPCFC1</v>
      </c>
      <c r="R337" s="8" t="str">
        <f>VLOOKUP(Table1[[#This Row],[Address B]],IP_Master[],4,FALSE)</f>
        <v>EGX100</v>
      </c>
      <c r="S337" s="8" t="str">
        <f>VLOOKUP(Table1[[#This Row],[Address A]],IP_Master[],2,FALSE)</f>
        <v>Fume Control</v>
      </c>
      <c r="T337" s="8" t="str">
        <f>VLOOKUP(Table1[[#This Row],[Address B]],IP_Master[],2,FALSE)</f>
        <v>Miscellaneous</v>
      </c>
      <c r="U337" s="9" t="str">
        <f>VLOOKUP(Table1[[#This Row],[Address A]],IP_Master[],3,FALSE)</f>
        <v>iFIX Nodes &amp; Ethernet Switches</v>
      </c>
      <c r="V337" s="9" t="str">
        <f>VLOOKUP(Table1[[#This Row],[Address B]],IP_Master[],3,FALSE)</f>
        <v>iFIX Nodes &amp; Ethernet Switches</v>
      </c>
      <c r="W337" s="9" t="str">
        <f>VLOOKUP(Table1[[#This Row],[Port B]],traffic_types[],2,FALSE)</f>
        <v>Modbus</v>
      </c>
    </row>
    <row r="338" spans="1:23" x14ac:dyDescent="0.6">
      <c r="A338" t="s">
        <v>53</v>
      </c>
      <c r="B338">
        <v>2589</v>
      </c>
      <c r="C338" t="s">
        <v>87</v>
      </c>
      <c r="D338">
        <v>502</v>
      </c>
      <c r="E338">
        <v>2</v>
      </c>
      <c r="F338" s="13">
        <v>124</v>
      </c>
      <c r="G338">
        <v>2</v>
      </c>
      <c r="H338">
        <v>124</v>
      </c>
      <c r="I338">
        <v>0</v>
      </c>
      <c r="J338">
        <v>0</v>
      </c>
      <c r="K338">
        <v>60.286695999999999</v>
      </c>
      <c r="L338">
        <v>2.9626070000000002</v>
      </c>
      <c r="M338">
        <v>334.84022686775597</v>
      </c>
      <c r="N338">
        <v>0</v>
      </c>
      <c r="O338" s="8" t="str">
        <f>formatIP(Table1[[#This Row],[Address A]])</f>
        <v>010.012.000.001</v>
      </c>
      <c r="P338" s="8" t="str">
        <f>formatIP(Table1[[#This Row],[Address B]])</f>
        <v>010.011.009.028</v>
      </c>
      <c r="Q338" s="8" t="str">
        <f>VLOOKUP(Table1[[#This Row],[Address A]],IP_Master[],4,FALSE)</f>
        <v>PPPCFC1</v>
      </c>
      <c r="R338" s="8" t="str">
        <f>VLOOKUP(Table1[[#This Row],[Address B]],IP_Master[],4,FALSE)</f>
        <v>EGX100</v>
      </c>
      <c r="S338" s="8" t="str">
        <f>VLOOKUP(Table1[[#This Row],[Address A]],IP_Master[],2,FALSE)</f>
        <v>Fume Control</v>
      </c>
      <c r="T338" s="8" t="str">
        <f>VLOOKUP(Table1[[#This Row],[Address B]],IP_Master[],2,FALSE)</f>
        <v>Miscellaneous</v>
      </c>
      <c r="U338" s="9" t="str">
        <f>VLOOKUP(Table1[[#This Row],[Address A]],IP_Master[],3,FALSE)</f>
        <v>iFIX Nodes &amp; Ethernet Switches</v>
      </c>
      <c r="V338" s="9" t="str">
        <f>VLOOKUP(Table1[[#This Row],[Address B]],IP_Master[],3,FALSE)</f>
        <v>iFIX Nodes &amp; Ethernet Switches</v>
      </c>
      <c r="W338" s="9" t="str">
        <f>VLOOKUP(Table1[[#This Row],[Port B]],traffic_types[],2,FALSE)</f>
        <v>Modbus</v>
      </c>
    </row>
    <row r="339" spans="1:23" x14ac:dyDescent="0.6">
      <c r="A339" t="s">
        <v>53</v>
      </c>
      <c r="B339">
        <v>2591</v>
      </c>
      <c r="C339" t="s">
        <v>87</v>
      </c>
      <c r="D339">
        <v>502</v>
      </c>
      <c r="E339">
        <v>2</v>
      </c>
      <c r="F339" s="13">
        <v>124</v>
      </c>
      <c r="G339">
        <v>2</v>
      </c>
      <c r="H339">
        <v>124</v>
      </c>
      <c r="I339">
        <v>0</v>
      </c>
      <c r="J339">
        <v>0</v>
      </c>
      <c r="K339">
        <v>62.757629000000001</v>
      </c>
      <c r="L339">
        <v>3.0067390000000001</v>
      </c>
      <c r="M339">
        <v>329.925543919841</v>
      </c>
      <c r="N339">
        <v>0</v>
      </c>
      <c r="O339" s="8" t="str">
        <f>formatIP(Table1[[#This Row],[Address A]])</f>
        <v>010.012.000.001</v>
      </c>
      <c r="P339" s="8" t="str">
        <f>formatIP(Table1[[#This Row],[Address B]])</f>
        <v>010.011.009.028</v>
      </c>
      <c r="Q339" s="8" t="str">
        <f>VLOOKUP(Table1[[#This Row],[Address A]],IP_Master[],4,FALSE)</f>
        <v>PPPCFC1</v>
      </c>
      <c r="R339" s="8" t="str">
        <f>VLOOKUP(Table1[[#This Row],[Address B]],IP_Master[],4,FALSE)</f>
        <v>EGX100</v>
      </c>
      <c r="S339" s="8" t="str">
        <f>VLOOKUP(Table1[[#This Row],[Address A]],IP_Master[],2,FALSE)</f>
        <v>Fume Control</v>
      </c>
      <c r="T339" s="8" t="str">
        <f>VLOOKUP(Table1[[#This Row],[Address B]],IP_Master[],2,FALSE)</f>
        <v>Miscellaneous</v>
      </c>
      <c r="U339" s="9" t="str">
        <f>VLOOKUP(Table1[[#This Row],[Address A]],IP_Master[],3,FALSE)</f>
        <v>iFIX Nodes &amp; Ethernet Switches</v>
      </c>
      <c r="V339" s="9" t="str">
        <f>VLOOKUP(Table1[[#This Row],[Address B]],IP_Master[],3,FALSE)</f>
        <v>iFIX Nodes &amp; Ethernet Switches</v>
      </c>
      <c r="W339" s="9" t="str">
        <f>VLOOKUP(Table1[[#This Row],[Port B]],traffic_types[],2,FALSE)</f>
        <v>Modbus</v>
      </c>
    </row>
    <row r="340" spans="1:23" x14ac:dyDescent="0.6">
      <c r="A340" t="s">
        <v>53</v>
      </c>
      <c r="B340">
        <v>2592</v>
      </c>
      <c r="C340" t="s">
        <v>87</v>
      </c>
      <c r="D340">
        <v>502</v>
      </c>
      <c r="E340">
        <v>1</v>
      </c>
      <c r="F340" s="13">
        <v>62</v>
      </c>
      <c r="G340">
        <v>1</v>
      </c>
      <c r="H340">
        <v>62</v>
      </c>
      <c r="I340">
        <v>0</v>
      </c>
      <c r="J340">
        <v>0</v>
      </c>
      <c r="K340">
        <v>63.295703000000003</v>
      </c>
      <c r="L340">
        <v>0</v>
      </c>
      <c r="M340">
        <v>0</v>
      </c>
      <c r="N340">
        <v>0</v>
      </c>
      <c r="O340" s="8" t="str">
        <f>formatIP(Table1[[#This Row],[Address A]])</f>
        <v>010.012.000.001</v>
      </c>
      <c r="P340" s="8" t="str">
        <f>formatIP(Table1[[#This Row],[Address B]])</f>
        <v>010.011.009.028</v>
      </c>
      <c r="Q340" s="8" t="str">
        <f>VLOOKUP(Table1[[#This Row],[Address A]],IP_Master[],4,FALSE)</f>
        <v>PPPCFC1</v>
      </c>
      <c r="R340" s="8" t="str">
        <f>VLOOKUP(Table1[[#This Row],[Address B]],IP_Master[],4,FALSE)</f>
        <v>EGX100</v>
      </c>
      <c r="S340" s="8" t="str">
        <f>VLOOKUP(Table1[[#This Row],[Address A]],IP_Master[],2,FALSE)</f>
        <v>Fume Control</v>
      </c>
      <c r="T340" s="8" t="str">
        <f>VLOOKUP(Table1[[#This Row],[Address B]],IP_Master[],2,FALSE)</f>
        <v>Miscellaneous</v>
      </c>
      <c r="U340" s="9" t="str">
        <f>VLOOKUP(Table1[[#This Row],[Address A]],IP_Master[],3,FALSE)</f>
        <v>iFIX Nodes &amp; Ethernet Switches</v>
      </c>
      <c r="V340" s="9" t="str">
        <f>VLOOKUP(Table1[[#This Row],[Address B]],IP_Master[],3,FALSE)</f>
        <v>iFIX Nodes &amp; Ethernet Switches</v>
      </c>
      <c r="W340" s="9" t="str">
        <f>VLOOKUP(Table1[[#This Row],[Port B]],traffic_types[],2,FALSE)</f>
        <v>Modbus</v>
      </c>
    </row>
    <row r="341" spans="1:23" x14ac:dyDescent="0.6">
      <c r="A341" t="s">
        <v>53</v>
      </c>
      <c r="B341">
        <v>2593</v>
      </c>
      <c r="C341" t="s">
        <v>87</v>
      </c>
      <c r="D341">
        <v>502</v>
      </c>
      <c r="E341">
        <v>2</v>
      </c>
      <c r="F341" s="13">
        <v>124</v>
      </c>
      <c r="G341">
        <v>2</v>
      </c>
      <c r="H341">
        <v>124</v>
      </c>
      <c r="I341">
        <v>0</v>
      </c>
      <c r="J341">
        <v>0</v>
      </c>
      <c r="K341">
        <v>63.726559999999999</v>
      </c>
      <c r="L341">
        <v>2.9431940000000001</v>
      </c>
      <c r="M341">
        <v>337.04879800651997</v>
      </c>
      <c r="N341">
        <v>0</v>
      </c>
      <c r="O341" s="8" t="str">
        <f>formatIP(Table1[[#This Row],[Address A]])</f>
        <v>010.012.000.001</v>
      </c>
      <c r="P341" s="8" t="str">
        <f>formatIP(Table1[[#This Row],[Address B]])</f>
        <v>010.011.009.028</v>
      </c>
      <c r="Q341" s="8" t="str">
        <f>VLOOKUP(Table1[[#This Row],[Address A]],IP_Master[],4,FALSE)</f>
        <v>PPPCFC1</v>
      </c>
      <c r="R341" s="8" t="str">
        <f>VLOOKUP(Table1[[#This Row],[Address B]],IP_Master[],4,FALSE)</f>
        <v>EGX100</v>
      </c>
      <c r="S341" s="8" t="str">
        <f>VLOOKUP(Table1[[#This Row],[Address A]],IP_Master[],2,FALSE)</f>
        <v>Fume Control</v>
      </c>
      <c r="T341" s="8" t="str">
        <f>VLOOKUP(Table1[[#This Row],[Address B]],IP_Master[],2,FALSE)</f>
        <v>Miscellaneous</v>
      </c>
      <c r="U341" s="9" t="str">
        <f>VLOOKUP(Table1[[#This Row],[Address A]],IP_Master[],3,FALSE)</f>
        <v>iFIX Nodes &amp; Ethernet Switches</v>
      </c>
      <c r="V341" s="9" t="str">
        <f>VLOOKUP(Table1[[#This Row],[Address B]],IP_Master[],3,FALSE)</f>
        <v>iFIX Nodes &amp; Ethernet Switches</v>
      </c>
      <c r="W341" s="9" t="str">
        <f>VLOOKUP(Table1[[#This Row],[Port B]],traffic_types[],2,FALSE)</f>
        <v>Modbus</v>
      </c>
    </row>
    <row r="342" spans="1:23" x14ac:dyDescent="0.6">
      <c r="A342" t="s">
        <v>53</v>
      </c>
      <c r="B342">
        <v>2595</v>
      </c>
      <c r="C342" t="s">
        <v>87</v>
      </c>
      <c r="D342">
        <v>502</v>
      </c>
      <c r="E342">
        <v>2</v>
      </c>
      <c r="F342" s="13">
        <v>124</v>
      </c>
      <c r="G342">
        <v>2</v>
      </c>
      <c r="H342">
        <v>124</v>
      </c>
      <c r="I342">
        <v>0</v>
      </c>
      <c r="J342">
        <v>0</v>
      </c>
      <c r="K342">
        <v>64.351150000000004</v>
      </c>
      <c r="L342">
        <v>2.9222800000000002</v>
      </c>
      <c r="M342">
        <v>339.46096883255501</v>
      </c>
      <c r="N342">
        <v>0</v>
      </c>
      <c r="O342" s="8" t="str">
        <f>formatIP(Table1[[#This Row],[Address A]])</f>
        <v>010.012.000.001</v>
      </c>
      <c r="P342" s="8" t="str">
        <f>formatIP(Table1[[#This Row],[Address B]])</f>
        <v>010.011.009.028</v>
      </c>
      <c r="Q342" s="8" t="str">
        <f>VLOOKUP(Table1[[#This Row],[Address A]],IP_Master[],4,FALSE)</f>
        <v>PPPCFC1</v>
      </c>
      <c r="R342" s="8" t="str">
        <f>VLOOKUP(Table1[[#This Row],[Address B]],IP_Master[],4,FALSE)</f>
        <v>EGX100</v>
      </c>
      <c r="S342" s="8" t="str">
        <f>VLOOKUP(Table1[[#This Row],[Address A]],IP_Master[],2,FALSE)</f>
        <v>Fume Control</v>
      </c>
      <c r="T342" s="8" t="str">
        <f>VLOOKUP(Table1[[#This Row],[Address B]],IP_Master[],2,FALSE)</f>
        <v>Miscellaneous</v>
      </c>
      <c r="U342" s="9" t="str">
        <f>VLOOKUP(Table1[[#This Row],[Address A]],IP_Master[],3,FALSE)</f>
        <v>iFIX Nodes &amp; Ethernet Switches</v>
      </c>
      <c r="V342" s="9" t="str">
        <f>VLOOKUP(Table1[[#This Row],[Address B]],IP_Master[],3,FALSE)</f>
        <v>iFIX Nodes &amp; Ethernet Switches</v>
      </c>
      <c r="W342" s="9" t="str">
        <f>VLOOKUP(Table1[[#This Row],[Port B]],traffic_types[],2,FALSE)</f>
        <v>Modbus</v>
      </c>
    </row>
    <row r="343" spans="1:23" x14ac:dyDescent="0.6">
      <c r="A343" t="s">
        <v>53</v>
      </c>
      <c r="B343">
        <v>2597</v>
      </c>
      <c r="C343" t="s">
        <v>87</v>
      </c>
      <c r="D343">
        <v>502</v>
      </c>
      <c r="E343">
        <v>1</v>
      </c>
      <c r="F343" s="13">
        <v>62</v>
      </c>
      <c r="G343">
        <v>1</v>
      </c>
      <c r="H343">
        <v>62</v>
      </c>
      <c r="I343">
        <v>0</v>
      </c>
      <c r="J343">
        <v>0</v>
      </c>
      <c r="K343">
        <v>65.764852000000005</v>
      </c>
      <c r="L343">
        <v>0</v>
      </c>
      <c r="M343">
        <v>0</v>
      </c>
      <c r="N343">
        <v>0</v>
      </c>
      <c r="O343" s="8" t="str">
        <f>formatIP(Table1[[#This Row],[Address A]])</f>
        <v>010.012.000.001</v>
      </c>
      <c r="P343" s="8" t="str">
        <f>formatIP(Table1[[#This Row],[Address B]])</f>
        <v>010.011.009.028</v>
      </c>
      <c r="Q343" s="8" t="str">
        <f>VLOOKUP(Table1[[#This Row],[Address A]],IP_Master[],4,FALSE)</f>
        <v>PPPCFC1</v>
      </c>
      <c r="R343" s="8" t="str">
        <f>VLOOKUP(Table1[[#This Row],[Address B]],IP_Master[],4,FALSE)</f>
        <v>EGX100</v>
      </c>
      <c r="S343" s="8" t="str">
        <f>VLOOKUP(Table1[[#This Row],[Address A]],IP_Master[],2,FALSE)</f>
        <v>Fume Control</v>
      </c>
      <c r="T343" s="8" t="str">
        <f>VLOOKUP(Table1[[#This Row],[Address B]],IP_Master[],2,FALSE)</f>
        <v>Miscellaneous</v>
      </c>
      <c r="U343" s="9" t="str">
        <f>VLOOKUP(Table1[[#This Row],[Address A]],IP_Master[],3,FALSE)</f>
        <v>iFIX Nodes &amp; Ethernet Switches</v>
      </c>
      <c r="V343" s="9" t="str">
        <f>VLOOKUP(Table1[[#This Row],[Address B]],IP_Master[],3,FALSE)</f>
        <v>iFIX Nodes &amp; Ethernet Switches</v>
      </c>
      <c r="W343" s="9" t="str">
        <f>VLOOKUP(Table1[[#This Row],[Port B]],traffic_types[],2,FALSE)</f>
        <v>Modbus</v>
      </c>
    </row>
    <row r="344" spans="1:23" x14ac:dyDescent="0.6">
      <c r="A344" t="s">
        <v>53</v>
      </c>
      <c r="B344">
        <v>2598</v>
      </c>
      <c r="C344" t="s">
        <v>87</v>
      </c>
      <c r="D344">
        <v>502</v>
      </c>
      <c r="E344">
        <v>1</v>
      </c>
      <c r="F344" s="13">
        <v>62</v>
      </c>
      <c r="G344">
        <v>1</v>
      </c>
      <c r="H344">
        <v>62</v>
      </c>
      <c r="I344">
        <v>0</v>
      </c>
      <c r="J344">
        <v>0</v>
      </c>
      <c r="K344">
        <v>66.733689999999996</v>
      </c>
      <c r="L344">
        <v>0</v>
      </c>
      <c r="M344">
        <v>0</v>
      </c>
      <c r="N344">
        <v>0</v>
      </c>
      <c r="O344" s="8" t="str">
        <f>formatIP(Table1[[#This Row],[Address A]])</f>
        <v>010.012.000.001</v>
      </c>
      <c r="P344" s="8" t="str">
        <f>formatIP(Table1[[#This Row],[Address B]])</f>
        <v>010.011.009.028</v>
      </c>
      <c r="Q344" s="8" t="str">
        <f>VLOOKUP(Table1[[#This Row],[Address A]],IP_Master[],4,FALSE)</f>
        <v>PPPCFC1</v>
      </c>
      <c r="R344" s="8" t="str">
        <f>VLOOKUP(Table1[[#This Row],[Address B]],IP_Master[],4,FALSE)</f>
        <v>EGX100</v>
      </c>
      <c r="S344" s="8" t="str">
        <f>VLOOKUP(Table1[[#This Row],[Address A]],IP_Master[],2,FALSE)</f>
        <v>Fume Control</v>
      </c>
      <c r="T344" s="8" t="str">
        <f>VLOOKUP(Table1[[#This Row],[Address B]],IP_Master[],2,FALSE)</f>
        <v>Miscellaneous</v>
      </c>
      <c r="U344" s="9" t="str">
        <f>VLOOKUP(Table1[[#This Row],[Address A]],IP_Master[],3,FALSE)</f>
        <v>iFIX Nodes &amp; Ethernet Switches</v>
      </c>
      <c r="V344" s="9" t="str">
        <f>VLOOKUP(Table1[[#This Row],[Address B]],IP_Master[],3,FALSE)</f>
        <v>iFIX Nodes &amp; Ethernet Switches</v>
      </c>
      <c r="W344" s="9" t="str">
        <f>VLOOKUP(Table1[[#This Row],[Port B]],traffic_types[],2,FALSE)</f>
        <v>Modbus</v>
      </c>
    </row>
    <row r="345" spans="1:23" x14ac:dyDescent="0.6">
      <c r="A345" t="s">
        <v>53</v>
      </c>
      <c r="B345">
        <v>2599</v>
      </c>
      <c r="C345" t="s">
        <v>87</v>
      </c>
      <c r="D345">
        <v>502</v>
      </c>
      <c r="E345">
        <v>2</v>
      </c>
      <c r="F345" s="13">
        <v>124</v>
      </c>
      <c r="G345">
        <v>2</v>
      </c>
      <c r="H345">
        <v>124</v>
      </c>
      <c r="I345">
        <v>0</v>
      </c>
      <c r="J345">
        <v>0</v>
      </c>
      <c r="K345">
        <v>66.800415000000001</v>
      </c>
      <c r="L345">
        <v>2.8873669999999998</v>
      </c>
      <c r="M345">
        <v>343.565608389928</v>
      </c>
      <c r="N345">
        <v>0</v>
      </c>
      <c r="O345" s="8" t="str">
        <f>formatIP(Table1[[#This Row],[Address A]])</f>
        <v>010.012.000.001</v>
      </c>
      <c r="P345" s="8" t="str">
        <f>formatIP(Table1[[#This Row],[Address B]])</f>
        <v>010.011.009.028</v>
      </c>
      <c r="Q345" s="8" t="str">
        <f>VLOOKUP(Table1[[#This Row],[Address A]],IP_Master[],4,FALSE)</f>
        <v>PPPCFC1</v>
      </c>
      <c r="R345" s="8" t="str">
        <f>VLOOKUP(Table1[[#This Row],[Address B]],IP_Master[],4,FALSE)</f>
        <v>EGX100</v>
      </c>
      <c r="S345" s="8" t="str">
        <f>VLOOKUP(Table1[[#This Row],[Address A]],IP_Master[],2,FALSE)</f>
        <v>Fume Control</v>
      </c>
      <c r="T345" s="8" t="str">
        <f>VLOOKUP(Table1[[#This Row],[Address B]],IP_Master[],2,FALSE)</f>
        <v>Miscellaneous</v>
      </c>
      <c r="U345" s="9" t="str">
        <f>VLOOKUP(Table1[[#This Row],[Address A]],IP_Master[],3,FALSE)</f>
        <v>iFIX Nodes &amp; Ethernet Switches</v>
      </c>
      <c r="V345" s="9" t="str">
        <f>VLOOKUP(Table1[[#This Row],[Address B]],IP_Master[],3,FALSE)</f>
        <v>iFIX Nodes &amp; Ethernet Switches</v>
      </c>
      <c r="W345" s="9" t="str">
        <f>VLOOKUP(Table1[[#This Row],[Port B]],traffic_types[],2,FALSE)</f>
        <v>Modbus</v>
      </c>
    </row>
    <row r="346" spans="1:23" x14ac:dyDescent="0.6">
      <c r="A346" t="s">
        <v>53</v>
      </c>
      <c r="B346">
        <v>2601</v>
      </c>
      <c r="C346" t="s">
        <v>87</v>
      </c>
      <c r="D346">
        <v>502</v>
      </c>
      <c r="E346">
        <v>1</v>
      </c>
      <c r="F346" s="13">
        <v>62</v>
      </c>
      <c r="G346">
        <v>1</v>
      </c>
      <c r="H346">
        <v>62</v>
      </c>
      <c r="I346">
        <v>0</v>
      </c>
      <c r="J346">
        <v>0</v>
      </c>
      <c r="K346">
        <v>67.359159000000005</v>
      </c>
      <c r="L346">
        <v>0</v>
      </c>
      <c r="M346">
        <v>0</v>
      </c>
      <c r="N346">
        <v>0</v>
      </c>
      <c r="O346" s="8" t="str">
        <f>formatIP(Table1[[#This Row],[Address A]])</f>
        <v>010.012.000.001</v>
      </c>
      <c r="P346" s="8" t="str">
        <f>formatIP(Table1[[#This Row],[Address B]])</f>
        <v>010.011.009.028</v>
      </c>
      <c r="Q346" s="8" t="str">
        <f>VLOOKUP(Table1[[#This Row],[Address A]],IP_Master[],4,FALSE)</f>
        <v>PPPCFC1</v>
      </c>
      <c r="R346" s="8" t="str">
        <f>VLOOKUP(Table1[[#This Row],[Address B]],IP_Master[],4,FALSE)</f>
        <v>EGX100</v>
      </c>
      <c r="S346" s="8" t="str">
        <f>VLOOKUP(Table1[[#This Row],[Address A]],IP_Master[],2,FALSE)</f>
        <v>Fume Control</v>
      </c>
      <c r="T346" s="8" t="str">
        <f>VLOOKUP(Table1[[#This Row],[Address B]],IP_Master[],2,FALSE)</f>
        <v>Miscellaneous</v>
      </c>
      <c r="U346" s="9" t="str">
        <f>VLOOKUP(Table1[[#This Row],[Address A]],IP_Master[],3,FALSE)</f>
        <v>iFIX Nodes &amp; Ethernet Switches</v>
      </c>
      <c r="V346" s="9" t="str">
        <f>VLOOKUP(Table1[[#This Row],[Address B]],IP_Master[],3,FALSE)</f>
        <v>iFIX Nodes &amp; Ethernet Switches</v>
      </c>
      <c r="W346" s="9" t="str">
        <f>VLOOKUP(Table1[[#This Row],[Port B]],traffic_types[],2,FALSE)</f>
        <v>Modbus</v>
      </c>
    </row>
    <row r="347" spans="1:23" x14ac:dyDescent="0.6">
      <c r="A347" t="s">
        <v>53</v>
      </c>
      <c r="B347">
        <v>2603</v>
      </c>
      <c r="C347" t="s">
        <v>87</v>
      </c>
      <c r="D347">
        <v>502</v>
      </c>
      <c r="E347">
        <v>1</v>
      </c>
      <c r="F347" s="13">
        <v>62</v>
      </c>
      <c r="G347">
        <v>1</v>
      </c>
      <c r="H347">
        <v>62</v>
      </c>
      <c r="I347">
        <v>0</v>
      </c>
      <c r="J347">
        <v>0</v>
      </c>
      <c r="K347">
        <v>69.812130999999994</v>
      </c>
      <c r="L347">
        <v>0</v>
      </c>
      <c r="M347">
        <v>0</v>
      </c>
      <c r="N347">
        <v>0</v>
      </c>
      <c r="O347" s="8" t="str">
        <f>formatIP(Table1[[#This Row],[Address A]])</f>
        <v>010.012.000.001</v>
      </c>
      <c r="P347" s="8" t="str">
        <f>formatIP(Table1[[#This Row],[Address B]])</f>
        <v>010.011.009.028</v>
      </c>
      <c r="Q347" s="8" t="str">
        <f>VLOOKUP(Table1[[#This Row],[Address A]],IP_Master[],4,FALSE)</f>
        <v>PPPCFC1</v>
      </c>
      <c r="R347" s="8" t="str">
        <f>VLOOKUP(Table1[[#This Row],[Address B]],IP_Master[],4,FALSE)</f>
        <v>EGX100</v>
      </c>
      <c r="S347" s="8" t="str">
        <f>VLOOKUP(Table1[[#This Row],[Address A]],IP_Master[],2,FALSE)</f>
        <v>Fume Control</v>
      </c>
      <c r="T347" s="8" t="str">
        <f>VLOOKUP(Table1[[#This Row],[Address B]],IP_Master[],2,FALSE)</f>
        <v>Miscellaneous</v>
      </c>
      <c r="U347" s="9" t="str">
        <f>VLOOKUP(Table1[[#This Row],[Address A]],IP_Master[],3,FALSE)</f>
        <v>iFIX Nodes &amp; Ethernet Switches</v>
      </c>
      <c r="V347" s="9" t="str">
        <f>VLOOKUP(Table1[[#This Row],[Address B]],IP_Master[],3,FALSE)</f>
        <v>iFIX Nodes &amp; Ethernet Switches</v>
      </c>
      <c r="W347" s="9" t="str">
        <f>VLOOKUP(Table1[[#This Row],[Port B]],traffic_types[],2,FALSE)</f>
        <v>Modbus</v>
      </c>
    </row>
    <row r="348" spans="1:23" x14ac:dyDescent="0.6">
      <c r="A348" t="s">
        <v>53</v>
      </c>
      <c r="B348">
        <v>2608</v>
      </c>
      <c r="C348" t="s">
        <v>87</v>
      </c>
      <c r="D348">
        <v>502</v>
      </c>
      <c r="E348">
        <v>1</v>
      </c>
      <c r="F348" s="13">
        <v>62</v>
      </c>
      <c r="G348">
        <v>1</v>
      </c>
      <c r="H348">
        <v>62</v>
      </c>
      <c r="I348">
        <v>0</v>
      </c>
      <c r="J348">
        <v>0</v>
      </c>
      <c r="K348">
        <v>93.302620000000005</v>
      </c>
      <c r="L348">
        <v>0</v>
      </c>
      <c r="M348">
        <v>0</v>
      </c>
      <c r="N348">
        <v>0</v>
      </c>
      <c r="O348" s="8" t="str">
        <f>formatIP(Table1[[#This Row],[Address A]])</f>
        <v>010.012.000.001</v>
      </c>
      <c r="P348" s="8" t="str">
        <f>formatIP(Table1[[#This Row],[Address B]])</f>
        <v>010.011.009.028</v>
      </c>
      <c r="Q348" s="8" t="str">
        <f>VLOOKUP(Table1[[#This Row],[Address A]],IP_Master[],4,FALSE)</f>
        <v>PPPCFC1</v>
      </c>
      <c r="R348" s="8" t="str">
        <f>VLOOKUP(Table1[[#This Row],[Address B]],IP_Master[],4,FALSE)</f>
        <v>EGX100</v>
      </c>
      <c r="S348" s="8" t="str">
        <f>VLOOKUP(Table1[[#This Row],[Address A]],IP_Master[],2,FALSE)</f>
        <v>Fume Control</v>
      </c>
      <c r="T348" s="8" t="str">
        <f>VLOOKUP(Table1[[#This Row],[Address B]],IP_Master[],2,FALSE)</f>
        <v>Miscellaneous</v>
      </c>
      <c r="U348" s="9" t="str">
        <f>VLOOKUP(Table1[[#This Row],[Address A]],IP_Master[],3,FALSE)</f>
        <v>iFIX Nodes &amp; Ethernet Switches</v>
      </c>
      <c r="V348" s="9" t="str">
        <f>VLOOKUP(Table1[[#This Row],[Address B]],IP_Master[],3,FALSE)</f>
        <v>iFIX Nodes &amp; Ethernet Switches</v>
      </c>
      <c r="W348" s="9" t="str">
        <f>VLOOKUP(Table1[[#This Row],[Port B]],traffic_types[],2,FALSE)</f>
        <v>Modbus</v>
      </c>
    </row>
    <row r="349" spans="1:23" x14ac:dyDescent="0.6">
      <c r="A349" t="s">
        <v>53</v>
      </c>
      <c r="B349">
        <v>2609</v>
      </c>
      <c r="C349" t="s">
        <v>87</v>
      </c>
      <c r="D349">
        <v>502</v>
      </c>
      <c r="E349">
        <v>2</v>
      </c>
      <c r="F349" s="13">
        <v>124</v>
      </c>
      <c r="G349">
        <v>2</v>
      </c>
      <c r="H349">
        <v>124</v>
      </c>
      <c r="I349">
        <v>0</v>
      </c>
      <c r="J349">
        <v>0</v>
      </c>
      <c r="K349">
        <v>95.778616</v>
      </c>
      <c r="L349">
        <v>2.9822220000000099</v>
      </c>
      <c r="M349">
        <v>332.637878736056</v>
      </c>
      <c r="N349">
        <v>0</v>
      </c>
      <c r="O349" s="8" t="str">
        <f>formatIP(Table1[[#This Row],[Address A]])</f>
        <v>010.012.000.001</v>
      </c>
      <c r="P349" s="8" t="str">
        <f>formatIP(Table1[[#This Row],[Address B]])</f>
        <v>010.011.009.028</v>
      </c>
      <c r="Q349" s="8" t="str">
        <f>VLOOKUP(Table1[[#This Row],[Address A]],IP_Master[],4,FALSE)</f>
        <v>PPPCFC1</v>
      </c>
      <c r="R349" s="8" t="str">
        <f>VLOOKUP(Table1[[#This Row],[Address B]],IP_Master[],4,FALSE)</f>
        <v>EGX100</v>
      </c>
      <c r="S349" s="8" t="str">
        <f>VLOOKUP(Table1[[#This Row],[Address A]],IP_Master[],2,FALSE)</f>
        <v>Fume Control</v>
      </c>
      <c r="T349" s="8" t="str">
        <f>VLOOKUP(Table1[[#This Row],[Address B]],IP_Master[],2,FALSE)</f>
        <v>Miscellaneous</v>
      </c>
      <c r="U349" s="9" t="str">
        <f>VLOOKUP(Table1[[#This Row],[Address A]],IP_Master[],3,FALSE)</f>
        <v>iFIX Nodes &amp; Ethernet Switches</v>
      </c>
      <c r="V349" s="9" t="str">
        <f>VLOOKUP(Table1[[#This Row],[Address B]],IP_Master[],3,FALSE)</f>
        <v>iFIX Nodes &amp; Ethernet Switches</v>
      </c>
      <c r="W349" s="9" t="str">
        <f>VLOOKUP(Table1[[#This Row],[Port B]],traffic_types[],2,FALSE)</f>
        <v>Modbus</v>
      </c>
    </row>
    <row r="350" spans="1:23" x14ac:dyDescent="0.6">
      <c r="A350" t="s">
        <v>53</v>
      </c>
      <c r="B350">
        <v>2610</v>
      </c>
      <c r="C350" t="s">
        <v>87</v>
      </c>
      <c r="D350">
        <v>502</v>
      </c>
      <c r="E350">
        <v>1</v>
      </c>
      <c r="F350" s="13">
        <v>62</v>
      </c>
      <c r="G350">
        <v>1</v>
      </c>
      <c r="H350">
        <v>62</v>
      </c>
      <c r="I350">
        <v>0</v>
      </c>
      <c r="J350">
        <v>0</v>
      </c>
      <c r="K350">
        <v>96.31559</v>
      </c>
      <c r="L350">
        <v>0</v>
      </c>
      <c r="M350">
        <v>0</v>
      </c>
      <c r="N350">
        <v>0</v>
      </c>
      <c r="O350" s="8" t="str">
        <f>formatIP(Table1[[#This Row],[Address A]])</f>
        <v>010.012.000.001</v>
      </c>
      <c r="P350" s="8" t="str">
        <f>formatIP(Table1[[#This Row],[Address B]])</f>
        <v>010.011.009.028</v>
      </c>
      <c r="Q350" s="8" t="str">
        <f>VLOOKUP(Table1[[#This Row],[Address A]],IP_Master[],4,FALSE)</f>
        <v>PPPCFC1</v>
      </c>
      <c r="R350" s="8" t="str">
        <f>VLOOKUP(Table1[[#This Row],[Address B]],IP_Master[],4,FALSE)</f>
        <v>EGX100</v>
      </c>
      <c r="S350" s="8" t="str">
        <f>VLOOKUP(Table1[[#This Row],[Address A]],IP_Master[],2,FALSE)</f>
        <v>Fume Control</v>
      </c>
      <c r="T350" s="8" t="str">
        <f>VLOOKUP(Table1[[#This Row],[Address B]],IP_Master[],2,FALSE)</f>
        <v>Miscellaneous</v>
      </c>
      <c r="U350" s="9" t="str">
        <f>VLOOKUP(Table1[[#This Row],[Address A]],IP_Master[],3,FALSE)</f>
        <v>iFIX Nodes &amp; Ethernet Switches</v>
      </c>
      <c r="V350" s="9" t="str">
        <f>VLOOKUP(Table1[[#This Row],[Address B]],IP_Master[],3,FALSE)</f>
        <v>iFIX Nodes &amp; Ethernet Switches</v>
      </c>
      <c r="W350" s="9" t="str">
        <f>VLOOKUP(Table1[[#This Row],[Port B]],traffic_types[],2,FALSE)</f>
        <v>Modbus</v>
      </c>
    </row>
    <row r="351" spans="1:23" x14ac:dyDescent="0.6">
      <c r="A351" t="s">
        <v>53</v>
      </c>
      <c r="B351">
        <v>2612</v>
      </c>
      <c r="C351" t="s">
        <v>87</v>
      </c>
      <c r="D351">
        <v>502</v>
      </c>
      <c r="E351">
        <v>1</v>
      </c>
      <c r="F351" s="13">
        <v>62</v>
      </c>
      <c r="G351">
        <v>1</v>
      </c>
      <c r="H351">
        <v>62</v>
      </c>
      <c r="I351">
        <v>0</v>
      </c>
      <c r="J351">
        <v>0</v>
      </c>
      <c r="K351">
        <v>96.749155000000002</v>
      </c>
      <c r="L351">
        <v>0</v>
      </c>
      <c r="M351">
        <v>0</v>
      </c>
      <c r="N351">
        <v>0</v>
      </c>
      <c r="O351" s="8" t="str">
        <f>formatIP(Table1[[#This Row],[Address A]])</f>
        <v>010.012.000.001</v>
      </c>
      <c r="P351" s="8" t="str">
        <f>formatIP(Table1[[#This Row],[Address B]])</f>
        <v>010.011.009.028</v>
      </c>
      <c r="Q351" s="8" t="str">
        <f>VLOOKUP(Table1[[#This Row],[Address A]],IP_Master[],4,FALSE)</f>
        <v>PPPCFC1</v>
      </c>
      <c r="R351" s="8" t="str">
        <f>VLOOKUP(Table1[[#This Row],[Address B]],IP_Master[],4,FALSE)</f>
        <v>EGX100</v>
      </c>
      <c r="S351" s="8" t="str">
        <f>VLOOKUP(Table1[[#This Row],[Address A]],IP_Master[],2,FALSE)</f>
        <v>Fume Control</v>
      </c>
      <c r="T351" s="8" t="str">
        <f>VLOOKUP(Table1[[#This Row],[Address B]],IP_Master[],2,FALSE)</f>
        <v>Miscellaneous</v>
      </c>
      <c r="U351" s="9" t="str">
        <f>VLOOKUP(Table1[[#This Row],[Address A]],IP_Master[],3,FALSE)</f>
        <v>iFIX Nodes &amp; Ethernet Switches</v>
      </c>
      <c r="V351" s="9" t="str">
        <f>VLOOKUP(Table1[[#This Row],[Address B]],IP_Master[],3,FALSE)</f>
        <v>iFIX Nodes &amp; Ethernet Switches</v>
      </c>
      <c r="W351" s="9" t="str">
        <f>VLOOKUP(Table1[[#This Row],[Port B]],traffic_types[],2,FALSE)</f>
        <v>Modbus</v>
      </c>
    </row>
    <row r="352" spans="1:23" x14ac:dyDescent="0.6">
      <c r="A352" t="s">
        <v>53</v>
      </c>
      <c r="B352">
        <v>2614</v>
      </c>
      <c r="C352" t="s">
        <v>87</v>
      </c>
      <c r="D352">
        <v>502</v>
      </c>
      <c r="E352">
        <v>2</v>
      </c>
      <c r="F352" s="13">
        <v>124</v>
      </c>
      <c r="G352">
        <v>2</v>
      </c>
      <c r="H352">
        <v>124</v>
      </c>
      <c r="I352">
        <v>0</v>
      </c>
      <c r="J352">
        <v>0</v>
      </c>
      <c r="K352">
        <v>97.364458999999997</v>
      </c>
      <c r="L352">
        <v>3.0058929999999999</v>
      </c>
      <c r="M352">
        <v>330.01840052190801</v>
      </c>
      <c r="N352">
        <v>0</v>
      </c>
      <c r="O352" s="8" t="str">
        <f>formatIP(Table1[[#This Row],[Address A]])</f>
        <v>010.012.000.001</v>
      </c>
      <c r="P352" s="8" t="str">
        <f>formatIP(Table1[[#This Row],[Address B]])</f>
        <v>010.011.009.028</v>
      </c>
      <c r="Q352" s="8" t="str">
        <f>VLOOKUP(Table1[[#This Row],[Address A]],IP_Master[],4,FALSE)</f>
        <v>PPPCFC1</v>
      </c>
      <c r="R352" s="8" t="str">
        <f>VLOOKUP(Table1[[#This Row],[Address B]],IP_Master[],4,FALSE)</f>
        <v>EGX100</v>
      </c>
      <c r="S352" s="8" t="str">
        <f>VLOOKUP(Table1[[#This Row],[Address A]],IP_Master[],2,FALSE)</f>
        <v>Fume Control</v>
      </c>
      <c r="T352" s="8" t="str">
        <f>VLOOKUP(Table1[[#This Row],[Address B]],IP_Master[],2,FALSE)</f>
        <v>Miscellaneous</v>
      </c>
      <c r="U352" s="9" t="str">
        <f>VLOOKUP(Table1[[#This Row],[Address A]],IP_Master[],3,FALSE)</f>
        <v>iFIX Nodes &amp; Ethernet Switches</v>
      </c>
      <c r="V352" s="9" t="str">
        <f>VLOOKUP(Table1[[#This Row],[Address B]],IP_Master[],3,FALSE)</f>
        <v>iFIX Nodes &amp; Ethernet Switches</v>
      </c>
      <c r="W352" s="9" t="str">
        <f>VLOOKUP(Table1[[#This Row],[Port B]],traffic_types[],2,FALSE)</f>
        <v>Modbus</v>
      </c>
    </row>
    <row r="353" spans="1:23" x14ac:dyDescent="0.6">
      <c r="A353" t="s">
        <v>53</v>
      </c>
      <c r="B353">
        <v>2616</v>
      </c>
      <c r="C353" t="s">
        <v>87</v>
      </c>
      <c r="D353">
        <v>502</v>
      </c>
      <c r="E353">
        <v>1</v>
      </c>
      <c r="F353" s="13">
        <v>62</v>
      </c>
      <c r="G353">
        <v>1</v>
      </c>
      <c r="H353">
        <v>62</v>
      </c>
      <c r="I353">
        <v>0</v>
      </c>
      <c r="J353">
        <v>0</v>
      </c>
      <c r="K353">
        <v>98.784637000000004</v>
      </c>
      <c r="L353">
        <v>0</v>
      </c>
      <c r="M353">
        <v>0</v>
      </c>
      <c r="N353">
        <v>0</v>
      </c>
      <c r="O353" s="8" t="str">
        <f>formatIP(Table1[[#This Row],[Address A]])</f>
        <v>010.012.000.001</v>
      </c>
      <c r="P353" s="8" t="str">
        <f>formatIP(Table1[[#This Row],[Address B]])</f>
        <v>010.011.009.028</v>
      </c>
      <c r="Q353" s="8" t="str">
        <f>VLOOKUP(Table1[[#This Row],[Address A]],IP_Master[],4,FALSE)</f>
        <v>PPPCFC1</v>
      </c>
      <c r="R353" s="8" t="str">
        <f>VLOOKUP(Table1[[#This Row],[Address B]],IP_Master[],4,FALSE)</f>
        <v>EGX100</v>
      </c>
      <c r="S353" s="8" t="str">
        <f>VLOOKUP(Table1[[#This Row],[Address A]],IP_Master[],2,FALSE)</f>
        <v>Fume Control</v>
      </c>
      <c r="T353" s="8" t="str">
        <f>VLOOKUP(Table1[[#This Row],[Address B]],IP_Master[],2,FALSE)</f>
        <v>Miscellaneous</v>
      </c>
      <c r="U353" s="9" t="str">
        <f>VLOOKUP(Table1[[#This Row],[Address A]],IP_Master[],3,FALSE)</f>
        <v>iFIX Nodes &amp; Ethernet Switches</v>
      </c>
      <c r="V353" s="9" t="str">
        <f>VLOOKUP(Table1[[#This Row],[Address B]],IP_Master[],3,FALSE)</f>
        <v>iFIX Nodes &amp; Ethernet Switches</v>
      </c>
      <c r="W353" s="9" t="str">
        <f>VLOOKUP(Table1[[#This Row],[Port B]],traffic_types[],2,FALSE)</f>
        <v>Modbus</v>
      </c>
    </row>
    <row r="354" spans="1:23" x14ac:dyDescent="0.6">
      <c r="A354" t="s">
        <v>53</v>
      </c>
      <c r="B354">
        <v>2617</v>
      </c>
      <c r="C354" t="s">
        <v>87</v>
      </c>
      <c r="D354">
        <v>502</v>
      </c>
      <c r="E354">
        <v>1</v>
      </c>
      <c r="F354" s="13">
        <v>62</v>
      </c>
      <c r="G354">
        <v>1</v>
      </c>
      <c r="H354">
        <v>62</v>
      </c>
      <c r="I354">
        <v>0</v>
      </c>
      <c r="J354">
        <v>0</v>
      </c>
      <c r="K354">
        <v>99.753534000000002</v>
      </c>
      <c r="L354">
        <v>0</v>
      </c>
      <c r="M354">
        <v>0</v>
      </c>
      <c r="N354">
        <v>0</v>
      </c>
      <c r="O354" s="8" t="str">
        <f>formatIP(Table1[[#This Row],[Address A]])</f>
        <v>010.012.000.001</v>
      </c>
      <c r="P354" s="8" t="str">
        <f>formatIP(Table1[[#This Row],[Address B]])</f>
        <v>010.011.009.028</v>
      </c>
      <c r="Q354" s="8" t="str">
        <f>VLOOKUP(Table1[[#This Row],[Address A]],IP_Master[],4,FALSE)</f>
        <v>PPPCFC1</v>
      </c>
      <c r="R354" s="8" t="str">
        <f>VLOOKUP(Table1[[#This Row],[Address B]],IP_Master[],4,FALSE)</f>
        <v>EGX100</v>
      </c>
      <c r="S354" s="8" t="str">
        <f>VLOOKUP(Table1[[#This Row],[Address A]],IP_Master[],2,FALSE)</f>
        <v>Fume Control</v>
      </c>
      <c r="T354" s="8" t="str">
        <f>VLOOKUP(Table1[[#This Row],[Address B]],IP_Master[],2,FALSE)</f>
        <v>Miscellaneous</v>
      </c>
      <c r="U354" s="9" t="str">
        <f>VLOOKUP(Table1[[#This Row],[Address A]],IP_Master[],3,FALSE)</f>
        <v>iFIX Nodes &amp; Ethernet Switches</v>
      </c>
      <c r="V354" s="9" t="str">
        <f>VLOOKUP(Table1[[#This Row],[Address B]],IP_Master[],3,FALSE)</f>
        <v>iFIX Nodes &amp; Ethernet Switches</v>
      </c>
      <c r="W354" s="9" t="str">
        <f>VLOOKUP(Table1[[#This Row],[Port B]],traffic_types[],2,FALSE)</f>
        <v>Modbus</v>
      </c>
    </row>
    <row r="355" spans="1:23" x14ac:dyDescent="0.6">
      <c r="A355" t="s">
        <v>53</v>
      </c>
      <c r="B355">
        <v>2618</v>
      </c>
      <c r="C355" t="s">
        <v>87</v>
      </c>
      <c r="D355">
        <v>502</v>
      </c>
      <c r="E355">
        <v>2</v>
      </c>
      <c r="F355" s="13">
        <v>124</v>
      </c>
      <c r="G355">
        <v>2</v>
      </c>
      <c r="H355">
        <v>124</v>
      </c>
      <c r="I355">
        <v>0</v>
      </c>
      <c r="J355">
        <v>0</v>
      </c>
      <c r="K355">
        <v>99.819288999999998</v>
      </c>
      <c r="L355">
        <v>2.8648220000000002</v>
      </c>
      <c r="M355">
        <v>346.26933191660697</v>
      </c>
      <c r="N355">
        <v>0</v>
      </c>
      <c r="O355" s="8" t="str">
        <f>formatIP(Table1[[#This Row],[Address A]])</f>
        <v>010.012.000.001</v>
      </c>
      <c r="P355" s="8" t="str">
        <f>formatIP(Table1[[#This Row],[Address B]])</f>
        <v>010.011.009.028</v>
      </c>
      <c r="Q355" s="8" t="str">
        <f>VLOOKUP(Table1[[#This Row],[Address A]],IP_Master[],4,FALSE)</f>
        <v>PPPCFC1</v>
      </c>
      <c r="R355" s="8" t="str">
        <f>VLOOKUP(Table1[[#This Row],[Address B]],IP_Master[],4,FALSE)</f>
        <v>EGX100</v>
      </c>
      <c r="S355" s="8" t="str">
        <f>VLOOKUP(Table1[[#This Row],[Address A]],IP_Master[],2,FALSE)</f>
        <v>Fume Control</v>
      </c>
      <c r="T355" s="8" t="str">
        <f>VLOOKUP(Table1[[#This Row],[Address B]],IP_Master[],2,FALSE)</f>
        <v>Miscellaneous</v>
      </c>
      <c r="U355" s="9" t="str">
        <f>VLOOKUP(Table1[[#This Row],[Address A]],IP_Master[],3,FALSE)</f>
        <v>iFIX Nodes &amp; Ethernet Switches</v>
      </c>
      <c r="V355" s="9" t="str">
        <f>VLOOKUP(Table1[[#This Row],[Address B]],IP_Master[],3,FALSE)</f>
        <v>iFIX Nodes &amp; Ethernet Switches</v>
      </c>
      <c r="W355" s="9" t="str">
        <f>VLOOKUP(Table1[[#This Row],[Port B]],traffic_types[],2,FALSE)</f>
        <v>Modbus</v>
      </c>
    </row>
    <row r="356" spans="1:23" x14ac:dyDescent="0.6">
      <c r="A356" t="s">
        <v>53</v>
      </c>
      <c r="B356">
        <v>2621</v>
      </c>
      <c r="C356" t="s">
        <v>87</v>
      </c>
      <c r="D356">
        <v>502</v>
      </c>
      <c r="E356">
        <v>1</v>
      </c>
      <c r="F356" s="13">
        <v>62</v>
      </c>
      <c r="G356">
        <v>1</v>
      </c>
      <c r="H356">
        <v>62</v>
      </c>
      <c r="I356">
        <v>0</v>
      </c>
      <c r="J356">
        <v>0</v>
      </c>
      <c r="K356">
        <v>100.37892100000001</v>
      </c>
      <c r="L356">
        <v>0</v>
      </c>
      <c r="M356">
        <v>0</v>
      </c>
      <c r="N356">
        <v>0</v>
      </c>
      <c r="O356" s="8" t="str">
        <f>formatIP(Table1[[#This Row],[Address A]])</f>
        <v>010.012.000.001</v>
      </c>
      <c r="P356" s="8" t="str">
        <f>formatIP(Table1[[#This Row],[Address B]])</f>
        <v>010.011.009.028</v>
      </c>
      <c r="Q356" s="8" t="str">
        <f>VLOOKUP(Table1[[#This Row],[Address A]],IP_Master[],4,FALSE)</f>
        <v>PPPCFC1</v>
      </c>
      <c r="R356" s="8" t="str">
        <f>VLOOKUP(Table1[[#This Row],[Address B]],IP_Master[],4,FALSE)</f>
        <v>EGX100</v>
      </c>
      <c r="S356" s="8" t="str">
        <f>VLOOKUP(Table1[[#This Row],[Address A]],IP_Master[],2,FALSE)</f>
        <v>Fume Control</v>
      </c>
      <c r="T356" s="8" t="str">
        <f>VLOOKUP(Table1[[#This Row],[Address B]],IP_Master[],2,FALSE)</f>
        <v>Miscellaneous</v>
      </c>
      <c r="U356" s="9" t="str">
        <f>VLOOKUP(Table1[[#This Row],[Address A]],IP_Master[],3,FALSE)</f>
        <v>iFIX Nodes &amp; Ethernet Switches</v>
      </c>
      <c r="V356" s="9" t="str">
        <f>VLOOKUP(Table1[[#This Row],[Address B]],IP_Master[],3,FALSE)</f>
        <v>iFIX Nodes &amp; Ethernet Switches</v>
      </c>
      <c r="W356" s="9" t="str">
        <f>VLOOKUP(Table1[[#This Row],[Port B]],traffic_types[],2,FALSE)</f>
        <v>Modbus</v>
      </c>
    </row>
    <row r="357" spans="1:23" x14ac:dyDescent="0.6">
      <c r="A357" t="s">
        <v>53</v>
      </c>
      <c r="B357">
        <v>2623</v>
      </c>
      <c r="C357" t="s">
        <v>87</v>
      </c>
      <c r="D357">
        <v>502</v>
      </c>
      <c r="E357">
        <v>1</v>
      </c>
      <c r="F357" s="13">
        <v>62</v>
      </c>
      <c r="G357">
        <v>1</v>
      </c>
      <c r="H357">
        <v>62</v>
      </c>
      <c r="I357">
        <v>0</v>
      </c>
      <c r="J357">
        <v>0</v>
      </c>
      <c r="K357">
        <v>102.83212399999999</v>
      </c>
      <c r="L357">
        <v>0</v>
      </c>
      <c r="M357">
        <v>0</v>
      </c>
      <c r="N357">
        <v>0</v>
      </c>
      <c r="O357" s="8" t="str">
        <f>formatIP(Table1[[#This Row],[Address A]])</f>
        <v>010.012.000.001</v>
      </c>
      <c r="P357" s="8" t="str">
        <f>formatIP(Table1[[#This Row],[Address B]])</f>
        <v>010.011.009.028</v>
      </c>
      <c r="Q357" s="8" t="str">
        <f>VLOOKUP(Table1[[#This Row],[Address A]],IP_Master[],4,FALSE)</f>
        <v>PPPCFC1</v>
      </c>
      <c r="R357" s="8" t="str">
        <f>VLOOKUP(Table1[[#This Row],[Address B]],IP_Master[],4,FALSE)</f>
        <v>EGX100</v>
      </c>
      <c r="S357" s="8" t="str">
        <f>VLOOKUP(Table1[[#This Row],[Address A]],IP_Master[],2,FALSE)</f>
        <v>Fume Control</v>
      </c>
      <c r="T357" s="8" t="str">
        <f>VLOOKUP(Table1[[#This Row],[Address B]],IP_Master[],2,FALSE)</f>
        <v>Miscellaneous</v>
      </c>
      <c r="U357" s="9" t="str">
        <f>VLOOKUP(Table1[[#This Row],[Address A]],IP_Master[],3,FALSE)</f>
        <v>iFIX Nodes &amp; Ethernet Switches</v>
      </c>
      <c r="V357" s="9" t="str">
        <f>VLOOKUP(Table1[[#This Row],[Address B]],IP_Master[],3,FALSE)</f>
        <v>iFIX Nodes &amp; Ethernet Switches</v>
      </c>
      <c r="W357" s="9" t="str">
        <f>VLOOKUP(Table1[[#This Row],[Port B]],traffic_types[],2,FALSE)</f>
        <v>Modbus</v>
      </c>
    </row>
    <row r="358" spans="1:23" x14ac:dyDescent="0.6">
      <c r="A358" t="s">
        <v>53</v>
      </c>
      <c r="B358">
        <v>2627</v>
      </c>
      <c r="C358" t="s">
        <v>87</v>
      </c>
      <c r="D358">
        <v>502</v>
      </c>
      <c r="E358">
        <v>2</v>
      </c>
      <c r="F358" s="13">
        <v>124</v>
      </c>
      <c r="G358">
        <v>2</v>
      </c>
      <c r="H358">
        <v>124</v>
      </c>
      <c r="I358">
        <v>0</v>
      </c>
      <c r="J358">
        <v>0</v>
      </c>
      <c r="K358">
        <v>126.31965700000001</v>
      </c>
      <c r="L358">
        <v>2.9225419999999902</v>
      </c>
      <c r="M358">
        <v>339.43053684087403</v>
      </c>
      <c r="N358">
        <v>0</v>
      </c>
      <c r="O358" s="8" t="str">
        <f>formatIP(Table1[[#This Row],[Address A]])</f>
        <v>010.012.000.001</v>
      </c>
      <c r="P358" s="8" t="str">
        <f>formatIP(Table1[[#This Row],[Address B]])</f>
        <v>010.011.009.028</v>
      </c>
      <c r="Q358" s="8" t="str">
        <f>VLOOKUP(Table1[[#This Row],[Address A]],IP_Master[],4,FALSE)</f>
        <v>PPPCFC1</v>
      </c>
      <c r="R358" s="8" t="str">
        <f>VLOOKUP(Table1[[#This Row],[Address B]],IP_Master[],4,FALSE)</f>
        <v>EGX100</v>
      </c>
      <c r="S358" s="8" t="str">
        <f>VLOOKUP(Table1[[#This Row],[Address A]],IP_Master[],2,FALSE)</f>
        <v>Fume Control</v>
      </c>
      <c r="T358" s="8" t="str">
        <f>VLOOKUP(Table1[[#This Row],[Address B]],IP_Master[],2,FALSE)</f>
        <v>Miscellaneous</v>
      </c>
      <c r="U358" s="9" t="str">
        <f>VLOOKUP(Table1[[#This Row],[Address A]],IP_Master[],3,FALSE)</f>
        <v>iFIX Nodes &amp; Ethernet Switches</v>
      </c>
      <c r="V358" s="9" t="str">
        <f>VLOOKUP(Table1[[#This Row],[Address B]],IP_Master[],3,FALSE)</f>
        <v>iFIX Nodes &amp; Ethernet Switches</v>
      </c>
      <c r="W358" s="9" t="str">
        <f>VLOOKUP(Table1[[#This Row],[Port B]],traffic_types[],2,FALSE)</f>
        <v>Modbus</v>
      </c>
    </row>
    <row r="359" spans="1:23" x14ac:dyDescent="0.6">
      <c r="A359" t="s">
        <v>53</v>
      </c>
      <c r="B359">
        <v>2629</v>
      </c>
      <c r="C359" t="s">
        <v>87</v>
      </c>
      <c r="D359">
        <v>502</v>
      </c>
      <c r="E359">
        <v>2</v>
      </c>
      <c r="F359" s="13">
        <v>124</v>
      </c>
      <c r="G359">
        <v>2</v>
      </c>
      <c r="H359">
        <v>124</v>
      </c>
      <c r="I359">
        <v>0</v>
      </c>
      <c r="J359">
        <v>0</v>
      </c>
      <c r="K359">
        <v>128.79066599999999</v>
      </c>
      <c r="L359">
        <v>2.9665040000000098</v>
      </c>
      <c r="M359">
        <v>334.40035813199501</v>
      </c>
      <c r="N359">
        <v>0</v>
      </c>
      <c r="O359" s="8" t="str">
        <f>formatIP(Table1[[#This Row],[Address A]])</f>
        <v>010.012.000.001</v>
      </c>
      <c r="P359" s="8" t="str">
        <f>formatIP(Table1[[#This Row],[Address B]])</f>
        <v>010.011.009.028</v>
      </c>
      <c r="Q359" s="8" t="str">
        <f>VLOOKUP(Table1[[#This Row],[Address A]],IP_Master[],4,FALSE)</f>
        <v>PPPCFC1</v>
      </c>
      <c r="R359" s="8" t="str">
        <f>VLOOKUP(Table1[[#This Row],[Address B]],IP_Master[],4,FALSE)</f>
        <v>EGX100</v>
      </c>
      <c r="S359" s="8" t="str">
        <f>VLOOKUP(Table1[[#This Row],[Address A]],IP_Master[],2,FALSE)</f>
        <v>Fume Control</v>
      </c>
      <c r="T359" s="8" t="str">
        <f>VLOOKUP(Table1[[#This Row],[Address B]],IP_Master[],2,FALSE)</f>
        <v>Miscellaneous</v>
      </c>
      <c r="U359" s="9" t="str">
        <f>VLOOKUP(Table1[[#This Row],[Address A]],IP_Master[],3,FALSE)</f>
        <v>iFIX Nodes &amp; Ethernet Switches</v>
      </c>
      <c r="V359" s="9" t="str">
        <f>VLOOKUP(Table1[[#This Row],[Address B]],IP_Master[],3,FALSE)</f>
        <v>iFIX Nodes &amp; Ethernet Switches</v>
      </c>
      <c r="W359" s="9" t="str">
        <f>VLOOKUP(Table1[[#This Row],[Port B]],traffic_types[],2,FALSE)</f>
        <v>Modbus</v>
      </c>
    </row>
    <row r="360" spans="1:23" x14ac:dyDescent="0.6">
      <c r="A360" t="s">
        <v>53</v>
      </c>
      <c r="B360">
        <v>2631</v>
      </c>
      <c r="C360" t="s">
        <v>87</v>
      </c>
      <c r="D360">
        <v>502</v>
      </c>
      <c r="E360">
        <v>1</v>
      </c>
      <c r="F360" s="13">
        <v>62</v>
      </c>
      <c r="G360">
        <v>1</v>
      </c>
      <c r="H360">
        <v>62</v>
      </c>
      <c r="I360">
        <v>0</v>
      </c>
      <c r="J360">
        <v>0</v>
      </c>
      <c r="K360">
        <v>129.33540099999999</v>
      </c>
      <c r="L360">
        <v>0</v>
      </c>
      <c r="M360">
        <v>0</v>
      </c>
      <c r="N360">
        <v>0</v>
      </c>
      <c r="O360" s="8" t="str">
        <f>formatIP(Table1[[#This Row],[Address A]])</f>
        <v>010.012.000.001</v>
      </c>
      <c r="P360" s="8" t="str">
        <f>formatIP(Table1[[#This Row],[Address B]])</f>
        <v>010.011.009.028</v>
      </c>
      <c r="Q360" s="8" t="str">
        <f>VLOOKUP(Table1[[#This Row],[Address A]],IP_Master[],4,FALSE)</f>
        <v>PPPCFC1</v>
      </c>
      <c r="R360" s="8" t="str">
        <f>VLOOKUP(Table1[[#This Row],[Address B]],IP_Master[],4,FALSE)</f>
        <v>EGX100</v>
      </c>
      <c r="S360" s="8" t="str">
        <f>VLOOKUP(Table1[[#This Row],[Address A]],IP_Master[],2,FALSE)</f>
        <v>Fume Control</v>
      </c>
      <c r="T360" s="8" t="str">
        <f>VLOOKUP(Table1[[#This Row],[Address B]],IP_Master[],2,FALSE)</f>
        <v>Miscellaneous</v>
      </c>
      <c r="U360" s="9" t="str">
        <f>VLOOKUP(Table1[[#This Row],[Address A]],IP_Master[],3,FALSE)</f>
        <v>iFIX Nodes &amp; Ethernet Switches</v>
      </c>
      <c r="V360" s="9" t="str">
        <f>VLOOKUP(Table1[[#This Row],[Address B]],IP_Master[],3,FALSE)</f>
        <v>iFIX Nodes &amp; Ethernet Switches</v>
      </c>
      <c r="W360" s="9" t="str">
        <f>VLOOKUP(Table1[[#This Row],[Port B]],traffic_types[],2,FALSE)</f>
        <v>Modbus</v>
      </c>
    </row>
    <row r="361" spans="1:23" x14ac:dyDescent="0.6">
      <c r="A361" t="s">
        <v>53</v>
      </c>
      <c r="B361">
        <v>2632</v>
      </c>
      <c r="C361" t="s">
        <v>87</v>
      </c>
      <c r="D361">
        <v>502</v>
      </c>
      <c r="E361">
        <v>2</v>
      </c>
      <c r="F361" s="13">
        <v>124</v>
      </c>
      <c r="G361">
        <v>2</v>
      </c>
      <c r="H361">
        <v>124</v>
      </c>
      <c r="I361">
        <v>0</v>
      </c>
      <c r="J361">
        <v>0</v>
      </c>
      <c r="K361">
        <v>129.767323</v>
      </c>
      <c r="L361">
        <v>2.9958399999999901</v>
      </c>
      <c r="M361">
        <v>331.12582781457098</v>
      </c>
      <c r="N361">
        <v>0</v>
      </c>
      <c r="O361" s="8" t="str">
        <f>formatIP(Table1[[#This Row],[Address A]])</f>
        <v>010.012.000.001</v>
      </c>
      <c r="P361" s="8" t="str">
        <f>formatIP(Table1[[#This Row],[Address B]])</f>
        <v>010.011.009.028</v>
      </c>
      <c r="Q361" s="8" t="str">
        <f>VLOOKUP(Table1[[#This Row],[Address A]],IP_Master[],4,FALSE)</f>
        <v>PPPCFC1</v>
      </c>
      <c r="R361" s="8" t="str">
        <f>VLOOKUP(Table1[[#This Row],[Address B]],IP_Master[],4,FALSE)</f>
        <v>EGX100</v>
      </c>
      <c r="S361" s="8" t="str">
        <f>VLOOKUP(Table1[[#This Row],[Address A]],IP_Master[],2,FALSE)</f>
        <v>Fume Control</v>
      </c>
      <c r="T361" s="8" t="str">
        <f>VLOOKUP(Table1[[#This Row],[Address B]],IP_Master[],2,FALSE)</f>
        <v>Miscellaneous</v>
      </c>
      <c r="U361" s="9" t="str">
        <f>VLOOKUP(Table1[[#This Row],[Address A]],IP_Master[],3,FALSE)</f>
        <v>iFIX Nodes &amp; Ethernet Switches</v>
      </c>
      <c r="V361" s="9" t="str">
        <f>VLOOKUP(Table1[[#This Row],[Address B]],IP_Master[],3,FALSE)</f>
        <v>iFIX Nodes &amp; Ethernet Switches</v>
      </c>
      <c r="W361" s="9" t="str">
        <f>VLOOKUP(Table1[[#This Row],[Port B]],traffic_types[],2,FALSE)</f>
        <v>Modbus</v>
      </c>
    </row>
    <row r="362" spans="1:23" x14ac:dyDescent="0.6">
      <c r="A362" t="s">
        <v>53</v>
      </c>
      <c r="B362">
        <v>2635</v>
      </c>
      <c r="C362" t="s">
        <v>87</v>
      </c>
      <c r="D362">
        <v>502</v>
      </c>
      <c r="E362">
        <v>2</v>
      </c>
      <c r="F362" s="13">
        <v>124</v>
      </c>
      <c r="G362">
        <v>2</v>
      </c>
      <c r="H362">
        <v>124</v>
      </c>
      <c r="I362">
        <v>0</v>
      </c>
      <c r="J362">
        <v>0</v>
      </c>
      <c r="K362">
        <v>130.39177000000001</v>
      </c>
      <c r="L362">
        <v>2.9750070000000099</v>
      </c>
      <c r="M362">
        <v>333.44459357574601</v>
      </c>
      <c r="N362">
        <v>0</v>
      </c>
      <c r="O362" s="8" t="str">
        <f>formatIP(Table1[[#This Row],[Address A]])</f>
        <v>010.012.000.001</v>
      </c>
      <c r="P362" s="8" t="str">
        <f>formatIP(Table1[[#This Row],[Address B]])</f>
        <v>010.011.009.028</v>
      </c>
      <c r="Q362" s="8" t="str">
        <f>VLOOKUP(Table1[[#This Row],[Address A]],IP_Master[],4,FALSE)</f>
        <v>PPPCFC1</v>
      </c>
      <c r="R362" s="8" t="str">
        <f>VLOOKUP(Table1[[#This Row],[Address B]],IP_Master[],4,FALSE)</f>
        <v>EGX100</v>
      </c>
      <c r="S362" s="8" t="str">
        <f>VLOOKUP(Table1[[#This Row],[Address A]],IP_Master[],2,FALSE)</f>
        <v>Fume Control</v>
      </c>
      <c r="T362" s="8" t="str">
        <f>VLOOKUP(Table1[[#This Row],[Address B]],IP_Master[],2,FALSE)</f>
        <v>Miscellaneous</v>
      </c>
      <c r="U362" s="9" t="str">
        <f>VLOOKUP(Table1[[#This Row],[Address A]],IP_Master[],3,FALSE)</f>
        <v>iFIX Nodes &amp; Ethernet Switches</v>
      </c>
      <c r="V362" s="9" t="str">
        <f>VLOOKUP(Table1[[#This Row],[Address B]],IP_Master[],3,FALSE)</f>
        <v>iFIX Nodes &amp; Ethernet Switches</v>
      </c>
      <c r="W362" s="9" t="str">
        <f>VLOOKUP(Table1[[#This Row],[Port B]],traffic_types[],2,FALSE)</f>
        <v>Modbus</v>
      </c>
    </row>
    <row r="363" spans="1:23" x14ac:dyDescent="0.6">
      <c r="A363" t="s">
        <v>53</v>
      </c>
      <c r="B363">
        <v>2637</v>
      </c>
      <c r="C363" t="s">
        <v>87</v>
      </c>
      <c r="D363">
        <v>502</v>
      </c>
      <c r="E363">
        <v>1</v>
      </c>
      <c r="F363" s="13">
        <v>62</v>
      </c>
      <c r="G363">
        <v>1</v>
      </c>
      <c r="H363">
        <v>62</v>
      </c>
      <c r="I363">
        <v>0</v>
      </c>
      <c r="J363">
        <v>0</v>
      </c>
      <c r="K363">
        <v>131.80455900000001</v>
      </c>
      <c r="L363">
        <v>0</v>
      </c>
      <c r="M363">
        <v>0</v>
      </c>
      <c r="N363">
        <v>0</v>
      </c>
      <c r="O363" s="8" t="str">
        <f>formatIP(Table1[[#This Row],[Address A]])</f>
        <v>010.012.000.001</v>
      </c>
      <c r="P363" s="8" t="str">
        <f>formatIP(Table1[[#This Row],[Address B]])</f>
        <v>010.011.009.028</v>
      </c>
      <c r="Q363" s="8" t="str">
        <f>VLOOKUP(Table1[[#This Row],[Address A]],IP_Master[],4,FALSE)</f>
        <v>PPPCFC1</v>
      </c>
      <c r="R363" s="8" t="str">
        <f>VLOOKUP(Table1[[#This Row],[Address B]],IP_Master[],4,FALSE)</f>
        <v>EGX100</v>
      </c>
      <c r="S363" s="8" t="str">
        <f>VLOOKUP(Table1[[#This Row],[Address A]],IP_Master[],2,FALSE)</f>
        <v>Fume Control</v>
      </c>
      <c r="T363" s="8" t="str">
        <f>VLOOKUP(Table1[[#This Row],[Address B]],IP_Master[],2,FALSE)</f>
        <v>Miscellaneous</v>
      </c>
      <c r="U363" s="9" t="str">
        <f>VLOOKUP(Table1[[#This Row],[Address A]],IP_Master[],3,FALSE)</f>
        <v>iFIX Nodes &amp; Ethernet Switches</v>
      </c>
      <c r="V363" s="9" t="str">
        <f>VLOOKUP(Table1[[#This Row],[Address B]],IP_Master[],3,FALSE)</f>
        <v>iFIX Nodes &amp; Ethernet Switches</v>
      </c>
      <c r="W363" s="9" t="str">
        <f>VLOOKUP(Table1[[#This Row],[Port B]],traffic_types[],2,FALSE)</f>
        <v>Modbus</v>
      </c>
    </row>
    <row r="364" spans="1:23" x14ac:dyDescent="0.6">
      <c r="A364" t="s">
        <v>53</v>
      </c>
      <c r="B364">
        <v>2638</v>
      </c>
      <c r="C364" t="s">
        <v>87</v>
      </c>
      <c r="D364">
        <v>502</v>
      </c>
      <c r="E364">
        <v>1</v>
      </c>
      <c r="F364" s="13">
        <v>62</v>
      </c>
      <c r="G364">
        <v>1</v>
      </c>
      <c r="H364">
        <v>62</v>
      </c>
      <c r="I364">
        <v>0</v>
      </c>
      <c r="J364">
        <v>0</v>
      </c>
      <c r="K364">
        <v>132.77351400000001</v>
      </c>
      <c r="L364">
        <v>0</v>
      </c>
      <c r="M364">
        <v>0</v>
      </c>
      <c r="N364">
        <v>0</v>
      </c>
      <c r="O364" s="8" t="str">
        <f>formatIP(Table1[[#This Row],[Address A]])</f>
        <v>010.012.000.001</v>
      </c>
      <c r="P364" s="8" t="str">
        <f>formatIP(Table1[[#This Row],[Address B]])</f>
        <v>010.011.009.028</v>
      </c>
      <c r="Q364" s="8" t="str">
        <f>VLOOKUP(Table1[[#This Row],[Address A]],IP_Master[],4,FALSE)</f>
        <v>PPPCFC1</v>
      </c>
      <c r="R364" s="8" t="str">
        <f>VLOOKUP(Table1[[#This Row],[Address B]],IP_Master[],4,FALSE)</f>
        <v>EGX100</v>
      </c>
      <c r="S364" s="8" t="str">
        <f>VLOOKUP(Table1[[#This Row],[Address A]],IP_Master[],2,FALSE)</f>
        <v>Fume Control</v>
      </c>
      <c r="T364" s="8" t="str">
        <f>VLOOKUP(Table1[[#This Row],[Address B]],IP_Master[],2,FALSE)</f>
        <v>Miscellaneous</v>
      </c>
      <c r="U364" s="9" t="str">
        <f>VLOOKUP(Table1[[#This Row],[Address A]],IP_Master[],3,FALSE)</f>
        <v>iFIX Nodes &amp; Ethernet Switches</v>
      </c>
      <c r="V364" s="9" t="str">
        <f>VLOOKUP(Table1[[#This Row],[Address B]],IP_Master[],3,FALSE)</f>
        <v>iFIX Nodes &amp; Ethernet Switches</v>
      </c>
      <c r="W364" s="9" t="str">
        <f>VLOOKUP(Table1[[#This Row],[Port B]],traffic_types[],2,FALSE)</f>
        <v>Modbus</v>
      </c>
    </row>
    <row r="365" spans="1:23" x14ac:dyDescent="0.6">
      <c r="A365" t="s">
        <v>53</v>
      </c>
      <c r="B365">
        <v>2639</v>
      </c>
      <c r="C365" t="s">
        <v>87</v>
      </c>
      <c r="D365">
        <v>502</v>
      </c>
      <c r="E365">
        <v>2</v>
      </c>
      <c r="F365" s="13">
        <v>124</v>
      </c>
      <c r="G365">
        <v>2</v>
      </c>
      <c r="H365">
        <v>124</v>
      </c>
      <c r="I365">
        <v>0</v>
      </c>
      <c r="J365">
        <v>0</v>
      </c>
      <c r="K365">
        <v>132.83910599999999</v>
      </c>
      <c r="L365">
        <v>2.9420139999999999</v>
      </c>
      <c r="M365">
        <v>337.183983488862</v>
      </c>
      <c r="N365">
        <v>0</v>
      </c>
      <c r="O365" s="8" t="str">
        <f>formatIP(Table1[[#This Row],[Address A]])</f>
        <v>010.012.000.001</v>
      </c>
      <c r="P365" s="8" t="str">
        <f>formatIP(Table1[[#This Row],[Address B]])</f>
        <v>010.011.009.028</v>
      </c>
      <c r="Q365" s="8" t="str">
        <f>VLOOKUP(Table1[[#This Row],[Address A]],IP_Master[],4,FALSE)</f>
        <v>PPPCFC1</v>
      </c>
      <c r="R365" s="8" t="str">
        <f>VLOOKUP(Table1[[#This Row],[Address B]],IP_Master[],4,FALSE)</f>
        <v>EGX100</v>
      </c>
      <c r="S365" s="8" t="str">
        <f>VLOOKUP(Table1[[#This Row],[Address A]],IP_Master[],2,FALSE)</f>
        <v>Fume Control</v>
      </c>
      <c r="T365" s="8" t="str">
        <f>VLOOKUP(Table1[[#This Row],[Address B]],IP_Master[],2,FALSE)</f>
        <v>Miscellaneous</v>
      </c>
      <c r="U365" s="9" t="str">
        <f>VLOOKUP(Table1[[#This Row],[Address A]],IP_Master[],3,FALSE)</f>
        <v>iFIX Nodes &amp; Ethernet Switches</v>
      </c>
      <c r="V365" s="9" t="str">
        <f>VLOOKUP(Table1[[#This Row],[Address B]],IP_Master[],3,FALSE)</f>
        <v>iFIX Nodes &amp; Ethernet Switches</v>
      </c>
      <c r="W365" s="9" t="str">
        <f>VLOOKUP(Table1[[#This Row],[Port B]],traffic_types[],2,FALSE)</f>
        <v>Modbus</v>
      </c>
    </row>
    <row r="366" spans="1:23" x14ac:dyDescent="0.6">
      <c r="A366" t="s">
        <v>53</v>
      </c>
      <c r="B366">
        <v>2641</v>
      </c>
      <c r="C366" t="s">
        <v>87</v>
      </c>
      <c r="D366">
        <v>502</v>
      </c>
      <c r="E366">
        <v>1</v>
      </c>
      <c r="F366" s="13">
        <v>62</v>
      </c>
      <c r="G366">
        <v>1</v>
      </c>
      <c r="H366">
        <v>62</v>
      </c>
      <c r="I366">
        <v>0</v>
      </c>
      <c r="J366">
        <v>0</v>
      </c>
      <c r="K366">
        <v>133.39877999999999</v>
      </c>
      <c r="L366">
        <v>0</v>
      </c>
      <c r="M366">
        <v>0</v>
      </c>
      <c r="N366">
        <v>0</v>
      </c>
      <c r="O366" s="8" t="str">
        <f>formatIP(Table1[[#This Row],[Address A]])</f>
        <v>010.012.000.001</v>
      </c>
      <c r="P366" s="8" t="str">
        <f>formatIP(Table1[[#This Row],[Address B]])</f>
        <v>010.011.009.028</v>
      </c>
      <c r="Q366" s="8" t="str">
        <f>VLOOKUP(Table1[[#This Row],[Address A]],IP_Master[],4,FALSE)</f>
        <v>PPPCFC1</v>
      </c>
      <c r="R366" s="8" t="str">
        <f>VLOOKUP(Table1[[#This Row],[Address B]],IP_Master[],4,FALSE)</f>
        <v>EGX100</v>
      </c>
      <c r="S366" s="8" t="str">
        <f>VLOOKUP(Table1[[#This Row],[Address A]],IP_Master[],2,FALSE)</f>
        <v>Fume Control</v>
      </c>
      <c r="T366" s="8" t="str">
        <f>VLOOKUP(Table1[[#This Row],[Address B]],IP_Master[],2,FALSE)</f>
        <v>Miscellaneous</v>
      </c>
      <c r="U366" s="9" t="str">
        <f>VLOOKUP(Table1[[#This Row],[Address A]],IP_Master[],3,FALSE)</f>
        <v>iFIX Nodes &amp; Ethernet Switches</v>
      </c>
      <c r="V366" s="9" t="str">
        <f>VLOOKUP(Table1[[#This Row],[Address B]],IP_Master[],3,FALSE)</f>
        <v>iFIX Nodes &amp; Ethernet Switches</v>
      </c>
      <c r="W366" s="9" t="str">
        <f>VLOOKUP(Table1[[#This Row],[Port B]],traffic_types[],2,FALSE)</f>
        <v>Modbus</v>
      </c>
    </row>
    <row r="367" spans="1:23" x14ac:dyDescent="0.6">
      <c r="A367" t="s">
        <v>53</v>
      </c>
      <c r="B367">
        <v>2643</v>
      </c>
      <c r="C367" t="s">
        <v>87</v>
      </c>
      <c r="D367">
        <v>502</v>
      </c>
      <c r="E367">
        <v>1</v>
      </c>
      <c r="F367" s="13">
        <v>62</v>
      </c>
      <c r="G367">
        <v>1</v>
      </c>
      <c r="H367">
        <v>62</v>
      </c>
      <c r="I367">
        <v>0</v>
      </c>
      <c r="J367">
        <v>0</v>
      </c>
      <c r="K367">
        <v>135.85186899999999</v>
      </c>
      <c r="L367">
        <v>0</v>
      </c>
      <c r="M367">
        <v>0</v>
      </c>
      <c r="N367">
        <v>0</v>
      </c>
      <c r="O367" s="8" t="str">
        <f>formatIP(Table1[[#This Row],[Address A]])</f>
        <v>010.012.000.001</v>
      </c>
      <c r="P367" s="8" t="str">
        <f>formatIP(Table1[[#This Row],[Address B]])</f>
        <v>010.011.009.028</v>
      </c>
      <c r="Q367" s="8" t="str">
        <f>VLOOKUP(Table1[[#This Row],[Address A]],IP_Master[],4,FALSE)</f>
        <v>PPPCFC1</v>
      </c>
      <c r="R367" s="8" t="str">
        <f>VLOOKUP(Table1[[#This Row],[Address B]],IP_Master[],4,FALSE)</f>
        <v>EGX100</v>
      </c>
      <c r="S367" s="8" t="str">
        <f>VLOOKUP(Table1[[#This Row],[Address A]],IP_Master[],2,FALSE)</f>
        <v>Fume Control</v>
      </c>
      <c r="T367" s="8" t="str">
        <f>VLOOKUP(Table1[[#This Row],[Address B]],IP_Master[],2,FALSE)</f>
        <v>Miscellaneous</v>
      </c>
      <c r="U367" s="9" t="str">
        <f>VLOOKUP(Table1[[#This Row],[Address A]],IP_Master[],3,FALSE)</f>
        <v>iFIX Nodes &amp; Ethernet Switches</v>
      </c>
      <c r="V367" s="9" t="str">
        <f>VLOOKUP(Table1[[#This Row],[Address B]],IP_Master[],3,FALSE)</f>
        <v>iFIX Nodes &amp; Ethernet Switches</v>
      </c>
      <c r="W367" s="9" t="str">
        <f>VLOOKUP(Table1[[#This Row],[Port B]],traffic_types[],2,FALSE)</f>
        <v>Modbus</v>
      </c>
    </row>
    <row r="368" spans="1:23" x14ac:dyDescent="0.6">
      <c r="A368" t="s">
        <v>53</v>
      </c>
      <c r="B368">
        <v>2648</v>
      </c>
      <c r="C368" t="s">
        <v>87</v>
      </c>
      <c r="D368">
        <v>502</v>
      </c>
      <c r="E368">
        <v>2</v>
      </c>
      <c r="F368" s="13">
        <v>124</v>
      </c>
      <c r="G368">
        <v>2</v>
      </c>
      <c r="H368">
        <v>124</v>
      </c>
      <c r="I368">
        <v>0</v>
      </c>
      <c r="J368">
        <v>0</v>
      </c>
      <c r="K368">
        <v>159.344202</v>
      </c>
      <c r="L368">
        <v>2.99508500000002</v>
      </c>
      <c r="M368">
        <v>331.20929789972399</v>
      </c>
      <c r="N368">
        <v>0</v>
      </c>
      <c r="O368" s="8" t="str">
        <f>formatIP(Table1[[#This Row],[Address A]])</f>
        <v>010.012.000.001</v>
      </c>
      <c r="P368" s="8" t="str">
        <f>formatIP(Table1[[#This Row],[Address B]])</f>
        <v>010.011.009.028</v>
      </c>
      <c r="Q368" s="8" t="str">
        <f>VLOOKUP(Table1[[#This Row],[Address A]],IP_Master[],4,FALSE)</f>
        <v>PPPCFC1</v>
      </c>
      <c r="R368" s="8" t="str">
        <f>VLOOKUP(Table1[[#This Row],[Address B]],IP_Master[],4,FALSE)</f>
        <v>EGX100</v>
      </c>
      <c r="S368" s="8" t="str">
        <f>VLOOKUP(Table1[[#This Row],[Address A]],IP_Master[],2,FALSE)</f>
        <v>Fume Control</v>
      </c>
      <c r="T368" s="8" t="str">
        <f>VLOOKUP(Table1[[#This Row],[Address B]],IP_Master[],2,FALSE)</f>
        <v>Miscellaneous</v>
      </c>
      <c r="U368" s="9" t="str">
        <f>VLOOKUP(Table1[[#This Row],[Address A]],IP_Master[],3,FALSE)</f>
        <v>iFIX Nodes &amp; Ethernet Switches</v>
      </c>
      <c r="V368" s="9" t="str">
        <f>VLOOKUP(Table1[[#This Row],[Address B]],IP_Master[],3,FALSE)</f>
        <v>iFIX Nodes &amp; Ethernet Switches</v>
      </c>
      <c r="W368" s="9" t="str">
        <f>VLOOKUP(Table1[[#This Row],[Port B]],traffic_types[],2,FALSE)</f>
        <v>Modbus</v>
      </c>
    </row>
    <row r="369" spans="1:23" x14ac:dyDescent="0.6">
      <c r="A369" t="s">
        <v>53</v>
      </c>
      <c r="B369">
        <v>2650</v>
      </c>
      <c r="C369" t="s">
        <v>87</v>
      </c>
      <c r="D369">
        <v>502</v>
      </c>
      <c r="E369">
        <v>2</v>
      </c>
      <c r="F369" s="13">
        <v>124</v>
      </c>
      <c r="G369">
        <v>2</v>
      </c>
      <c r="H369">
        <v>124</v>
      </c>
      <c r="I369">
        <v>0</v>
      </c>
      <c r="J369">
        <v>0</v>
      </c>
      <c r="K369">
        <v>161.81727900000001</v>
      </c>
      <c r="L369">
        <v>2.9363549999999901</v>
      </c>
      <c r="M369">
        <v>337.83381096631803</v>
      </c>
      <c r="N369">
        <v>0</v>
      </c>
      <c r="O369" s="8" t="str">
        <f>formatIP(Table1[[#This Row],[Address A]])</f>
        <v>010.012.000.001</v>
      </c>
      <c r="P369" s="8" t="str">
        <f>formatIP(Table1[[#This Row],[Address B]])</f>
        <v>010.011.009.028</v>
      </c>
      <c r="Q369" s="8" t="str">
        <f>VLOOKUP(Table1[[#This Row],[Address A]],IP_Master[],4,FALSE)</f>
        <v>PPPCFC1</v>
      </c>
      <c r="R369" s="8" t="str">
        <f>VLOOKUP(Table1[[#This Row],[Address B]],IP_Master[],4,FALSE)</f>
        <v>EGX100</v>
      </c>
      <c r="S369" s="8" t="str">
        <f>VLOOKUP(Table1[[#This Row],[Address A]],IP_Master[],2,FALSE)</f>
        <v>Fume Control</v>
      </c>
      <c r="T369" s="8" t="str">
        <f>VLOOKUP(Table1[[#This Row],[Address B]],IP_Master[],2,FALSE)</f>
        <v>Miscellaneous</v>
      </c>
      <c r="U369" s="9" t="str">
        <f>VLOOKUP(Table1[[#This Row],[Address A]],IP_Master[],3,FALSE)</f>
        <v>iFIX Nodes &amp; Ethernet Switches</v>
      </c>
      <c r="V369" s="9" t="str">
        <f>VLOOKUP(Table1[[#This Row],[Address B]],IP_Master[],3,FALSE)</f>
        <v>iFIX Nodes &amp; Ethernet Switches</v>
      </c>
      <c r="W369" s="9" t="str">
        <f>VLOOKUP(Table1[[#This Row],[Port B]],traffic_types[],2,FALSE)</f>
        <v>Modbus</v>
      </c>
    </row>
    <row r="370" spans="1:23" x14ac:dyDescent="0.6">
      <c r="A370" t="s">
        <v>53</v>
      </c>
      <c r="B370">
        <v>2651</v>
      </c>
      <c r="C370" t="s">
        <v>87</v>
      </c>
      <c r="D370">
        <v>502</v>
      </c>
      <c r="E370">
        <v>1</v>
      </c>
      <c r="F370" s="13">
        <v>62</v>
      </c>
      <c r="G370">
        <v>1</v>
      </c>
      <c r="H370">
        <v>62</v>
      </c>
      <c r="I370">
        <v>0</v>
      </c>
      <c r="J370">
        <v>0</v>
      </c>
      <c r="K370">
        <v>162.35527099999999</v>
      </c>
      <c r="L370">
        <v>0</v>
      </c>
      <c r="M370">
        <v>0</v>
      </c>
      <c r="N370">
        <v>0</v>
      </c>
      <c r="O370" s="8" t="str">
        <f>formatIP(Table1[[#This Row],[Address A]])</f>
        <v>010.012.000.001</v>
      </c>
      <c r="P370" s="8" t="str">
        <f>formatIP(Table1[[#This Row],[Address B]])</f>
        <v>010.011.009.028</v>
      </c>
      <c r="Q370" s="8" t="str">
        <f>VLOOKUP(Table1[[#This Row],[Address A]],IP_Master[],4,FALSE)</f>
        <v>PPPCFC1</v>
      </c>
      <c r="R370" s="8" t="str">
        <f>VLOOKUP(Table1[[#This Row],[Address B]],IP_Master[],4,FALSE)</f>
        <v>EGX100</v>
      </c>
      <c r="S370" s="8" t="str">
        <f>VLOOKUP(Table1[[#This Row],[Address A]],IP_Master[],2,FALSE)</f>
        <v>Fume Control</v>
      </c>
      <c r="T370" s="8" t="str">
        <f>VLOOKUP(Table1[[#This Row],[Address B]],IP_Master[],2,FALSE)</f>
        <v>Miscellaneous</v>
      </c>
      <c r="U370" s="9" t="str">
        <f>VLOOKUP(Table1[[#This Row],[Address A]],IP_Master[],3,FALSE)</f>
        <v>iFIX Nodes &amp; Ethernet Switches</v>
      </c>
      <c r="V370" s="9" t="str">
        <f>VLOOKUP(Table1[[#This Row],[Address B]],IP_Master[],3,FALSE)</f>
        <v>iFIX Nodes &amp; Ethernet Switches</v>
      </c>
      <c r="W370" s="9" t="str">
        <f>VLOOKUP(Table1[[#This Row],[Port B]],traffic_types[],2,FALSE)</f>
        <v>Modbus</v>
      </c>
    </row>
    <row r="371" spans="1:23" x14ac:dyDescent="0.6">
      <c r="A371" t="s">
        <v>53</v>
      </c>
      <c r="B371">
        <v>2652</v>
      </c>
      <c r="C371" t="s">
        <v>87</v>
      </c>
      <c r="D371">
        <v>502</v>
      </c>
      <c r="E371">
        <v>2</v>
      </c>
      <c r="F371" s="13">
        <v>124</v>
      </c>
      <c r="G371">
        <v>2</v>
      </c>
      <c r="H371">
        <v>124</v>
      </c>
      <c r="I371">
        <v>0</v>
      </c>
      <c r="J371">
        <v>0</v>
      </c>
      <c r="K371">
        <v>162.78520700000001</v>
      </c>
      <c r="L371">
        <v>2.9743529999999798</v>
      </c>
      <c r="M371">
        <v>333.51791129028999</v>
      </c>
      <c r="N371">
        <v>0</v>
      </c>
      <c r="O371" s="8" t="str">
        <f>formatIP(Table1[[#This Row],[Address A]])</f>
        <v>010.012.000.001</v>
      </c>
      <c r="P371" s="8" t="str">
        <f>formatIP(Table1[[#This Row],[Address B]])</f>
        <v>010.011.009.028</v>
      </c>
      <c r="Q371" s="8" t="str">
        <f>VLOOKUP(Table1[[#This Row],[Address A]],IP_Master[],4,FALSE)</f>
        <v>PPPCFC1</v>
      </c>
      <c r="R371" s="8" t="str">
        <f>VLOOKUP(Table1[[#This Row],[Address B]],IP_Master[],4,FALSE)</f>
        <v>EGX100</v>
      </c>
      <c r="S371" s="8" t="str">
        <f>VLOOKUP(Table1[[#This Row],[Address A]],IP_Master[],2,FALSE)</f>
        <v>Fume Control</v>
      </c>
      <c r="T371" s="8" t="str">
        <f>VLOOKUP(Table1[[#This Row],[Address B]],IP_Master[],2,FALSE)</f>
        <v>Miscellaneous</v>
      </c>
      <c r="U371" s="9" t="str">
        <f>VLOOKUP(Table1[[#This Row],[Address A]],IP_Master[],3,FALSE)</f>
        <v>iFIX Nodes &amp; Ethernet Switches</v>
      </c>
      <c r="V371" s="9" t="str">
        <f>VLOOKUP(Table1[[#This Row],[Address B]],IP_Master[],3,FALSE)</f>
        <v>iFIX Nodes &amp; Ethernet Switches</v>
      </c>
      <c r="W371" s="9" t="str">
        <f>VLOOKUP(Table1[[#This Row],[Port B]],traffic_types[],2,FALSE)</f>
        <v>Modbus</v>
      </c>
    </row>
    <row r="372" spans="1:23" x14ac:dyDescent="0.6">
      <c r="A372" t="s">
        <v>53</v>
      </c>
      <c r="B372">
        <v>2654</v>
      </c>
      <c r="C372" t="s">
        <v>87</v>
      </c>
      <c r="D372">
        <v>502</v>
      </c>
      <c r="E372">
        <v>2</v>
      </c>
      <c r="F372" s="13">
        <v>124</v>
      </c>
      <c r="G372">
        <v>2</v>
      </c>
      <c r="H372">
        <v>124</v>
      </c>
      <c r="I372">
        <v>0</v>
      </c>
      <c r="J372">
        <v>0</v>
      </c>
      <c r="K372">
        <v>163.41255899999999</v>
      </c>
      <c r="L372">
        <v>2.9505990000000102</v>
      </c>
      <c r="M372">
        <v>336.202920152822</v>
      </c>
      <c r="N372">
        <v>0</v>
      </c>
      <c r="O372" s="8" t="str">
        <f>formatIP(Table1[[#This Row],[Address A]])</f>
        <v>010.012.000.001</v>
      </c>
      <c r="P372" s="8" t="str">
        <f>formatIP(Table1[[#This Row],[Address B]])</f>
        <v>010.011.009.028</v>
      </c>
      <c r="Q372" s="8" t="str">
        <f>VLOOKUP(Table1[[#This Row],[Address A]],IP_Master[],4,FALSE)</f>
        <v>PPPCFC1</v>
      </c>
      <c r="R372" s="8" t="str">
        <f>VLOOKUP(Table1[[#This Row],[Address B]],IP_Master[],4,FALSE)</f>
        <v>EGX100</v>
      </c>
      <c r="S372" s="8" t="str">
        <f>VLOOKUP(Table1[[#This Row],[Address A]],IP_Master[],2,FALSE)</f>
        <v>Fume Control</v>
      </c>
      <c r="T372" s="8" t="str">
        <f>VLOOKUP(Table1[[#This Row],[Address B]],IP_Master[],2,FALSE)</f>
        <v>Miscellaneous</v>
      </c>
      <c r="U372" s="9" t="str">
        <f>VLOOKUP(Table1[[#This Row],[Address A]],IP_Master[],3,FALSE)</f>
        <v>iFIX Nodes &amp; Ethernet Switches</v>
      </c>
      <c r="V372" s="9" t="str">
        <f>VLOOKUP(Table1[[#This Row],[Address B]],IP_Master[],3,FALSE)</f>
        <v>iFIX Nodes &amp; Ethernet Switches</v>
      </c>
      <c r="W372" s="9" t="str">
        <f>VLOOKUP(Table1[[#This Row],[Port B]],traffic_types[],2,FALSE)</f>
        <v>Modbus</v>
      </c>
    </row>
    <row r="373" spans="1:23" x14ac:dyDescent="0.6">
      <c r="A373" t="s">
        <v>53</v>
      </c>
      <c r="B373">
        <v>2656</v>
      </c>
      <c r="C373" t="s">
        <v>87</v>
      </c>
      <c r="D373">
        <v>502</v>
      </c>
      <c r="E373">
        <v>1</v>
      </c>
      <c r="F373" s="13">
        <v>62</v>
      </c>
      <c r="G373">
        <v>1</v>
      </c>
      <c r="H373">
        <v>62</v>
      </c>
      <c r="I373">
        <v>0</v>
      </c>
      <c r="J373">
        <v>0</v>
      </c>
      <c r="K373">
        <v>164.824523</v>
      </c>
      <c r="L373">
        <v>0</v>
      </c>
      <c r="M373">
        <v>0</v>
      </c>
      <c r="N373">
        <v>0</v>
      </c>
      <c r="O373" s="8" t="str">
        <f>formatIP(Table1[[#This Row],[Address A]])</f>
        <v>010.012.000.001</v>
      </c>
      <c r="P373" s="8" t="str">
        <f>formatIP(Table1[[#This Row],[Address B]])</f>
        <v>010.011.009.028</v>
      </c>
      <c r="Q373" s="8" t="str">
        <f>VLOOKUP(Table1[[#This Row],[Address A]],IP_Master[],4,FALSE)</f>
        <v>PPPCFC1</v>
      </c>
      <c r="R373" s="8" t="str">
        <f>VLOOKUP(Table1[[#This Row],[Address B]],IP_Master[],4,FALSE)</f>
        <v>EGX100</v>
      </c>
      <c r="S373" s="8" t="str">
        <f>VLOOKUP(Table1[[#This Row],[Address A]],IP_Master[],2,FALSE)</f>
        <v>Fume Control</v>
      </c>
      <c r="T373" s="8" t="str">
        <f>VLOOKUP(Table1[[#This Row],[Address B]],IP_Master[],2,FALSE)</f>
        <v>Miscellaneous</v>
      </c>
      <c r="U373" s="9" t="str">
        <f>VLOOKUP(Table1[[#This Row],[Address A]],IP_Master[],3,FALSE)</f>
        <v>iFIX Nodes &amp; Ethernet Switches</v>
      </c>
      <c r="V373" s="9" t="str">
        <f>VLOOKUP(Table1[[#This Row],[Address B]],IP_Master[],3,FALSE)</f>
        <v>iFIX Nodes &amp; Ethernet Switches</v>
      </c>
      <c r="W373" s="9" t="str">
        <f>VLOOKUP(Table1[[#This Row],[Port B]],traffic_types[],2,FALSE)</f>
        <v>Modbus</v>
      </c>
    </row>
    <row r="374" spans="1:23" x14ac:dyDescent="0.6">
      <c r="A374" t="s">
        <v>53</v>
      </c>
      <c r="B374">
        <v>2657</v>
      </c>
      <c r="C374" t="s">
        <v>87</v>
      </c>
      <c r="D374">
        <v>502</v>
      </c>
      <c r="E374">
        <v>1</v>
      </c>
      <c r="F374" s="13">
        <v>62</v>
      </c>
      <c r="G374">
        <v>1</v>
      </c>
      <c r="H374">
        <v>62</v>
      </c>
      <c r="I374">
        <v>0</v>
      </c>
      <c r="J374">
        <v>0</v>
      </c>
      <c r="K374">
        <v>165.79323400000001</v>
      </c>
      <c r="L374">
        <v>0</v>
      </c>
      <c r="M374">
        <v>0</v>
      </c>
      <c r="N374">
        <v>0</v>
      </c>
      <c r="O374" s="8" t="str">
        <f>formatIP(Table1[[#This Row],[Address A]])</f>
        <v>010.012.000.001</v>
      </c>
      <c r="P374" s="8" t="str">
        <f>formatIP(Table1[[#This Row],[Address B]])</f>
        <v>010.011.009.028</v>
      </c>
      <c r="Q374" s="8" t="str">
        <f>VLOOKUP(Table1[[#This Row],[Address A]],IP_Master[],4,FALSE)</f>
        <v>PPPCFC1</v>
      </c>
      <c r="R374" s="8" t="str">
        <f>VLOOKUP(Table1[[#This Row],[Address B]],IP_Master[],4,FALSE)</f>
        <v>EGX100</v>
      </c>
      <c r="S374" s="8" t="str">
        <f>VLOOKUP(Table1[[#This Row],[Address A]],IP_Master[],2,FALSE)</f>
        <v>Fume Control</v>
      </c>
      <c r="T374" s="8" t="str">
        <f>VLOOKUP(Table1[[#This Row],[Address B]],IP_Master[],2,FALSE)</f>
        <v>Miscellaneous</v>
      </c>
      <c r="U374" s="9" t="str">
        <f>VLOOKUP(Table1[[#This Row],[Address A]],IP_Master[],3,FALSE)</f>
        <v>iFIX Nodes &amp; Ethernet Switches</v>
      </c>
      <c r="V374" s="9" t="str">
        <f>VLOOKUP(Table1[[#This Row],[Address B]],IP_Master[],3,FALSE)</f>
        <v>iFIX Nodes &amp; Ethernet Switches</v>
      </c>
      <c r="W374" s="9" t="str">
        <f>VLOOKUP(Table1[[#This Row],[Port B]],traffic_types[],2,FALSE)</f>
        <v>Modbus</v>
      </c>
    </row>
    <row r="375" spans="1:23" x14ac:dyDescent="0.6">
      <c r="A375" t="s">
        <v>53</v>
      </c>
      <c r="B375">
        <v>2658</v>
      </c>
      <c r="C375" t="s">
        <v>87</v>
      </c>
      <c r="D375">
        <v>502</v>
      </c>
      <c r="E375">
        <v>1</v>
      </c>
      <c r="F375" s="13">
        <v>62</v>
      </c>
      <c r="G375">
        <v>1</v>
      </c>
      <c r="H375">
        <v>62</v>
      </c>
      <c r="I375">
        <v>0</v>
      </c>
      <c r="J375">
        <v>0</v>
      </c>
      <c r="K375">
        <v>165.85786100000001</v>
      </c>
      <c r="L375">
        <v>0</v>
      </c>
      <c r="M375">
        <v>0</v>
      </c>
      <c r="N375">
        <v>0</v>
      </c>
      <c r="O375" s="8" t="str">
        <f>formatIP(Table1[[#This Row],[Address A]])</f>
        <v>010.012.000.001</v>
      </c>
      <c r="P375" s="8" t="str">
        <f>formatIP(Table1[[#This Row],[Address B]])</f>
        <v>010.011.009.028</v>
      </c>
      <c r="Q375" s="8" t="str">
        <f>VLOOKUP(Table1[[#This Row],[Address A]],IP_Master[],4,FALSE)</f>
        <v>PPPCFC1</v>
      </c>
      <c r="R375" s="8" t="str">
        <f>VLOOKUP(Table1[[#This Row],[Address B]],IP_Master[],4,FALSE)</f>
        <v>EGX100</v>
      </c>
      <c r="S375" s="8" t="str">
        <f>VLOOKUP(Table1[[#This Row],[Address A]],IP_Master[],2,FALSE)</f>
        <v>Fume Control</v>
      </c>
      <c r="T375" s="8" t="str">
        <f>VLOOKUP(Table1[[#This Row],[Address B]],IP_Master[],2,FALSE)</f>
        <v>Miscellaneous</v>
      </c>
      <c r="U375" s="9" t="str">
        <f>VLOOKUP(Table1[[#This Row],[Address A]],IP_Master[],3,FALSE)</f>
        <v>iFIX Nodes &amp; Ethernet Switches</v>
      </c>
      <c r="V375" s="9" t="str">
        <f>VLOOKUP(Table1[[#This Row],[Address B]],IP_Master[],3,FALSE)</f>
        <v>iFIX Nodes &amp; Ethernet Switches</v>
      </c>
      <c r="W375" s="9" t="str">
        <f>VLOOKUP(Table1[[#This Row],[Port B]],traffic_types[],2,FALSE)</f>
        <v>Modbus</v>
      </c>
    </row>
    <row r="376" spans="1:23" x14ac:dyDescent="0.6">
      <c r="A376" t="s">
        <v>53</v>
      </c>
      <c r="B376">
        <v>2660</v>
      </c>
      <c r="C376" t="s">
        <v>87</v>
      </c>
      <c r="D376">
        <v>502</v>
      </c>
      <c r="E376">
        <v>1</v>
      </c>
      <c r="F376" s="13">
        <v>62</v>
      </c>
      <c r="G376">
        <v>1</v>
      </c>
      <c r="H376">
        <v>62</v>
      </c>
      <c r="I376">
        <v>0</v>
      </c>
      <c r="J376">
        <v>0</v>
      </c>
      <c r="K376">
        <v>166.41866099999999</v>
      </c>
      <c r="L376">
        <v>0</v>
      </c>
      <c r="M376">
        <v>0</v>
      </c>
      <c r="N376">
        <v>0</v>
      </c>
      <c r="O376" s="8" t="str">
        <f>formatIP(Table1[[#This Row],[Address A]])</f>
        <v>010.012.000.001</v>
      </c>
      <c r="P376" s="8" t="str">
        <f>formatIP(Table1[[#This Row],[Address B]])</f>
        <v>010.011.009.028</v>
      </c>
      <c r="Q376" s="8" t="str">
        <f>VLOOKUP(Table1[[#This Row],[Address A]],IP_Master[],4,FALSE)</f>
        <v>PPPCFC1</v>
      </c>
      <c r="R376" s="8" t="str">
        <f>VLOOKUP(Table1[[#This Row],[Address B]],IP_Master[],4,FALSE)</f>
        <v>EGX100</v>
      </c>
      <c r="S376" s="8" t="str">
        <f>VLOOKUP(Table1[[#This Row],[Address A]],IP_Master[],2,FALSE)</f>
        <v>Fume Control</v>
      </c>
      <c r="T376" s="8" t="str">
        <f>VLOOKUP(Table1[[#This Row],[Address B]],IP_Master[],2,FALSE)</f>
        <v>Miscellaneous</v>
      </c>
      <c r="U376" s="9" t="str">
        <f>VLOOKUP(Table1[[#This Row],[Address A]],IP_Master[],3,FALSE)</f>
        <v>iFIX Nodes &amp; Ethernet Switches</v>
      </c>
      <c r="V376" s="9" t="str">
        <f>VLOOKUP(Table1[[#This Row],[Address B]],IP_Master[],3,FALSE)</f>
        <v>iFIX Nodes &amp; Ethernet Switches</v>
      </c>
      <c r="W376" s="9" t="str">
        <f>VLOOKUP(Table1[[#This Row],[Port B]],traffic_types[],2,FALSE)</f>
        <v>Modbus</v>
      </c>
    </row>
    <row r="377" spans="1:23" x14ac:dyDescent="0.6">
      <c r="A377" t="s">
        <v>53</v>
      </c>
      <c r="B377">
        <v>2662</v>
      </c>
      <c r="C377" t="s">
        <v>87</v>
      </c>
      <c r="D377">
        <v>502</v>
      </c>
      <c r="E377">
        <v>1</v>
      </c>
      <c r="F377" s="13">
        <v>62</v>
      </c>
      <c r="G377">
        <v>1</v>
      </c>
      <c r="H377">
        <v>62</v>
      </c>
      <c r="I377">
        <v>0</v>
      </c>
      <c r="J377">
        <v>0</v>
      </c>
      <c r="K377">
        <v>168.87184300000001</v>
      </c>
      <c r="L377">
        <v>0</v>
      </c>
      <c r="M377">
        <v>0</v>
      </c>
      <c r="N377">
        <v>0</v>
      </c>
      <c r="O377" s="8" t="str">
        <f>formatIP(Table1[[#This Row],[Address A]])</f>
        <v>010.012.000.001</v>
      </c>
      <c r="P377" s="8" t="str">
        <f>formatIP(Table1[[#This Row],[Address B]])</f>
        <v>010.011.009.028</v>
      </c>
      <c r="Q377" s="8" t="str">
        <f>VLOOKUP(Table1[[#This Row],[Address A]],IP_Master[],4,FALSE)</f>
        <v>PPPCFC1</v>
      </c>
      <c r="R377" s="8" t="str">
        <f>VLOOKUP(Table1[[#This Row],[Address B]],IP_Master[],4,FALSE)</f>
        <v>EGX100</v>
      </c>
      <c r="S377" s="8" t="str">
        <f>VLOOKUP(Table1[[#This Row],[Address A]],IP_Master[],2,FALSE)</f>
        <v>Fume Control</v>
      </c>
      <c r="T377" s="8" t="str">
        <f>VLOOKUP(Table1[[#This Row],[Address B]],IP_Master[],2,FALSE)</f>
        <v>Miscellaneous</v>
      </c>
      <c r="U377" s="9" t="str">
        <f>VLOOKUP(Table1[[#This Row],[Address A]],IP_Master[],3,FALSE)</f>
        <v>iFIX Nodes &amp; Ethernet Switches</v>
      </c>
      <c r="V377" s="9" t="str">
        <f>VLOOKUP(Table1[[#This Row],[Address B]],IP_Master[],3,FALSE)</f>
        <v>iFIX Nodes &amp; Ethernet Switches</v>
      </c>
      <c r="W377" s="9" t="str">
        <f>VLOOKUP(Table1[[#This Row],[Port B]],traffic_types[],2,FALSE)</f>
        <v>Modbus</v>
      </c>
    </row>
    <row r="378" spans="1:23" x14ac:dyDescent="0.6">
      <c r="A378" t="s">
        <v>53</v>
      </c>
      <c r="B378">
        <v>2668</v>
      </c>
      <c r="C378" t="s">
        <v>87</v>
      </c>
      <c r="D378">
        <v>502</v>
      </c>
      <c r="E378">
        <v>2</v>
      </c>
      <c r="F378" s="13">
        <v>124</v>
      </c>
      <c r="G378">
        <v>2</v>
      </c>
      <c r="H378">
        <v>124</v>
      </c>
      <c r="I378">
        <v>0</v>
      </c>
      <c r="J378">
        <v>0</v>
      </c>
      <c r="K378">
        <v>192.36417</v>
      </c>
      <c r="L378">
        <v>2.971552</v>
      </c>
      <c r="M378">
        <v>333.83228696654101</v>
      </c>
      <c r="N378">
        <v>0</v>
      </c>
      <c r="O378" s="8" t="str">
        <f>formatIP(Table1[[#This Row],[Address A]])</f>
        <v>010.012.000.001</v>
      </c>
      <c r="P378" s="8" t="str">
        <f>formatIP(Table1[[#This Row],[Address B]])</f>
        <v>010.011.009.028</v>
      </c>
      <c r="Q378" s="8" t="str">
        <f>VLOOKUP(Table1[[#This Row],[Address A]],IP_Master[],4,FALSE)</f>
        <v>PPPCFC1</v>
      </c>
      <c r="R378" s="8" t="str">
        <f>VLOOKUP(Table1[[#This Row],[Address B]],IP_Master[],4,FALSE)</f>
        <v>EGX100</v>
      </c>
      <c r="S378" s="8" t="str">
        <f>VLOOKUP(Table1[[#This Row],[Address A]],IP_Master[],2,FALSE)</f>
        <v>Fume Control</v>
      </c>
      <c r="T378" s="8" t="str">
        <f>VLOOKUP(Table1[[#This Row],[Address B]],IP_Master[],2,FALSE)</f>
        <v>Miscellaneous</v>
      </c>
      <c r="U378" s="9" t="str">
        <f>VLOOKUP(Table1[[#This Row],[Address A]],IP_Master[],3,FALSE)</f>
        <v>iFIX Nodes &amp; Ethernet Switches</v>
      </c>
      <c r="V378" s="9" t="str">
        <f>VLOOKUP(Table1[[#This Row],[Address B]],IP_Master[],3,FALSE)</f>
        <v>iFIX Nodes &amp; Ethernet Switches</v>
      </c>
      <c r="W378" s="9" t="str">
        <f>VLOOKUP(Table1[[#This Row],[Port B]],traffic_types[],2,FALSE)</f>
        <v>Modbus</v>
      </c>
    </row>
    <row r="379" spans="1:23" x14ac:dyDescent="0.6">
      <c r="A379" t="s">
        <v>53</v>
      </c>
      <c r="B379">
        <v>2669</v>
      </c>
      <c r="C379" t="s">
        <v>87</v>
      </c>
      <c r="D379">
        <v>502</v>
      </c>
      <c r="E379">
        <v>2</v>
      </c>
      <c r="F379" s="13">
        <v>124</v>
      </c>
      <c r="G379">
        <v>2</v>
      </c>
      <c r="H379">
        <v>124</v>
      </c>
      <c r="I379">
        <v>0</v>
      </c>
      <c r="J379">
        <v>0</v>
      </c>
      <c r="K379">
        <v>194.83220900000001</v>
      </c>
      <c r="L379">
        <v>2.9182290000000002</v>
      </c>
      <c r="M379">
        <v>339.932198604017</v>
      </c>
      <c r="N379">
        <v>0</v>
      </c>
      <c r="O379" s="8" t="str">
        <f>formatIP(Table1[[#This Row],[Address A]])</f>
        <v>010.012.000.001</v>
      </c>
      <c r="P379" s="8" t="str">
        <f>formatIP(Table1[[#This Row],[Address B]])</f>
        <v>010.011.009.028</v>
      </c>
      <c r="Q379" s="8" t="str">
        <f>VLOOKUP(Table1[[#This Row],[Address A]],IP_Master[],4,FALSE)</f>
        <v>PPPCFC1</v>
      </c>
      <c r="R379" s="8" t="str">
        <f>VLOOKUP(Table1[[#This Row],[Address B]],IP_Master[],4,FALSE)</f>
        <v>EGX100</v>
      </c>
      <c r="S379" s="8" t="str">
        <f>VLOOKUP(Table1[[#This Row],[Address A]],IP_Master[],2,FALSE)</f>
        <v>Fume Control</v>
      </c>
      <c r="T379" s="8" t="str">
        <f>VLOOKUP(Table1[[#This Row],[Address B]],IP_Master[],2,FALSE)</f>
        <v>Miscellaneous</v>
      </c>
      <c r="U379" s="9" t="str">
        <f>VLOOKUP(Table1[[#This Row],[Address A]],IP_Master[],3,FALSE)</f>
        <v>iFIX Nodes &amp; Ethernet Switches</v>
      </c>
      <c r="V379" s="9" t="str">
        <f>VLOOKUP(Table1[[#This Row],[Address B]],IP_Master[],3,FALSE)</f>
        <v>iFIX Nodes &amp; Ethernet Switches</v>
      </c>
      <c r="W379" s="9" t="str">
        <f>VLOOKUP(Table1[[#This Row],[Port B]],traffic_types[],2,FALSE)</f>
        <v>Modbus</v>
      </c>
    </row>
    <row r="380" spans="1:23" x14ac:dyDescent="0.6">
      <c r="A380" t="s">
        <v>53</v>
      </c>
      <c r="B380">
        <v>2670</v>
      </c>
      <c r="C380" t="s">
        <v>87</v>
      </c>
      <c r="D380">
        <v>502</v>
      </c>
      <c r="E380">
        <v>1</v>
      </c>
      <c r="F380" s="13">
        <v>62</v>
      </c>
      <c r="G380">
        <v>1</v>
      </c>
      <c r="H380">
        <v>62</v>
      </c>
      <c r="I380">
        <v>0</v>
      </c>
      <c r="J380">
        <v>0</v>
      </c>
      <c r="K380">
        <v>195.37501499999999</v>
      </c>
      <c r="L380">
        <v>0</v>
      </c>
      <c r="M380">
        <v>0</v>
      </c>
      <c r="N380">
        <v>0</v>
      </c>
      <c r="O380" s="8" t="str">
        <f>formatIP(Table1[[#This Row],[Address A]])</f>
        <v>010.012.000.001</v>
      </c>
      <c r="P380" s="8" t="str">
        <f>formatIP(Table1[[#This Row],[Address B]])</f>
        <v>010.011.009.028</v>
      </c>
      <c r="Q380" s="8" t="str">
        <f>VLOOKUP(Table1[[#This Row],[Address A]],IP_Master[],4,FALSE)</f>
        <v>PPPCFC1</v>
      </c>
      <c r="R380" s="8" t="str">
        <f>VLOOKUP(Table1[[#This Row],[Address B]],IP_Master[],4,FALSE)</f>
        <v>EGX100</v>
      </c>
      <c r="S380" s="8" t="str">
        <f>VLOOKUP(Table1[[#This Row],[Address A]],IP_Master[],2,FALSE)</f>
        <v>Fume Control</v>
      </c>
      <c r="T380" s="8" t="str">
        <f>VLOOKUP(Table1[[#This Row],[Address B]],IP_Master[],2,FALSE)</f>
        <v>Miscellaneous</v>
      </c>
      <c r="U380" s="9" t="str">
        <f>VLOOKUP(Table1[[#This Row],[Address A]],IP_Master[],3,FALSE)</f>
        <v>iFIX Nodes &amp; Ethernet Switches</v>
      </c>
      <c r="V380" s="9" t="str">
        <f>VLOOKUP(Table1[[#This Row],[Address B]],IP_Master[],3,FALSE)</f>
        <v>iFIX Nodes &amp; Ethernet Switches</v>
      </c>
      <c r="W380" s="9" t="str">
        <f>VLOOKUP(Table1[[#This Row],[Port B]],traffic_types[],2,FALSE)</f>
        <v>Modbus</v>
      </c>
    </row>
    <row r="381" spans="1:23" x14ac:dyDescent="0.6">
      <c r="A381" t="s">
        <v>53</v>
      </c>
      <c r="B381">
        <v>2671</v>
      </c>
      <c r="C381" t="s">
        <v>87</v>
      </c>
      <c r="D381">
        <v>502</v>
      </c>
      <c r="E381">
        <v>1</v>
      </c>
      <c r="F381" s="13">
        <v>62</v>
      </c>
      <c r="G381">
        <v>1</v>
      </c>
      <c r="H381">
        <v>62</v>
      </c>
      <c r="I381">
        <v>0</v>
      </c>
      <c r="J381">
        <v>0</v>
      </c>
      <c r="K381">
        <v>195.80590100000001</v>
      </c>
      <c r="L381">
        <v>0</v>
      </c>
      <c r="M381">
        <v>0</v>
      </c>
      <c r="N381">
        <v>0</v>
      </c>
      <c r="O381" s="8" t="str">
        <f>formatIP(Table1[[#This Row],[Address A]])</f>
        <v>010.012.000.001</v>
      </c>
      <c r="P381" s="8" t="str">
        <f>formatIP(Table1[[#This Row],[Address B]])</f>
        <v>010.011.009.028</v>
      </c>
      <c r="Q381" s="8" t="str">
        <f>VLOOKUP(Table1[[#This Row],[Address A]],IP_Master[],4,FALSE)</f>
        <v>PPPCFC1</v>
      </c>
      <c r="R381" s="8" t="str">
        <f>VLOOKUP(Table1[[#This Row],[Address B]],IP_Master[],4,FALSE)</f>
        <v>EGX100</v>
      </c>
      <c r="S381" s="8" t="str">
        <f>VLOOKUP(Table1[[#This Row],[Address A]],IP_Master[],2,FALSE)</f>
        <v>Fume Control</v>
      </c>
      <c r="T381" s="8" t="str">
        <f>VLOOKUP(Table1[[#This Row],[Address B]],IP_Master[],2,FALSE)</f>
        <v>Miscellaneous</v>
      </c>
      <c r="U381" s="9" t="str">
        <f>VLOOKUP(Table1[[#This Row],[Address A]],IP_Master[],3,FALSE)</f>
        <v>iFIX Nodes &amp; Ethernet Switches</v>
      </c>
      <c r="V381" s="9" t="str">
        <f>VLOOKUP(Table1[[#This Row],[Address B]],IP_Master[],3,FALSE)</f>
        <v>iFIX Nodes &amp; Ethernet Switches</v>
      </c>
      <c r="W381" s="9" t="str">
        <f>VLOOKUP(Table1[[#This Row],[Port B]],traffic_types[],2,FALSE)</f>
        <v>Modbus</v>
      </c>
    </row>
    <row r="382" spans="1:23" x14ac:dyDescent="0.6">
      <c r="A382" t="s">
        <v>53</v>
      </c>
      <c r="B382">
        <v>2673</v>
      </c>
      <c r="C382" t="s">
        <v>87</v>
      </c>
      <c r="D382">
        <v>502</v>
      </c>
      <c r="E382">
        <v>1</v>
      </c>
      <c r="F382" s="13">
        <v>62</v>
      </c>
      <c r="G382">
        <v>1</v>
      </c>
      <c r="H382">
        <v>62</v>
      </c>
      <c r="I382">
        <v>0</v>
      </c>
      <c r="J382">
        <v>0</v>
      </c>
      <c r="K382">
        <v>196.43056999999999</v>
      </c>
      <c r="L382">
        <v>0</v>
      </c>
      <c r="M382">
        <v>0</v>
      </c>
      <c r="N382">
        <v>0</v>
      </c>
      <c r="O382" s="8" t="str">
        <f>formatIP(Table1[[#This Row],[Address A]])</f>
        <v>010.012.000.001</v>
      </c>
      <c r="P382" s="8" t="str">
        <f>formatIP(Table1[[#This Row],[Address B]])</f>
        <v>010.011.009.028</v>
      </c>
      <c r="Q382" s="8" t="str">
        <f>VLOOKUP(Table1[[#This Row],[Address A]],IP_Master[],4,FALSE)</f>
        <v>PPPCFC1</v>
      </c>
      <c r="R382" s="8" t="str">
        <f>VLOOKUP(Table1[[#This Row],[Address B]],IP_Master[],4,FALSE)</f>
        <v>EGX100</v>
      </c>
      <c r="S382" s="8" t="str">
        <f>VLOOKUP(Table1[[#This Row],[Address A]],IP_Master[],2,FALSE)</f>
        <v>Fume Control</v>
      </c>
      <c r="T382" s="8" t="str">
        <f>VLOOKUP(Table1[[#This Row],[Address B]],IP_Master[],2,FALSE)</f>
        <v>Miscellaneous</v>
      </c>
      <c r="U382" s="9" t="str">
        <f>VLOOKUP(Table1[[#This Row],[Address A]],IP_Master[],3,FALSE)</f>
        <v>iFIX Nodes &amp; Ethernet Switches</v>
      </c>
      <c r="V382" s="9" t="str">
        <f>VLOOKUP(Table1[[#This Row],[Address B]],IP_Master[],3,FALSE)</f>
        <v>iFIX Nodes &amp; Ethernet Switches</v>
      </c>
      <c r="W382" s="9" t="str">
        <f>VLOOKUP(Table1[[#This Row],[Port B]],traffic_types[],2,FALSE)</f>
        <v>Modbus</v>
      </c>
    </row>
    <row r="383" spans="1:23" x14ac:dyDescent="0.6">
      <c r="A383" t="s">
        <v>53</v>
      </c>
      <c r="B383">
        <v>2675</v>
      </c>
      <c r="C383" t="s">
        <v>87</v>
      </c>
      <c r="D383">
        <v>502</v>
      </c>
      <c r="E383">
        <v>1</v>
      </c>
      <c r="F383" s="13">
        <v>62</v>
      </c>
      <c r="G383">
        <v>1</v>
      </c>
      <c r="H383">
        <v>62</v>
      </c>
      <c r="I383">
        <v>0</v>
      </c>
      <c r="J383">
        <v>0</v>
      </c>
      <c r="K383">
        <v>197.84416200000001</v>
      </c>
      <c r="L383">
        <v>0</v>
      </c>
      <c r="M383">
        <v>0</v>
      </c>
      <c r="N383">
        <v>0</v>
      </c>
      <c r="O383" s="8" t="str">
        <f>formatIP(Table1[[#This Row],[Address A]])</f>
        <v>010.012.000.001</v>
      </c>
      <c r="P383" s="8" t="str">
        <f>formatIP(Table1[[#This Row],[Address B]])</f>
        <v>010.011.009.028</v>
      </c>
      <c r="Q383" s="8" t="str">
        <f>VLOOKUP(Table1[[#This Row],[Address A]],IP_Master[],4,FALSE)</f>
        <v>PPPCFC1</v>
      </c>
      <c r="R383" s="8" t="str">
        <f>VLOOKUP(Table1[[#This Row],[Address B]],IP_Master[],4,FALSE)</f>
        <v>EGX100</v>
      </c>
      <c r="S383" s="8" t="str">
        <f>VLOOKUP(Table1[[#This Row],[Address A]],IP_Master[],2,FALSE)</f>
        <v>Fume Control</v>
      </c>
      <c r="T383" s="8" t="str">
        <f>VLOOKUP(Table1[[#This Row],[Address B]],IP_Master[],2,FALSE)</f>
        <v>Miscellaneous</v>
      </c>
      <c r="U383" s="9" t="str">
        <f>VLOOKUP(Table1[[#This Row],[Address A]],IP_Master[],3,FALSE)</f>
        <v>iFIX Nodes &amp; Ethernet Switches</v>
      </c>
      <c r="V383" s="9" t="str">
        <f>VLOOKUP(Table1[[#This Row],[Address B]],IP_Master[],3,FALSE)</f>
        <v>iFIX Nodes &amp; Ethernet Switches</v>
      </c>
      <c r="W383" s="9" t="str">
        <f>VLOOKUP(Table1[[#This Row],[Port B]],traffic_types[],2,FALSE)</f>
        <v>Modbus</v>
      </c>
    </row>
    <row r="384" spans="1:23" x14ac:dyDescent="0.6">
      <c r="A384" t="s">
        <v>53</v>
      </c>
      <c r="B384">
        <v>2676</v>
      </c>
      <c r="C384" t="s">
        <v>87</v>
      </c>
      <c r="D384">
        <v>502</v>
      </c>
      <c r="E384">
        <v>1</v>
      </c>
      <c r="F384" s="13">
        <v>62</v>
      </c>
      <c r="G384">
        <v>1</v>
      </c>
      <c r="H384">
        <v>62</v>
      </c>
      <c r="I384">
        <v>0</v>
      </c>
      <c r="J384">
        <v>0</v>
      </c>
      <c r="K384">
        <v>198.81302500000001</v>
      </c>
      <c r="L384">
        <v>0</v>
      </c>
      <c r="M384">
        <v>0</v>
      </c>
      <c r="N384">
        <v>0</v>
      </c>
      <c r="O384" s="8" t="str">
        <f>formatIP(Table1[[#This Row],[Address A]])</f>
        <v>010.012.000.001</v>
      </c>
      <c r="P384" s="8" t="str">
        <f>formatIP(Table1[[#This Row],[Address B]])</f>
        <v>010.011.009.028</v>
      </c>
      <c r="Q384" s="8" t="str">
        <f>VLOOKUP(Table1[[#This Row],[Address A]],IP_Master[],4,FALSE)</f>
        <v>PPPCFC1</v>
      </c>
      <c r="R384" s="8" t="str">
        <f>VLOOKUP(Table1[[#This Row],[Address B]],IP_Master[],4,FALSE)</f>
        <v>EGX100</v>
      </c>
      <c r="S384" s="8" t="str">
        <f>VLOOKUP(Table1[[#This Row],[Address A]],IP_Master[],2,FALSE)</f>
        <v>Fume Control</v>
      </c>
      <c r="T384" s="8" t="str">
        <f>VLOOKUP(Table1[[#This Row],[Address B]],IP_Master[],2,FALSE)</f>
        <v>Miscellaneous</v>
      </c>
      <c r="U384" s="9" t="str">
        <f>VLOOKUP(Table1[[#This Row],[Address A]],IP_Master[],3,FALSE)</f>
        <v>iFIX Nodes &amp; Ethernet Switches</v>
      </c>
      <c r="V384" s="9" t="str">
        <f>VLOOKUP(Table1[[#This Row],[Address B]],IP_Master[],3,FALSE)</f>
        <v>iFIX Nodes &amp; Ethernet Switches</v>
      </c>
      <c r="W384" s="9" t="str">
        <f>VLOOKUP(Table1[[#This Row],[Port B]],traffic_types[],2,FALSE)</f>
        <v>Modbus</v>
      </c>
    </row>
    <row r="385" spans="1:23" x14ac:dyDescent="0.6">
      <c r="A385" t="s">
        <v>53</v>
      </c>
      <c r="B385">
        <v>2677</v>
      </c>
      <c r="C385" t="s">
        <v>87</v>
      </c>
      <c r="D385">
        <v>502</v>
      </c>
      <c r="E385">
        <v>2</v>
      </c>
      <c r="F385" s="13">
        <v>124</v>
      </c>
      <c r="G385">
        <v>2</v>
      </c>
      <c r="H385">
        <v>124</v>
      </c>
      <c r="I385">
        <v>0</v>
      </c>
      <c r="J385">
        <v>0</v>
      </c>
      <c r="K385">
        <v>198.87771699999999</v>
      </c>
      <c r="L385">
        <v>2.9968110000000099</v>
      </c>
      <c r="M385">
        <v>331.01853937402001</v>
      </c>
      <c r="N385">
        <v>0</v>
      </c>
      <c r="O385" s="8" t="str">
        <f>formatIP(Table1[[#This Row],[Address A]])</f>
        <v>010.012.000.001</v>
      </c>
      <c r="P385" s="8" t="str">
        <f>formatIP(Table1[[#This Row],[Address B]])</f>
        <v>010.011.009.028</v>
      </c>
      <c r="Q385" s="8" t="str">
        <f>VLOOKUP(Table1[[#This Row],[Address A]],IP_Master[],4,FALSE)</f>
        <v>PPPCFC1</v>
      </c>
      <c r="R385" s="8" t="str">
        <f>VLOOKUP(Table1[[#This Row],[Address B]],IP_Master[],4,FALSE)</f>
        <v>EGX100</v>
      </c>
      <c r="S385" s="8" t="str">
        <f>VLOOKUP(Table1[[#This Row],[Address A]],IP_Master[],2,FALSE)</f>
        <v>Fume Control</v>
      </c>
      <c r="T385" s="8" t="str">
        <f>VLOOKUP(Table1[[#This Row],[Address B]],IP_Master[],2,FALSE)</f>
        <v>Miscellaneous</v>
      </c>
      <c r="U385" s="9" t="str">
        <f>VLOOKUP(Table1[[#This Row],[Address A]],IP_Master[],3,FALSE)</f>
        <v>iFIX Nodes &amp; Ethernet Switches</v>
      </c>
      <c r="V385" s="9" t="str">
        <f>VLOOKUP(Table1[[#This Row],[Address B]],IP_Master[],3,FALSE)</f>
        <v>iFIX Nodes &amp; Ethernet Switches</v>
      </c>
      <c r="W385" s="9" t="str">
        <f>VLOOKUP(Table1[[#This Row],[Port B]],traffic_types[],2,FALSE)</f>
        <v>Modbus</v>
      </c>
    </row>
    <row r="386" spans="1:23" x14ac:dyDescent="0.6">
      <c r="A386" t="s">
        <v>53</v>
      </c>
      <c r="B386">
        <v>2679</v>
      </c>
      <c r="C386" t="s">
        <v>87</v>
      </c>
      <c r="D386">
        <v>502</v>
      </c>
      <c r="E386">
        <v>1</v>
      </c>
      <c r="F386" s="13">
        <v>62</v>
      </c>
      <c r="G386">
        <v>1</v>
      </c>
      <c r="H386">
        <v>62</v>
      </c>
      <c r="I386">
        <v>0</v>
      </c>
      <c r="J386">
        <v>0</v>
      </c>
      <c r="K386">
        <v>199.43843200000001</v>
      </c>
      <c r="L386">
        <v>0</v>
      </c>
      <c r="M386">
        <v>0</v>
      </c>
      <c r="N386">
        <v>0</v>
      </c>
      <c r="O386" s="8" t="str">
        <f>formatIP(Table1[[#This Row],[Address A]])</f>
        <v>010.012.000.001</v>
      </c>
      <c r="P386" s="8" t="str">
        <f>formatIP(Table1[[#This Row],[Address B]])</f>
        <v>010.011.009.028</v>
      </c>
      <c r="Q386" s="8" t="str">
        <f>VLOOKUP(Table1[[#This Row],[Address A]],IP_Master[],4,FALSE)</f>
        <v>PPPCFC1</v>
      </c>
      <c r="R386" s="8" t="str">
        <f>VLOOKUP(Table1[[#This Row],[Address B]],IP_Master[],4,FALSE)</f>
        <v>EGX100</v>
      </c>
      <c r="S386" s="8" t="str">
        <f>VLOOKUP(Table1[[#This Row],[Address A]],IP_Master[],2,FALSE)</f>
        <v>Fume Control</v>
      </c>
      <c r="T386" s="8" t="str">
        <f>VLOOKUP(Table1[[#This Row],[Address B]],IP_Master[],2,FALSE)</f>
        <v>Miscellaneous</v>
      </c>
      <c r="U386" s="9" t="str">
        <f>VLOOKUP(Table1[[#This Row],[Address A]],IP_Master[],3,FALSE)</f>
        <v>iFIX Nodes &amp; Ethernet Switches</v>
      </c>
      <c r="V386" s="9" t="str">
        <f>VLOOKUP(Table1[[#This Row],[Address B]],IP_Master[],3,FALSE)</f>
        <v>iFIX Nodes &amp; Ethernet Switches</v>
      </c>
      <c r="W386" s="9" t="str">
        <f>VLOOKUP(Table1[[#This Row],[Port B]],traffic_types[],2,FALSE)</f>
        <v>Modbus</v>
      </c>
    </row>
    <row r="387" spans="1:23" x14ac:dyDescent="0.6">
      <c r="A387" t="s">
        <v>53</v>
      </c>
      <c r="B387">
        <v>2681</v>
      </c>
      <c r="C387" t="s">
        <v>88</v>
      </c>
      <c r="D387">
        <v>80</v>
      </c>
      <c r="E387">
        <v>3</v>
      </c>
      <c r="F387" s="13">
        <v>186</v>
      </c>
      <c r="G387">
        <v>3</v>
      </c>
      <c r="H387">
        <v>186</v>
      </c>
      <c r="I387">
        <v>0</v>
      </c>
      <c r="J387">
        <v>0</v>
      </c>
      <c r="K387">
        <v>199.62338099999999</v>
      </c>
      <c r="L387">
        <v>8.8906970000000207</v>
      </c>
      <c r="M387">
        <v>167.36595567254099</v>
      </c>
      <c r="N387">
        <v>0</v>
      </c>
      <c r="O387" s="8" t="str">
        <f>formatIP(Table1[[#This Row],[Address A]])</f>
        <v>010.012.000.001</v>
      </c>
      <c r="P387" s="8" t="str">
        <f>formatIP(Table1[[#This Row],[Address B]])</f>
        <v>095.101.113.027</v>
      </c>
      <c r="Q387" s="8" t="str">
        <f>VLOOKUP(Table1[[#This Row],[Address A]],IP_Master[],4,FALSE)</f>
        <v>PPPCFC1</v>
      </c>
      <c r="R387" s="8" t="e">
        <f>VLOOKUP(Table1[[#This Row],[Address B]],IP_Master[],4,FALSE)</f>
        <v>#N/A</v>
      </c>
      <c r="S387" s="8" t="str">
        <f>VLOOKUP(Table1[[#This Row],[Address A]],IP_Master[],2,FALSE)</f>
        <v>Fume Control</v>
      </c>
      <c r="T387" s="8" t="e">
        <f>VLOOKUP(Table1[[#This Row],[Address B]],IP_Master[],2,FALSE)</f>
        <v>#N/A</v>
      </c>
      <c r="U387" s="9" t="str">
        <f>VLOOKUP(Table1[[#This Row],[Address A]],IP_Master[],3,FALSE)</f>
        <v>iFIX Nodes &amp; Ethernet Switches</v>
      </c>
      <c r="V387" s="9" t="e">
        <f>VLOOKUP(Table1[[#This Row],[Address B]],IP_Master[],3,FALSE)</f>
        <v>#N/A</v>
      </c>
      <c r="W387" s="9" t="str">
        <f>VLOOKUP(Table1[[#This Row],[Port B]],traffic_types[],2,FALSE)</f>
        <v>HTTP</v>
      </c>
    </row>
    <row r="388" spans="1:23" x14ac:dyDescent="0.6">
      <c r="A388" t="s">
        <v>53</v>
      </c>
      <c r="B388">
        <v>2683</v>
      </c>
      <c r="C388" t="s">
        <v>87</v>
      </c>
      <c r="D388">
        <v>502</v>
      </c>
      <c r="E388">
        <v>1</v>
      </c>
      <c r="F388" s="13">
        <v>62</v>
      </c>
      <c r="G388">
        <v>1</v>
      </c>
      <c r="H388">
        <v>62</v>
      </c>
      <c r="I388">
        <v>0</v>
      </c>
      <c r="J388">
        <v>0</v>
      </c>
      <c r="K388">
        <v>201.891582</v>
      </c>
      <c r="L388">
        <v>0</v>
      </c>
      <c r="M388">
        <v>0</v>
      </c>
      <c r="N388">
        <v>0</v>
      </c>
      <c r="O388" s="8" t="str">
        <f>formatIP(Table1[[#This Row],[Address A]])</f>
        <v>010.012.000.001</v>
      </c>
      <c r="P388" s="8" t="str">
        <f>formatIP(Table1[[#This Row],[Address B]])</f>
        <v>010.011.009.028</v>
      </c>
      <c r="Q388" s="8" t="str">
        <f>VLOOKUP(Table1[[#This Row],[Address A]],IP_Master[],4,FALSE)</f>
        <v>PPPCFC1</v>
      </c>
      <c r="R388" s="8" t="str">
        <f>VLOOKUP(Table1[[#This Row],[Address B]],IP_Master[],4,FALSE)</f>
        <v>EGX100</v>
      </c>
      <c r="S388" s="8" t="str">
        <f>VLOOKUP(Table1[[#This Row],[Address A]],IP_Master[],2,FALSE)</f>
        <v>Fume Control</v>
      </c>
      <c r="T388" s="8" t="str">
        <f>VLOOKUP(Table1[[#This Row],[Address B]],IP_Master[],2,FALSE)</f>
        <v>Miscellaneous</v>
      </c>
      <c r="U388" s="9" t="str">
        <f>VLOOKUP(Table1[[#This Row],[Address A]],IP_Master[],3,FALSE)</f>
        <v>iFIX Nodes &amp; Ethernet Switches</v>
      </c>
      <c r="V388" s="9" t="str">
        <f>VLOOKUP(Table1[[#This Row],[Address B]],IP_Master[],3,FALSE)</f>
        <v>iFIX Nodes &amp; Ethernet Switches</v>
      </c>
      <c r="W388" s="9" t="str">
        <f>VLOOKUP(Table1[[#This Row],[Port B]],traffic_types[],2,FALSE)</f>
        <v>Modbus</v>
      </c>
    </row>
    <row r="389" spans="1:23" x14ac:dyDescent="0.6">
      <c r="A389" t="s">
        <v>53</v>
      </c>
      <c r="B389">
        <v>2687</v>
      </c>
      <c r="C389" t="s">
        <v>89</v>
      </c>
      <c r="D389">
        <v>80</v>
      </c>
      <c r="E389">
        <v>3</v>
      </c>
      <c r="F389" s="13">
        <v>186</v>
      </c>
      <c r="G389">
        <v>3</v>
      </c>
      <c r="H389">
        <v>186</v>
      </c>
      <c r="I389">
        <v>0</v>
      </c>
      <c r="J389">
        <v>0</v>
      </c>
      <c r="K389">
        <v>220.58631700000001</v>
      </c>
      <c r="L389">
        <v>9.0536089999999891</v>
      </c>
      <c r="M389">
        <v>164.35434753146501</v>
      </c>
      <c r="N389">
        <v>0</v>
      </c>
      <c r="O389" s="8" t="str">
        <f>formatIP(Table1[[#This Row],[Address A]])</f>
        <v>010.012.000.001</v>
      </c>
      <c r="P389" s="8" t="str">
        <f>formatIP(Table1[[#This Row],[Address B]])</f>
        <v>095.101.113.032</v>
      </c>
      <c r="Q389" s="8" t="str">
        <f>VLOOKUP(Table1[[#This Row],[Address A]],IP_Master[],4,FALSE)</f>
        <v>PPPCFC1</v>
      </c>
      <c r="R389" s="8" t="e">
        <f>VLOOKUP(Table1[[#This Row],[Address B]],IP_Master[],4,FALSE)</f>
        <v>#N/A</v>
      </c>
      <c r="S389" s="8" t="str">
        <f>VLOOKUP(Table1[[#This Row],[Address A]],IP_Master[],2,FALSE)</f>
        <v>Fume Control</v>
      </c>
      <c r="T389" s="8" t="e">
        <f>VLOOKUP(Table1[[#This Row],[Address B]],IP_Master[],2,FALSE)</f>
        <v>#N/A</v>
      </c>
      <c r="U389" s="9" t="str">
        <f>VLOOKUP(Table1[[#This Row],[Address A]],IP_Master[],3,FALSE)</f>
        <v>iFIX Nodes &amp; Ethernet Switches</v>
      </c>
      <c r="V389" s="9" t="e">
        <f>VLOOKUP(Table1[[#This Row],[Address B]],IP_Master[],3,FALSE)</f>
        <v>#N/A</v>
      </c>
      <c r="W389" s="9" t="str">
        <f>VLOOKUP(Table1[[#This Row],[Port B]],traffic_types[],2,FALSE)</f>
        <v>HTTP</v>
      </c>
    </row>
    <row r="390" spans="1:23" x14ac:dyDescent="0.6">
      <c r="A390" t="s">
        <v>53</v>
      </c>
      <c r="B390">
        <v>2688</v>
      </c>
      <c r="C390" t="s">
        <v>87</v>
      </c>
      <c r="D390">
        <v>502</v>
      </c>
      <c r="E390">
        <v>1</v>
      </c>
      <c r="F390" s="13">
        <v>62</v>
      </c>
      <c r="G390">
        <v>1</v>
      </c>
      <c r="H390">
        <v>62</v>
      </c>
      <c r="I390">
        <v>0</v>
      </c>
      <c r="J390">
        <v>0</v>
      </c>
      <c r="K390">
        <v>225.38305600000001</v>
      </c>
      <c r="L390">
        <v>0</v>
      </c>
      <c r="M390">
        <v>0</v>
      </c>
      <c r="N390">
        <v>0</v>
      </c>
      <c r="O390" s="8" t="str">
        <f>formatIP(Table1[[#This Row],[Address A]])</f>
        <v>010.012.000.001</v>
      </c>
      <c r="P390" s="8" t="str">
        <f>formatIP(Table1[[#This Row],[Address B]])</f>
        <v>010.011.009.028</v>
      </c>
      <c r="Q390" s="8" t="str">
        <f>VLOOKUP(Table1[[#This Row],[Address A]],IP_Master[],4,FALSE)</f>
        <v>PPPCFC1</v>
      </c>
      <c r="R390" s="8" t="str">
        <f>VLOOKUP(Table1[[#This Row],[Address B]],IP_Master[],4,FALSE)</f>
        <v>EGX100</v>
      </c>
      <c r="S390" s="8" t="str">
        <f>VLOOKUP(Table1[[#This Row],[Address A]],IP_Master[],2,FALSE)</f>
        <v>Fume Control</v>
      </c>
      <c r="T390" s="8" t="str">
        <f>VLOOKUP(Table1[[#This Row],[Address B]],IP_Master[],2,FALSE)</f>
        <v>Miscellaneous</v>
      </c>
      <c r="U390" s="9" t="str">
        <f>VLOOKUP(Table1[[#This Row],[Address A]],IP_Master[],3,FALSE)</f>
        <v>iFIX Nodes &amp; Ethernet Switches</v>
      </c>
      <c r="V390" s="9" t="str">
        <f>VLOOKUP(Table1[[#This Row],[Address B]],IP_Master[],3,FALSE)</f>
        <v>iFIX Nodes &amp; Ethernet Switches</v>
      </c>
      <c r="W390" s="9" t="str">
        <f>VLOOKUP(Table1[[#This Row],[Port B]],traffic_types[],2,FALSE)</f>
        <v>Modbus</v>
      </c>
    </row>
    <row r="391" spans="1:23" x14ac:dyDescent="0.6">
      <c r="A391" t="s">
        <v>53</v>
      </c>
      <c r="B391">
        <v>2689</v>
      </c>
      <c r="C391" t="s">
        <v>87</v>
      </c>
      <c r="D391">
        <v>502</v>
      </c>
      <c r="E391">
        <v>2</v>
      </c>
      <c r="F391" s="13">
        <v>124</v>
      </c>
      <c r="G391">
        <v>2</v>
      </c>
      <c r="H391">
        <v>124</v>
      </c>
      <c r="I391">
        <v>0</v>
      </c>
      <c r="J391">
        <v>0</v>
      </c>
      <c r="K391">
        <v>227.85683800000001</v>
      </c>
      <c r="L391">
        <v>2.99010799999999</v>
      </c>
      <c r="M391">
        <v>331.760591925109</v>
      </c>
      <c r="N391">
        <v>0</v>
      </c>
      <c r="O391" s="8" t="str">
        <f>formatIP(Table1[[#This Row],[Address A]])</f>
        <v>010.012.000.001</v>
      </c>
      <c r="P391" s="8" t="str">
        <f>formatIP(Table1[[#This Row],[Address B]])</f>
        <v>010.011.009.028</v>
      </c>
      <c r="Q391" s="8" t="str">
        <f>VLOOKUP(Table1[[#This Row],[Address A]],IP_Master[],4,FALSE)</f>
        <v>PPPCFC1</v>
      </c>
      <c r="R391" s="8" t="str">
        <f>VLOOKUP(Table1[[#This Row],[Address B]],IP_Master[],4,FALSE)</f>
        <v>EGX100</v>
      </c>
      <c r="S391" s="8" t="str">
        <f>VLOOKUP(Table1[[#This Row],[Address A]],IP_Master[],2,FALSE)</f>
        <v>Fume Control</v>
      </c>
      <c r="T391" s="8" t="str">
        <f>VLOOKUP(Table1[[#This Row],[Address B]],IP_Master[],2,FALSE)</f>
        <v>Miscellaneous</v>
      </c>
      <c r="U391" s="9" t="str">
        <f>VLOOKUP(Table1[[#This Row],[Address A]],IP_Master[],3,FALSE)</f>
        <v>iFIX Nodes &amp; Ethernet Switches</v>
      </c>
      <c r="V391" s="9" t="str">
        <f>VLOOKUP(Table1[[#This Row],[Address B]],IP_Master[],3,FALSE)</f>
        <v>iFIX Nodes &amp; Ethernet Switches</v>
      </c>
      <c r="W391" s="9" t="str">
        <f>VLOOKUP(Table1[[#This Row],[Port B]],traffic_types[],2,FALSE)</f>
        <v>Modbus</v>
      </c>
    </row>
    <row r="392" spans="1:23" x14ac:dyDescent="0.6">
      <c r="A392" t="s">
        <v>53</v>
      </c>
      <c r="B392">
        <v>2690</v>
      </c>
      <c r="C392" t="s">
        <v>87</v>
      </c>
      <c r="D392">
        <v>502</v>
      </c>
      <c r="E392">
        <v>1</v>
      </c>
      <c r="F392" s="13">
        <v>62</v>
      </c>
      <c r="G392">
        <v>1</v>
      </c>
      <c r="H392">
        <v>62</v>
      </c>
      <c r="I392">
        <v>0</v>
      </c>
      <c r="J392">
        <v>0</v>
      </c>
      <c r="K392">
        <v>228.39489699999999</v>
      </c>
      <c r="L392">
        <v>0</v>
      </c>
      <c r="M392">
        <v>0</v>
      </c>
      <c r="N392">
        <v>0</v>
      </c>
      <c r="O392" s="8" t="str">
        <f>formatIP(Table1[[#This Row],[Address A]])</f>
        <v>010.012.000.001</v>
      </c>
      <c r="P392" s="8" t="str">
        <f>formatIP(Table1[[#This Row],[Address B]])</f>
        <v>010.011.009.028</v>
      </c>
      <c r="Q392" s="8" t="str">
        <f>VLOOKUP(Table1[[#This Row],[Address A]],IP_Master[],4,FALSE)</f>
        <v>PPPCFC1</v>
      </c>
      <c r="R392" s="8" t="str">
        <f>VLOOKUP(Table1[[#This Row],[Address B]],IP_Master[],4,FALSE)</f>
        <v>EGX100</v>
      </c>
      <c r="S392" s="8" t="str">
        <f>VLOOKUP(Table1[[#This Row],[Address A]],IP_Master[],2,FALSE)</f>
        <v>Fume Control</v>
      </c>
      <c r="T392" s="8" t="str">
        <f>VLOOKUP(Table1[[#This Row],[Address B]],IP_Master[],2,FALSE)</f>
        <v>Miscellaneous</v>
      </c>
      <c r="U392" s="9" t="str">
        <f>VLOOKUP(Table1[[#This Row],[Address A]],IP_Master[],3,FALSE)</f>
        <v>iFIX Nodes &amp; Ethernet Switches</v>
      </c>
      <c r="V392" s="9" t="str">
        <f>VLOOKUP(Table1[[#This Row],[Address B]],IP_Master[],3,FALSE)</f>
        <v>iFIX Nodes &amp; Ethernet Switches</v>
      </c>
      <c r="W392" s="9" t="str">
        <f>VLOOKUP(Table1[[#This Row],[Port B]],traffic_types[],2,FALSE)</f>
        <v>Modbus</v>
      </c>
    </row>
    <row r="393" spans="1:23" x14ac:dyDescent="0.6">
      <c r="A393" t="s">
        <v>53</v>
      </c>
      <c r="B393">
        <v>2691</v>
      </c>
      <c r="C393" t="s">
        <v>87</v>
      </c>
      <c r="D393">
        <v>502</v>
      </c>
      <c r="E393">
        <v>2</v>
      </c>
      <c r="F393" s="13">
        <v>124</v>
      </c>
      <c r="G393">
        <v>2</v>
      </c>
      <c r="H393">
        <v>124</v>
      </c>
      <c r="I393">
        <v>0</v>
      </c>
      <c r="J393">
        <v>0</v>
      </c>
      <c r="K393">
        <v>228.824881</v>
      </c>
      <c r="L393">
        <v>2.9274689999999999</v>
      </c>
      <c r="M393">
        <v>338.85926716901201</v>
      </c>
      <c r="N393">
        <v>0</v>
      </c>
      <c r="O393" s="8" t="str">
        <f>formatIP(Table1[[#This Row],[Address A]])</f>
        <v>010.012.000.001</v>
      </c>
      <c r="P393" s="8" t="str">
        <f>formatIP(Table1[[#This Row],[Address B]])</f>
        <v>010.011.009.028</v>
      </c>
      <c r="Q393" s="8" t="str">
        <f>VLOOKUP(Table1[[#This Row],[Address A]],IP_Master[],4,FALSE)</f>
        <v>PPPCFC1</v>
      </c>
      <c r="R393" s="8" t="str">
        <f>VLOOKUP(Table1[[#This Row],[Address B]],IP_Master[],4,FALSE)</f>
        <v>EGX100</v>
      </c>
      <c r="S393" s="8" t="str">
        <f>VLOOKUP(Table1[[#This Row],[Address A]],IP_Master[],2,FALSE)</f>
        <v>Fume Control</v>
      </c>
      <c r="T393" s="8" t="str">
        <f>VLOOKUP(Table1[[#This Row],[Address B]],IP_Master[],2,FALSE)</f>
        <v>Miscellaneous</v>
      </c>
      <c r="U393" s="9" t="str">
        <f>VLOOKUP(Table1[[#This Row],[Address A]],IP_Master[],3,FALSE)</f>
        <v>iFIX Nodes &amp; Ethernet Switches</v>
      </c>
      <c r="V393" s="9" t="str">
        <f>VLOOKUP(Table1[[#This Row],[Address B]],IP_Master[],3,FALSE)</f>
        <v>iFIX Nodes &amp; Ethernet Switches</v>
      </c>
      <c r="W393" s="9" t="str">
        <f>VLOOKUP(Table1[[#This Row],[Port B]],traffic_types[],2,FALSE)</f>
        <v>Modbus</v>
      </c>
    </row>
    <row r="394" spans="1:23" x14ac:dyDescent="0.6">
      <c r="A394" t="s">
        <v>53</v>
      </c>
      <c r="B394">
        <v>2693</v>
      </c>
      <c r="C394" t="s">
        <v>87</v>
      </c>
      <c r="D394">
        <v>502</v>
      </c>
      <c r="E394">
        <v>2</v>
      </c>
      <c r="F394" s="13">
        <v>124</v>
      </c>
      <c r="G394">
        <v>2</v>
      </c>
      <c r="H394">
        <v>124</v>
      </c>
      <c r="I394">
        <v>0</v>
      </c>
      <c r="J394">
        <v>0</v>
      </c>
      <c r="K394">
        <v>229.44252800000001</v>
      </c>
      <c r="L394">
        <v>3.0140689999999801</v>
      </c>
      <c r="M394">
        <v>329.12318861977201</v>
      </c>
      <c r="N394">
        <v>0</v>
      </c>
      <c r="O394" s="8" t="str">
        <f>formatIP(Table1[[#This Row],[Address A]])</f>
        <v>010.012.000.001</v>
      </c>
      <c r="P394" s="8" t="str">
        <f>formatIP(Table1[[#This Row],[Address B]])</f>
        <v>010.011.009.028</v>
      </c>
      <c r="Q394" s="8" t="str">
        <f>VLOOKUP(Table1[[#This Row],[Address A]],IP_Master[],4,FALSE)</f>
        <v>PPPCFC1</v>
      </c>
      <c r="R394" s="8" t="str">
        <f>VLOOKUP(Table1[[#This Row],[Address B]],IP_Master[],4,FALSE)</f>
        <v>EGX100</v>
      </c>
      <c r="S394" s="8" t="str">
        <f>VLOOKUP(Table1[[#This Row],[Address A]],IP_Master[],2,FALSE)</f>
        <v>Fume Control</v>
      </c>
      <c r="T394" s="8" t="str">
        <f>VLOOKUP(Table1[[#This Row],[Address B]],IP_Master[],2,FALSE)</f>
        <v>Miscellaneous</v>
      </c>
      <c r="U394" s="9" t="str">
        <f>VLOOKUP(Table1[[#This Row],[Address A]],IP_Master[],3,FALSE)</f>
        <v>iFIX Nodes &amp; Ethernet Switches</v>
      </c>
      <c r="V394" s="9" t="str">
        <f>VLOOKUP(Table1[[#This Row],[Address B]],IP_Master[],3,FALSE)</f>
        <v>iFIX Nodes &amp; Ethernet Switches</v>
      </c>
      <c r="W394" s="9" t="str">
        <f>VLOOKUP(Table1[[#This Row],[Port B]],traffic_types[],2,FALSE)</f>
        <v>Modbus</v>
      </c>
    </row>
    <row r="395" spans="1:23" x14ac:dyDescent="0.6">
      <c r="A395" t="s">
        <v>53</v>
      </c>
      <c r="B395">
        <v>2696</v>
      </c>
      <c r="C395" t="s">
        <v>87</v>
      </c>
      <c r="D395">
        <v>502</v>
      </c>
      <c r="E395">
        <v>1</v>
      </c>
      <c r="F395" s="13">
        <v>62</v>
      </c>
      <c r="G395">
        <v>1</v>
      </c>
      <c r="H395">
        <v>62</v>
      </c>
      <c r="I395">
        <v>0</v>
      </c>
      <c r="J395">
        <v>0</v>
      </c>
      <c r="K395">
        <v>230.86405500000001</v>
      </c>
      <c r="L395">
        <v>0</v>
      </c>
      <c r="M395">
        <v>0</v>
      </c>
      <c r="N395">
        <v>0</v>
      </c>
      <c r="O395" s="8" t="str">
        <f>formatIP(Table1[[#This Row],[Address A]])</f>
        <v>010.012.000.001</v>
      </c>
      <c r="P395" s="8" t="str">
        <f>formatIP(Table1[[#This Row],[Address B]])</f>
        <v>010.011.009.028</v>
      </c>
      <c r="Q395" s="8" t="str">
        <f>VLOOKUP(Table1[[#This Row],[Address A]],IP_Master[],4,FALSE)</f>
        <v>PPPCFC1</v>
      </c>
      <c r="R395" s="8" t="str">
        <f>VLOOKUP(Table1[[#This Row],[Address B]],IP_Master[],4,FALSE)</f>
        <v>EGX100</v>
      </c>
      <c r="S395" s="8" t="str">
        <f>VLOOKUP(Table1[[#This Row],[Address A]],IP_Master[],2,FALSE)</f>
        <v>Fume Control</v>
      </c>
      <c r="T395" s="8" t="str">
        <f>VLOOKUP(Table1[[#This Row],[Address B]],IP_Master[],2,FALSE)</f>
        <v>Miscellaneous</v>
      </c>
      <c r="U395" s="9" t="str">
        <f>VLOOKUP(Table1[[#This Row],[Address A]],IP_Master[],3,FALSE)</f>
        <v>iFIX Nodes &amp; Ethernet Switches</v>
      </c>
      <c r="V395" s="9" t="str">
        <f>VLOOKUP(Table1[[#This Row],[Address B]],IP_Master[],3,FALSE)</f>
        <v>iFIX Nodes &amp; Ethernet Switches</v>
      </c>
      <c r="W395" s="9" t="str">
        <f>VLOOKUP(Table1[[#This Row],[Port B]],traffic_types[],2,FALSE)</f>
        <v>Modbus</v>
      </c>
    </row>
    <row r="396" spans="1:23" x14ac:dyDescent="0.6">
      <c r="A396" t="s">
        <v>53</v>
      </c>
      <c r="B396">
        <v>2697</v>
      </c>
      <c r="C396" t="s">
        <v>87</v>
      </c>
      <c r="D396">
        <v>502</v>
      </c>
      <c r="E396">
        <v>1</v>
      </c>
      <c r="F396" s="13">
        <v>62</v>
      </c>
      <c r="G396">
        <v>1</v>
      </c>
      <c r="H396">
        <v>62</v>
      </c>
      <c r="I396">
        <v>0</v>
      </c>
      <c r="J396">
        <v>0</v>
      </c>
      <c r="K396">
        <v>231.832897</v>
      </c>
      <c r="L396">
        <v>0</v>
      </c>
      <c r="M396">
        <v>0</v>
      </c>
      <c r="N396">
        <v>0</v>
      </c>
      <c r="O396" s="8" t="str">
        <f>formatIP(Table1[[#This Row],[Address A]])</f>
        <v>010.012.000.001</v>
      </c>
      <c r="P396" s="8" t="str">
        <f>formatIP(Table1[[#This Row],[Address B]])</f>
        <v>010.011.009.028</v>
      </c>
      <c r="Q396" s="8" t="str">
        <f>VLOOKUP(Table1[[#This Row],[Address A]],IP_Master[],4,FALSE)</f>
        <v>PPPCFC1</v>
      </c>
      <c r="R396" s="8" t="str">
        <f>VLOOKUP(Table1[[#This Row],[Address B]],IP_Master[],4,FALSE)</f>
        <v>EGX100</v>
      </c>
      <c r="S396" s="8" t="str">
        <f>VLOOKUP(Table1[[#This Row],[Address A]],IP_Master[],2,FALSE)</f>
        <v>Fume Control</v>
      </c>
      <c r="T396" s="8" t="str">
        <f>VLOOKUP(Table1[[#This Row],[Address B]],IP_Master[],2,FALSE)</f>
        <v>Miscellaneous</v>
      </c>
      <c r="U396" s="9" t="str">
        <f>VLOOKUP(Table1[[#This Row],[Address A]],IP_Master[],3,FALSE)</f>
        <v>iFIX Nodes &amp; Ethernet Switches</v>
      </c>
      <c r="V396" s="9" t="str">
        <f>VLOOKUP(Table1[[#This Row],[Address B]],IP_Master[],3,FALSE)</f>
        <v>iFIX Nodes &amp; Ethernet Switches</v>
      </c>
      <c r="W396" s="9" t="str">
        <f>VLOOKUP(Table1[[#This Row],[Port B]],traffic_types[],2,FALSE)</f>
        <v>Modbus</v>
      </c>
    </row>
    <row r="397" spans="1:23" x14ac:dyDescent="0.6">
      <c r="A397" t="s">
        <v>53</v>
      </c>
      <c r="B397">
        <v>2698</v>
      </c>
      <c r="C397" t="s">
        <v>87</v>
      </c>
      <c r="D397">
        <v>502</v>
      </c>
      <c r="E397">
        <v>2</v>
      </c>
      <c r="F397" s="13">
        <v>124</v>
      </c>
      <c r="G397">
        <v>2</v>
      </c>
      <c r="H397">
        <v>124</v>
      </c>
      <c r="I397">
        <v>0</v>
      </c>
      <c r="J397">
        <v>0</v>
      </c>
      <c r="K397">
        <v>231.898506</v>
      </c>
      <c r="L397">
        <v>2.9725139999999901</v>
      </c>
      <c r="M397">
        <v>333.72424822894101</v>
      </c>
      <c r="N397">
        <v>0</v>
      </c>
      <c r="O397" s="8" t="str">
        <f>formatIP(Table1[[#This Row],[Address A]])</f>
        <v>010.012.000.001</v>
      </c>
      <c r="P397" s="8" t="str">
        <f>formatIP(Table1[[#This Row],[Address B]])</f>
        <v>010.011.009.028</v>
      </c>
      <c r="Q397" s="8" t="str">
        <f>VLOOKUP(Table1[[#This Row],[Address A]],IP_Master[],4,FALSE)</f>
        <v>PPPCFC1</v>
      </c>
      <c r="R397" s="8" t="str">
        <f>VLOOKUP(Table1[[#This Row],[Address B]],IP_Master[],4,FALSE)</f>
        <v>EGX100</v>
      </c>
      <c r="S397" s="8" t="str">
        <f>VLOOKUP(Table1[[#This Row],[Address A]],IP_Master[],2,FALSE)</f>
        <v>Fume Control</v>
      </c>
      <c r="T397" s="8" t="str">
        <f>VLOOKUP(Table1[[#This Row],[Address B]],IP_Master[],2,FALSE)</f>
        <v>Miscellaneous</v>
      </c>
      <c r="U397" s="9" t="str">
        <f>VLOOKUP(Table1[[#This Row],[Address A]],IP_Master[],3,FALSE)</f>
        <v>iFIX Nodes &amp; Ethernet Switches</v>
      </c>
      <c r="V397" s="9" t="str">
        <f>VLOOKUP(Table1[[#This Row],[Address B]],IP_Master[],3,FALSE)</f>
        <v>iFIX Nodes &amp; Ethernet Switches</v>
      </c>
      <c r="W397" s="9" t="str">
        <f>VLOOKUP(Table1[[#This Row],[Port B]],traffic_types[],2,FALSE)</f>
        <v>Modbus</v>
      </c>
    </row>
    <row r="398" spans="1:23" x14ac:dyDescent="0.6">
      <c r="A398" t="s">
        <v>53</v>
      </c>
      <c r="B398">
        <v>2700</v>
      </c>
      <c r="C398" t="s">
        <v>87</v>
      </c>
      <c r="D398">
        <v>502</v>
      </c>
      <c r="E398">
        <v>1</v>
      </c>
      <c r="F398" s="13">
        <v>62</v>
      </c>
      <c r="G398">
        <v>1</v>
      </c>
      <c r="H398">
        <v>62</v>
      </c>
      <c r="I398">
        <v>0</v>
      </c>
      <c r="J398">
        <v>0</v>
      </c>
      <c r="K398">
        <v>232.458259</v>
      </c>
      <c r="L398">
        <v>0</v>
      </c>
      <c r="M398">
        <v>0</v>
      </c>
      <c r="N398">
        <v>0</v>
      </c>
      <c r="O398" s="8" t="str">
        <f>formatIP(Table1[[#This Row],[Address A]])</f>
        <v>010.012.000.001</v>
      </c>
      <c r="P398" s="8" t="str">
        <f>formatIP(Table1[[#This Row],[Address B]])</f>
        <v>010.011.009.028</v>
      </c>
      <c r="Q398" s="8" t="str">
        <f>VLOOKUP(Table1[[#This Row],[Address A]],IP_Master[],4,FALSE)</f>
        <v>PPPCFC1</v>
      </c>
      <c r="R398" s="8" t="str">
        <f>VLOOKUP(Table1[[#This Row],[Address B]],IP_Master[],4,FALSE)</f>
        <v>EGX100</v>
      </c>
      <c r="S398" s="8" t="str">
        <f>VLOOKUP(Table1[[#This Row],[Address A]],IP_Master[],2,FALSE)</f>
        <v>Fume Control</v>
      </c>
      <c r="T398" s="8" t="str">
        <f>VLOOKUP(Table1[[#This Row],[Address B]],IP_Master[],2,FALSE)</f>
        <v>Miscellaneous</v>
      </c>
      <c r="U398" s="9" t="str">
        <f>VLOOKUP(Table1[[#This Row],[Address A]],IP_Master[],3,FALSE)</f>
        <v>iFIX Nodes &amp; Ethernet Switches</v>
      </c>
      <c r="V398" s="9" t="str">
        <f>VLOOKUP(Table1[[#This Row],[Address B]],IP_Master[],3,FALSE)</f>
        <v>iFIX Nodes &amp; Ethernet Switches</v>
      </c>
      <c r="W398" s="9" t="str">
        <f>VLOOKUP(Table1[[#This Row],[Port B]],traffic_types[],2,FALSE)</f>
        <v>Modbus</v>
      </c>
    </row>
    <row r="399" spans="1:23" x14ac:dyDescent="0.6">
      <c r="A399" t="s">
        <v>53</v>
      </c>
      <c r="B399">
        <v>2702</v>
      </c>
      <c r="C399" t="s">
        <v>87</v>
      </c>
      <c r="D399">
        <v>502</v>
      </c>
      <c r="E399">
        <v>1</v>
      </c>
      <c r="F399" s="13">
        <v>62</v>
      </c>
      <c r="G399">
        <v>1</v>
      </c>
      <c r="H399">
        <v>62</v>
      </c>
      <c r="I399">
        <v>0</v>
      </c>
      <c r="J399">
        <v>0</v>
      </c>
      <c r="K399">
        <v>234.91127399999999</v>
      </c>
      <c r="L399">
        <v>0</v>
      </c>
      <c r="M399">
        <v>0</v>
      </c>
      <c r="N399">
        <v>0</v>
      </c>
      <c r="O399" s="8" t="str">
        <f>formatIP(Table1[[#This Row],[Address A]])</f>
        <v>010.012.000.001</v>
      </c>
      <c r="P399" s="8" t="str">
        <f>formatIP(Table1[[#This Row],[Address B]])</f>
        <v>010.011.009.028</v>
      </c>
      <c r="Q399" s="8" t="str">
        <f>VLOOKUP(Table1[[#This Row],[Address A]],IP_Master[],4,FALSE)</f>
        <v>PPPCFC1</v>
      </c>
      <c r="R399" s="8" t="str">
        <f>VLOOKUP(Table1[[#This Row],[Address B]],IP_Master[],4,FALSE)</f>
        <v>EGX100</v>
      </c>
      <c r="S399" s="8" t="str">
        <f>VLOOKUP(Table1[[#This Row],[Address A]],IP_Master[],2,FALSE)</f>
        <v>Fume Control</v>
      </c>
      <c r="T399" s="8" t="str">
        <f>VLOOKUP(Table1[[#This Row],[Address B]],IP_Master[],2,FALSE)</f>
        <v>Miscellaneous</v>
      </c>
      <c r="U399" s="9" t="str">
        <f>VLOOKUP(Table1[[#This Row],[Address A]],IP_Master[],3,FALSE)</f>
        <v>iFIX Nodes &amp; Ethernet Switches</v>
      </c>
      <c r="V399" s="9" t="str">
        <f>VLOOKUP(Table1[[#This Row],[Address B]],IP_Master[],3,FALSE)</f>
        <v>iFIX Nodes &amp; Ethernet Switches</v>
      </c>
      <c r="W399" s="9" t="str">
        <f>VLOOKUP(Table1[[#This Row],[Port B]],traffic_types[],2,FALSE)</f>
        <v>Modbus</v>
      </c>
    </row>
    <row r="400" spans="1:23" x14ac:dyDescent="0.6">
      <c r="A400" t="s">
        <v>53</v>
      </c>
      <c r="B400">
        <v>2704</v>
      </c>
      <c r="C400" t="s">
        <v>90</v>
      </c>
      <c r="D400">
        <v>80</v>
      </c>
      <c r="E400">
        <v>3</v>
      </c>
      <c r="F400" s="13">
        <v>186</v>
      </c>
      <c r="G400">
        <v>3</v>
      </c>
      <c r="H400">
        <v>186</v>
      </c>
      <c r="I400">
        <v>0</v>
      </c>
      <c r="J400">
        <v>0</v>
      </c>
      <c r="K400">
        <v>241.611368</v>
      </c>
      <c r="L400">
        <v>9.0535399999999999</v>
      </c>
      <c r="M400">
        <v>164.35560012989399</v>
      </c>
      <c r="N400">
        <v>0</v>
      </c>
      <c r="O400" s="8" t="str">
        <f>formatIP(Table1[[#This Row],[Address A]])</f>
        <v>010.012.000.001</v>
      </c>
      <c r="P400" s="8" t="str">
        <f>formatIP(Table1[[#This Row],[Address B]])</f>
        <v>095.101.113.042</v>
      </c>
      <c r="Q400" s="8" t="str">
        <f>VLOOKUP(Table1[[#This Row],[Address A]],IP_Master[],4,FALSE)</f>
        <v>PPPCFC1</v>
      </c>
      <c r="R400" s="8" t="e">
        <f>VLOOKUP(Table1[[#This Row],[Address B]],IP_Master[],4,FALSE)</f>
        <v>#N/A</v>
      </c>
      <c r="S400" s="8" t="str">
        <f>VLOOKUP(Table1[[#This Row],[Address A]],IP_Master[],2,FALSE)</f>
        <v>Fume Control</v>
      </c>
      <c r="T400" s="8" t="e">
        <f>VLOOKUP(Table1[[#This Row],[Address B]],IP_Master[],2,FALSE)</f>
        <v>#N/A</v>
      </c>
      <c r="U400" s="9" t="str">
        <f>VLOOKUP(Table1[[#This Row],[Address A]],IP_Master[],3,FALSE)</f>
        <v>iFIX Nodes &amp; Ethernet Switches</v>
      </c>
      <c r="V400" s="9" t="e">
        <f>VLOOKUP(Table1[[#This Row],[Address B]],IP_Master[],3,FALSE)</f>
        <v>#N/A</v>
      </c>
      <c r="W400" s="9" t="str">
        <f>VLOOKUP(Table1[[#This Row],[Port B]],traffic_types[],2,FALSE)</f>
        <v>HTTP</v>
      </c>
    </row>
    <row r="401" spans="1:23" x14ac:dyDescent="0.6">
      <c r="A401" t="s">
        <v>53</v>
      </c>
      <c r="B401">
        <v>2707</v>
      </c>
      <c r="C401" t="s">
        <v>87</v>
      </c>
      <c r="D401">
        <v>502</v>
      </c>
      <c r="E401">
        <v>2</v>
      </c>
      <c r="F401" s="13">
        <v>124</v>
      </c>
      <c r="G401">
        <v>2</v>
      </c>
      <c r="H401">
        <v>124</v>
      </c>
      <c r="I401">
        <v>0</v>
      </c>
      <c r="J401">
        <v>0</v>
      </c>
      <c r="K401">
        <v>258.40571</v>
      </c>
      <c r="L401">
        <v>2.92267199999998</v>
      </c>
      <c r="M401">
        <v>339.41543902292398</v>
      </c>
      <c r="N401">
        <v>0</v>
      </c>
      <c r="O401" s="8" t="str">
        <f>formatIP(Table1[[#This Row],[Address A]])</f>
        <v>010.012.000.001</v>
      </c>
      <c r="P401" s="8" t="str">
        <f>formatIP(Table1[[#This Row],[Address B]])</f>
        <v>010.011.009.028</v>
      </c>
      <c r="Q401" s="8" t="str">
        <f>VLOOKUP(Table1[[#This Row],[Address A]],IP_Master[],4,FALSE)</f>
        <v>PPPCFC1</v>
      </c>
      <c r="R401" s="8" t="str">
        <f>VLOOKUP(Table1[[#This Row],[Address B]],IP_Master[],4,FALSE)</f>
        <v>EGX100</v>
      </c>
      <c r="S401" s="8" t="str">
        <f>VLOOKUP(Table1[[#This Row],[Address A]],IP_Master[],2,FALSE)</f>
        <v>Fume Control</v>
      </c>
      <c r="T401" s="8" t="str">
        <f>VLOOKUP(Table1[[#This Row],[Address B]],IP_Master[],2,FALSE)</f>
        <v>Miscellaneous</v>
      </c>
      <c r="U401" s="9" t="str">
        <f>VLOOKUP(Table1[[#This Row],[Address A]],IP_Master[],3,FALSE)</f>
        <v>iFIX Nodes &amp; Ethernet Switches</v>
      </c>
      <c r="V401" s="9" t="str">
        <f>VLOOKUP(Table1[[#This Row],[Address B]],IP_Master[],3,FALSE)</f>
        <v>iFIX Nodes &amp; Ethernet Switches</v>
      </c>
      <c r="W401" s="9" t="str">
        <f>VLOOKUP(Table1[[#This Row],[Port B]],traffic_types[],2,FALSE)</f>
        <v>Modbus</v>
      </c>
    </row>
    <row r="402" spans="1:23" x14ac:dyDescent="0.6">
      <c r="A402" t="s">
        <v>53</v>
      </c>
      <c r="B402">
        <v>2709</v>
      </c>
      <c r="C402" t="s">
        <v>87</v>
      </c>
      <c r="D402">
        <v>502</v>
      </c>
      <c r="E402">
        <v>2</v>
      </c>
      <c r="F402" s="13">
        <v>124</v>
      </c>
      <c r="G402">
        <v>2</v>
      </c>
      <c r="H402">
        <v>124</v>
      </c>
      <c r="I402">
        <v>0</v>
      </c>
      <c r="J402">
        <v>0</v>
      </c>
      <c r="K402">
        <v>260.87385499999999</v>
      </c>
      <c r="L402">
        <v>2.9694499999999899</v>
      </c>
      <c r="M402">
        <v>334.06859856202402</v>
      </c>
      <c r="N402">
        <v>0</v>
      </c>
      <c r="O402" s="8" t="str">
        <f>formatIP(Table1[[#This Row],[Address A]])</f>
        <v>010.012.000.001</v>
      </c>
      <c r="P402" s="8" t="str">
        <f>formatIP(Table1[[#This Row],[Address B]])</f>
        <v>010.011.009.028</v>
      </c>
      <c r="Q402" s="8" t="str">
        <f>VLOOKUP(Table1[[#This Row],[Address A]],IP_Master[],4,FALSE)</f>
        <v>PPPCFC1</v>
      </c>
      <c r="R402" s="8" t="str">
        <f>VLOOKUP(Table1[[#This Row],[Address B]],IP_Master[],4,FALSE)</f>
        <v>EGX100</v>
      </c>
      <c r="S402" s="8" t="str">
        <f>VLOOKUP(Table1[[#This Row],[Address A]],IP_Master[],2,FALSE)</f>
        <v>Fume Control</v>
      </c>
      <c r="T402" s="8" t="str">
        <f>VLOOKUP(Table1[[#This Row],[Address B]],IP_Master[],2,FALSE)</f>
        <v>Miscellaneous</v>
      </c>
      <c r="U402" s="9" t="str">
        <f>VLOOKUP(Table1[[#This Row],[Address A]],IP_Master[],3,FALSE)</f>
        <v>iFIX Nodes &amp; Ethernet Switches</v>
      </c>
      <c r="V402" s="9" t="str">
        <f>VLOOKUP(Table1[[#This Row],[Address B]],IP_Master[],3,FALSE)</f>
        <v>iFIX Nodes &amp; Ethernet Switches</v>
      </c>
      <c r="W402" s="9" t="str">
        <f>VLOOKUP(Table1[[#This Row],[Port B]],traffic_types[],2,FALSE)</f>
        <v>Modbus</v>
      </c>
    </row>
    <row r="403" spans="1:23" x14ac:dyDescent="0.6">
      <c r="A403" t="s">
        <v>53</v>
      </c>
      <c r="B403">
        <v>2710</v>
      </c>
      <c r="C403" t="s">
        <v>87</v>
      </c>
      <c r="D403">
        <v>502</v>
      </c>
      <c r="E403">
        <v>1</v>
      </c>
      <c r="F403" s="13">
        <v>62</v>
      </c>
      <c r="G403">
        <v>1</v>
      </c>
      <c r="H403">
        <v>62</v>
      </c>
      <c r="I403">
        <v>0</v>
      </c>
      <c r="J403">
        <v>0</v>
      </c>
      <c r="K403">
        <v>261.41502100000002</v>
      </c>
      <c r="L403">
        <v>0</v>
      </c>
      <c r="M403">
        <v>0</v>
      </c>
      <c r="N403">
        <v>0</v>
      </c>
      <c r="O403" s="8" t="str">
        <f>formatIP(Table1[[#This Row],[Address A]])</f>
        <v>010.012.000.001</v>
      </c>
      <c r="P403" s="8" t="str">
        <f>formatIP(Table1[[#This Row],[Address B]])</f>
        <v>010.011.009.028</v>
      </c>
      <c r="Q403" s="8" t="str">
        <f>VLOOKUP(Table1[[#This Row],[Address A]],IP_Master[],4,FALSE)</f>
        <v>PPPCFC1</v>
      </c>
      <c r="R403" s="8" t="str">
        <f>VLOOKUP(Table1[[#This Row],[Address B]],IP_Master[],4,FALSE)</f>
        <v>EGX100</v>
      </c>
      <c r="S403" s="8" t="str">
        <f>VLOOKUP(Table1[[#This Row],[Address A]],IP_Master[],2,FALSE)</f>
        <v>Fume Control</v>
      </c>
      <c r="T403" s="8" t="str">
        <f>VLOOKUP(Table1[[#This Row],[Address B]],IP_Master[],2,FALSE)</f>
        <v>Miscellaneous</v>
      </c>
      <c r="U403" s="9" t="str">
        <f>VLOOKUP(Table1[[#This Row],[Address A]],IP_Master[],3,FALSE)</f>
        <v>iFIX Nodes &amp; Ethernet Switches</v>
      </c>
      <c r="V403" s="9" t="str">
        <f>VLOOKUP(Table1[[#This Row],[Address B]],IP_Master[],3,FALSE)</f>
        <v>iFIX Nodes &amp; Ethernet Switches</v>
      </c>
      <c r="W403" s="9" t="str">
        <f>VLOOKUP(Table1[[#This Row],[Port B]],traffic_types[],2,FALSE)</f>
        <v>Modbus</v>
      </c>
    </row>
    <row r="404" spans="1:23" x14ac:dyDescent="0.6">
      <c r="A404" t="s">
        <v>53</v>
      </c>
      <c r="B404">
        <v>2711</v>
      </c>
      <c r="C404" t="s">
        <v>87</v>
      </c>
      <c r="D404">
        <v>502</v>
      </c>
      <c r="E404">
        <v>2</v>
      </c>
      <c r="F404" s="13">
        <v>124</v>
      </c>
      <c r="G404">
        <v>2</v>
      </c>
      <c r="H404">
        <v>124</v>
      </c>
      <c r="I404">
        <v>0</v>
      </c>
      <c r="J404">
        <v>0</v>
      </c>
      <c r="K404">
        <v>261.84574300000003</v>
      </c>
      <c r="L404">
        <v>3.003647</v>
      </c>
      <c r="M404">
        <v>330.26517430310503</v>
      </c>
      <c r="N404">
        <v>0</v>
      </c>
      <c r="O404" s="8" t="str">
        <f>formatIP(Table1[[#This Row],[Address A]])</f>
        <v>010.012.000.001</v>
      </c>
      <c r="P404" s="8" t="str">
        <f>formatIP(Table1[[#This Row],[Address B]])</f>
        <v>010.011.009.028</v>
      </c>
      <c r="Q404" s="8" t="str">
        <f>VLOOKUP(Table1[[#This Row],[Address A]],IP_Master[],4,FALSE)</f>
        <v>PPPCFC1</v>
      </c>
      <c r="R404" s="8" t="str">
        <f>VLOOKUP(Table1[[#This Row],[Address B]],IP_Master[],4,FALSE)</f>
        <v>EGX100</v>
      </c>
      <c r="S404" s="8" t="str">
        <f>VLOOKUP(Table1[[#This Row],[Address A]],IP_Master[],2,FALSE)</f>
        <v>Fume Control</v>
      </c>
      <c r="T404" s="8" t="str">
        <f>VLOOKUP(Table1[[#This Row],[Address B]],IP_Master[],2,FALSE)</f>
        <v>Miscellaneous</v>
      </c>
      <c r="U404" s="9" t="str">
        <f>VLOOKUP(Table1[[#This Row],[Address A]],IP_Master[],3,FALSE)</f>
        <v>iFIX Nodes &amp; Ethernet Switches</v>
      </c>
      <c r="V404" s="9" t="str">
        <f>VLOOKUP(Table1[[#This Row],[Address B]],IP_Master[],3,FALSE)</f>
        <v>iFIX Nodes &amp; Ethernet Switches</v>
      </c>
      <c r="W404" s="9" t="str">
        <f>VLOOKUP(Table1[[#This Row],[Port B]],traffic_types[],2,FALSE)</f>
        <v>Modbus</v>
      </c>
    </row>
    <row r="405" spans="1:23" x14ac:dyDescent="0.6">
      <c r="A405" t="s">
        <v>53</v>
      </c>
      <c r="B405">
        <v>2713</v>
      </c>
      <c r="C405" t="s">
        <v>87</v>
      </c>
      <c r="D405">
        <v>502</v>
      </c>
      <c r="E405">
        <v>2</v>
      </c>
      <c r="F405" s="13">
        <v>124</v>
      </c>
      <c r="G405">
        <v>2</v>
      </c>
      <c r="H405">
        <v>124</v>
      </c>
      <c r="I405">
        <v>0</v>
      </c>
      <c r="J405">
        <v>0</v>
      </c>
      <c r="K405">
        <v>262.46928000000003</v>
      </c>
      <c r="L405">
        <v>2.9837109999999698</v>
      </c>
      <c r="M405">
        <v>332.47187814101602</v>
      </c>
      <c r="N405">
        <v>0</v>
      </c>
      <c r="O405" s="8" t="str">
        <f>formatIP(Table1[[#This Row],[Address A]])</f>
        <v>010.012.000.001</v>
      </c>
      <c r="P405" s="8" t="str">
        <f>formatIP(Table1[[#This Row],[Address B]])</f>
        <v>010.011.009.028</v>
      </c>
      <c r="Q405" s="8" t="str">
        <f>VLOOKUP(Table1[[#This Row],[Address A]],IP_Master[],4,FALSE)</f>
        <v>PPPCFC1</v>
      </c>
      <c r="R405" s="8" t="str">
        <f>VLOOKUP(Table1[[#This Row],[Address B]],IP_Master[],4,FALSE)</f>
        <v>EGX100</v>
      </c>
      <c r="S405" s="8" t="str">
        <f>VLOOKUP(Table1[[#This Row],[Address A]],IP_Master[],2,FALSE)</f>
        <v>Fume Control</v>
      </c>
      <c r="T405" s="8" t="str">
        <f>VLOOKUP(Table1[[#This Row],[Address B]],IP_Master[],2,FALSE)</f>
        <v>Miscellaneous</v>
      </c>
      <c r="U405" s="9" t="str">
        <f>VLOOKUP(Table1[[#This Row],[Address A]],IP_Master[],3,FALSE)</f>
        <v>iFIX Nodes &amp; Ethernet Switches</v>
      </c>
      <c r="V405" s="9" t="str">
        <f>VLOOKUP(Table1[[#This Row],[Address B]],IP_Master[],3,FALSE)</f>
        <v>iFIX Nodes &amp; Ethernet Switches</v>
      </c>
      <c r="W405" s="9" t="str">
        <f>VLOOKUP(Table1[[#This Row],[Port B]],traffic_types[],2,FALSE)</f>
        <v>Modbus</v>
      </c>
    </row>
    <row r="406" spans="1:23" x14ac:dyDescent="0.6">
      <c r="A406" t="s">
        <v>53</v>
      </c>
      <c r="B406">
        <v>2715</v>
      </c>
      <c r="C406" t="s">
        <v>91</v>
      </c>
      <c r="D406">
        <v>80</v>
      </c>
      <c r="E406">
        <v>3</v>
      </c>
      <c r="F406" s="13">
        <v>186</v>
      </c>
      <c r="G406">
        <v>3</v>
      </c>
      <c r="H406">
        <v>186</v>
      </c>
      <c r="I406">
        <v>0</v>
      </c>
      <c r="J406">
        <v>0</v>
      </c>
      <c r="K406">
        <v>262.63669199999998</v>
      </c>
      <c r="L406">
        <v>9.0534470000000091</v>
      </c>
      <c r="M406">
        <v>164.35728844494199</v>
      </c>
      <c r="N406">
        <v>0</v>
      </c>
      <c r="O406" s="8" t="str">
        <f>formatIP(Table1[[#This Row],[Address A]])</f>
        <v>010.012.000.001</v>
      </c>
      <c r="P406" s="8" t="str">
        <f>formatIP(Table1[[#This Row],[Address B]])</f>
        <v>095.101.113.024</v>
      </c>
      <c r="Q406" s="8" t="str">
        <f>VLOOKUP(Table1[[#This Row],[Address A]],IP_Master[],4,FALSE)</f>
        <v>PPPCFC1</v>
      </c>
      <c r="R406" s="8" t="e">
        <f>VLOOKUP(Table1[[#This Row],[Address B]],IP_Master[],4,FALSE)</f>
        <v>#N/A</v>
      </c>
      <c r="S406" s="8" t="str">
        <f>VLOOKUP(Table1[[#This Row],[Address A]],IP_Master[],2,FALSE)</f>
        <v>Fume Control</v>
      </c>
      <c r="T406" s="8" t="e">
        <f>VLOOKUP(Table1[[#This Row],[Address B]],IP_Master[],2,FALSE)</f>
        <v>#N/A</v>
      </c>
      <c r="U406" s="9" t="str">
        <f>VLOOKUP(Table1[[#This Row],[Address A]],IP_Master[],3,FALSE)</f>
        <v>iFIX Nodes &amp; Ethernet Switches</v>
      </c>
      <c r="V406" s="9" t="e">
        <f>VLOOKUP(Table1[[#This Row],[Address B]],IP_Master[],3,FALSE)</f>
        <v>#N/A</v>
      </c>
      <c r="W406" s="9" t="str">
        <f>VLOOKUP(Table1[[#This Row],[Port B]],traffic_types[],2,FALSE)</f>
        <v>HTTP</v>
      </c>
    </row>
    <row r="407" spans="1:23" x14ac:dyDescent="0.6">
      <c r="A407" t="s">
        <v>53</v>
      </c>
      <c r="B407">
        <v>2716</v>
      </c>
      <c r="C407" t="s">
        <v>87</v>
      </c>
      <c r="D407">
        <v>502</v>
      </c>
      <c r="E407">
        <v>1</v>
      </c>
      <c r="F407" s="13">
        <v>62</v>
      </c>
      <c r="G407">
        <v>1</v>
      </c>
      <c r="H407">
        <v>62</v>
      </c>
      <c r="I407">
        <v>0</v>
      </c>
      <c r="J407">
        <v>0</v>
      </c>
      <c r="K407">
        <v>263.88382999999999</v>
      </c>
      <c r="L407">
        <v>0</v>
      </c>
      <c r="M407">
        <v>0</v>
      </c>
      <c r="N407">
        <v>0</v>
      </c>
      <c r="O407" s="8" t="str">
        <f>formatIP(Table1[[#This Row],[Address A]])</f>
        <v>010.012.000.001</v>
      </c>
      <c r="P407" s="8" t="str">
        <f>formatIP(Table1[[#This Row],[Address B]])</f>
        <v>010.011.009.028</v>
      </c>
      <c r="Q407" s="8" t="str">
        <f>VLOOKUP(Table1[[#This Row],[Address A]],IP_Master[],4,FALSE)</f>
        <v>PPPCFC1</v>
      </c>
      <c r="R407" s="8" t="str">
        <f>VLOOKUP(Table1[[#This Row],[Address B]],IP_Master[],4,FALSE)</f>
        <v>EGX100</v>
      </c>
      <c r="S407" s="8" t="str">
        <f>VLOOKUP(Table1[[#This Row],[Address A]],IP_Master[],2,FALSE)</f>
        <v>Fume Control</v>
      </c>
      <c r="T407" s="8" t="str">
        <f>VLOOKUP(Table1[[#This Row],[Address B]],IP_Master[],2,FALSE)</f>
        <v>Miscellaneous</v>
      </c>
      <c r="U407" s="9" t="str">
        <f>VLOOKUP(Table1[[#This Row],[Address A]],IP_Master[],3,FALSE)</f>
        <v>iFIX Nodes &amp; Ethernet Switches</v>
      </c>
      <c r="V407" s="9" t="str">
        <f>VLOOKUP(Table1[[#This Row],[Address B]],IP_Master[],3,FALSE)</f>
        <v>iFIX Nodes &amp; Ethernet Switches</v>
      </c>
      <c r="W407" s="9" t="str">
        <f>VLOOKUP(Table1[[#This Row],[Port B]],traffic_types[],2,FALSE)</f>
        <v>Modbus</v>
      </c>
    </row>
    <row r="408" spans="1:23" x14ac:dyDescent="0.6">
      <c r="A408" t="s">
        <v>53</v>
      </c>
      <c r="B408">
        <v>2717</v>
      </c>
      <c r="C408" t="s">
        <v>87</v>
      </c>
      <c r="D408">
        <v>502</v>
      </c>
      <c r="E408">
        <v>1</v>
      </c>
      <c r="F408" s="13">
        <v>62</v>
      </c>
      <c r="G408">
        <v>1</v>
      </c>
      <c r="H408">
        <v>62</v>
      </c>
      <c r="I408">
        <v>0</v>
      </c>
      <c r="J408">
        <v>0</v>
      </c>
      <c r="K408">
        <v>264.85283600000002</v>
      </c>
      <c r="L408">
        <v>0</v>
      </c>
      <c r="M408">
        <v>0</v>
      </c>
      <c r="N408">
        <v>0</v>
      </c>
      <c r="O408" s="8" t="str">
        <f>formatIP(Table1[[#This Row],[Address A]])</f>
        <v>010.012.000.001</v>
      </c>
      <c r="P408" s="8" t="str">
        <f>formatIP(Table1[[#This Row],[Address B]])</f>
        <v>010.011.009.028</v>
      </c>
      <c r="Q408" s="8" t="str">
        <f>VLOOKUP(Table1[[#This Row],[Address A]],IP_Master[],4,FALSE)</f>
        <v>PPPCFC1</v>
      </c>
      <c r="R408" s="8" t="str">
        <f>VLOOKUP(Table1[[#This Row],[Address B]],IP_Master[],4,FALSE)</f>
        <v>EGX100</v>
      </c>
      <c r="S408" s="8" t="str">
        <f>VLOOKUP(Table1[[#This Row],[Address A]],IP_Master[],2,FALSE)</f>
        <v>Fume Control</v>
      </c>
      <c r="T408" s="8" t="str">
        <f>VLOOKUP(Table1[[#This Row],[Address B]],IP_Master[],2,FALSE)</f>
        <v>Miscellaneous</v>
      </c>
      <c r="U408" s="9" t="str">
        <f>VLOOKUP(Table1[[#This Row],[Address A]],IP_Master[],3,FALSE)</f>
        <v>iFIX Nodes &amp; Ethernet Switches</v>
      </c>
      <c r="V408" s="9" t="str">
        <f>VLOOKUP(Table1[[#This Row],[Address B]],IP_Master[],3,FALSE)</f>
        <v>iFIX Nodes &amp; Ethernet Switches</v>
      </c>
      <c r="W408" s="9" t="str">
        <f>VLOOKUP(Table1[[#This Row],[Port B]],traffic_types[],2,FALSE)</f>
        <v>Modbus</v>
      </c>
    </row>
    <row r="409" spans="1:23" x14ac:dyDescent="0.6">
      <c r="A409" t="s">
        <v>53</v>
      </c>
      <c r="B409">
        <v>2718</v>
      </c>
      <c r="C409" t="s">
        <v>87</v>
      </c>
      <c r="D409">
        <v>502</v>
      </c>
      <c r="E409">
        <v>1</v>
      </c>
      <c r="F409" s="13">
        <v>62</v>
      </c>
      <c r="G409">
        <v>1</v>
      </c>
      <c r="H409">
        <v>62</v>
      </c>
      <c r="I409">
        <v>0</v>
      </c>
      <c r="J409">
        <v>0</v>
      </c>
      <c r="K409">
        <v>264.91938399999998</v>
      </c>
      <c r="L409">
        <v>0</v>
      </c>
      <c r="M409">
        <v>0</v>
      </c>
      <c r="N409">
        <v>0</v>
      </c>
      <c r="O409" s="8" t="str">
        <f>formatIP(Table1[[#This Row],[Address A]])</f>
        <v>010.012.000.001</v>
      </c>
      <c r="P409" s="8" t="str">
        <f>formatIP(Table1[[#This Row],[Address B]])</f>
        <v>010.011.009.028</v>
      </c>
      <c r="Q409" s="8" t="str">
        <f>VLOOKUP(Table1[[#This Row],[Address A]],IP_Master[],4,FALSE)</f>
        <v>PPPCFC1</v>
      </c>
      <c r="R409" s="8" t="str">
        <f>VLOOKUP(Table1[[#This Row],[Address B]],IP_Master[],4,FALSE)</f>
        <v>EGX100</v>
      </c>
      <c r="S409" s="8" t="str">
        <f>VLOOKUP(Table1[[#This Row],[Address A]],IP_Master[],2,FALSE)</f>
        <v>Fume Control</v>
      </c>
      <c r="T409" s="8" t="str">
        <f>VLOOKUP(Table1[[#This Row],[Address B]],IP_Master[],2,FALSE)</f>
        <v>Miscellaneous</v>
      </c>
      <c r="U409" s="9" t="str">
        <f>VLOOKUP(Table1[[#This Row],[Address A]],IP_Master[],3,FALSE)</f>
        <v>iFIX Nodes &amp; Ethernet Switches</v>
      </c>
      <c r="V409" s="9" t="str">
        <f>VLOOKUP(Table1[[#This Row],[Address B]],IP_Master[],3,FALSE)</f>
        <v>iFIX Nodes &amp; Ethernet Switches</v>
      </c>
      <c r="W409" s="9" t="str">
        <f>VLOOKUP(Table1[[#This Row],[Port B]],traffic_types[],2,FALSE)</f>
        <v>Modbus</v>
      </c>
    </row>
    <row r="410" spans="1:23" x14ac:dyDescent="0.6">
      <c r="A410" t="s">
        <v>53</v>
      </c>
      <c r="B410">
        <v>2720</v>
      </c>
      <c r="C410" t="s">
        <v>87</v>
      </c>
      <c r="D410">
        <v>502</v>
      </c>
      <c r="E410">
        <v>1</v>
      </c>
      <c r="F410" s="13">
        <v>62</v>
      </c>
      <c r="G410">
        <v>1</v>
      </c>
      <c r="H410">
        <v>62</v>
      </c>
      <c r="I410">
        <v>0</v>
      </c>
      <c r="J410">
        <v>0</v>
      </c>
      <c r="K410">
        <v>265.47826199999997</v>
      </c>
      <c r="L410">
        <v>0</v>
      </c>
      <c r="M410">
        <v>0</v>
      </c>
      <c r="N410">
        <v>0</v>
      </c>
      <c r="O410" s="8" t="str">
        <f>formatIP(Table1[[#This Row],[Address A]])</f>
        <v>010.012.000.001</v>
      </c>
      <c r="P410" s="8" t="str">
        <f>formatIP(Table1[[#This Row],[Address B]])</f>
        <v>010.011.009.028</v>
      </c>
      <c r="Q410" s="8" t="str">
        <f>VLOOKUP(Table1[[#This Row],[Address A]],IP_Master[],4,FALSE)</f>
        <v>PPPCFC1</v>
      </c>
      <c r="R410" s="8" t="str">
        <f>VLOOKUP(Table1[[#This Row],[Address B]],IP_Master[],4,FALSE)</f>
        <v>EGX100</v>
      </c>
      <c r="S410" s="8" t="str">
        <f>VLOOKUP(Table1[[#This Row],[Address A]],IP_Master[],2,FALSE)</f>
        <v>Fume Control</v>
      </c>
      <c r="T410" s="8" t="str">
        <f>VLOOKUP(Table1[[#This Row],[Address B]],IP_Master[],2,FALSE)</f>
        <v>Miscellaneous</v>
      </c>
      <c r="U410" s="9" t="str">
        <f>VLOOKUP(Table1[[#This Row],[Address A]],IP_Master[],3,FALSE)</f>
        <v>iFIX Nodes &amp; Ethernet Switches</v>
      </c>
      <c r="V410" s="9" t="str">
        <f>VLOOKUP(Table1[[#This Row],[Address B]],IP_Master[],3,FALSE)</f>
        <v>iFIX Nodes &amp; Ethernet Switches</v>
      </c>
      <c r="W410" s="9" t="str">
        <f>VLOOKUP(Table1[[#This Row],[Port B]],traffic_types[],2,FALSE)</f>
        <v>Modbus</v>
      </c>
    </row>
    <row r="411" spans="1:23" x14ac:dyDescent="0.6">
      <c r="A411" t="s">
        <v>53</v>
      </c>
      <c r="B411">
        <v>2722</v>
      </c>
      <c r="C411" t="s">
        <v>87</v>
      </c>
      <c r="D411">
        <v>502</v>
      </c>
      <c r="E411">
        <v>1</v>
      </c>
      <c r="F411" s="13">
        <v>62</v>
      </c>
      <c r="G411">
        <v>1</v>
      </c>
      <c r="H411">
        <v>62</v>
      </c>
      <c r="I411">
        <v>0</v>
      </c>
      <c r="J411">
        <v>0</v>
      </c>
      <c r="K411">
        <v>267.93131299999999</v>
      </c>
      <c r="L411">
        <v>0</v>
      </c>
      <c r="M411">
        <v>0</v>
      </c>
      <c r="N411">
        <v>0</v>
      </c>
      <c r="O411" s="8" t="str">
        <f>formatIP(Table1[[#This Row],[Address A]])</f>
        <v>010.012.000.001</v>
      </c>
      <c r="P411" s="8" t="str">
        <f>formatIP(Table1[[#This Row],[Address B]])</f>
        <v>010.011.009.028</v>
      </c>
      <c r="Q411" s="8" t="str">
        <f>VLOOKUP(Table1[[#This Row],[Address A]],IP_Master[],4,FALSE)</f>
        <v>PPPCFC1</v>
      </c>
      <c r="R411" s="8" t="str">
        <f>VLOOKUP(Table1[[#This Row],[Address B]],IP_Master[],4,FALSE)</f>
        <v>EGX100</v>
      </c>
      <c r="S411" s="8" t="str">
        <f>VLOOKUP(Table1[[#This Row],[Address A]],IP_Master[],2,FALSE)</f>
        <v>Fume Control</v>
      </c>
      <c r="T411" s="8" t="str">
        <f>VLOOKUP(Table1[[#This Row],[Address B]],IP_Master[],2,FALSE)</f>
        <v>Miscellaneous</v>
      </c>
      <c r="U411" s="9" t="str">
        <f>VLOOKUP(Table1[[#This Row],[Address A]],IP_Master[],3,FALSE)</f>
        <v>iFIX Nodes &amp; Ethernet Switches</v>
      </c>
      <c r="V411" s="9" t="str">
        <f>VLOOKUP(Table1[[#This Row],[Address B]],IP_Master[],3,FALSE)</f>
        <v>iFIX Nodes &amp; Ethernet Switches</v>
      </c>
      <c r="W411" s="9" t="str">
        <f>VLOOKUP(Table1[[#This Row],[Port B]],traffic_types[],2,FALSE)</f>
        <v>Modbus</v>
      </c>
    </row>
    <row r="412" spans="1:23" x14ac:dyDescent="0.6">
      <c r="A412" t="s">
        <v>53</v>
      </c>
      <c r="B412">
        <v>2726</v>
      </c>
      <c r="C412" t="s">
        <v>92</v>
      </c>
      <c r="D412">
        <v>80</v>
      </c>
      <c r="E412">
        <v>3</v>
      </c>
      <c r="F412" s="13">
        <v>186</v>
      </c>
      <c r="G412">
        <v>3</v>
      </c>
      <c r="H412">
        <v>186</v>
      </c>
      <c r="I412">
        <v>0</v>
      </c>
      <c r="J412">
        <v>0</v>
      </c>
      <c r="K412">
        <v>283.661584</v>
      </c>
      <c r="L412">
        <v>8.9529810000000207</v>
      </c>
      <c r="M412">
        <v>166.20162602824601</v>
      </c>
      <c r="N412">
        <v>0</v>
      </c>
      <c r="O412" s="8" t="str">
        <f>formatIP(Table1[[#This Row],[Address A]])</f>
        <v>010.012.000.001</v>
      </c>
      <c r="P412" s="8" t="str">
        <f>formatIP(Table1[[#This Row],[Address B]])</f>
        <v>095.101.113.041</v>
      </c>
      <c r="Q412" s="8" t="str">
        <f>VLOOKUP(Table1[[#This Row],[Address A]],IP_Master[],4,FALSE)</f>
        <v>PPPCFC1</v>
      </c>
      <c r="R412" s="8" t="e">
        <f>VLOOKUP(Table1[[#This Row],[Address B]],IP_Master[],4,FALSE)</f>
        <v>#N/A</v>
      </c>
      <c r="S412" s="8" t="str">
        <f>VLOOKUP(Table1[[#This Row],[Address A]],IP_Master[],2,FALSE)</f>
        <v>Fume Control</v>
      </c>
      <c r="T412" s="8" t="e">
        <f>VLOOKUP(Table1[[#This Row],[Address B]],IP_Master[],2,FALSE)</f>
        <v>#N/A</v>
      </c>
      <c r="U412" s="9" t="str">
        <f>VLOOKUP(Table1[[#This Row],[Address A]],IP_Master[],3,FALSE)</f>
        <v>iFIX Nodes &amp; Ethernet Switches</v>
      </c>
      <c r="V412" s="9" t="e">
        <f>VLOOKUP(Table1[[#This Row],[Address B]],IP_Master[],3,FALSE)</f>
        <v>#N/A</v>
      </c>
      <c r="W412" s="9" t="str">
        <f>VLOOKUP(Table1[[#This Row],[Port B]],traffic_types[],2,FALSE)</f>
        <v>HTTP</v>
      </c>
    </row>
    <row r="413" spans="1:23" x14ac:dyDescent="0.6">
      <c r="A413" t="s">
        <v>53</v>
      </c>
      <c r="B413">
        <v>2729</v>
      </c>
      <c r="C413" t="s">
        <v>87</v>
      </c>
      <c r="D413">
        <v>502</v>
      </c>
      <c r="E413">
        <v>2</v>
      </c>
      <c r="F413" s="13">
        <v>124</v>
      </c>
      <c r="G413">
        <v>2</v>
      </c>
      <c r="H413">
        <v>124</v>
      </c>
      <c r="I413">
        <v>0</v>
      </c>
      <c r="J413">
        <v>0</v>
      </c>
      <c r="K413">
        <v>291.42185699999999</v>
      </c>
      <c r="L413">
        <v>3.0035880000000401</v>
      </c>
      <c r="M413">
        <v>330.27166175919899</v>
      </c>
      <c r="N413">
        <v>0</v>
      </c>
      <c r="O413" s="8" t="str">
        <f>formatIP(Table1[[#This Row],[Address A]])</f>
        <v>010.012.000.001</v>
      </c>
      <c r="P413" s="8" t="str">
        <f>formatIP(Table1[[#This Row],[Address B]])</f>
        <v>010.011.009.028</v>
      </c>
      <c r="Q413" s="8" t="str">
        <f>VLOOKUP(Table1[[#This Row],[Address A]],IP_Master[],4,FALSE)</f>
        <v>PPPCFC1</v>
      </c>
      <c r="R413" s="8" t="str">
        <f>VLOOKUP(Table1[[#This Row],[Address B]],IP_Master[],4,FALSE)</f>
        <v>EGX100</v>
      </c>
      <c r="S413" s="8" t="str">
        <f>VLOOKUP(Table1[[#This Row],[Address A]],IP_Master[],2,FALSE)</f>
        <v>Fume Control</v>
      </c>
      <c r="T413" s="8" t="str">
        <f>VLOOKUP(Table1[[#This Row],[Address B]],IP_Master[],2,FALSE)</f>
        <v>Miscellaneous</v>
      </c>
      <c r="U413" s="9" t="str">
        <f>VLOOKUP(Table1[[#This Row],[Address A]],IP_Master[],3,FALSE)</f>
        <v>iFIX Nodes &amp; Ethernet Switches</v>
      </c>
      <c r="V413" s="9" t="str">
        <f>VLOOKUP(Table1[[#This Row],[Address B]],IP_Master[],3,FALSE)</f>
        <v>iFIX Nodes &amp; Ethernet Switches</v>
      </c>
      <c r="W413" s="9" t="str">
        <f>VLOOKUP(Table1[[#This Row],[Port B]],traffic_types[],2,FALSE)</f>
        <v>Modbus</v>
      </c>
    </row>
    <row r="414" spans="1:23" x14ac:dyDescent="0.6">
      <c r="A414" t="s">
        <v>53</v>
      </c>
      <c r="B414">
        <v>2730</v>
      </c>
      <c r="C414" t="s">
        <v>87</v>
      </c>
      <c r="D414">
        <v>502</v>
      </c>
      <c r="E414">
        <v>2</v>
      </c>
      <c r="F414" s="13">
        <v>124</v>
      </c>
      <c r="G414">
        <v>2</v>
      </c>
      <c r="H414">
        <v>124</v>
      </c>
      <c r="I414">
        <v>0</v>
      </c>
      <c r="J414">
        <v>0</v>
      </c>
      <c r="K414">
        <v>293.89751200000001</v>
      </c>
      <c r="L414">
        <v>2.9423249999999799</v>
      </c>
      <c r="M414">
        <v>337.14834357183702</v>
      </c>
      <c r="N414">
        <v>0</v>
      </c>
      <c r="O414" s="8" t="str">
        <f>formatIP(Table1[[#This Row],[Address A]])</f>
        <v>010.012.000.001</v>
      </c>
      <c r="P414" s="8" t="str">
        <f>formatIP(Table1[[#This Row],[Address B]])</f>
        <v>010.011.009.028</v>
      </c>
      <c r="Q414" s="8" t="str">
        <f>VLOOKUP(Table1[[#This Row],[Address A]],IP_Master[],4,FALSE)</f>
        <v>PPPCFC1</v>
      </c>
      <c r="R414" s="8" t="str">
        <f>VLOOKUP(Table1[[#This Row],[Address B]],IP_Master[],4,FALSE)</f>
        <v>EGX100</v>
      </c>
      <c r="S414" s="8" t="str">
        <f>VLOOKUP(Table1[[#This Row],[Address A]],IP_Master[],2,FALSE)</f>
        <v>Fume Control</v>
      </c>
      <c r="T414" s="8" t="str">
        <f>VLOOKUP(Table1[[#This Row],[Address B]],IP_Master[],2,FALSE)</f>
        <v>Miscellaneous</v>
      </c>
      <c r="U414" s="9" t="str">
        <f>VLOOKUP(Table1[[#This Row],[Address A]],IP_Master[],3,FALSE)</f>
        <v>iFIX Nodes &amp; Ethernet Switches</v>
      </c>
      <c r="V414" s="9" t="str">
        <f>VLOOKUP(Table1[[#This Row],[Address B]],IP_Master[],3,FALSE)</f>
        <v>iFIX Nodes &amp; Ethernet Switches</v>
      </c>
      <c r="W414" s="9" t="str">
        <f>VLOOKUP(Table1[[#This Row],[Port B]],traffic_types[],2,FALSE)</f>
        <v>Modbus</v>
      </c>
    </row>
    <row r="415" spans="1:23" x14ac:dyDescent="0.6">
      <c r="A415" t="s">
        <v>53</v>
      </c>
      <c r="B415">
        <v>2731</v>
      </c>
      <c r="C415" t="s">
        <v>87</v>
      </c>
      <c r="D415">
        <v>502</v>
      </c>
      <c r="E415">
        <v>1</v>
      </c>
      <c r="F415" s="13">
        <v>62</v>
      </c>
      <c r="G415">
        <v>1</v>
      </c>
      <c r="H415">
        <v>62</v>
      </c>
      <c r="I415">
        <v>0</v>
      </c>
      <c r="J415">
        <v>0</v>
      </c>
      <c r="K415">
        <v>294.43457599999999</v>
      </c>
      <c r="L415">
        <v>0</v>
      </c>
      <c r="M415">
        <v>0</v>
      </c>
      <c r="N415">
        <v>0</v>
      </c>
      <c r="O415" s="8" t="str">
        <f>formatIP(Table1[[#This Row],[Address A]])</f>
        <v>010.012.000.001</v>
      </c>
      <c r="P415" s="8" t="str">
        <f>formatIP(Table1[[#This Row],[Address B]])</f>
        <v>010.011.009.028</v>
      </c>
      <c r="Q415" s="8" t="str">
        <f>VLOOKUP(Table1[[#This Row],[Address A]],IP_Master[],4,FALSE)</f>
        <v>PPPCFC1</v>
      </c>
      <c r="R415" s="8" t="str">
        <f>VLOOKUP(Table1[[#This Row],[Address B]],IP_Master[],4,FALSE)</f>
        <v>EGX100</v>
      </c>
      <c r="S415" s="8" t="str">
        <f>VLOOKUP(Table1[[#This Row],[Address A]],IP_Master[],2,FALSE)</f>
        <v>Fume Control</v>
      </c>
      <c r="T415" s="8" t="str">
        <f>VLOOKUP(Table1[[#This Row],[Address B]],IP_Master[],2,FALSE)</f>
        <v>Miscellaneous</v>
      </c>
      <c r="U415" s="9" t="str">
        <f>VLOOKUP(Table1[[#This Row],[Address A]],IP_Master[],3,FALSE)</f>
        <v>iFIX Nodes &amp; Ethernet Switches</v>
      </c>
      <c r="V415" s="9" t="str">
        <f>VLOOKUP(Table1[[#This Row],[Address B]],IP_Master[],3,FALSE)</f>
        <v>iFIX Nodes &amp; Ethernet Switches</v>
      </c>
      <c r="W415" s="9" t="str">
        <f>VLOOKUP(Table1[[#This Row],[Port B]],traffic_types[],2,FALSE)</f>
        <v>Modbus</v>
      </c>
    </row>
    <row r="416" spans="1:23" x14ac:dyDescent="0.6">
      <c r="A416" t="s">
        <v>53</v>
      </c>
      <c r="B416">
        <v>2732</v>
      </c>
      <c r="C416" t="s">
        <v>87</v>
      </c>
      <c r="D416">
        <v>502</v>
      </c>
      <c r="E416">
        <v>1</v>
      </c>
      <c r="F416" s="13">
        <v>62</v>
      </c>
      <c r="G416">
        <v>1</v>
      </c>
      <c r="H416">
        <v>62</v>
      </c>
      <c r="I416">
        <v>0</v>
      </c>
      <c r="J416">
        <v>0</v>
      </c>
      <c r="K416">
        <v>294.864529</v>
      </c>
      <c r="L416">
        <v>0</v>
      </c>
      <c r="M416">
        <v>0</v>
      </c>
      <c r="N416">
        <v>0</v>
      </c>
      <c r="O416" s="8" t="str">
        <f>formatIP(Table1[[#This Row],[Address A]])</f>
        <v>010.012.000.001</v>
      </c>
      <c r="P416" s="8" t="str">
        <f>formatIP(Table1[[#This Row],[Address B]])</f>
        <v>010.011.009.028</v>
      </c>
      <c r="Q416" s="8" t="str">
        <f>VLOOKUP(Table1[[#This Row],[Address A]],IP_Master[],4,FALSE)</f>
        <v>PPPCFC1</v>
      </c>
      <c r="R416" s="8" t="str">
        <f>VLOOKUP(Table1[[#This Row],[Address B]],IP_Master[],4,FALSE)</f>
        <v>EGX100</v>
      </c>
      <c r="S416" s="8" t="str">
        <f>VLOOKUP(Table1[[#This Row],[Address A]],IP_Master[],2,FALSE)</f>
        <v>Fume Control</v>
      </c>
      <c r="T416" s="8" t="str">
        <f>VLOOKUP(Table1[[#This Row],[Address B]],IP_Master[],2,FALSE)</f>
        <v>Miscellaneous</v>
      </c>
      <c r="U416" s="9" t="str">
        <f>VLOOKUP(Table1[[#This Row],[Address A]],IP_Master[],3,FALSE)</f>
        <v>iFIX Nodes &amp; Ethernet Switches</v>
      </c>
      <c r="V416" s="9" t="str">
        <f>VLOOKUP(Table1[[#This Row],[Address B]],IP_Master[],3,FALSE)</f>
        <v>iFIX Nodes &amp; Ethernet Switches</v>
      </c>
      <c r="W416" s="9" t="str">
        <f>VLOOKUP(Table1[[#This Row],[Port B]],traffic_types[],2,FALSE)</f>
        <v>Modbus</v>
      </c>
    </row>
    <row r="417" spans="1:23" x14ac:dyDescent="0.6">
      <c r="A417" t="s">
        <v>53</v>
      </c>
      <c r="B417">
        <v>2734</v>
      </c>
      <c r="C417" t="s">
        <v>87</v>
      </c>
      <c r="D417">
        <v>502</v>
      </c>
      <c r="E417">
        <v>2</v>
      </c>
      <c r="F417" s="13">
        <v>124</v>
      </c>
      <c r="G417">
        <v>2</v>
      </c>
      <c r="H417">
        <v>124</v>
      </c>
      <c r="I417">
        <v>0</v>
      </c>
      <c r="J417">
        <v>0</v>
      </c>
      <c r="K417">
        <v>295.491085</v>
      </c>
      <c r="L417">
        <v>2.9583020000000002</v>
      </c>
      <c r="M417">
        <v>335.32749529966799</v>
      </c>
      <c r="N417">
        <v>0</v>
      </c>
      <c r="O417" s="8" t="str">
        <f>formatIP(Table1[[#This Row],[Address A]])</f>
        <v>010.012.000.001</v>
      </c>
      <c r="P417" s="8" t="str">
        <f>formatIP(Table1[[#This Row],[Address B]])</f>
        <v>010.011.009.028</v>
      </c>
      <c r="Q417" s="8" t="str">
        <f>VLOOKUP(Table1[[#This Row],[Address A]],IP_Master[],4,FALSE)</f>
        <v>PPPCFC1</v>
      </c>
      <c r="R417" s="8" t="str">
        <f>VLOOKUP(Table1[[#This Row],[Address B]],IP_Master[],4,FALSE)</f>
        <v>EGX100</v>
      </c>
      <c r="S417" s="8" t="str">
        <f>VLOOKUP(Table1[[#This Row],[Address A]],IP_Master[],2,FALSE)</f>
        <v>Fume Control</v>
      </c>
      <c r="T417" s="8" t="str">
        <f>VLOOKUP(Table1[[#This Row],[Address B]],IP_Master[],2,FALSE)</f>
        <v>Miscellaneous</v>
      </c>
      <c r="U417" s="9" t="str">
        <f>VLOOKUP(Table1[[#This Row],[Address A]],IP_Master[],3,FALSE)</f>
        <v>iFIX Nodes &amp; Ethernet Switches</v>
      </c>
      <c r="V417" s="9" t="str">
        <f>VLOOKUP(Table1[[#This Row],[Address B]],IP_Master[],3,FALSE)</f>
        <v>iFIX Nodes &amp; Ethernet Switches</v>
      </c>
      <c r="W417" s="9" t="str">
        <f>VLOOKUP(Table1[[#This Row],[Port B]],traffic_types[],2,FALSE)</f>
        <v>Modbus</v>
      </c>
    </row>
    <row r="418" spans="1:23" x14ac:dyDescent="0.6">
      <c r="A418" t="s">
        <v>53</v>
      </c>
      <c r="B418">
        <v>2736</v>
      </c>
      <c r="C418" t="s">
        <v>87</v>
      </c>
      <c r="D418">
        <v>502</v>
      </c>
      <c r="E418">
        <v>1</v>
      </c>
      <c r="F418" s="13">
        <v>62</v>
      </c>
      <c r="G418">
        <v>1</v>
      </c>
      <c r="H418">
        <v>62</v>
      </c>
      <c r="I418">
        <v>0</v>
      </c>
      <c r="J418">
        <v>0</v>
      </c>
      <c r="K418">
        <v>296.90375299999999</v>
      </c>
      <c r="L418">
        <v>0</v>
      </c>
      <c r="M418">
        <v>0</v>
      </c>
      <c r="N418">
        <v>0</v>
      </c>
      <c r="O418" s="8" t="str">
        <f>formatIP(Table1[[#This Row],[Address A]])</f>
        <v>010.012.000.001</v>
      </c>
      <c r="P418" s="8" t="str">
        <f>formatIP(Table1[[#This Row],[Address B]])</f>
        <v>010.011.009.028</v>
      </c>
      <c r="Q418" s="8" t="str">
        <f>VLOOKUP(Table1[[#This Row],[Address A]],IP_Master[],4,FALSE)</f>
        <v>PPPCFC1</v>
      </c>
      <c r="R418" s="8" t="str">
        <f>VLOOKUP(Table1[[#This Row],[Address B]],IP_Master[],4,FALSE)</f>
        <v>EGX100</v>
      </c>
      <c r="S418" s="8" t="str">
        <f>VLOOKUP(Table1[[#This Row],[Address A]],IP_Master[],2,FALSE)</f>
        <v>Fume Control</v>
      </c>
      <c r="T418" s="8" t="str">
        <f>VLOOKUP(Table1[[#This Row],[Address B]],IP_Master[],2,FALSE)</f>
        <v>Miscellaneous</v>
      </c>
      <c r="U418" s="9" t="str">
        <f>VLOOKUP(Table1[[#This Row],[Address A]],IP_Master[],3,FALSE)</f>
        <v>iFIX Nodes &amp; Ethernet Switches</v>
      </c>
      <c r="V418" s="9" t="str">
        <f>VLOOKUP(Table1[[#This Row],[Address B]],IP_Master[],3,FALSE)</f>
        <v>iFIX Nodes &amp; Ethernet Switches</v>
      </c>
      <c r="W418" s="9" t="str">
        <f>VLOOKUP(Table1[[#This Row],[Port B]],traffic_types[],2,FALSE)</f>
        <v>Modbus</v>
      </c>
    </row>
    <row r="419" spans="1:23" x14ac:dyDescent="0.6">
      <c r="A419" t="s">
        <v>53</v>
      </c>
      <c r="B419">
        <v>2737</v>
      </c>
      <c r="C419" t="s">
        <v>87</v>
      </c>
      <c r="D419">
        <v>502</v>
      </c>
      <c r="E419">
        <v>1</v>
      </c>
      <c r="F419" s="13">
        <v>62</v>
      </c>
      <c r="G419">
        <v>1</v>
      </c>
      <c r="H419">
        <v>62</v>
      </c>
      <c r="I419">
        <v>0</v>
      </c>
      <c r="J419">
        <v>0</v>
      </c>
      <c r="K419">
        <v>297.872749</v>
      </c>
      <c r="L419">
        <v>0</v>
      </c>
      <c r="M419">
        <v>0</v>
      </c>
      <c r="N419">
        <v>0</v>
      </c>
      <c r="O419" s="8" t="str">
        <f>formatIP(Table1[[#This Row],[Address A]])</f>
        <v>010.012.000.001</v>
      </c>
      <c r="P419" s="8" t="str">
        <f>formatIP(Table1[[#This Row],[Address B]])</f>
        <v>010.011.009.028</v>
      </c>
      <c r="Q419" s="8" t="str">
        <f>VLOOKUP(Table1[[#This Row],[Address A]],IP_Master[],4,FALSE)</f>
        <v>PPPCFC1</v>
      </c>
      <c r="R419" s="8" t="str">
        <f>VLOOKUP(Table1[[#This Row],[Address B]],IP_Master[],4,FALSE)</f>
        <v>EGX100</v>
      </c>
      <c r="S419" s="8" t="str">
        <f>VLOOKUP(Table1[[#This Row],[Address A]],IP_Master[],2,FALSE)</f>
        <v>Fume Control</v>
      </c>
      <c r="T419" s="8" t="str">
        <f>VLOOKUP(Table1[[#This Row],[Address B]],IP_Master[],2,FALSE)</f>
        <v>Miscellaneous</v>
      </c>
      <c r="U419" s="9" t="str">
        <f>VLOOKUP(Table1[[#This Row],[Address A]],IP_Master[],3,FALSE)</f>
        <v>iFIX Nodes &amp; Ethernet Switches</v>
      </c>
      <c r="V419" s="9" t="str">
        <f>VLOOKUP(Table1[[#This Row],[Address B]],IP_Master[],3,FALSE)</f>
        <v>iFIX Nodes &amp; Ethernet Switches</v>
      </c>
      <c r="W419" s="9" t="str">
        <f>VLOOKUP(Table1[[#This Row],[Port B]],traffic_types[],2,FALSE)</f>
        <v>Modbus</v>
      </c>
    </row>
    <row r="420" spans="1:23" x14ac:dyDescent="0.6">
      <c r="A420" t="s">
        <v>53</v>
      </c>
      <c r="B420">
        <v>2738</v>
      </c>
      <c r="C420" t="s">
        <v>87</v>
      </c>
      <c r="D420">
        <v>502</v>
      </c>
      <c r="E420">
        <v>2</v>
      </c>
      <c r="F420" s="13">
        <v>124</v>
      </c>
      <c r="G420">
        <v>2</v>
      </c>
      <c r="H420">
        <v>124</v>
      </c>
      <c r="I420">
        <v>0</v>
      </c>
      <c r="J420">
        <v>0</v>
      </c>
      <c r="K420">
        <v>297.938266</v>
      </c>
      <c r="L420">
        <v>2.9254750000000098</v>
      </c>
      <c r="M420">
        <v>339.09023320999103</v>
      </c>
      <c r="N420">
        <v>0</v>
      </c>
      <c r="O420" s="8" t="str">
        <f>formatIP(Table1[[#This Row],[Address A]])</f>
        <v>010.012.000.001</v>
      </c>
      <c r="P420" s="8" t="str">
        <f>formatIP(Table1[[#This Row],[Address B]])</f>
        <v>010.011.009.028</v>
      </c>
      <c r="Q420" s="8" t="str">
        <f>VLOOKUP(Table1[[#This Row],[Address A]],IP_Master[],4,FALSE)</f>
        <v>PPPCFC1</v>
      </c>
      <c r="R420" s="8" t="str">
        <f>VLOOKUP(Table1[[#This Row],[Address B]],IP_Master[],4,FALSE)</f>
        <v>EGX100</v>
      </c>
      <c r="S420" s="8" t="str">
        <f>VLOOKUP(Table1[[#This Row],[Address A]],IP_Master[],2,FALSE)</f>
        <v>Fume Control</v>
      </c>
      <c r="T420" s="8" t="str">
        <f>VLOOKUP(Table1[[#This Row],[Address B]],IP_Master[],2,FALSE)</f>
        <v>Miscellaneous</v>
      </c>
      <c r="U420" s="9" t="str">
        <f>VLOOKUP(Table1[[#This Row],[Address A]],IP_Master[],3,FALSE)</f>
        <v>iFIX Nodes &amp; Ethernet Switches</v>
      </c>
      <c r="V420" s="9" t="str">
        <f>VLOOKUP(Table1[[#This Row],[Address B]],IP_Master[],3,FALSE)</f>
        <v>iFIX Nodes &amp; Ethernet Switches</v>
      </c>
      <c r="W420" s="9" t="str">
        <f>VLOOKUP(Table1[[#This Row],[Port B]],traffic_types[],2,FALSE)</f>
        <v>Modbus</v>
      </c>
    </row>
    <row r="421" spans="1:23" x14ac:dyDescent="0.6">
      <c r="A421" t="s">
        <v>53</v>
      </c>
      <c r="B421">
        <v>2740</v>
      </c>
      <c r="C421" t="s">
        <v>87</v>
      </c>
      <c r="D421">
        <v>502</v>
      </c>
      <c r="E421">
        <v>1</v>
      </c>
      <c r="F421" s="13">
        <v>62</v>
      </c>
      <c r="G421">
        <v>1</v>
      </c>
      <c r="H421">
        <v>62</v>
      </c>
      <c r="I421">
        <v>0</v>
      </c>
      <c r="J421">
        <v>0</v>
      </c>
      <c r="K421">
        <v>298.49787300000003</v>
      </c>
      <c r="L421">
        <v>0</v>
      </c>
      <c r="M421">
        <v>0</v>
      </c>
      <c r="N421">
        <v>0</v>
      </c>
      <c r="O421" s="8" t="str">
        <f>formatIP(Table1[[#This Row],[Address A]])</f>
        <v>010.012.000.001</v>
      </c>
      <c r="P421" s="8" t="str">
        <f>formatIP(Table1[[#This Row],[Address B]])</f>
        <v>010.011.009.028</v>
      </c>
      <c r="Q421" s="8" t="str">
        <f>VLOOKUP(Table1[[#This Row],[Address A]],IP_Master[],4,FALSE)</f>
        <v>PPPCFC1</v>
      </c>
      <c r="R421" s="8" t="str">
        <f>VLOOKUP(Table1[[#This Row],[Address B]],IP_Master[],4,FALSE)</f>
        <v>EGX100</v>
      </c>
      <c r="S421" s="8" t="str">
        <f>VLOOKUP(Table1[[#This Row],[Address A]],IP_Master[],2,FALSE)</f>
        <v>Fume Control</v>
      </c>
      <c r="T421" s="8" t="str">
        <f>VLOOKUP(Table1[[#This Row],[Address B]],IP_Master[],2,FALSE)</f>
        <v>Miscellaneous</v>
      </c>
      <c r="U421" s="9" t="str">
        <f>VLOOKUP(Table1[[#This Row],[Address A]],IP_Master[],3,FALSE)</f>
        <v>iFIX Nodes &amp; Ethernet Switches</v>
      </c>
      <c r="V421" s="9" t="str">
        <f>VLOOKUP(Table1[[#This Row],[Address B]],IP_Master[],3,FALSE)</f>
        <v>iFIX Nodes &amp; Ethernet Switches</v>
      </c>
      <c r="W421" s="9" t="str">
        <f>VLOOKUP(Table1[[#This Row],[Port B]],traffic_types[],2,FALSE)</f>
        <v>Modbus</v>
      </c>
    </row>
    <row r="422" spans="1:23" x14ac:dyDescent="0.6">
      <c r="A422" t="s">
        <v>53</v>
      </c>
      <c r="B422">
        <v>2743</v>
      </c>
      <c r="C422" t="s">
        <v>87</v>
      </c>
      <c r="D422">
        <v>502</v>
      </c>
      <c r="E422">
        <v>1</v>
      </c>
      <c r="F422" s="13">
        <v>62</v>
      </c>
      <c r="G422">
        <v>1</v>
      </c>
      <c r="H422">
        <v>62</v>
      </c>
      <c r="I422">
        <v>0</v>
      </c>
      <c r="J422">
        <v>0</v>
      </c>
      <c r="K422">
        <v>300.95114799999999</v>
      </c>
      <c r="L422">
        <v>0</v>
      </c>
      <c r="M422">
        <v>0</v>
      </c>
      <c r="N422">
        <v>0</v>
      </c>
      <c r="O422" s="8" t="str">
        <f>formatIP(Table1[[#This Row],[Address A]])</f>
        <v>010.012.000.001</v>
      </c>
      <c r="P422" s="8" t="str">
        <f>formatIP(Table1[[#This Row],[Address B]])</f>
        <v>010.011.009.028</v>
      </c>
      <c r="Q422" s="8" t="str">
        <f>VLOOKUP(Table1[[#This Row],[Address A]],IP_Master[],4,FALSE)</f>
        <v>PPPCFC1</v>
      </c>
      <c r="R422" s="8" t="str">
        <f>VLOOKUP(Table1[[#This Row],[Address B]],IP_Master[],4,FALSE)</f>
        <v>EGX100</v>
      </c>
      <c r="S422" s="8" t="str">
        <f>VLOOKUP(Table1[[#This Row],[Address A]],IP_Master[],2,FALSE)</f>
        <v>Fume Control</v>
      </c>
      <c r="T422" s="8" t="str">
        <f>VLOOKUP(Table1[[#This Row],[Address B]],IP_Master[],2,FALSE)</f>
        <v>Miscellaneous</v>
      </c>
      <c r="U422" s="9" t="str">
        <f>VLOOKUP(Table1[[#This Row],[Address A]],IP_Master[],3,FALSE)</f>
        <v>iFIX Nodes &amp; Ethernet Switches</v>
      </c>
      <c r="V422" s="9" t="str">
        <f>VLOOKUP(Table1[[#This Row],[Address B]],IP_Master[],3,FALSE)</f>
        <v>iFIX Nodes &amp; Ethernet Switches</v>
      </c>
      <c r="W422" s="9" t="str">
        <f>VLOOKUP(Table1[[#This Row],[Port B]],traffic_types[],2,FALSE)</f>
        <v>Modbus</v>
      </c>
    </row>
    <row r="423" spans="1:23" x14ac:dyDescent="0.6">
      <c r="A423" t="s">
        <v>53</v>
      </c>
      <c r="B423">
        <v>2744</v>
      </c>
      <c r="C423" t="s">
        <v>93</v>
      </c>
      <c r="D423">
        <v>80</v>
      </c>
      <c r="E423">
        <v>3</v>
      </c>
      <c r="F423" s="13">
        <v>186</v>
      </c>
      <c r="G423">
        <v>3</v>
      </c>
      <c r="H423">
        <v>186</v>
      </c>
      <c r="I423">
        <v>0</v>
      </c>
      <c r="J423">
        <v>0</v>
      </c>
      <c r="K423">
        <v>304.68675300000001</v>
      </c>
      <c r="L423">
        <v>8.9531210000000101</v>
      </c>
      <c r="M423">
        <v>166.19902713254899</v>
      </c>
      <c r="N423">
        <v>0</v>
      </c>
      <c r="O423" s="8" t="str">
        <f>formatIP(Table1[[#This Row],[Address A]])</f>
        <v>010.012.000.001</v>
      </c>
      <c r="P423" s="8" t="str">
        <f>formatIP(Table1[[#This Row],[Address B]])</f>
        <v>095.101.113.034</v>
      </c>
      <c r="Q423" s="8" t="str">
        <f>VLOOKUP(Table1[[#This Row],[Address A]],IP_Master[],4,FALSE)</f>
        <v>PPPCFC1</v>
      </c>
      <c r="R423" s="8" t="e">
        <f>VLOOKUP(Table1[[#This Row],[Address B]],IP_Master[],4,FALSE)</f>
        <v>#N/A</v>
      </c>
      <c r="S423" s="8" t="str">
        <f>VLOOKUP(Table1[[#This Row],[Address A]],IP_Master[],2,FALSE)</f>
        <v>Fume Control</v>
      </c>
      <c r="T423" s="8" t="e">
        <f>VLOOKUP(Table1[[#This Row],[Address B]],IP_Master[],2,FALSE)</f>
        <v>#N/A</v>
      </c>
      <c r="U423" s="9" t="str">
        <f>VLOOKUP(Table1[[#This Row],[Address A]],IP_Master[],3,FALSE)</f>
        <v>iFIX Nodes &amp; Ethernet Switches</v>
      </c>
      <c r="V423" s="9" t="e">
        <f>VLOOKUP(Table1[[#This Row],[Address B]],IP_Master[],3,FALSE)</f>
        <v>#N/A</v>
      </c>
      <c r="W423" s="9" t="str">
        <f>VLOOKUP(Table1[[#This Row],[Port B]],traffic_types[],2,FALSE)</f>
        <v>HTTP</v>
      </c>
    </row>
    <row r="424" spans="1:23" x14ac:dyDescent="0.6">
      <c r="A424" t="s">
        <v>53</v>
      </c>
      <c r="B424">
        <v>2748</v>
      </c>
      <c r="C424" t="s">
        <v>87</v>
      </c>
      <c r="D424">
        <v>502</v>
      </c>
      <c r="E424">
        <v>2</v>
      </c>
      <c r="F424" s="13">
        <v>124</v>
      </c>
      <c r="G424">
        <v>2</v>
      </c>
      <c r="H424">
        <v>124</v>
      </c>
      <c r="I424">
        <v>0</v>
      </c>
      <c r="J424">
        <v>0</v>
      </c>
      <c r="K424">
        <v>324.448306</v>
      </c>
      <c r="L424">
        <v>2.9735840000000202</v>
      </c>
      <c r="M424">
        <v>333.604162519032</v>
      </c>
      <c r="N424">
        <v>0</v>
      </c>
      <c r="O424" s="8" t="str">
        <f>formatIP(Table1[[#This Row],[Address A]])</f>
        <v>010.012.000.001</v>
      </c>
      <c r="P424" s="8" t="str">
        <f>formatIP(Table1[[#This Row],[Address B]])</f>
        <v>010.011.009.028</v>
      </c>
      <c r="Q424" s="8" t="str">
        <f>VLOOKUP(Table1[[#This Row],[Address A]],IP_Master[],4,FALSE)</f>
        <v>PPPCFC1</v>
      </c>
      <c r="R424" s="8" t="str">
        <f>VLOOKUP(Table1[[#This Row],[Address B]],IP_Master[],4,FALSE)</f>
        <v>EGX100</v>
      </c>
      <c r="S424" s="8" t="str">
        <f>VLOOKUP(Table1[[#This Row],[Address A]],IP_Master[],2,FALSE)</f>
        <v>Fume Control</v>
      </c>
      <c r="T424" s="8" t="str">
        <f>VLOOKUP(Table1[[#This Row],[Address B]],IP_Master[],2,FALSE)</f>
        <v>Miscellaneous</v>
      </c>
      <c r="U424" s="9" t="str">
        <f>VLOOKUP(Table1[[#This Row],[Address A]],IP_Master[],3,FALSE)</f>
        <v>iFIX Nodes &amp; Ethernet Switches</v>
      </c>
      <c r="V424" s="9" t="str">
        <f>VLOOKUP(Table1[[#This Row],[Address B]],IP_Master[],3,FALSE)</f>
        <v>iFIX Nodes &amp; Ethernet Switches</v>
      </c>
      <c r="W424" s="9" t="str">
        <f>VLOOKUP(Table1[[#This Row],[Port B]],traffic_types[],2,FALSE)</f>
        <v>Modbus</v>
      </c>
    </row>
    <row r="425" spans="1:23" x14ac:dyDescent="0.6">
      <c r="A425" t="s">
        <v>53</v>
      </c>
      <c r="B425">
        <v>2749</v>
      </c>
      <c r="C425" t="s">
        <v>94</v>
      </c>
      <c r="D425">
        <v>80</v>
      </c>
      <c r="E425">
        <v>3</v>
      </c>
      <c r="F425" s="13">
        <v>186</v>
      </c>
      <c r="G425">
        <v>3</v>
      </c>
      <c r="H425">
        <v>186</v>
      </c>
      <c r="I425">
        <v>0</v>
      </c>
      <c r="J425">
        <v>0</v>
      </c>
      <c r="K425">
        <v>325.61137500000001</v>
      </c>
      <c r="L425">
        <v>9.1540529999999798</v>
      </c>
      <c r="M425">
        <v>162.550948743688</v>
      </c>
      <c r="N425">
        <v>0</v>
      </c>
      <c r="O425" s="8" t="str">
        <f>formatIP(Table1[[#This Row],[Address A]])</f>
        <v>010.012.000.001</v>
      </c>
      <c r="P425" s="8" t="str">
        <f>formatIP(Table1[[#This Row],[Address B]])</f>
        <v>095.101.113.033</v>
      </c>
      <c r="Q425" s="8" t="str">
        <f>VLOOKUP(Table1[[#This Row],[Address A]],IP_Master[],4,FALSE)</f>
        <v>PPPCFC1</v>
      </c>
      <c r="R425" s="8" t="e">
        <f>VLOOKUP(Table1[[#This Row],[Address B]],IP_Master[],4,FALSE)</f>
        <v>#N/A</v>
      </c>
      <c r="S425" s="8" t="str">
        <f>VLOOKUP(Table1[[#This Row],[Address A]],IP_Master[],2,FALSE)</f>
        <v>Fume Control</v>
      </c>
      <c r="T425" s="8" t="e">
        <f>VLOOKUP(Table1[[#This Row],[Address B]],IP_Master[],2,FALSE)</f>
        <v>#N/A</v>
      </c>
      <c r="U425" s="9" t="str">
        <f>VLOOKUP(Table1[[#This Row],[Address A]],IP_Master[],3,FALSE)</f>
        <v>iFIX Nodes &amp; Ethernet Switches</v>
      </c>
      <c r="V425" s="9" t="e">
        <f>VLOOKUP(Table1[[#This Row],[Address B]],IP_Master[],3,FALSE)</f>
        <v>#N/A</v>
      </c>
      <c r="W425" s="9" t="str">
        <f>VLOOKUP(Table1[[#This Row],[Port B]],traffic_types[],2,FALSE)</f>
        <v>HTTP</v>
      </c>
    </row>
    <row r="426" spans="1:23" x14ac:dyDescent="0.6">
      <c r="A426" t="s">
        <v>53</v>
      </c>
      <c r="B426">
        <v>2750</v>
      </c>
      <c r="C426" t="s">
        <v>87</v>
      </c>
      <c r="D426">
        <v>502</v>
      </c>
      <c r="E426">
        <v>1</v>
      </c>
      <c r="F426" s="13">
        <v>62</v>
      </c>
      <c r="G426">
        <v>1</v>
      </c>
      <c r="H426">
        <v>62</v>
      </c>
      <c r="I426">
        <v>0</v>
      </c>
      <c r="J426">
        <v>0</v>
      </c>
      <c r="K426">
        <v>326.91149799999999</v>
      </c>
      <c r="L426">
        <v>0</v>
      </c>
      <c r="M426">
        <v>0</v>
      </c>
      <c r="N426">
        <v>0</v>
      </c>
      <c r="O426" s="8" t="str">
        <f>formatIP(Table1[[#This Row],[Address A]])</f>
        <v>010.012.000.001</v>
      </c>
      <c r="P426" s="8" t="str">
        <f>formatIP(Table1[[#This Row],[Address B]])</f>
        <v>010.011.009.028</v>
      </c>
      <c r="Q426" s="8" t="str">
        <f>VLOOKUP(Table1[[#This Row],[Address A]],IP_Master[],4,FALSE)</f>
        <v>PPPCFC1</v>
      </c>
      <c r="R426" s="8" t="str">
        <f>VLOOKUP(Table1[[#This Row],[Address B]],IP_Master[],4,FALSE)</f>
        <v>EGX100</v>
      </c>
      <c r="S426" s="8" t="str">
        <f>VLOOKUP(Table1[[#This Row],[Address A]],IP_Master[],2,FALSE)</f>
        <v>Fume Control</v>
      </c>
      <c r="T426" s="8" t="str">
        <f>VLOOKUP(Table1[[#This Row],[Address B]],IP_Master[],2,FALSE)</f>
        <v>Miscellaneous</v>
      </c>
      <c r="U426" s="9" t="str">
        <f>VLOOKUP(Table1[[#This Row],[Address A]],IP_Master[],3,FALSE)</f>
        <v>iFIX Nodes &amp; Ethernet Switches</v>
      </c>
      <c r="V426" s="9" t="str">
        <f>VLOOKUP(Table1[[#This Row],[Address B]],IP_Master[],3,FALSE)</f>
        <v>iFIX Nodes &amp; Ethernet Switches</v>
      </c>
      <c r="W426" s="9" t="str">
        <f>VLOOKUP(Table1[[#This Row],[Port B]],traffic_types[],2,FALSE)</f>
        <v>Modbus</v>
      </c>
    </row>
    <row r="427" spans="1:23" x14ac:dyDescent="0.6">
      <c r="A427" t="s">
        <v>53</v>
      </c>
      <c r="B427">
        <v>2751</v>
      </c>
      <c r="C427" t="s">
        <v>87</v>
      </c>
      <c r="D427">
        <v>502</v>
      </c>
      <c r="E427">
        <v>1</v>
      </c>
      <c r="F427" s="13">
        <v>62</v>
      </c>
      <c r="G427">
        <v>1</v>
      </c>
      <c r="H427">
        <v>62</v>
      </c>
      <c r="I427">
        <v>0</v>
      </c>
      <c r="J427">
        <v>0</v>
      </c>
      <c r="K427">
        <v>327.45436599999999</v>
      </c>
      <c r="L427">
        <v>0</v>
      </c>
      <c r="M427">
        <v>0</v>
      </c>
      <c r="N427">
        <v>0</v>
      </c>
      <c r="O427" s="8" t="str">
        <f>formatIP(Table1[[#This Row],[Address A]])</f>
        <v>010.012.000.001</v>
      </c>
      <c r="P427" s="8" t="str">
        <f>formatIP(Table1[[#This Row],[Address B]])</f>
        <v>010.011.009.028</v>
      </c>
      <c r="Q427" s="8" t="str">
        <f>VLOOKUP(Table1[[#This Row],[Address A]],IP_Master[],4,FALSE)</f>
        <v>PPPCFC1</v>
      </c>
      <c r="R427" s="8" t="str">
        <f>VLOOKUP(Table1[[#This Row],[Address B]],IP_Master[],4,FALSE)</f>
        <v>EGX100</v>
      </c>
      <c r="S427" s="8" t="str">
        <f>VLOOKUP(Table1[[#This Row],[Address A]],IP_Master[],2,FALSE)</f>
        <v>Fume Control</v>
      </c>
      <c r="T427" s="8" t="str">
        <f>VLOOKUP(Table1[[#This Row],[Address B]],IP_Master[],2,FALSE)</f>
        <v>Miscellaneous</v>
      </c>
      <c r="U427" s="9" t="str">
        <f>VLOOKUP(Table1[[#This Row],[Address A]],IP_Master[],3,FALSE)</f>
        <v>iFIX Nodes &amp; Ethernet Switches</v>
      </c>
      <c r="V427" s="9" t="str">
        <f>VLOOKUP(Table1[[#This Row],[Address B]],IP_Master[],3,FALSE)</f>
        <v>iFIX Nodes &amp; Ethernet Switches</v>
      </c>
      <c r="W427" s="9" t="str">
        <f>VLOOKUP(Table1[[#This Row],[Port B]],traffic_types[],2,FALSE)</f>
        <v>Modbus</v>
      </c>
    </row>
    <row r="428" spans="1:23" x14ac:dyDescent="0.6">
      <c r="A428" t="s">
        <v>53</v>
      </c>
      <c r="B428">
        <v>2752</v>
      </c>
      <c r="C428" t="s">
        <v>87</v>
      </c>
      <c r="D428">
        <v>502</v>
      </c>
      <c r="E428">
        <v>2</v>
      </c>
      <c r="F428" s="13">
        <v>124</v>
      </c>
      <c r="G428">
        <v>2</v>
      </c>
      <c r="H428">
        <v>124</v>
      </c>
      <c r="I428">
        <v>0</v>
      </c>
      <c r="J428">
        <v>0</v>
      </c>
      <c r="K428">
        <v>327.88439399999999</v>
      </c>
      <c r="L428">
        <v>2.9577950000000302</v>
      </c>
      <c r="M428">
        <v>335.38497427982298</v>
      </c>
      <c r="N428">
        <v>0</v>
      </c>
      <c r="O428" s="8" t="str">
        <f>formatIP(Table1[[#This Row],[Address A]])</f>
        <v>010.012.000.001</v>
      </c>
      <c r="P428" s="8" t="str">
        <f>formatIP(Table1[[#This Row],[Address B]])</f>
        <v>010.011.009.028</v>
      </c>
      <c r="Q428" s="8" t="str">
        <f>VLOOKUP(Table1[[#This Row],[Address A]],IP_Master[],4,FALSE)</f>
        <v>PPPCFC1</v>
      </c>
      <c r="R428" s="8" t="str">
        <f>VLOOKUP(Table1[[#This Row],[Address B]],IP_Master[],4,FALSE)</f>
        <v>EGX100</v>
      </c>
      <c r="S428" s="8" t="str">
        <f>VLOOKUP(Table1[[#This Row],[Address A]],IP_Master[],2,FALSE)</f>
        <v>Fume Control</v>
      </c>
      <c r="T428" s="8" t="str">
        <f>VLOOKUP(Table1[[#This Row],[Address B]],IP_Master[],2,FALSE)</f>
        <v>Miscellaneous</v>
      </c>
      <c r="U428" s="9" t="str">
        <f>VLOOKUP(Table1[[#This Row],[Address A]],IP_Master[],3,FALSE)</f>
        <v>iFIX Nodes &amp; Ethernet Switches</v>
      </c>
      <c r="V428" s="9" t="str">
        <f>VLOOKUP(Table1[[#This Row],[Address B]],IP_Master[],3,FALSE)</f>
        <v>iFIX Nodes &amp; Ethernet Switches</v>
      </c>
      <c r="W428" s="9" t="str">
        <f>VLOOKUP(Table1[[#This Row],[Port B]],traffic_types[],2,FALSE)</f>
        <v>Modbus</v>
      </c>
    </row>
    <row r="429" spans="1:23" x14ac:dyDescent="0.6">
      <c r="A429" t="s">
        <v>53</v>
      </c>
      <c r="B429">
        <v>2754</v>
      </c>
      <c r="C429" t="s">
        <v>87</v>
      </c>
      <c r="D429">
        <v>502</v>
      </c>
      <c r="E429">
        <v>1</v>
      </c>
      <c r="F429" s="13">
        <v>62</v>
      </c>
      <c r="G429">
        <v>1</v>
      </c>
      <c r="H429">
        <v>62</v>
      </c>
      <c r="I429">
        <v>0</v>
      </c>
      <c r="J429">
        <v>0</v>
      </c>
      <c r="K429">
        <v>328.50522000000001</v>
      </c>
      <c r="L429">
        <v>0</v>
      </c>
      <c r="M429">
        <v>0</v>
      </c>
      <c r="N429">
        <v>0</v>
      </c>
      <c r="O429" s="8" t="str">
        <f>formatIP(Table1[[#This Row],[Address A]])</f>
        <v>010.012.000.001</v>
      </c>
      <c r="P429" s="8" t="str">
        <f>formatIP(Table1[[#This Row],[Address B]])</f>
        <v>010.011.009.028</v>
      </c>
      <c r="Q429" s="8" t="str">
        <f>VLOOKUP(Table1[[#This Row],[Address A]],IP_Master[],4,FALSE)</f>
        <v>PPPCFC1</v>
      </c>
      <c r="R429" s="8" t="str">
        <f>VLOOKUP(Table1[[#This Row],[Address B]],IP_Master[],4,FALSE)</f>
        <v>EGX100</v>
      </c>
      <c r="S429" s="8" t="str">
        <f>VLOOKUP(Table1[[#This Row],[Address A]],IP_Master[],2,FALSE)</f>
        <v>Fume Control</v>
      </c>
      <c r="T429" s="8" t="str">
        <f>VLOOKUP(Table1[[#This Row],[Address B]],IP_Master[],2,FALSE)</f>
        <v>Miscellaneous</v>
      </c>
      <c r="U429" s="9" t="str">
        <f>VLOOKUP(Table1[[#This Row],[Address A]],IP_Master[],3,FALSE)</f>
        <v>iFIX Nodes &amp; Ethernet Switches</v>
      </c>
      <c r="V429" s="9" t="str">
        <f>VLOOKUP(Table1[[#This Row],[Address B]],IP_Master[],3,FALSE)</f>
        <v>iFIX Nodes &amp; Ethernet Switches</v>
      </c>
      <c r="W429" s="9" t="str">
        <f>VLOOKUP(Table1[[#This Row],[Port B]],traffic_types[],2,FALSE)</f>
        <v>Modbus</v>
      </c>
    </row>
    <row r="430" spans="1:23" x14ac:dyDescent="0.6">
      <c r="A430" t="s">
        <v>53</v>
      </c>
      <c r="B430">
        <v>2757</v>
      </c>
      <c r="C430" t="s">
        <v>87</v>
      </c>
      <c r="D430">
        <v>502</v>
      </c>
      <c r="E430">
        <v>1</v>
      </c>
      <c r="F430" s="13">
        <v>62</v>
      </c>
      <c r="G430">
        <v>1</v>
      </c>
      <c r="H430">
        <v>62</v>
      </c>
      <c r="I430">
        <v>0</v>
      </c>
      <c r="J430">
        <v>0</v>
      </c>
      <c r="K430">
        <v>329.923585</v>
      </c>
      <c r="L430">
        <v>0</v>
      </c>
      <c r="M430">
        <v>0</v>
      </c>
      <c r="N430">
        <v>0</v>
      </c>
      <c r="O430" s="8" t="str">
        <f>formatIP(Table1[[#This Row],[Address A]])</f>
        <v>010.012.000.001</v>
      </c>
      <c r="P430" s="8" t="str">
        <f>formatIP(Table1[[#This Row],[Address B]])</f>
        <v>010.011.009.028</v>
      </c>
      <c r="Q430" s="8" t="str">
        <f>VLOOKUP(Table1[[#This Row],[Address A]],IP_Master[],4,FALSE)</f>
        <v>PPPCFC1</v>
      </c>
      <c r="R430" s="8" t="str">
        <f>VLOOKUP(Table1[[#This Row],[Address B]],IP_Master[],4,FALSE)</f>
        <v>EGX100</v>
      </c>
      <c r="S430" s="8" t="str">
        <f>VLOOKUP(Table1[[#This Row],[Address A]],IP_Master[],2,FALSE)</f>
        <v>Fume Control</v>
      </c>
      <c r="T430" s="8" t="str">
        <f>VLOOKUP(Table1[[#This Row],[Address B]],IP_Master[],2,FALSE)</f>
        <v>Miscellaneous</v>
      </c>
      <c r="U430" s="9" t="str">
        <f>VLOOKUP(Table1[[#This Row],[Address A]],IP_Master[],3,FALSE)</f>
        <v>iFIX Nodes &amp; Ethernet Switches</v>
      </c>
      <c r="V430" s="9" t="str">
        <f>VLOOKUP(Table1[[#This Row],[Address B]],IP_Master[],3,FALSE)</f>
        <v>iFIX Nodes &amp; Ethernet Switches</v>
      </c>
      <c r="W430" s="9" t="str">
        <f>VLOOKUP(Table1[[#This Row],[Port B]],traffic_types[],2,FALSE)</f>
        <v>Modbus</v>
      </c>
    </row>
    <row r="431" spans="1:23" x14ac:dyDescent="0.6">
      <c r="A431" t="s">
        <v>53</v>
      </c>
      <c r="B431">
        <v>2758</v>
      </c>
      <c r="C431" t="s">
        <v>87</v>
      </c>
      <c r="D431">
        <v>502</v>
      </c>
      <c r="E431">
        <v>1</v>
      </c>
      <c r="F431" s="13">
        <v>62</v>
      </c>
      <c r="G431">
        <v>1</v>
      </c>
      <c r="H431">
        <v>62</v>
      </c>
      <c r="I431">
        <v>0</v>
      </c>
      <c r="J431">
        <v>0</v>
      </c>
      <c r="K431">
        <v>330.89249100000001</v>
      </c>
      <c r="L431">
        <v>0</v>
      </c>
      <c r="M431">
        <v>0</v>
      </c>
      <c r="N431">
        <v>0</v>
      </c>
      <c r="O431" s="8" t="str">
        <f>formatIP(Table1[[#This Row],[Address A]])</f>
        <v>010.012.000.001</v>
      </c>
      <c r="P431" s="8" t="str">
        <f>formatIP(Table1[[#This Row],[Address B]])</f>
        <v>010.011.009.028</v>
      </c>
      <c r="Q431" s="8" t="str">
        <f>VLOOKUP(Table1[[#This Row],[Address A]],IP_Master[],4,FALSE)</f>
        <v>PPPCFC1</v>
      </c>
      <c r="R431" s="8" t="str">
        <f>VLOOKUP(Table1[[#This Row],[Address B]],IP_Master[],4,FALSE)</f>
        <v>EGX100</v>
      </c>
      <c r="S431" s="8" t="str">
        <f>VLOOKUP(Table1[[#This Row],[Address A]],IP_Master[],2,FALSE)</f>
        <v>Fume Control</v>
      </c>
      <c r="T431" s="8" t="str">
        <f>VLOOKUP(Table1[[#This Row],[Address B]],IP_Master[],2,FALSE)</f>
        <v>Miscellaneous</v>
      </c>
      <c r="U431" s="9" t="str">
        <f>VLOOKUP(Table1[[#This Row],[Address A]],IP_Master[],3,FALSE)</f>
        <v>iFIX Nodes &amp; Ethernet Switches</v>
      </c>
      <c r="V431" s="9" t="str">
        <f>VLOOKUP(Table1[[#This Row],[Address B]],IP_Master[],3,FALSE)</f>
        <v>iFIX Nodes &amp; Ethernet Switches</v>
      </c>
      <c r="W431" s="9" t="str">
        <f>VLOOKUP(Table1[[#This Row],[Port B]],traffic_types[],2,FALSE)</f>
        <v>Modbus</v>
      </c>
    </row>
    <row r="432" spans="1:23" x14ac:dyDescent="0.6">
      <c r="A432" t="s">
        <v>53</v>
      </c>
      <c r="B432">
        <v>2759</v>
      </c>
      <c r="C432" t="s">
        <v>87</v>
      </c>
      <c r="D432">
        <v>502</v>
      </c>
      <c r="E432">
        <v>2</v>
      </c>
      <c r="F432" s="13">
        <v>124</v>
      </c>
      <c r="G432">
        <v>2</v>
      </c>
      <c r="H432">
        <v>124</v>
      </c>
      <c r="I432">
        <v>0</v>
      </c>
      <c r="J432">
        <v>0</v>
      </c>
      <c r="K432">
        <v>330.95698299999998</v>
      </c>
      <c r="L432">
        <v>3.00377900000001</v>
      </c>
      <c r="M432">
        <v>330.25066091746299</v>
      </c>
      <c r="N432">
        <v>0</v>
      </c>
      <c r="O432" s="8" t="str">
        <f>formatIP(Table1[[#This Row],[Address A]])</f>
        <v>010.012.000.001</v>
      </c>
      <c r="P432" s="8" t="str">
        <f>formatIP(Table1[[#This Row],[Address B]])</f>
        <v>010.011.009.028</v>
      </c>
      <c r="Q432" s="8" t="str">
        <f>VLOOKUP(Table1[[#This Row],[Address A]],IP_Master[],4,FALSE)</f>
        <v>PPPCFC1</v>
      </c>
      <c r="R432" s="8" t="str">
        <f>VLOOKUP(Table1[[#This Row],[Address B]],IP_Master[],4,FALSE)</f>
        <v>EGX100</v>
      </c>
      <c r="S432" s="8" t="str">
        <f>VLOOKUP(Table1[[#This Row],[Address A]],IP_Master[],2,FALSE)</f>
        <v>Fume Control</v>
      </c>
      <c r="T432" s="8" t="str">
        <f>VLOOKUP(Table1[[#This Row],[Address B]],IP_Master[],2,FALSE)</f>
        <v>Miscellaneous</v>
      </c>
      <c r="U432" s="9" t="str">
        <f>VLOOKUP(Table1[[#This Row],[Address A]],IP_Master[],3,FALSE)</f>
        <v>iFIX Nodes &amp; Ethernet Switches</v>
      </c>
      <c r="V432" s="9" t="str">
        <f>VLOOKUP(Table1[[#This Row],[Address B]],IP_Master[],3,FALSE)</f>
        <v>iFIX Nodes &amp; Ethernet Switches</v>
      </c>
      <c r="W432" s="9" t="str">
        <f>VLOOKUP(Table1[[#This Row],[Port B]],traffic_types[],2,FALSE)</f>
        <v>Modbus</v>
      </c>
    </row>
    <row r="433" spans="1:23" x14ac:dyDescent="0.6">
      <c r="A433" t="s">
        <v>53</v>
      </c>
      <c r="B433">
        <v>2761</v>
      </c>
      <c r="C433" t="s">
        <v>87</v>
      </c>
      <c r="D433">
        <v>502</v>
      </c>
      <c r="E433">
        <v>1</v>
      </c>
      <c r="F433" s="13">
        <v>62</v>
      </c>
      <c r="G433">
        <v>1</v>
      </c>
      <c r="H433">
        <v>62</v>
      </c>
      <c r="I433">
        <v>0</v>
      </c>
      <c r="J433">
        <v>0</v>
      </c>
      <c r="K433">
        <v>331.51783399999999</v>
      </c>
      <c r="L433">
        <v>0</v>
      </c>
      <c r="M433">
        <v>0</v>
      </c>
      <c r="N433">
        <v>0</v>
      </c>
      <c r="O433" s="8" t="str">
        <f>formatIP(Table1[[#This Row],[Address A]])</f>
        <v>010.012.000.001</v>
      </c>
      <c r="P433" s="8" t="str">
        <f>formatIP(Table1[[#This Row],[Address B]])</f>
        <v>010.011.009.028</v>
      </c>
      <c r="Q433" s="8" t="str">
        <f>VLOOKUP(Table1[[#This Row],[Address A]],IP_Master[],4,FALSE)</f>
        <v>PPPCFC1</v>
      </c>
      <c r="R433" s="8" t="str">
        <f>VLOOKUP(Table1[[#This Row],[Address B]],IP_Master[],4,FALSE)</f>
        <v>EGX100</v>
      </c>
      <c r="S433" s="8" t="str">
        <f>VLOOKUP(Table1[[#This Row],[Address A]],IP_Master[],2,FALSE)</f>
        <v>Fume Control</v>
      </c>
      <c r="T433" s="8" t="str">
        <f>VLOOKUP(Table1[[#This Row],[Address B]],IP_Master[],2,FALSE)</f>
        <v>Miscellaneous</v>
      </c>
      <c r="U433" s="9" t="str">
        <f>VLOOKUP(Table1[[#This Row],[Address A]],IP_Master[],3,FALSE)</f>
        <v>iFIX Nodes &amp; Ethernet Switches</v>
      </c>
      <c r="V433" s="9" t="str">
        <f>VLOOKUP(Table1[[#This Row],[Address B]],IP_Master[],3,FALSE)</f>
        <v>iFIX Nodes &amp; Ethernet Switches</v>
      </c>
      <c r="W433" s="9" t="str">
        <f>VLOOKUP(Table1[[#This Row],[Port B]],traffic_types[],2,FALSE)</f>
        <v>Modbus</v>
      </c>
    </row>
    <row r="434" spans="1:23" x14ac:dyDescent="0.6">
      <c r="A434" t="s">
        <v>53</v>
      </c>
      <c r="B434">
        <v>2763</v>
      </c>
      <c r="C434" t="s">
        <v>87</v>
      </c>
      <c r="D434">
        <v>502</v>
      </c>
      <c r="E434">
        <v>1</v>
      </c>
      <c r="F434" s="13">
        <v>62</v>
      </c>
      <c r="G434">
        <v>1</v>
      </c>
      <c r="H434">
        <v>62</v>
      </c>
      <c r="I434">
        <v>0</v>
      </c>
      <c r="J434">
        <v>0</v>
      </c>
      <c r="K434">
        <v>333.97099700000001</v>
      </c>
      <c r="L434">
        <v>0</v>
      </c>
      <c r="M434">
        <v>0</v>
      </c>
      <c r="N434">
        <v>0</v>
      </c>
      <c r="O434" s="8" t="str">
        <f>formatIP(Table1[[#This Row],[Address A]])</f>
        <v>010.012.000.001</v>
      </c>
      <c r="P434" s="8" t="str">
        <f>formatIP(Table1[[#This Row],[Address B]])</f>
        <v>010.011.009.028</v>
      </c>
      <c r="Q434" s="8" t="str">
        <f>VLOOKUP(Table1[[#This Row],[Address A]],IP_Master[],4,FALSE)</f>
        <v>PPPCFC1</v>
      </c>
      <c r="R434" s="8" t="str">
        <f>VLOOKUP(Table1[[#This Row],[Address B]],IP_Master[],4,FALSE)</f>
        <v>EGX100</v>
      </c>
      <c r="S434" s="8" t="str">
        <f>VLOOKUP(Table1[[#This Row],[Address A]],IP_Master[],2,FALSE)</f>
        <v>Fume Control</v>
      </c>
      <c r="T434" s="8" t="str">
        <f>VLOOKUP(Table1[[#This Row],[Address B]],IP_Master[],2,FALSE)</f>
        <v>Miscellaneous</v>
      </c>
      <c r="U434" s="9" t="str">
        <f>VLOOKUP(Table1[[#This Row],[Address A]],IP_Master[],3,FALSE)</f>
        <v>iFIX Nodes &amp; Ethernet Switches</v>
      </c>
      <c r="V434" s="9" t="str">
        <f>VLOOKUP(Table1[[#This Row],[Address B]],IP_Master[],3,FALSE)</f>
        <v>iFIX Nodes &amp; Ethernet Switches</v>
      </c>
      <c r="W434" s="9" t="str">
        <f>VLOOKUP(Table1[[#This Row],[Port B]],traffic_types[],2,FALSE)</f>
        <v>Modbus</v>
      </c>
    </row>
    <row r="435" spans="1:23" x14ac:dyDescent="0.6">
      <c r="A435" t="s">
        <v>53</v>
      </c>
      <c r="B435">
        <v>2765</v>
      </c>
      <c r="C435" t="s">
        <v>95</v>
      </c>
      <c r="D435">
        <v>80</v>
      </c>
      <c r="E435">
        <v>3</v>
      </c>
      <c r="F435" s="13">
        <v>186</v>
      </c>
      <c r="G435">
        <v>3</v>
      </c>
      <c r="H435">
        <v>186</v>
      </c>
      <c r="I435">
        <v>0</v>
      </c>
      <c r="J435">
        <v>0</v>
      </c>
      <c r="K435">
        <v>346.73733600000003</v>
      </c>
      <c r="L435">
        <v>9.0533229999999794</v>
      </c>
      <c r="M435">
        <v>164.35953958563101</v>
      </c>
      <c r="N435">
        <v>0</v>
      </c>
      <c r="O435" s="8" t="str">
        <f>formatIP(Table1[[#This Row],[Address A]])</f>
        <v>010.012.000.001</v>
      </c>
      <c r="P435" s="8" t="str">
        <f>formatIP(Table1[[#This Row],[Address B]])</f>
        <v>095.101.113.026</v>
      </c>
      <c r="Q435" s="8" t="str">
        <f>VLOOKUP(Table1[[#This Row],[Address A]],IP_Master[],4,FALSE)</f>
        <v>PPPCFC1</v>
      </c>
      <c r="R435" s="8" t="e">
        <f>VLOOKUP(Table1[[#This Row],[Address B]],IP_Master[],4,FALSE)</f>
        <v>#N/A</v>
      </c>
      <c r="S435" s="8" t="str">
        <f>VLOOKUP(Table1[[#This Row],[Address A]],IP_Master[],2,FALSE)</f>
        <v>Fume Control</v>
      </c>
      <c r="T435" s="8" t="e">
        <f>VLOOKUP(Table1[[#This Row],[Address B]],IP_Master[],2,FALSE)</f>
        <v>#N/A</v>
      </c>
      <c r="U435" s="9" t="str">
        <f>VLOOKUP(Table1[[#This Row],[Address A]],IP_Master[],3,FALSE)</f>
        <v>iFIX Nodes &amp; Ethernet Switches</v>
      </c>
      <c r="V435" s="9" t="e">
        <f>VLOOKUP(Table1[[#This Row],[Address B]],IP_Master[],3,FALSE)</f>
        <v>#N/A</v>
      </c>
      <c r="W435" s="9" t="str">
        <f>VLOOKUP(Table1[[#This Row],[Port B]],traffic_types[],2,FALSE)</f>
        <v>HTTP</v>
      </c>
    </row>
    <row r="436" spans="1:23" x14ac:dyDescent="0.6">
      <c r="A436" t="s">
        <v>53</v>
      </c>
      <c r="B436">
        <v>2768</v>
      </c>
      <c r="C436" t="s">
        <v>87</v>
      </c>
      <c r="D436">
        <v>502</v>
      </c>
      <c r="E436">
        <v>2</v>
      </c>
      <c r="F436" s="13">
        <v>124</v>
      </c>
      <c r="G436">
        <v>2</v>
      </c>
      <c r="H436">
        <v>124</v>
      </c>
      <c r="I436">
        <v>0</v>
      </c>
      <c r="J436">
        <v>0</v>
      </c>
      <c r="K436">
        <v>357.46425299999999</v>
      </c>
      <c r="L436">
        <v>2.8534250000000201</v>
      </c>
      <c r="M436">
        <v>347.65238266293801</v>
      </c>
      <c r="N436">
        <v>0</v>
      </c>
      <c r="O436" s="8" t="str">
        <f>formatIP(Table1[[#This Row],[Address A]])</f>
        <v>010.012.000.001</v>
      </c>
      <c r="P436" s="8" t="str">
        <f>formatIP(Table1[[#This Row],[Address B]])</f>
        <v>010.011.009.028</v>
      </c>
      <c r="Q436" s="8" t="str">
        <f>VLOOKUP(Table1[[#This Row],[Address A]],IP_Master[],4,FALSE)</f>
        <v>PPPCFC1</v>
      </c>
      <c r="R436" s="8" t="str">
        <f>VLOOKUP(Table1[[#This Row],[Address B]],IP_Master[],4,FALSE)</f>
        <v>EGX100</v>
      </c>
      <c r="S436" s="8" t="str">
        <f>VLOOKUP(Table1[[#This Row],[Address A]],IP_Master[],2,FALSE)</f>
        <v>Fume Control</v>
      </c>
      <c r="T436" s="8" t="str">
        <f>VLOOKUP(Table1[[#This Row],[Address B]],IP_Master[],2,FALSE)</f>
        <v>Miscellaneous</v>
      </c>
      <c r="U436" s="9" t="str">
        <f>VLOOKUP(Table1[[#This Row],[Address A]],IP_Master[],3,FALSE)</f>
        <v>iFIX Nodes &amp; Ethernet Switches</v>
      </c>
      <c r="V436" s="9" t="str">
        <f>VLOOKUP(Table1[[#This Row],[Address B]],IP_Master[],3,FALSE)</f>
        <v>iFIX Nodes &amp; Ethernet Switches</v>
      </c>
      <c r="W436" s="9" t="str">
        <f>VLOOKUP(Table1[[#This Row],[Port B]],traffic_types[],2,FALSE)</f>
        <v>Modbus</v>
      </c>
    </row>
    <row r="437" spans="1:23" x14ac:dyDescent="0.6">
      <c r="A437" t="s">
        <v>53</v>
      </c>
      <c r="B437">
        <v>2769</v>
      </c>
      <c r="C437" t="s">
        <v>87</v>
      </c>
      <c r="D437">
        <v>502</v>
      </c>
      <c r="E437">
        <v>1</v>
      </c>
      <c r="F437" s="13">
        <v>62</v>
      </c>
      <c r="G437">
        <v>1</v>
      </c>
      <c r="H437">
        <v>62</v>
      </c>
      <c r="I437">
        <v>0</v>
      </c>
      <c r="J437">
        <v>0</v>
      </c>
      <c r="K437">
        <v>359.93132500000002</v>
      </c>
      <c r="L437">
        <v>0</v>
      </c>
      <c r="M437">
        <v>0</v>
      </c>
      <c r="N437">
        <v>0</v>
      </c>
      <c r="O437" s="8" t="str">
        <f>formatIP(Table1[[#This Row],[Address A]])</f>
        <v>010.012.000.001</v>
      </c>
      <c r="P437" s="8" t="str">
        <f>formatIP(Table1[[#This Row],[Address B]])</f>
        <v>010.011.009.028</v>
      </c>
      <c r="Q437" s="8" t="str">
        <f>VLOOKUP(Table1[[#This Row],[Address A]],IP_Master[],4,FALSE)</f>
        <v>PPPCFC1</v>
      </c>
      <c r="R437" s="8" t="str">
        <f>VLOOKUP(Table1[[#This Row],[Address B]],IP_Master[],4,FALSE)</f>
        <v>EGX100</v>
      </c>
      <c r="S437" s="8" t="str">
        <f>VLOOKUP(Table1[[#This Row],[Address A]],IP_Master[],2,FALSE)</f>
        <v>Fume Control</v>
      </c>
      <c r="T437" s="8" t="str">
        <f>VLOOKUP(Table1[[#This Row],[Address B]],IP_Master[],2,FALSE)</f>
        <v>Miscellaneous</v>
      </c>
      <c r="U437" s="9" t="str">
        <f>VLOOKUP(Table1[[#This Row],[Address A]],IP_Master[],3,FALSE)</f>
        <v>iFIX Nodes &amp; Ethernet Switches</v>
      </c>
      <c r="V437" s="9" t="str">
        <f>VLOOKUP(Table1[[#This Row],[Address B]],IP_Master[],3,FALSE)</f>
        <v>iFIX Nodes &amp; Ethernet Switches</v>
      </c>
      <c r="W437" s="9" t="str">
        <f>VLOOKUP(Table1[[#This Row],[Port B]],traffic_types[],2,FALSE)</f>
        <v>Modbus</v>
      </c>
    </row>
    <row r="438" spans="1:23" x14ac:dyDescent="0.6">
      <c r="A438" t="s">
        <v>53</v>
      </c>
      <c r="B438">
        <v>2771</v>
      </c>
      <c r="C438" t="s">
        <v>87</v>
      </c>
      <c r="D438">
        <v>502</v>
      </c>
      <c r="E438">
        <v>1</v>
      </c>
      <c r="F438" s="13">
        <v>62</v>
      </c>
      <c r="G438">
        <v>1</v>
      </c>
      <c r="H438">
        <v>62</v>
      </c>
      <c r="I438">
        <v>0</v>
      </c>
      <c r="J438">
        <v>0</v>
      </c>
      <c r="K438">
        <v>360.47430200000002</v>
      </c>
      <c r="L438">
        <v>0</v>
      </c>
      <c r="M438">
        <v>0</v>
      </c>
      <c r="N438">
        <v>0</v>
      </c>
      <c r="O438" s="8" t="str">
        <f>formatIP(Table1[[#This Row],[Address A]])</f>
        <v>010.012.000.001</v>
      </c>
      <c r="P438" s="8" t="str">
        <f>formatIP(Table1[[#This Row],[Address B]])</f>
        <v>010.011.009.028</v>
      </c>
      <c r="Q438" s="8" t="str">
        <f>VLOOKUP(Table1[[#This Row],[Address A]],IP_Master[],4,FALSE)</f>
        <v>PPPCFC1</v>
      </c>
      <c r="R438" s="8" t="str">
        <f>VLOOKUP(Table1[[#This Row],[Address B]],IP_Master[],4,FALSE)</f>
        <v>EGX100</v>
      </c>
      <c r="S438" s="8" t="str">
        <f>VLOOKUP(Table1[[#This Row],[Address A]],IP_Master[],2,FALSE)</f>
        <v>Fume Control</v>
      </c>
      <c r="T438" s="8" t="str">
        <f>VLOOKUP(Table1[[#This Row],[Address B]],IP_Master[],2,FALSE)</f>
        <v>Miscellaneous</v>
      </c>
      <c r="U438" s="9" t="str">
        <f>VLOOKUP(Table1[[#This Row],[Address A]],IP_Master[],3,FALSE)</f>
        <v>iFIX Nodes &amp; Ethernet Switches</v>
      </c>
      <c r="V438" s="9" t="str">
        <f>VLOOKUP(Table1[[#This Row],[Address B]],IP_Master[],3,FALSE)</f>
        <v>iFIX Nodes &amp; Ethernet Switches</v>
      </c>
      <c r="W438" s="9" t="str">
        <f>VLOOKUP(Table1[[#This Row],[Port B]],traffic_types[],2,FALSE)</f>
        <v>Modbus</v>
      </c>
    </row>
    <row r="439" spans="1:23" x14ac:dyDescent="0.6">
      <c r="A439" t="s">
        <v>53</v>
      </c>
      <c r="B439">
        <v>2772</v>
      </c>
      <c r="C439" t="s">
        <v>87</v>
      </c>
      <c r="D439">
        <v>502</v>
      </c>
      <c r="E439">
        <v>2</v>
      </c>
      <c r="F439" s="13">
        <v>124</v>
      </c>
      <c r="G439">
        <v>2</v>
      </c>
      <c r="H439">
        <v>124</v>
      </c>
      <c r="I439">
        <v>0</v>
      </c>
      <c r="J439">
        <v>0</v>
      </c>
      <c r="K439">
        <v>360.90425299999998</v>
      </c>
      <c r="L439">
        <v>2.9343279999999901</v>
      </c>
      <c r="M439">
        <v>338.06718267351198</v>
      </c>
      <c r="N439">
        <v>0</v>
      </c>
      <c r="O439" s="8" t="str">
        <f>formatIP(Table1[[#This Row],[Address A]])</f>
        <v>010.012.000.001</v>
      </c>
      <c r="P439" s="8" t="str">
        <f>formatIP(Table1[[#This Row],[Address B]])</f>
        <v>010.011.009.028</v>
      </c>
      <c r="Q439" s="8" t="str">
        <f>VLOOKUP(Table1[[#This Row],[Address A]],IP_Master[],4,FALSE)</f>
        <v>PPPCFC1</v>
      </c>
      <c r="R439" s="8" t="str">
        <f>VLOOKUP(Table1[[#This Row],[Address B]],IP_Master[],4,FALSE)</f>
        <v>EGX100</v>
      </c>
      <c r="S439" s="8" t="str">
        <f>VLOOKUP(Table1[[#This Row],[Address A]],IP_Master[],2,FALSE)</f>
        <v>Fume Control</v>
      </c>
      <c r="T439" s="8" t="str">
        <f>VLOOKUP(Table1[[#This Row],[Address B]],IP_Master[],2,FALSE)</f>
        <v>Miscellaneous</v>
      </c>
      <c r="U439" s="9" t="str">
        <f>VLOOKUP(Table1[[#This Row],[Address A]],IP_Master[],3,FALSE)</f>
        <v>iFIX Nodes &amp; Ethernet Switches</v>
      </c>
      <c r="V439" s="9" t="str">
        <f>VLOOKUP(Table1[[#This Row],[Address B]],IP_Master[],3,FALSE)</f>
        <v>iFIX Nodes &amp; Ethernet Switches</v>
      </c>
      <c r="W439" s="9" t="str">
        <f>VLOOKUP(Table1[[#This Row],[Port B]],traffic_types[],2,FALSE)</f>
        <v>Modbus</v>
      </c>
    </row>
    <row r="440" spans="1:23" x14ac:dyDescent="0.6">
      <c r="A440" t="s">
        <v>53</v>
      </c>
      <c r="B440">
        <v>2774</v>
      </c>
      <c r="C440" t="s">
        <v>87</v>
      </c>
      <c r="D440">
        <v>502</v>
      </c>
      <c r="E440">
        <v>2</v>
      </c>
      <c r="F440" s="13">
        <v>124</v>
      </c>
      <c r="G440">
        <v>2</v>
      </c>
      <c r="H440">
        <v>124</v>
      </c>
      <c r="I440">
        <v>0</v>
      </c>
      <c r="J440">
        <v>0</v>
      </c>
      <c r="K440">
        <v>361.52315399999998</v>
      </c>
      <c r="L440">
        <v>2.918971</v>
      </c>
      <c r="M440">
        <v>339.84578812191</v>
      </c>
      <c r="N440">
        <v>0</v>
      </c>
      <c r="O440" s="8" t="str">
        <f>formatIP(Table1[[#This Row],[Address A]])</f>
        <v>010.012.000.001</v>
      </c>
      <c r="P440" s="8" t="str">
        <f>formatIP(Table1[[#This Row],[Address B]])</f>
        <v>010.011.009.028</v>
      </c>
      <c r="Q440" s="8" t="str">
        <f>VLOOKUP(Table1[[#This Row],[Address A]],IP_Master[],4,FALSE)</f>
        <v>PPPCFC1</v>
      </c>
      <c r="R440" s="8" t="str">
        <f>VLOOKUP(Table1[[#This Row],[Address B]],IP_Master[],4,FALSE)</f>
        <v>EGX100</v>
      </c>
      <c r="S440" s="8" t="str">
        <f>VLOOKUP(Table1[[#This Row],[Address A]],IP_Master[],2,FALSE)</f>
        <v>Fume Control</v>
      </c>
      <c r="T440" s="8" t="str">
        <f>VLOOKUP(Table1[[#This Row],[Address B]],IP_Master[],2,FALSE)</f>
        <v>Miscellaneous</v>
      </c>
      <c r="U440" s="9" t="str">
        <f>VLOOKUP(Table1[[#This Row],[Address A]],IP_Master[],3,FALSE)</f>
        <v>iFIX Nodes &amp; Ethernet Switches</v>
      </c>
      <c r="V440" s="9" t="str">
        <f>VLOOKUP(Table1[[#This Row],[Address B]],IP_Master[],3,FALSE)</f>
        <v>iFIX Nodes &amp; Ethernet Switches</v>
      </c>
      <c r="W440" s="9" t="str">
        <f>VLOOKUP(Table1[[#This Row],[Port B]],traffic_types[],2,FALSE)</f>
        <v>Modbus</v>
      </c>
    </row>
    <row r="441" spans="1:23" x14ac:dyDescent="0.6">
      <c r="A441" t="s">
        <v>53</v>
      </c>
      <c r="B441">
        <v>2776</v>
      </c>
      <c r="C441" t="s">
        <v>87</v>
      </c>
      <c r="D441">
        <v>502</v>
      </c>
      <c r="E441">
        <v>1</v>
      </c>
      <c r="F441" s="13">
        <v>62</v>
      </c>
      <c r="G441">
        <v>1</v>
      </c>
      <c r="H441">
        <v>62</v>
      </c>
      <c r="I441">
        <v>0</v>
      </c>
      <c r="J441">
        <v>0</v>
      </c>
      <c r="K441">
        <v>362.94336199999998</v>
      </c>
      <c r="L441">
        <v>0</v>
      </c>
      <c r="M441">
        <v>0</v>
      </c>
      <c r="N441">
        <v>0</v>
      </c>
      <c r="O441" s="8" t="str">
        <f>formatIP(Table1[[#This Row],[Address A]])</f>
        <v>010.012.000.001</v>
      </c>
      <c r="P441" s="8" t="str">
        <f>formatIP(Table1[[#This Row],[Address B]])</f>
        <v>010.011.009.028</v>
      </c>
      <c r="Q441" s="8" t="str">
        <f>VLOOKUP(Table1[[#This Row],[Address A]],IP_Master[],4,FALSE)</f>
        <v>PPPCFC1</v>
      </c>
      <c r="R441" s="8" t="str">
        <f>VLOOKUP(Table1[[#This Row],[Address B]],IP_Master[],4,FALSE)</f>
        <v>EGX100</v>
      </c>
      <c r="S441" s="8" t="str">
        <f>VLOOKUP(Table1[[#This Row],[Address A]],IP_Master[],2,FALSE)</f>
        <v>Fume Control</v>
      </c>
      <c r="T441" s="8" t="str">
        <f>VLOOKUP(Table1[[#This Row],[Address B]],IP_Master[],2,FALSE)</f>
        <v>Miscellaneous</v>
      </c>
      <c r="U441" s="9" t="str">
        <f>VLOOKUP(Table1[[#This Row],[Address A]],IP_Master[],3,FALSE)</f>
        <v>iFIX Nodes &amp; Ethernet Switches</v>
      </c>
      <c r="V441" s="9" t="str">
        <f>VLOOKUP(Table1[[#This Row],[Address B]],IP_Master[],3,FALSE)</f>
        <v>iFIX Nodes &amp; Ethernet Switches</v>
      </c>
      <c r="W441" s="9" t="str">
        <f>VLOOKUP(Table1[[#This Row],[Port B]],traffic_types[],2,FALSE)</f>
        <v>Modbus</v>
      </c>
    </row>
    <row r="442" spans="1:23" x14ac:dyDescent="0.6">
      <c r="A442" t="s">
        <v>53</v>
      </c>
      <c r="B442">
        <v>2777</v>
      </c>
      <c r="C442" t="s">
        <v>87</v>
      </c>
      <c r="D442">
        <v>502</v>
      </c>
      <c r="E442">
        <v>1</v>
      </c>
      <c r="F442" s="13">
        <v>62</v>
      </c>
      <c r="G442">
        <v>1</v>
      </c>
      <c r="H442">
        <v>62</v>
      </c>
      <c r="I442">
        <v>0</v>
      </c>
      <c r="J442">
        <v>0</v>
      </c>
      <c r="K442">
        <v>363.91238299999998</v>
      </c>
      <c r="L442">
        <v>0</v>
      </c>
      <c r="M442">
        <v>0</v>
      </c>
      <c r="N442">
        <v>0</v>
      </c>
      <c r="O442" s="8" t="str">
        <f>formatIP(Table1[[#This Row],[Address A]])</f>
        <v>010.012.000.001</v>
      </c>
      <c r="P442" s="8" t="str">
        <f>formatIP(Table1[[#This Row],[Address B]])</f>
        <v>010.011.009.028</v>
      </c>
      <c r="Q442" s="8" t="str">
        <f>VLOOKUP(Table1[[#This Row],[Address A]],IP_Master[],4,FALSE)</f>
        <v>PPPCFC1</v>
      </c>
      <c r="R442" s="8" t="str">
        <f>VLOOKUP(Table1[[#This Row],[Address B]],IP_Master[],4,FALSE)</f>
        <v>EGX100</v>
      </c>
      <c r="S442" s="8" t="str">
        <f>VLOOKUP(Table1[[#This Row],[Address A]],IP_Master[],2,FALSE)</f>
        <v>Fume Control</v>
      </c>
      <c r="T442" s="8" t="str">
        <f>VLOOKUP(Table1[[#This Row],[Address B]],IP_Master[],2,FALSE)</f>
        <v>Miscellaneous</v>
      </c>
      <c r="U442" s="9" t="str">
        <f>VLOOKUP(Table1[[#This Row],[Address A]],IP_Master[],3,FALSE)</f>
        <v>iFIX Nodes &amp; Ethernet Switches</v>
      </c>
      <c r="V442" s="9" t="str">
        <f>VLOOKUP(Table1[[#This Row],[Address B]],IP_Master[],3,FALSE)</f>
        <v>iFIX Nodes &amp; Ethernet Switches</v>
      </c>
      <c r="W442" s="9" t="str">
        <f>VLOOKUP(Table1[[#This Row],[Port B]],traffic_types[],2,FALSE)</f>
        <v>Modbus</v>
      </c>
    </row>
    <row r="443" spans="1:23" x14ac:dyDescent="0.6">
      <c r="A443" t="s">
        <v>53</v>
      </c>
      <c r="B443">
        <v>2778</v>
      </c>
      <c r="C443" t="s">
        <v>87</v>
      </c>
      <c r="D443">
        <v>502</v>
      </c>
      <c r="E443">
        <v>2</v>
      </c>
      <c r="F443" s="13">
        <v>124</v>
      </c>
      <c r="G443">
        <v>2</v>
      </c>
      <c r="H443">
        <v>124</v>
      </c>
      <c r="I443">
        <v>0</v>
      </c>
      <c r="J443">
        <v>0</v>
      </c>
      <c r="K443">
        <v>363.97882099999998</v>
      </c>
      <c r="L443">
        <v>2.9782460000000102</v>
      </c>
      <c r="M443">
        <v>333.08195494932102</v>
      </c>
      <c r="N443">
        <v>0</v>
      </c>
      <c r="O443" s="8" t="str">
        <f>formatIP(Table1[[#This Row],[Address A]])</f>
        <v>010.012.000.001</v>
      </c>
      <c r="P443" s="8" t="str">
        <f>formatIP(Table1[[#This Row],[Address B]])</f>
        <v>010.011.009.028</v>
      </c>
      <c r="Q443" s="8" t="str">
        <f>VLOOKUP(Table1[[#This Row],[Address A]],IP_Master[],4,FALSE)</f>
        <v>PPPCFC1</v>
      </c>
      <c r="R443" s="8" t="str">
        <f>VLOOKUP(Table1[[#This Row],[Address B]],IP_Master[],4,FALSE)</f>
        <v>EGX100</v>
      </c>
      <c r="S443" s="8" t="str">
        <f>VLOOKUP(Table1[[#This Row],[Address A]],IP_Master[],2,FALSE)</f>
        <v>Fume Control</v>
      </c>
      <c r="T443" s="8" t="str">
        <f>VLOOKUP(Table1[[#This Row],[Address B]],IP_Master[],2,FALSE)</f>
        <v>Miscellaneous</v>
      </c>
      <c r="U443" s="9" t="str">
        <f>VLOOKUP(Table1[[#This Row],[Address A]],IP_Master[],3,FALSE)</f>
        <v>iFIX Nodes &amp; Ethernet Switches</v>
      </c>
      <c r="V443" s="9" t="str">
        <f>VLOOKUP(Table1[[#This Row],[Address B]],IP_Master[],3,FALSE)</f>
        <v>iFIX Nodes &amp; Ethernet Switches</v>
      </c>
      <c r="W443" s="9" t="str">
        <f>VLOOKUP(Table1[[#This Row],[Port B]],traffic_types[],2,FALSE)</f>
        <v>Modbus</v>
      </c>
    </row>
    <row r="444" spans="1:23" x14ac:dyDescent="0.6">
      <c r="A444" t="s">
        <v>53</v>
      </c>
      <c r="B444">
        <v>2780</v>
      </c>
      <c r="C444" t="s">
        <v>87</v>
      </c>
      <c r="D444">
        <v>502</v>
      </c>
      <c r="E444">
        <v>1</v>
      </c>
      <c r="F444" s="13">
        <v>62</v>
      </c>
      <c r="G444">
        <v>1</v>
      </c>
      <c r="H444">
        <v>62</v>
      </c>
      <c r="I444">
        <v>0</v>
      </c>
      <c r="J444">
        <v>0</v>
      </c>
      <c r="K444">
        <v>364.53774199999998</v>
      </c>
      <c r="L444">
        <v>0</v>
      </c>
      <c r="M444">
        <v>0</v>
      </c>
      <c r="N444">
        <v>0</v>
      </c>
      <c r="O444" s="8" t="str">
        <f>formatIP(Table1[[#This Row],[Address A]])</f>
        <v>010.012.000.001</v>
      </c>
      <c r="P444" s="8" t="str">
        <f>formatIP(Table1[[#This Row],[Address B]])</f>
        <v>010.011.009.028</v>
      </c>
      <c r="Q444" s="8" t="str">
        <f>VLOOKUP(Table1[[#This Row],[Address A]],IP_Master[],4,FALSE)</f>
        <v>PPPCFC1</v>
      </c>
      <c r="R444" s="8" t="str">
        <f>VLOOKUP(Table1[[#This Row],[Address B]],IP_Master[],4,FALSE)</f>
        <v>EGX100</v>
      </c>
      <c r="S444" s="8" t="str">
        <f>VLOOKUP(Table1[[#This Row],[Address A]],IP_Master[],2,FALSE)</f>
        <v>Fume Control</v>
      </c>
      <c r="T444" s="8" t="str">
        <f>VLOOKUP(Table1[[#This Row],[Address B]],IP_Master[],2,FALSE)</f>
        <v>Miscellaneous</v>
      </c>
      <c r="U444" s="9" t="str">
        <f>VLOOKUP(Table1[[#This Row],[Address A]],IP_Master[],3,FALSE)</f>
        <v>iFIX Nodes &amp; Ethernet Switches</v>
      </c>
      <c r="V444" s="9" t="str">
        <f>VLOOKUP(Table1[[#This Row],[Address B]],IP_Master[],3,FALSE)</f>
        <v>iFIX Nodes &amp; Ethernet Switches</v>
      </c>
      <c r="W444" s="9" t="str">
        <f>VLOOKUP(Table1[[#This Row],[Port B]],traffic_types[],2,FALSE)</f>
        <v>Modbus</v>
      </c>
    </row>
    <row r="445" spans="1:23" x14ac:dyDescent="0.6">
      <c r="A445" t="s">
        <v>53</v>
      </c>
      <c r="B445">
        <v>2782</v>
      </c>
      <c r="C445" t="s">
        <v>87</v>
      </c>
      <c r="D445">
        <v>502</v>
      </c>
      <c r="E445">
        <v>1</v>
      </c>
      <c r="F445" s="13">
        <v>62</v>
      </c>
      <c r="G445">
        <v>1</v>
      </c>
      <c r="H445">
        <v>62</v>
      </c>
      <c r="I445">
        <v>0</v>
      </c>
      <c r="J445">
        <v>0</v>
      </c>
      <c r="K445">
        <v>366.99066399999998</v>
      </c>
      <c r="L445">
        <v>0</v>
      </c>
      <c r="M445">
        <v>0</v>
      </c>
      <c r="N445">
        <v>0</v>
      </c>
      <c r="O445" s="8" t="str">
        <f>formatIP(Table1[[#This Row],[Address A]])</f>
        <v>010.012.000.001</v>
      </c>
      <c r="P445" s="8" t="str">
        <f>formatIP(Table1[[#This Row],[Address B]])</f>
        <v>010.011.009.028</v>
      </c>
      <c r="Q445" s="8" t="str">
        <f>VLOOKUP(Table1[[#This Row],[Address A]],IP_Master[],4,FALSE)</f>
        <v>PPPCFC1</v>
      </c>
      <c r="R445" s="8" t="str">
        <f>VLOOKUP(Table1[[#This Row],[Address B]],IP_Master[],4,FALSE)</f>
        <v>EGX100</v>
      </c>
      <c r="S445" s="8" t="str">
        <f>VLOOKUP(Table1[[#This Row],[Address A]],IP_Master[],2,FALSE)</f>
        <v>Fume Control</v>
      </c>
      <c r="T445" s="8" t="str">
        <f>VLOOKUP(Table1[[#This Row],[Address B]],IP_Master[],2,FALSE)</f>
        <v>Miscellaneous</v>
      </c>
      <c r="U445" s="9" t="str">
        <f>VLOOKUP(Table1[[#This Row],[Address A]],IP_Master[],3,FALSE)</f>
        <v>iFIX Nodes &amp; Ethernet Switches</v>
      </c>
      <c r="V445" s="9" t="str">
        <f>VLOOKUP(Table1[[#This Row],[Address B]],IP_Master[],3,FALSE)</f>
        <v>iFIX Nodes &amp; Ethernet Switches</v>
      </c>
      <c r="W445" s="9" t="str">
        <f>VLOOKUP(Table1[[#This Row],[Port B]],traffic_types[],2,FALSE)</f>
        <v>Modbus</v>
      </c>
    </row>
    <row r="446" spans="1:23" x14ac:dyDescent="0.6">
      <c r="A446" t="s">
        <v>53</v>
      </c>
      <c r="B446">
        <v>2783</v>
      </c>
      <c r="C446" t="s">
        <v>96</v>
      </c>
      <c r="D446">
        <v>80</v>
      </c>
      <c r="E446">
        <v>3</v>
      </c>
      <c r="F446" s="13">
        <v>186</v>
      </c>
      <c r="G446">
        <v>3</v>
      </c>
      <c r="H446">
        <v>186</v>
      </c>
      <c r="I446">
        <v>0</v>
      </c>
      <c r="J446">
        <v>0</v>
      </c>
      <c r="K446">
        <v>367.76250599999997</v>
      </c>
      <c r="L446">
        <v>9.0532650000000103</v>
      </c>
      <c r="M446">
        <v>164.36059255970099</v>
      </c>
      <c r="N446">
        <v>0</v>
      </c>
      <c r="O446" s="8" t="str">
        <f>formatIP(Table1[[#This Row],[Address A]])</f>
        <v>010.012.000.001</v>
      </c>
      <c r="P446" s="8" t="str">
        <f>formatIP(Table1[[#This Row],[Address B]])</f>
        <v>095.101.113.040</v>
      </c>
      <c r="Q446" s="8" t="str">
        <f>VLOOKUP(Table1[[#This Row],[Address A]],IP_Master[],4,FALSE)</f>
        <v>PPPCFC1</v>
      </c>
      <c r="R446" s="8" t="e">
        <f>VLOOKUP(Table1[[#This Row],[Address B]],IP_Master[],4,FALSE)</f>
        <v>#N/A</v>
      </c>
      <c r="S446" s="8" t="str">
        <f>VLOOKUP(Table1[[#This Row],[Address A]],IP_Master[],2,FALSE)</f>
        <v>Fume Control</v>
      </c>
      <c r="T446" s="8" t="e">
        <f>VLOOKUP(Table1[[#This Row],[Address B]],IP_Master[],2,FALSE)</f>
        <v>#N/A</v>
      </c>
      <c r="U446" s="9" t="str">
        <f>VLOOKUP(Table1[[#This Row],[Address A]],IP_Master[],3,FALSE)</f>
        <v>iFIX Nodes &amp; Ethernet Switches</v>
      </c>
      <c r="V446" s="9" t="e">
        <f>VLOOKUP(Table1[[#This Row],[Address B]],IP_Master[],3,FALSE)</f>
        <v>#N/A</v>
      </c>
      <c r="W446" s="9" t="str">
        <f>VLOOKUP(Table1[[#This Row],[Port B]],traffic_types[],2,FALSE)</f>
        <v>HTTP</v>
      </c>
    </row>
    <row r="447" spans="1:23" x14ac:dyDescent="0.6">
      <c r="A447" t="s">
        <v>53</v>
      </c>
      <c r="B447">
        <v>2789</v>
      </c>
      <c r="C447" t="s">
        <v>87</v>
      </c>
      <c r="D447">
        <v>502</v>
      </c>
      <c r="E447">
        <v>2</v>
      </c>
      <c r="F447" s="13">
        <v>124</v>
      </c>
      <c r="G447">
        <v>2</v>
      </c>
      <c r="H447">
        <v>124</v>
      </c>
      <c r="I447">
        <v>0</v>
      </c>
      <c r="J447">
        <v>0</v>
      </c>
      <c r="K447">
        <v>390.48209500000002</v>
      </c>
      <c r="L447">
        <v>2.9325239999999999</v>
      </c>
      <c r="M447">
        <v>338.27515137131002</v>
      </c>
      <c r="N447">
        <v>0</v>
      </c>
      <c r="O447" s="8" t="str">
        <f>formatIP(Table1[[#This Row],[Address A]])</f>
        <v>010.012.000.001</v>
      </c>
      <c r="P447" s="8" t="str">
        <f>formatIP(Table1[[#This Row],[Address B]])</f>
        <v>010.011.009.028</v>
      </c>
      <c r="Q447" s="8" t="str">
        <f>VLOOKUP(Table1[[#This Row],[Address A]],IP_Master[],4,FALSE)</f>
        <v>PPPCFC1</v>
      </c>
      <c r="R447" s="8" t="str">
        <f>VLOOKUP(Table1[[#This Row],[Address B]],IP_Master[],4,FALSE)</f>
        <v>EGX100</v>
      </c>
      <c r="S447" s="8" t="str">
        <f>VLOOKUP(Table1[[#This Row],[Address A]],IP_Master[],2,FALSE)</f>
        <v>Fume Control</v>
      </c>
      <c r="T447" s="8" t="str">
        <f>VLOOKUP(Table1[[#This Row],[Address B]],IP_Master[],2,FALSE)</f>
        <v>Miscellaneous</v>
      </c>
      <c r="U447" s="9" t="str">
        <f>VLOOKUP(Table1[[#This Row],[Address A]],IP_Master[],3,FALSE)</f>
        <v>iFIX Nodes &amp; Ethernet Switches</v>
      </c>
      <c r="V447" s="9" t="str">
        <f>VLOOKUP(Table1[[#This Row],[Address B]],IP_Master[],3,FALSE)</f>
        <v>iFIX Nodes &amp; Ethernet Switches</v>
      </c>
      <c r="W447" s="9" t="str">
        <f>VLOOKUP(Table1[[#This Row],[Port B]],traffic_types[],2,FALSE)</f>
        <v>Modbus</v>
      </c>
    </row>
    <row r="448" spans="1:23" x14ac:dyDescent="0.6">
      <c r="A448" t="s">
        <v>53</v>
      </c>
      <c r="B448">
        <v>2790</v>
      </c>
      <c r="C448" t="s">
        <v>87</v>
      </c>
      <c r="D448">
        <v>502</v>
      </c>
      <c r="E448">
        <v>2</v>
      </c>
      <c r="F448" s="13">
        <v>124</v>
      </c>
      <c r="G448">
        <v>2</v>
      </c>
      <c r="H448">
        <v>124</v>
      </c>
      <c r="I448">
        <v>0</v>
      </c>
      <c r="J448">
        <v>0</v>
      </c>
      <c r="K448">
        <v>392.95013699999998</v>
      </c>
      <c r="L448">
        <v>2.8787930000000301</v>
      </c>
      <c r="M448">
        <v>344.58886067876</v>
      </c>
      <c r="N448">
        <v>0</v>
      </c>
      <c r="O448" s="8" t="str">
        <f>formatIP(Table1[[#This Row],[Address A]])</f>
        <v>010.012.000.001</v>
      </c>
      <c r="P448" s="8" t="str">
        <f>formatIP(Table1[[#This Row],[Address B]])</f>
        <v>010.011.009.028</v>
      </c>
      <c r="Q448" s="8" t="str">
        <f>VLOOKUP(Table1[[#This Row],[Address A]],IP_Master[],4,FALSE)</f>
        <v>PPPCFC1</v>
      </c>
      <c r="R448" s="8" t="str">
        <f>VLOOKUP(Table1[[#This Row],[Address B]],IP_Master[],4,FALSE)</f>
        <v>EGX100</v>
      </c>
      <c r="S448" s="8" t="str">
        <f>VLOOKUP(Table1[[#This Row],[Address A]],IP_Master[],2,FALSE)</f>
        <v>Fume Control</v>
      </c>
      <c r="T448" s="8" t="str">
        <f>VLOOKUP(Table1[[#This Row],[Address B]],IP_Master[],2,FALSE)</f>
        <v>Miscellaneous</v>
      </c>
      <c r="U448" s="9" t="str">
        <f>VLOOKUP(Table1[[#This Row],[Address A]],IP_Master[],3,FALSE)</f>
        <v>iFIX Nodes &amp; Ethernet Switches</v>
      </c>
      <c r="V448" s="9" t="str">
        <f>VLOOKUP(Table1[[#This Row],[Address B]],IP_Master[],3,FALSE)</f>
        <v>iFIX Nodes &amp; Ethernet Switches</v>
      </c>
      <c r="W448" s="9" t="str">
        <f>VLOOKUP(Table1[[#This Row],[Port B]],traffic_types[],2,FALSE)</f>
        <v>Modbus</v>
      </c>
    </row>
    <row r="449" spans="1:23" x14ac:dyDescent="0.6">
      <c r="A449" t="s">
        <v>53</v>
      </c>
      <c r="B449">
        <v>2791</v>
      </c>
      <c r="C449" t="s">
        <v>87</v>
      </c>
      <c r="D449">
        <v>502</v>
      </c>
      <c r="E449">
        <v>1</v>
      </c>
      <c r="F449" s="13">
        <v>62</v>
      </c>
      <c r="G449">
        <v>1</v>
      </c>
      <c r="H449">
        <v>62</v>
      </c>
      <c r="I449">
        <v>0</v>
      </c>
      <c r="J449">
        <v>0</v>
      </c>
      <c r="K449">
        <v>393.49421799999999</v>
      </c>
      <c r="L449">
        <v>0</v>
      </c>
      <c r="M449">
        <v>0</v>
      </c>
      <c r="N449">
        <v>0</v>
      </c>
      <c r="O449" s="8" t="str">
        <f>formatIP(Table1[[#This Row],[Address A]])</f>
        <v>010.012.000.001</v>
      </c>
      <c r="P449" s="8" t="str">
        <f>formatIP(Table1[[#This Row],[Address B]])</f>
        <v>010.011.009.028</v>
      </c>
      <c r="Q449" s="8" t="str">
        <f>VLOOKUP(Table1[[#This Row],[Address A]],IP_Master[],4,FALSE)</f>
        <v>PPPCFC1</v>
      </c>
      <c r="R449" s="8" t="str">
        <f>VLOOKUP(Table1[[#This Row],[Address B]],IP_Master[],4,FALSE)</f>
        <v>EGX100</v>
      </c>
      <c r="S449" s="8" t="str">
        <f>VLOOKUP(Table1[[#This Row],[Address A]],IP_Master[],2,FALSE)</f>
        <v>Fume Control</v>
      </c>
      <c r="T449" s="8" t="str">
        <f>VLOOKUP(Table1[[#This Row],[Address B]],IP_Master[],2,FALSE)</f>
        <v>Miscellaneous</v>
      </c>
      <c r="U449" s="9" t="str">
        <f>VLOOKUP(Table1[[#This Row],[Address A]],IP_Master[],3,FALSE)</f>
        <v>iFIX Nodes &amp; Ethernet Switches</v>
      </c>
      <c r="V449" s="9" t="str">
        <f>VLOOKUP(Table1[[#This Row],[Address B]],IP_Master[],3,FALSE)</f>
        <v>iFIX Nodes &amp; Ethernet Switches</v>
      </c>
      <c r="W449" s="9" t="str">
        <f>VLOOKUP(Table1[[#This Row],[Port B]],traffic_types[],2,FALSE)</f>
        <v>Modbus</v>
      </c>
    </row>
    <row r="450" spans="1:23" x14ac:dyDescent="0.6">
      <c r="A450" t="s">
        <v>53</v>
      </c>
      <c r="B450">
        <v>2792</v>
      </c>
      <c r="C450" t="s">
        <v>87</v>
      </c>
      <c r="D450">
        <v>502</v>
      </c>
      <c r="E450">
        <v>2</v>
      </c>
      <c r="F450" s="13">
        <v>124</v>
      </c>
      <c r="G450">
        <v>2</v>
      </c>
      <c r="H450">
        <v>124</v>
      </c>
      <c r="I450">
        <v>0</v>
      </c>
      <c r="J450">
        <v>0</v>
      </c>
      <c r="K450">
        <v>393.92405400000001</v>
      </c>
      <c r="L450">
        <v>2.910866</v>
      </c>
      <c r="M450">
        <v>340.79205294919097</v>
      </c>
      <c r="N450">
        <v>0</v>
      </c>
      <c r="O450" s="8" t="str">
        <f>formatIP(Table1[[#This Row],[Address A]])</f>
        <v>010.012.000.001</v>
      </c>
      <c r="P450" s="8" t="str">
        <f>formatIP(Table1[[#This Row],[Address B]])</f>
        <v>010.011.009.028</v>
      </c>
      <c r="Q450" s="8" t="str">
        <f>VLOOKUP(Table1[[#This Row],[Address A]],IP_Master[],4,FALSE)</f>
        <v>PPPCFC1</v>
      </c>
      <c r="R450" s="8" t="str">
        <f>VLOOKUP(Table1[[#This Row],[Address B]],IP_Master[],4,FALSE)</f>
        <v>EGX100</v>
      </c>
      <c r="S450" s="8" t="str">
        <f>VLOOKUP(Table1[[#This Row],[Address A]],IP_Master[],2,FALSE)</f>
        <v>Fume Control</v>
      </c>
      <c r="T450" s="8" t="str">
        <f>VLOOKUP(Table1[[#This Row],[Address B]],IP_Master[],2,FALSE)</f>
        <v>Miscellaneous</v>
      </c>
      <c r="U450" s="9" t="str">
        <f>VLOOKUP(Table1[[#This Row],[Address A]],IP_Master[],3,FALSE)</f>
        <v>iFIX Nodes &amp; Ethernet Switches</v>
      </c>
      <c r="V450" s="9" t="str">
        <f>VLOOKUP(Table1[[#This Row],[Address B]],IP_Master[],3,FALSE)</f>
        <v>iFIX Nodes &amp; Ethernet Switches</v>
      </c>
      <c r="W450" s="9" t="str">
        <f>VLOOKUP(Table1[[#This Row],[Port B]],traffic_types[],2,FALSE)</f>
        <v>Modbus</v>
      </c>
    </row>
    <row r="451" spans="1:23" x14ac:dyDescent="0.6">
      <c r="A451" t="s">
        <v>53</v>
      </c>
      <c r="B451">
        <v>2794</v>
      </c>
      <c r="C451" t="s">
        <v>87</v>
      </c>
      <c r="D451">
        <v>502</v>
      </c>
      <c r="E451">
        <v>2</v>
      </c>
      <c r="F451" s="13">
        <v>124</v>
      </c>
      <c r="G451">
        <v>2</v>
      </c>
      <c r="H451">
        <v>124</v>
      </c>
      <c r="I451">
        <v>0</v>
      </c>
      <c r="J451">
        <v>0</v>
      </c>
      <c r="K451">
        <v>394.54954700000002</v>
      </c>
      <c r="L451">
        <v>2.9896289999999799</v>
      </c>
      <c r="M451">
        <v>331.81374678932002</v>
      </c>
      <c r="N451">
        <v>0</v>
      </c>
      <c r="O451" s="8" t="str">
        <f>formatIP(Table1[[#This Row],[Address A]])</f>
        <v>010.012.000.001</v>
      </c>
      <c r="P451" s="8" t="str">
        <f>formatIP(Table1[[#This Row],[Address B]])</f>
        <v>010.011.009.028</v>
      </c>
      <c r="Q451" s="8" t="str">
        <f>VLOOKUP(Table1[[#This Row],[Address A]],IP_Master[],4,FALSE)</f>
        <v>PPPCFC1</v>
      </c>
      <c r="R451" s="8" t="str">
        <f>VLOOKUP(Table1[[#This Row],[Address B]],IP_Master[],4,FALSE)</f>
        <v>EGX100</v>
      </c>
      <c r="S451" s="8" t="str">
        <f>VLOOKUP(Table1[[#This Row],[Address A]],IP_Master[],2,FALSE)</f>
        <v>Fume Control</v>
      </c>
      <c r="T451" s="8" t="str">
        <f>VLOOKUP(Table1[[#This Row],[Address B]],IP_Master[],2,FALSE)</f>
        <v>Miscellaneous</v>
      </c>
      <c r="U451" s="9" t="str">
        <f>VLOOKUP(Table1[[#This Row],[Address A]],IP_Master[],3,FALSE)</f>
        <v>iFIX Nodes &amp; Ethernet Switches</v>
      </c>
      <c r="V451" s="9" t="str">
        <f>VLOOKUP(Table1[[#This Row],[Address B]],IP_Master[],3,FALSE)</f>
        <v>iFIX Nodes &amp; Ethernet Switches</v>
      </c>
      <c r="W451" s="9" t="str">
        <f>VLOOKUP(Table1[[#This Row],[Port B]],traffic_types[],2,FALSE)</f>
        <v>Modbus</v>
      </c>
    </row>
    <row r="452" spans="1:23" x14ac:dyDescent="0.6">
      <c r="A452" t="s">
        <v>53</v>
      </c>
      <c r="B452">
        <v>2796</v>
      </c>
      <c r="C452" t="s">
        <v>87</v>
      </c>
      <c r="D452">
        <v>502</v>
      </c>
      <c r="E452">
        <v>1</v>
      </c>
      <c r="F452" s="13">
        <v>62</v>
      </c>
      <c r="G452">
        <v>1</v>
      </c>
      <c r="H452">
        <v>62</v>
      </c>
      <c r="I452">
        <v>0</v>
      </c>
      <c r="J452">
        <v>0</v>
      </c>
      <c r="K452">
        <v>395.96310799999998</v>
      </c>
      <c r="L452">
        <v>0</v>
      </c>
      <c r="M452">
        <v>0</v>
      </c>
      <c r="N452">
        <v>0</v>
      </c>
      <c r="O452" s="8" t="str">
        <f>formatIP(Table1[[#This Row],[Address A]])</f>
        <v>010.012.000.001</v>
      </c>
      <c r="P452" s="8" t="str">
        <f>formatIP(Table1[[#This Row],[Address B]])</f>
        <v>010.011.009.028</v>
      </c>
      <c r="Q452" s="8" t="str">
        <f>VLOOKUP(Table1[[#This Row],[Address A]],IP_Master[],4,FALSE)</f>
        <v>PPPCFC1</v>
      </c>
      <c r="R452" s="8" t="str">
        <f>VLOOKUP(Table1[[#This Row],[Address B]],IP_Master[],4,FALSE)</f>
        <v>EGX100</v>
      </c>
      <c r="S452" s="8" t="str">
        <f>VLOOKUP(Table1[[#This Row],[Address A]],IP_Master[],2,FALSE)</f>
        <v>Fume Control</v>
      </c>
      <c r="T452" s="8" t="str">
        <f>VLOOKUP(Table1[[#This Row],[Address B]],IP_Master[],2,FALSE)</f>
        <v>Miscellaneous</v>
      </c>
      <c r="U452" s="9" t="str">
        <f>VLOOKUP(Table1[[#This Row],[Address A]],IP_Master[],3,FALSE)</f>
        <v>iFIX Nodes &amp; Ethernet Switches</v>
      </c>
      <c r="V452" s="9" t="str">
        <f>VLOOKUP(Table1[[#This Row],[Address B]],IP_Master[],3,FALSE)</f>
        <v>iFIX Nodes &amp; Ethernet Switches</v>
      </c>
      <c r="W452" s="9" t="str">
        <f>VLOOKUP(Table1[[#This Row],[Port B]],traffic_types[],2,FALSE)</f>
        <v>Modbus</v>
      </c>
    </row>
    <row r="453" spans="1:23" x14ac:dyDescent="0.6">
      <c r="A453" t="s">
        <v>53</v>
      </c>
      <c r="B453">
        <v>2797</v>
      </c>
      <c r="C453" t="s">
        <v>87</v>
      </c>
      <c r="D453">
        <v>502</v>
      </c>
      <c r="E453">
        <v>1</v>
      </c>
      <c r="F453" s="13">
        <v>62</v>
      </c>
      <c r="G453">
        <v>1</v>
      </c>
      <c r="H453">
        <v>62</v>
      </c>
      <c r="I453">
        <v>0</v>
      </c>
      <c r="J453">
        <v>0</v>
      </c>
      <c r="K453">
        <v>396.93208800000002</v>
      </c>
      <c r="L453">
        <v>0</v>
      </c>
      <c r="M453">
        <v>0</v>
      </c>
      <c r="N453">
        <v>0</v>
      </c>
      <c r="O453" s="8" t="str">
        <f>formatIP(Table1[[#This Row],[Address A]])</f>
        <v>010.012.000.001</v>
      </c>
      <c r="P453" s="8" t="str">
        <f>formatIP(Table1[[#This Row],[Address B]])</f>
        <v>010.011.009.028</v>
      </c>
      <c r="Q453" s="8" t="str">
        <f>VLOOKUP(Table1[[#This Row],[Address A]],IP_Master[],4,FALSE)</f>
        <v>PPPCFC1</v>
      </c>
      <c r="R453" s="8" t="str">
        <f>VLOOKUP(Table1[[#This Row],[Address B]],IP_Master[],4,FALSE)</f>
        <v>EGX100</v>
      </c>
      <c r="S453" s="8" t="str">
        <f>VLOOKUP(Table1[[#This Row],[Address A]],IP_Master[],2,FALSE)</f>
        <v>Fume Control</v>
      </c>
      <c r="T453" s="8" t="str">
        <f>VLOOKUP(Table1[[#This Row],[Address B]],IP_Master[],2,FALSE)</f>
        <v>Miscellaneous</v>
      </c>
      <c r="U453" s="9" t="str">
        <f>VLOOKUP(Table1[[#This Row],[Address A]],IP_Master[],3,FALSE)</f>
        <v>iFIX Nodes &amp; Ethernet Switches</v>
      </c>
      <c r="V453" s="9" t="str">
        <f>VLOOKUP(Table1[[#This Row],[Address B]],IP_Master[],3,FALSE)</f>
        <v>iFIX Nodes &amp; Ethernet Switches</v>
      </c>
      <c r="W453" s="9" t="str">
        <f>VLOOKUP(Table1[[#This Row],[Port B]],traffic_types[],2,FALSE)</f>
        <v>Modbus</v>
      </c>
    </row>
    <row r="454" spans="1:23" x14ac:dyDescent="0.6">
      <c r="A454" t="s">
        <v>53</v>
      </c>
      <c r="B454">
        <v>2798</v>
      </c>
      <c r="C454" t="s">
        <v>87</v>
      </c>
      <c r="D454">
        <v>502</v>
      </c>
      <c r="E454">
        <v>1</v>
      </c>
      <c r="F454" s="13">
        <v>62</v>
      </c>
      <c r="G454">
        <v>1</v>
      </c>
      <c r="H454">
        <v>62</v>
      </c>
      <c r="I454">
        <v>0</v>
      </c>
      <c r="J454">
        <v>0</v>
      </c>
      <c r="K454">
        <v>396.99769700000002</v>
      </c>
      <c r="L454">
        <v>0</v>
      </c>
      <c r="M454">
        <v>0</v>
      </c>
      <c r="N454">
        <v>0</v>
      </c>
      <c r="O454" s="8" t="str">
        <f>formatIP(Table1[[#This Row],[Address A]])</f>
        <v>010.012.000.001</v>
      </c>
      <c r="P454" s="8" t="str">
        <f>formatIP(Table1[[#This Row],[Address B]])</f>
        <v>010.011.009.028</v>
      </c>
      <c r="Q454" s="8" t="str">
        <f>VLOOKUP(Table1[[#This Row],[Address A]],IP_Master[],4,FALSE)</f>
        <v>PPPCFC1</v>
      </c>
      <c r="R454" s="8" t="str">
        <f>VLOOKUP(Table1[[#This Row],[Address B]],IP_Master[],4,FALSE)</f>
        <v>EGX100</v>
      </c>
      <c r="S454" s="8" t="str">
        <f>VLOOKUP(Table1[[#This Row],[Address A]],IP_Master[],2,FALSE)</f>
        <v>Fume Control</v>
      </c>
      <c r="T454" s="8" t="str">
        <f>VLOOKUP(Table1[[#This Row],[Address B]],IP_Master[],2,FALSE)</f>
        <v>Miscellaneous</v>
      </c>
      <c r="U454" s="9" t="str">
        <f>VLOOKUP(Table1[[#This Row],[Address A]],IP_Master[],3,FALSE)</f>
        <v>iFIX Nodes &amp; Ethernet Switches</v>
      </c>
      <c r="V454" s="9" t="str">
        <f>VLOOKUP(Table1[[#This Row],[Address B]],IP_Master[],3,FALSE)</f>
        <v>iFIX Nodes &amp; Ethernet Switches</v>
      </c>
      <c r="W454" s="9" t="str">
        <f>VLOOKUP(Table1[[#This Row],[Port B]],traffic_types[],2,FALSE)</f>
        <v>Modbus</v>
      </c>
    </row>
    <row r="455" spans="1:23" x14ac:dyDescent="0.6">
      <c r="A455" t="s">
        <v>53</v>
      </c>
      <c r="B455">
        <v>2800</v>
      </c>
      <c r="C455" t="s">
        <v>87</v>
      </c>
      <c r="D455">
        <v>502</v>
      </c>
      <c r="E455">
        <v>1</v>
      </c>
      <c r="F455" s="13">
        <v>62</v>
      </c>
      <c r="G455">
        <v>1</v>
      </c>
      <c r="H455">
        <v>62</v>
      </c>
      <c r="I455">
        <v>0</v>
      </c>
      <c r="J455">
        <v>0</v>
      </c>
      <c r="K455">
        <v>397.55751500000002</v>
      </c>
      <c r="L455">
        <v>0</v>
      </c>
      <c r="M455">
        <v>0</v>
      </c>
      <c r="N455">
        <v>0</v>
      </c>
      <c r="O455" s="8" t="str">
        <f>formatIP(Table1[[#This Row],[Address A]])</f>
        <v>010.012.000.001</v>
      </c>
      <c r="P455" s="8" t="str">
        <f>formatIP(Table1[[#This Row],[Address B]])</f>
        <v>010.011.009.028</v>
      </c>
      <c r="Q455" s="8" t="str">
        <f>VLOOKUP(Table1[[#This Row],[Address A]],IP_Master[],4,FALSE)</f>
        <v>PPPCFC1</v>
      </c>
      <c r="R455" s="8" t="str">
        <f>VLOOKUP(Table1[[#This Row],[Address B]],IP_Master[],4,FALSE)</f>
        <v>EGX100</v>
      </c>
      <c r="S455" s="8" t="str">
        <f>VLOOKUP(Table1[[#This Row],[Address A]],IP_Master[],2,FALSE)</f>
        <v>Fume Control</v>
      </c>
      <c r="T455" s="8" t="str">
        <f>VLOOKUP(Table1[[#This Row],[Address B]],IP_Master[],2,FALSE)</f>
        <v>Miscellaneous</v>
      </c>
      <c r="U455" s="9" t="str">
        <f>VLOOKUP(Table1[[#This Row],[Address A]],IP_Master[],3,FALSE)</f>
        <v>iFIX Nodes &amp; Ethernet Switches</v>
      </c>
      <c r="V455" s="9" t="str">
        <f>VLOOKUP(Table1[[#This Row],[Address B]],IP_Master[],3,FALSE)</f>
        <v>iFIX Nodes &amp; Ethernet Switches</v>
      </c>
      <c r="W455" s="9" t="str">
        <f>VLOOKUP(Table1[[#This Row],[Port B]],traffic_types[],2,FALSE)</f>
        <v>Modbus</v>
      </c>
    </row>
    <row r="456" spans="1:23" x14ac:dyDescent="0.6">
      <c r="A456" t="s">
        <v>53</v>
      </c>
      <c r="B456">
        <v>2803</v>
      </c>
      <c r="C456" t="s">
        <v>87</v>
      </c>
      <c r="D456">
        <v>502</v>
      </c>
      <c r="E456">
        <v>1</v>
      </c>
      <c r="F456" s="13">
        <v>62</v>
      </c>
      <c r="G456">
        <v>1</v>
      </c>
      <c r="H456">
        <v>62</v>
      </c>
      <c r="I456">
        <v>0</v>
      </c>
      <c r="J456">
        <v>0</v>
      </c>
      <c r="K456">
        <v>400.01052499999997</v>
      </c>
      <c r="L456">
        <v>0</v>
      </c>
      <c r="M456">
        <v>0</v>
      </c>
      <c r="N456">
        <v>0</v>
      </c>
      <c r="O456" s="8" t="str">
        <f>formatIP(Table1[[#This Row],[Address A]])</f>
        <v>010.012.000.001</v>
      </c>
      <c r="P456" s="8" t="str">
        <f>formatIP(Table1[[#This Row],[Address B]])</f>
        <v>010.011.009.028</v>
      </c>
      <c r="Q456" s="8" t="str">
        <f>VLOOKUP(Table1[[#This Row],[Address A]],IP_Master[],4,FALSE)</f>
        <v>PPPCFC1</v>
      </c>
      <c r="R456" s="8" t="str">
        <f>VLOOKUP(Table1[[#This Row],[Address B]],IP_Master[],4,FALSE)</f>
        <v>EGX100</v>
      </c>
      <c r="S456" s="8" t="str">
        <f>VLOOKUP(Table1[[#This Row],[Address A]],IP_Master[],2,FALSE)</f>
        <v>Fume Control</v>
      </c>
      <c r="T456" s="8" t="str">
        <f>VLOOKUP(Table1[[#This Row],[Address B]],IP_Master[],2,FALSE)</f>
        <v>Miscellaneous</v>
      </c>
      <c r="U456" s="9" t="str">
        <f>VLOOKUP(Table1[[#This Row],[Address A]],IP_Master[],3,FALSE)</f>
        <v>iFIX Nodes &amp; Ethernet Switches</v>
      </c>
      <c r="V456" s="9" t="str">
        <f>VLOOKUP(Table1[[#This Row],[Address B]],IP_Master[],3,FALSE)</f>
        <v>iFIX Nodes &amp; Ethernet Switches</v>
      </c>
      <c r="W456" s="9" t="str">
        <f>VLOOKUP(Table1[[#This Row],[Port B]],traffic_types[],2,FALSE)</f>
        <v>Modbus</v>
      </c>
    </row>
    <row r="457" spans="1:23" x14ac:dyDescent="0.6">
      <c r="A457" t="s">
        <v>53</v>
      </c>
      <c r="B457">
        <v>2807</v>
      </c>
      <c r="C457" t="s">
        <v>87</v>
      </c>
      <c r="D457">
        <v>502</v>
      </c>
      <c r="E457">
        <v>2</v>
      </c>
      <c r="F457" s="13">
        <v>124</v>
      </c>
      <c r="G457">
        <v>2</v>
      </c>
      <c r="H457">
        <v>124</v>
      </c>
      <c r="I457">
        <v>0</v>
      </c>
      <c r="J457">
        <v>0</v>
      </c>
      <c r="K457">
        <v>423.50103799999999</v>
      </c>
      <c r="L457">
        <v>3.0105740000000201</v>
      </c>
      <c r="M457">
        <v>329.505270423512</v>
      </c>
      <c r="N457">
        <v>0</v>
      </c>
      <c r="O457" s="8" t="str">
        <f>formatIP(Table1[[#This Row],[Address A]])</f>
        <v>010.012.000.001</v>
      </c>
      <c r="P457" s="8" t="str">
        <f>formatIP(Table1[[#This Row],[Address B]])</f>
        <v>010.011.009.028</v>
      </c>
      <c r="Q457" s="8" t="str">
        <f>VLOOKUP(Table1[[#This Row],[Address A]],IP_Master[],4,FALSE)</f>
        <v>PPPCFC1</v>
      </c>
      <c r="R457" s="8" t="str">
        <f>VLOOKUP(Table1[[#This Row],[Address B]],IP_Master[],4,FALSE)</f>
        <v>EGX100</v>
      </c>
      <c r="S457" s="8" t="str">
        <f>VLOOKUP(Table1[[#This Row],[Address A]],IP_Master[],2,FALSE)</f>
        <v>Fume Control</v>
      </c>
      <c r="T457" s="8" t="str">
        <f>VLOOKUP(Table1[[#This Row],[Address B]],IP_Master[],2,FALSE)</f>
        <v>Miscellaneous</v>
      </c>
      <c r="U457" s="9" t="str">
        <f>VLOOKUP(Table1[[#This Row],[Address A]],IP_Master[],3,FALSE)</f>
        <v>iFIX Nodes &amp; Ethernet Switches</v>
      </c>
      <c r="V457" s="9" t="str">
        <f>VLOOKUP(Table1[[#This Row],[Address B]],IP_Master[],3,FALSE)</f>
        <v>iFIX Nodes &amp; Ethernet Switches</v>
      </c>
      <c r="W457" s="9" t="str">
        <f>VLOOKUP(Table1[[#This Row],[Port B]],traffic_types[],2,FALSE)</f>
        <v>Modbus</v>
      </c>
    </row>
    <row r="458" spans="1:23" x14ac:dyDescent="0.6">
      <c r="A458" t="s">
        <v>53</v>
      </c>
      <c r="B458">
        <v>2808</v>
      </c>
      <c r="C458" t="s">
        <v>87</v>
      </c>
      <c r="D458">
        <v>502</v>
      </c>
      <c r="E458">
        <v>2</v>
      </c>
      <c r="F458" s="13">
        <v>124</v>
      </c>
      <c r="G458">
        <v>2</v>
      </c>
      <c r="H458">
        <v>124</v>
      </c>
      <c r="I458">
        <v>0</v>
      </c>
      <c r="J458">
        <v>0</v>
      </c>
      <c r="K458">
        <v>425.97000800000001</v>
      </c>
      <c r="L458">
        <v>2.8552569999999902</v>
      </c>
      <c r="M458">
        <v>347.42932072314397</v>
      </c>
      <c r="N458">
        <v>0</v>
      </c>
      <c r="O458" s="8" t="str">
        <f>formatIP(Table1[[#This Row],[Address A]])</f>
        <v>010.012.000.001</v>
      </c>
      <c r="P458" s="8" t="str">
        <f>formatIP(Table1[[#This Row],[Address B]])</f>
        <v>010.011.009.028</v>
      </c>
      <c r="Q458" s="8" t="str">
        <f>VLOOKUP(Table1[[#This Row],[Address A]],IP_Master[],4,FALSE)</f>
        <v>PPPCFC1</v>
      </c>
      <c r="R458" s="8" t="str">
        <f>VLOOKUP(Table1[[#This Row],[Address B]],IP_Master[],4,FALSE)</f>
        <v>EGX100</v>
      </c>
      <c r="S458" s="8" t="str">
        <f>VLOOKUP(Table1[[#This Row],[Address A]],IP_Master[],2,FALSE)</f>
        <v>Fume Control</v>
      </c>
      <c r="T458" s="8" t="str">
        <f>VLOOKUP(Table1[[#This Row],[Address B]],IP_Master[],2,FALSE)</f>
        <v>Miscellaneous</v>
      </c>
      <c r="U458" s="9" t="str">
        <f>VLOOKUP(Table1[[#This Row],[Address A]],IP_Master[],3,FALSE)</f>
        <v>iFIX Nodes &amp; Ethernet Switches</v>
      </c>
      <c r="V458" s="9" t="str">
        <f>VLOOKUP(Table1[[#This Row],[Address B]],IP_Master[],3,FALSE)</f>
        <v>iFIX Nodes &amp; Ethernet Switches</v>
      </c>
      <c r="W458" s="9" t="str">
        <f>VLOOKUP(Table1[[#This Row],[Port B]],traffic_types[],2,FALSE)</f>
        <v>Modbus</v>
      </c>
    </row>
    <row r="459" spans="1:23" x14ac:dyDescent="0.6">
      <c r="A459" t="s">
        <v>53</v>
      </c>
      <c r="B459">
        <v>2809</v>
      </c>
      <c r="C459" t="s">
        <v>87</v>
      </c>
      <c r="D459">
        <v>502</v>
      </c>
      <c r="E459">
        <v>1</v>
      </c>
      <c r="F459" s="13">
        <v>62</v>
      </c>
      <c r="G459">
        <v>1</v>
      </c>
      <c r="H459">
        <v>62</v>
      </c>
      <c r="I459">
        <v>0</v>
      </c>
      <c r="J459">
        <v>0</v>
      </c>
      <c r="K459">
        <v>426.51395300000001</v>
      </c>
      <c r="L459">
        <v>0</v>
      </c>
      <c r="M459">
        <v>0</v>
      </c>
      <c r="N459">
        <v>0</v>
      </c>
      <c r="O459" s="8" t="str">
        <f>formatIP(Table1[[#This Row],[Address A]])</f>
        <v>010.012.000.001</v>
      </c>
      <c r="P459" s="8" t="str">
        <f>formatIP(Table1[[#This Row],[Address B]])</f>
        <v>010.011.009.028</v>
      </c>
      <c r="Q459" s="8" t="str">
        <f>VLOOKUP(Table1[[#This Row],[Address A]],IP_Master[],4,FALSE)</f>
        <v>PPPCFC1</v>
      </c>
      <c r="R459" s="8" t="str">
        <f>VLOOKUP(Table1[[#This Row],[Address B]],IP_Master[],4,FALSE)</f>
        <v>EGX100</v>
      </c>
      <c r="S459" s="8" t="str">
        <f>VLOOKUP(Table1[[#This Row],[Address A]],IP_Master[],2,FALSE)</f>
        <v>Fume Control</v>
      </c>
      <c r="T459" s="8" t="str">
        <f>VLOOKUP(Table1[[#This Row],[Address B]],IP_Master[],2,FALSE)</f>
        <v>Miscellaneous</v>
      </c>
      <c r="U459" s="9" t="str">
        <f>VLOOKUP(Table1[[#This Row],[Address A]],IP_Master[],3,FALSE)</f>
        <v>iFIX Nodes &amp; Ethernet Switches</v>
      </c>
      <c r="V459" s="9" t="str">
        <f>VLOOKUP(Table1[[#This Row],[Address B]],IP_Master[],3,FALSE)</f>
        <v>iFIX Nodes &amp; Ethernet Switches</v>
      </c>
      <c r="W459" s="9" t="str">
        <f>VLOOKUP(Table1[[#This Row],[Port B]],traffic_types[],2,FALSE)</f>
        <v>Modbus</v>
      </c>
    </row>
    <row r="460" spans="1:23" x14ac:dyDescent="0.6">
      <c r="A460" t="s">
        <v>53</v>
      </c>
      <c r="B460">
        <v>2810</v>
      </c>
      <c r="C460" t="s">
        <v>87</v>
      </c>
      <c r="D460">
        <v>502</v>
      </c>
      <c r="E460">
        <v>2</v>
      </c>
      <c r="F460" s="13">
        <v>124</v>
      </c>
      <c r="G460">
        <v>2</v>
      </c>
      <c r="H460">
        <v>124</v>
      </c>
      <c r="I460">
        <v>0</v>
      </c>
      <c r="J460">
        <v>0</v>
      </c>
      <c r="K460">
        <v>426.94482699999998</v>
      </c>
      <c r="L460">
        <v>2.88641700000005</v>
      </c>
      <c r="M460">
        <v>343.67868537358999</v>
      </c>
      <c r="N460">
        <v>0</v>
      </c>
      <c r="O460" s="8" t="str">
        <f>formatIP(Table1[[#This Row],[Address A]])</f>
        <v>010.012.000.001</v>
      </c>
      <c r="P460" s="8" t="str">
        <f>formatIP(Table1[[#This Row],[Address B]])</f>
        <v>010.011.009.028</v>
      </c>
      <c r="Q460" s="8" t="str">
        <f>VLOOKUP(Table1[[#This Row],[Address A]],IP_Master[],4,FALSE)</f>
        <v>PPPCFC1</v>
      </c>
      <c r="R460" s="8" t="str">
        <f>VLOOKUP(Table1[[#This Row],[Address B]],IP_Master[],4,FALSE)</f>
        <v>EGX100</v>
      </c>
      <c r="S460" s="8" t="str">
        <f>VLOOKUP(Table1[[#This Row],[Address A]],IP_Master[],2,FALSE)</f>
        <v>Fume Control</v>
      </c>
      <c r="T460" s="8" t="str">
        <f>VLOOKUP(Table1[[#This Row],[Address B]],IP_Master[],2,FALSE)</f>
        <v>Miscellaneous</v>
      </c>
      <c r="U460" s="9" t="str">
        <f>VLOOKUP(Table1[[#This Row],[Address A]],IP_Master[],3,FALSE)</f>
        <v>iFIX Nodes &amp; Ethernet Switches</v>
      </c>
      <c r="V460" s="9" t="str">
        <f>VLOOKUP(Table1[[#This Row],[Address B]],IP_Master[],3,FALSE)</f>
        <v>iFIX Nodes &amp; Ethernet Switches</v>
      </c>
      <c r="W460" s="9" t="str">
        <f>VLOOKUP(Table1[[#This Row],[Port B]],traffic_types[],2,FALSE)</f>
        <v>Modbus</v>
      </c>
    </row>
    <row r="461" spans="1:23" x14ac:dyDescent="0.6">
      <c r="A461" t="s">
        <v>53</v>
      </c>
      <c r="B461">
        <v>2812</v>
      </c>
      <c r="C461" t="s">
        <v>87</v>
      </c>
      <c r="D461">
        <v>502</v>
      </c>
      <c r="E461">
        <v>2</v>
      </c>
      <c r="F461" s="13">
        <v>124</v>
      </c>
      <c r="G461">
        <v>2</v>
      </c>
      <c r="H461">
        <v>124</v>
      </c>
      <c r="I461">
        <v>0</v>
      </c>
      <c r="J461">
        <v>0</v>
      </c>
      <c r="K461">
        <v>427.568601</v>
      </c>
      <c r="L461">
        <v>2.9669460000000099</v>
      </c>
      <c r="M461">
        <v>334.35054092659499</v>
      </c>
      <c r="N461">
        <v>0</v>
      </c>
      <c r="O461" s="8" t="str">
        <f>formatIP(Table1[[#This Row],[Address A]])</f>
        <v>010.012.000.001</v>
      </c>
      <c r="P461" s="8" t="str">
        <f>formatIP(Table1[[#This Row],[Address B]])</f>
        <v>010.011.009.028</v>
      </c>
      <c r="Q461" s="8" t="str">
        <f>VLOOKUP(Table1[[#This Row],[Address A]],IP_Master[],4,FALSE)</f>
        <v>PPPCFC1</v>
      </c>
      <c r="R461" s="8" t="str">
        <f>VLOOKUP(Table1[[#This Row],[Address B]],IP_Master[],4,FALSE)</f>
        <v>EGX100</v>
      </c>
      <c r="S461" s="8" t="str">
        <f>VLOOKUP(Table1[[#This Row],[Address A]],IP_Master[],2,FALSE)</f>
        <v>Fume Control</v>
      </c>
      <c r="T461" s="8" t="str">
        <f>VLOOKUP(Table1[[#This Row],[Address B]],IP_Master[],2,FALSE)</f>
        <v>Miscellaneous</v>
      </c>
      <c r="U461" s="9" t="str">
        <f>VLOOKUP(Table1[[#This Row],[Address A]],IP_Master[],3,FALSE)</f>
        <v>iFIX Nodes &amp; Ethernet Switches</v>
      </c>
      <c r="V461" s="9" t="str">
        <f>VLOOKUP(Table1[[#This Row],[Address B]],IP_Master[],3,FALSE)</f>
        <v>iFIX Nodes &amp; Ethernet Switches</v>
      </c>
      <c r="W461" s="9" t="str">
        <f>VLOOKUP(Table1[[#This Row],[Port B]],traffic_types[],2,FALSE)</f>
        <v>Modbus</v>
      </c>
    </row>
    <row r="462" spans="1:23" x14ac:dyDescent="0.6">
      <c r="A462" t="s">
        <v>53</v>
      </c>
      <c r="B462">
        <v>2814</v>
      </c>
      <c r="C462" t="s">
        <v>87</v>
      </c>
      <c r="D462">
        <v>502</v>
      </c>
      <c r="E462">
        <v>1</v>
      </c>
      <c r="F462" s="13">
        <v>62</v>
      </c>
      <c r="G462">
        <v>1</v>
      </c>
      <c r="H462">
        <v>62</v>
      </c>
      <c r="I462">
        <v>0</v>
      </c>
      <c r="J462">
        <v>0</v>
      </c>
      <c r="K462">
        <v>428.98298899999998</v>
      </c>
      <c r="L462">
        <v>0</v>
      </c>
      <c r="M462">
        <v>0</v>
      </c>
      <c r="N462">
        <v>0</v>
      </c>
      <c r="O462" s="8" t="str">
        <f>formatIP(Table1[[#This Row],[Address A]])</f>
        <v>010.012.000.001</v>
      </c>
      <c r="P462" s="8" t="str">
        <f>formatIP(Table1[[#This Row],[Address B]])</f>
        <v>010.011.009.028</v>
      </c>
      <c r="Q462" s="8" t="str">
        <f>VLOOKUP(Table1[[#This Row],[Address A]],IP_Master[],4,FALSE)</f>
        <v>PPPCFC1</v>
      </c>
      <c r="R462" s="8" t="str">
        <f>VLOOKUP(Table1[[#This Row],[Address B]],IP_Master[],4,FALSE)</f>
        <v>EGX100</v>
      </c>
      <c r="S462" s="8" t="str">
        <f>VLOOKUP(Table1[[#This Row],[Address A]],IP_Master[],2,FALSE)</f>
        <v>Fume Control</v>
      </c>
      <c r="T462" s="8" t="str">
        <f>VLOOKUP(Table1[[#This Row],[Address B]],IP_Master[],2,FALSE)</f>
        <v>Miscellaneous</v>
      </c>
      <c r="U462" s="9" t="str">
        <f>VLOOKUP(Table1[[#This Row],[Address A]],IP_Master[],3,FALSE)</f>
        <v>iFIX Nodes &amp; Ethernet Switches</v>
      </c>
      <c r="V462" s="9" t="str">
        <f>VLOOKUP(Table1[[#This Row],[Address B]],IP_Master[],3,FALSE)</f>
        <v>iFIX Nodes &amp; Ethernet Switches</v>
      </c>
      <c r="W462" s="9" t="str">
        <f>VLOOKUP(Table1[[#This Row],[Port B]],traffic_types[],2,FALSE)</f>
        <v>Modbus</v>
      </c>
    </row>
    <row r="463" spans="1:23" x14ac:dyDescent="0.6">
      <c r="A463" t="s">
        <v>53</v>
      </c>
      <c r="B463">
        <v>2816</v>
      </c>
      <c r="C463" t="s">
        <v>87</v>
      </c>
      <c r="D463">
        <v>502</v>
      </c>
      <c r="E463">
        <v>1</v>
      </c>
      <c r="F463" s="13">
        <v>62</v>
      </c>
      <c r="G463">
        <v>1</v>
      </c>
      <c r="H463">
        <v>62</v>
      </c>
      <c r="I463">
        <v>0</v>
      </c>
      <c r="J463">
        <v>0</v>
      </c>
      <c r="K463">
        <v>429.95180199999999</v>
      </c>
      <c r="L463">
        <v>0</v>
      </c>
      <c r="M463">
        <v>0</v>
      </c>
      <c r="N463">
        <v>0</v>
      </c>
      <c r="O463" s="8" t="str">
        <f>formatIP(Table1[[#This Row],[Address A]])</f>
        <v>010.012.000.001</v>
      </c>
      <c r="P463" s="8" t="str">
        <f>formatIP(Table1[[#This Row],[Address B]])</f>
        <v>010.011.009.028</v>
      </c>
      <c r="Q463" s="8" t="str">
        <f>VLOOKUP(Table1[[#This Row],[Address A]],IP_Master[],4,FALSE)</f>
        <v>PPPCFC1</v>
      </c>
      <c r="R463" s="8" t="str">
        <f>VLOOKUP(Table1[[#This Row],[Address B]],IP_Master[],4,FALSE)</f>
        <v>EGX100</v>
      </c>
      <c r="S463" s="8" t="str">
        <f>VLOOKUP(Table1[[#This Row],[Address A]],IP_Master[],2,FALSE)</f>
        <v>Fume Control</v>
      </c>
      <c r="T463" s="8" t="str">
        <f>VLOOKUP(Table1[[#This Row],[Address B]],IP_Master[],2,FALSE)</f>
        <v>Miscellaneous</v>
      </c>
      <c r="U463" s="9" t="str">
        <f>VLOOKUP(Table1[[#This Row],[Address A]],IP_Master[],3,FALSE)</f>
        <v>iFIX Nodes &amp; Ethernet Switches</v>
      </c>
      <c r="V463" s="9" t="str">
        <f>VLOOKUP(Table1[[#This Row],[Address B]],IP_Master[],3,FALSE)</f>
        <v>iFIX Nodes &amp; Ethernet Switches</v>
      </c>
      <c r="W463" s="9" t="str">
        <f>VLOOKUP(Table1[[#This Row],[Port B]],traffic_types[],2,FALSE)</f>
        <v>Modbus</v>
      </c>
    </row>
    <row r="464" spans="1:23" x14ac:dyDescent="0.6">
      <c r="A464" t="s">
        <v>53</v>
      </c>
      <c r="B464">
        <v>2817</v>
      </c>
      <c r="C464" t="s">
        <v>87</v>
      </c>
      <c r="D464">
        <v>502</v>
      </c>
      <c r="E464">
        <v>1</v>
      </c>
      <c r="F464" s="13">
        <v>62</v>
      </c>
      <c r="G464">
        <v>1</v>
      </c>
      <c r="H464">
        <v>62</v>
      </c>
      <c r="I464">
        <v>0</v>
      </c>
      <c r="J464">
        <v>0</v>
      </c>
      <c r="K464">
        <v>430.01783599999999</v>
      </c>
      <c r="L464">
        <v>0</v>
      </c>
      <c r="M464">
        <v>0</v>
      </c>
      <c r="N464">
        <v>0</v>
      </c>
      <c r="O464" s="8" t="str">
        <f>formatIP(Table1[[#This Row],[Address A]])</f>
        <v>010.012.000.001</v>
      </c>
      <c r="P464" s="8" t="str">
        <f>formatIP(Table1[[#This Row],[Address B]])</f>
        <v>010.011.009.028</v>
      </c>
      <c r="Q464" s="8" t="str">
        <f>VLOOKUP(Table1[[#This Row],[Address A]],IP_Master[],4,FALSE)</f>
        <v>PPPCFC1</v>
      </c>
      <c r="R464" s="8" t="str">
        <f>VLOOKUP(Table1[[#This Row],[Address B]],IP_Master[],4,FALSE)</f>
        <v>EGX100</v>
      </c>
      <c r="S464" s="8" t="str">
        <f>VLOOKUP(Table1[[#This Row],[Address A]],IP_Master[],2,FALSE)</f>
        <v>Fume Control</v>
      </c>
      <c r="T464" s="8" t="str">
        <f>VLOOKUP(Table1[[#This Row],[Address B]],IP_Master[],2,FALSE)</f>
        <v>Miscellaneous</v>
      </c>
      <c r="U464" s="9" t="str">
        <f>VLOOKUP(Table1[[#This Row],[Address A]],IP_Master[],3,FALSE)</f>
        <v>iFIX Nodes &amp; Ethernet Switches</v>
      </c>
      <c r="V464" s="9" t="str">
        <f>VLOOKUP(Table1[[#This Row],[Address B]],IP_Master[],3,FALSE)</f>
        <v>iFIX Nodes &amp; Ethernet Switches</v>
      </c>
      <c r="W464" s="9" t="str">
        <f>VLOOKUP(Table1[[#This Row],[Port B]],traffic_types[],2,FALSE)</f>
        <v>Modbus</v>
      </c>
    </row>
    <row r="465" spans="1:23" x14ac:dyDescent="0.6">
      <c r="A465" t="s">
        <v>53</v>
      </c>
      <c r="B465">
        <v>2819</v>
      </c>
      <c r="C465" t="s">
        <v>87</v>
      </c>
      <c r="D465">
        <v>502</v>
      </c>
      <c r="E465">
        <v>1</v>
      </c>
      <c r="F465" s="13">
        <v>62</v>
      </c>
      <c r="G465">
        <v>1</v>
      </c>
      <c r="H465">
        <v>62</v>
      </c>
      <c r="I465">
        <v>0</v>
      </c>
      <c r="J465">
        <v>0</v>
      </c>
      <c r="K465">
        <v>430.577271</v>
      </c>
      <c r="L465">
        <v>0</v>
      </c>
      <c r="M465">
        <v>0</v>
      </c>
      <c r="N465">
        <v>0</v>
      </c>
      <c r="O465" s="8" t="str">
        <f>formatIP(Table1[[#This Row],[Address A]])</f>
        <v>010.012.000.001</v>
      </c>
      <c r="P465" s="8" t="str">
        <f>formatIP(Table1[[#This Row],[Address B]])</f>
        <v>010.011.009.028</v>
      </c>
      <c r="Q465" s="8" t="str">
        <f>VLOOKUP(Table1[[#This Row],[Address A]],IP_Master[],4,FALSE)</f>
        <v>PPPCFC1</v>
      </c>
      <c r="R465" s="8" t="str">
        <f>VLOOKUP(Table1[[#This Row],[Address B]],IP_Master[],4,FALSE)</f>
        <v>EGX100</v>
      </c>
      <c r="S465" s="8" t="str">
        <f>VLOOKUP(Table1[[#This Row],[Address A]],IP_Master[],2,FALSE)</f>
        <v>Fume Control</v>
      </c>
      <c r="T465" s="8" t="str">
        <f>VLOOKUP(Table1[[#This Row],[Address B]],IP_Master[],2,FALSE)</f>
        <v>Miscellaneous</v>
      </c>
      <c r="U465" s="9" t="str">
        <f>VLOOKUP(Table1[[#This Row],[Address A]],IP_Master[],3,FALSE)</f>
        <v>iFIX Nodes &amp; Ethernet Switches</v>
      </c>
      <c r="V465" s="9" t="str">
        <f>VLOOKUP(Table1[[#This Row],[Address B]],IP_Master[],3,FALSE)</f>
        <v>iFIX Nodes &amp; Ethernet Switches</v>
      </c>
      <c r="W465" s="9" t="str">
        <f>VLOOKUP(Table1[[#This Row],[Port B]],traffic_types[],2,FALSE)</f>
        <v>Modbus</v>
      </c>
    </row>
    <row r="466" spans="1:23" x14ac:dyDescent="0.6">
      <c r="A466" t="s">
        <v>53</v>
      </c>
      <c r="B466">
        <v>2821</v>
      </c>
      <c r="C466" t="s">
        <v>87</v>
      </c>
      <c r="D466">
        <v>502</v>
      </c>
      <c r="E466">
        <v>1</v>
      </c>
      <c r="F466" s="13">
        <v>62</v>
      </c>
      <c r="G466">
        <v>1</v>
      </c>
      <c r="H466">
        <v>62</v>
      </c>
      <c r="I466">
        <v>0</v>
      </c>
      <c r="J466">
        <v>0</v>
      </c>
      <c r="K466">
        <v>433.03052200000002</v>
      </c>
      <c r="L466">
        <v>0</v>
      </c>
      <c r="M466">
        <v>0</v>
      </c>
      <c r="N466">
        <v>0</v>
      </c>
      <c r="O466" s="8" t="str">
        <f>formatIP(Table1[[#This Row],[Address A]])</f>
        <v>010.012.000.001</v>
      </c>
      <c r="P466" s="8" t="str">
        <f>formatIP(Table1[[#This Row],[Address B]])</f>
        <v>010.011.009.028</v>
      </c>
      <c r="Q466" s="8" t="str">
        <f>VLOOKUP(Table1[[#This Row],[Address A]],IP_Master[],4,FALSE)</f>
        <v>PPPCFC1</v>
      </c>
      <c r="R466" s="8" t="str">
        <f>VLOOKUP(Table1[[#This Row],[Address B]],IP_Master[],4,FALSE)</f>
        <v>EGX100</v>
      </c>
      <c r="S466" s="8" t="str">
        <f>VLOOKUP(Table1[[#This Row],[Address A]],IP_Master[],2,FALSE)</f>
        <v>Fume Control</v>
      </c>
      <c r="T466" s="8" t="str">
        <f>VLOOKUP(Table1[[#This Row],[Address B]],IP_Master[],2,FALSE)</f>
        <v>Miscellaneous</v>
      </c>
      <c r="U466" s="9" t="str">
        <f>VLOOKUP(Table1[[#This Row],[Address A]],IP_Master[],3,FALSE)</f>
        <v>iFIX Nodes &amp; Ethernet Switches</v>
      </c>
      <c r="V466" s="9" t="str">
        <f>VLOOKUP(Table1[[#This Row],[Address B]],IP_Master[],3,FALSE)</f>
        <v>iFIX Nodes &amp; Ethernet Switches</v>
      </c>
      <c r="W466" s="9" t="str">
        <f>VLOOKUP(Table1[[#This Row],[Port B]],traffic_types[],2,FALSE)</f>
        <v>Modbus</v>
      </c>
    </row>
    <row r="467" spans="1:23" x14ac:dyDescent="0.6">
      <c r="A467" t="s">
        <v>53</v>
      </c>
      <c r="B467">
        <v>2824</v>
      </c>
      <c r="C467" t="s">
        <v>87</v>
      </c>
      <c r="D467">
        <v>502</v>
      </c>
      <c r="E467">
        <v>2</v>
      </c>
      <c r="F467" s="13">
        <v>124</v>
      </c>
      <c r="G467">
        <v>2</v>
      </c>
      <c r="H467">
        <v>124</v>
      </c>
      <c r="I467">
        <v>0</v>
      </c>
      <c r="J467">
        <v>0</v>
      </c>
      <c r="K467">
        <v>456.5249</v>
      </c>
      <c r="L467">
        <v>2.9830700000000001</v>
      </c>
      <c r="M467">
        <v>332.543319466188</v>
      </c>
      <c r="N467">
        <v>0</v>
      </c>
      <c r="O467" s="8" t="str">
        <f>formatIP(Table1[[#This Row],[Address A]])</f>
        <v>010.012.000.001</v>
      </c>
      <c r="P467" s="8" t="str">
        <f>formatIP(Table1[[#This Row],[Address B]])</f>
        <v>010.011.009.028</v>
      </c>
      <c r="Q467" s="8" t="str">
        <f>VLOOKUP(Table1[[#This Row],[Address A]],IP_Master[],4,FALSE)</f>
        <v>PPPCFC1</v>
      </c>
      <c r="R467" s="8" t="str">
        <f>VLOOKUP(Table1[[#This Row],[Address B]],IP_Master[],4,FALSE)</f>
        <v>EGX100</v>
      </c>
      <c r="S467" s="8" t="str">
        <f>VLOOKUP(Table1[[#This Row],[Address A]],IP_Master[],2,FALSE)</f>
        <v>Fume Control</v>
      </c>
      <c r="T467" s="8" t="str">
        <f>VLOOKUP(Table1[[#This Row],[Address B]],IP_Master[],2,FALSE)</f>
        <v>Miscellaneous</v>
      </c>
      <c r="U467" s="9" t="str">
        <f>VLOOKUP(Table1[[#This Row],[Address A]],IP_Master[],3,FALSE)</f>
        <v>iFIX Nodes &amp; Ethernet Switches</v>
      </c>
      <c r="V467" s="9" t="str">
        <f>VLOOKUP(Table1[[#This Row],[Address B]],IP_Master[],3,FALSE)</f>
        <v>iFIX Nodes &amp; Ethernet Switches</v>
      </c>
      <c r="W467" s="9" t="str">
        <f>VLOOKUP(Table1[[#This Row],[Port B]],traffic_types[],2,FALSE)</f>
        <v>Modbus</v>
      </c>
    </row>
    <row r="468" spans="1:23" x14ac:dyDescent="0.6">
      <c r="A468" t="s">
        <v>53</v>
      </c>
      <c r="B468">
        <v>2826</v>
      </c>
      <c r="C468" t="s">
        <v>87</v>
      </c>
      <c r="D468">
        <v>502</v>
      </c>
      <c r="E468">
        <v>2</v>
      </c>
      <c r="F468" s="13">
        <v>124</v>
      </c>
      <c r="G468">
        <v>2</v>
      </c>
      <c r="H468">
        <v>124</v>
      </c>
      <c r="I468">
        <v>0</v>
      </c>
      <c r="J468">
        <v>0</v>
      </c>
      <c r="K468">
        <v>458.99471299999999</v>
      </c>
      <c r="L468">
        <v>2.9276219999999902</v>
      </c>
      <c r="M468">
        <v>338.84155809732403</v>
      </c>
      <c r="N468">
        <v>0</v>
      </c>
      <c r="O468" s="8" t="str">
        <f>formatIP(Table1[[#This Row],[Address A]])</f>
        <v>010.012.000.001</v>
      </c>
      <c r="P468" s="8" t="str">
        <f>formatIP(Table1[[#This Row],[Address B]])</f>
        <v>010.011.009.028</v>
      </c>
      <c r="Q468" s="8" t="str">
        <f>VLOOKUP(Table1[[#This Row],[Address A]],IP_Master[],4,FALSE)</f>
        <v>PPPCFC1</v>
      </c>
      <c r="R468" s="8" t="str">
        <f>VLOOKUP(Table1[[#This Row],[Address B]],IP_Master[],4,FALSE)</f>
        <v>EGX100</v>
      </c>
      <c r="S468" s="8" t="str">
        <f>VLOOKUP(Table1[[#This Row],[Address A]],IP_Master[],2,FALSE)</f>
        <v>Fume Control</v>
      </c>
      <c r="T468" s="8" t="str">
        <f>VLOOKUP(Table1[[#This Row],[Address B]],IP_Master[],2,FALSE)</f>
        <v>Miscellaneous</v>
      </c>
      <c r="U468" s="9" t="str">
        <f>VLOOKUP(Table1[[#This Row],[Address A]],IP_Master[],3,FALSE)</f>
        <v>iFIX Nodes &amp; Ethernet Switches</v>
      </c>
      <c r="V468" s="9" t="str">
        <f>VLOOKUP(Table1[[#This Row],[Address B]],IP_Master[],3,FALSE)</f>
        <v>iFIX Nodes &amp; Ethernet Switches</v>
      </c>
      <c r="W468" s="9" t="str">
        <f>VLOOKUP(Table1[[#This Row],[Port B]],traffic_types[],2,FALSE)</f>
        <v>Modbus</v>
      </c>
    </row>
    <row r="469" spans="1:23" x14ac:dyDescent="0.6">
      <c r="A469" t="s">
        <v>53</v>
      </c>
      <c r="B469">
        <v>2827</v>
      </c>
      <c r="C469" t="s">
        <v>87</v>
      </c>
      <c r="D469">
        <v>502</v>
      </c>
      <c r="E469">
        <v>1</v>
      </c>
      <c r="F469" s="13">
        <v>62</v>
      </c>
      <c r="G469">
        <v>1</v>
      </c>
      <c r="H469">
        <v>62</v>
      </c>
      <c r="I469">
        <v>0</v>
      </c>
      <c r="J469">
        <v>0</v>
      </c>
      <c r="K469">
        <v>459.53382499999998</v>
      </c>
      <c r="L469">
        <v>0</v>
      </c>
      <c r="M469">
        <v>0</v>
      </c>
      <c r="N469">
        <v>0</v>
      </c>
      <c r="O469" s="8" t="str">
        <f>formatIP(Table1[[#This Row],[Address A]])</f>
        <v>010.012.000.001</v>
      </c>
      <c r="P469" s="8" t="str">
        <f>formatIP(Table1[[#This Row],[Address B]])</f>
        <v>010.011.009.028</v>
      </c>
      <c r="Q469" s="8" t="str">
        <f>VLOOKUP(Table1[[#This Row],[Address A]],IP_Master[],4,FALSE)</f>
        <v>PPPCFC1</v>
      </c>
      <c r="R469" s="8" t="str">
        <f>VLOOKUP(Table1[[#This Row],[Address B]],IP_Master[],4,FALSE)</f>
        <v>EGX100</v>
      </c>
      <c r="S469" s="8" t="str">
        <f>VLOOKUP(Table1[[#This Row],[Address A]],IP_Master[],2,FALSE)</f>
        <v>Fume Control</v>
      </c>
      <c r="T469" s="8" t="str">
        <f>VLOOKUP(Table1[[#This Row],[Address B]],IP_Master[],2,FALSE)</f>
        <v>Miscellaneous</v>
      </c>
      <c r="U469" s="9" t="str">
        <f>VLOOKUP(Table1[[#This Row],[Address A]],IP_Master[],3,FALSE)</f>
        <v>iFIX Nodes &amp; Ethernet Switches</v>
      </c>
      <c r="V469" s="9" t="str">
        <f>VLOOKUP(Table1[[#This Row],[Address B]],IP_Master[],3,FALSE)</f>
        <v>iFIX Nodes &amp; Ethernet Switches</v>
      </c>
      <c r="W469" s="9" t="str">
        <f>VLOOKUP(Table1[[#This Row],[Port B]],traffic_types[],2,FALSE)</f>
        <v>Modbus</v>
      </c>
    </row>
    <row r="470" spans="1:23" x14ac:dyDescent="0.6">
      <c r="A470" t="s">
        <v>53</v>
      </c>
      <c r="B470">
        <v>2829</v>
      </c>
      <c r="C470" t="s">
        <v>87</v>
      </c>
      <c r="D470">
        <v>502</v>
      </c>
      <c r="E470">
        <v>2</v>
      </c>
      <c r="F470" s="13">
        <v>124</v>
      </c>
      <c r="G470">
        <v>2</v>
      </c>
      <c r="H470">
        <v>124</v>
      </c>
      <c r="I470">
        <v>0</v>
      </c>
      <c r="J470">
        <v>0</v>
      </c>
      <c r="K470">
        <v>459.96373299999999</v>
      </c>
      <c r="L470">
        <v>2.9646539999999999</v>
      </c>
      <c r="M470">
        <v>334.60903026120502</v>
      </c>
      <c r="N470">
        <v>0</v>
      </c>
      <c r="O470" s="8" t="str">
        <f>formatIP(Table1[[#This Row],[Address A]])</f>
        <v>010.012.000.001</v>
      </c>
      <c r="P470" s="8" t="str">
        <f>formatIP(Table1[[#This Row],[Address B]])</f>
        <v>010.011.009.028</v>
      </c>
      <c r="Q470" s="8" t="str">
        <f>VLOOKUP(Table1[[#This Row],[Address A]],IP_Master[],4,FALSE)</f>
        <v>PPPCFC1</v>
      </c>
      <c r="R470" s="8" t="str">
        <f>VLOOKUP(Table1[[#This Row],[Address B]],IP_Master[],4,FALSE)</f>
        <v>EGX100</v>
      </c>
      <c r="S470" s="8" t="str">
        <f>VLOOKUP(Table1[[#This Row],[Address A]],IP_Master[],2,FALSE)</f>
        <v>Fume Control</v>
      </c>
      <c r="T470" s="8" t="str">
        <f>VLOOKUP(Table1[[#This Row],[Address B]],IP_Master[],2,FALSE)</f>
        <v>Miscellaneous</v>
      </c>
      <c r="U470" s="9" t="str">
        <f>VLOOKUP(Table1[[#This Row],[Address A]],IP_Master[],3,FALSE)</f>
        <v>iFIX Nodes &amp; Ethernet Switches</v>
      </c>
      <c r="V470" s="9" t="str">
        <f>VLOOKUP(Table1[[#This Row],[Address B]],IP_Master[],3,FALSE)</f>
        <v>iFIX Nodes &amp; Ethernet Switches</v>
      </c>
      <c r="W470" s="9" t="str">
        <f>VLOOKUP(Table1[[#This Row],[Port B]],traffic_types[],2,FALSE)</f>
        <v>Modbus</v>
      </c>
    </row>
    <row r="471" spans="1:23" x14ac:dyDescent="0.6">
      <c r="A471" t="s">
        <v>53</v>
      </c>
      <c r="B471">
        <v>2831</v>
      </c>
      <c r="C471" t="s">
        <v>87</v>
      </c>
      <c r="D471">
        <v>502</v>
      </c>
      <c r="E471">
        <v>2</v>
      </c>
      <c r="F471" s="13">
        <v>124</v>
      </c>
      <c r="G471">
        <v>2</v>
      </c>
      <c r="H471">
        <v>124</v>
      </c>
      <c r="I471">
        <v>0</v>
      </c>
      <c r="J471">
        <v>0</v>
      </c>
      <c r="K471">
        <v>460.58723700000002</v>
      </c>
      <c r="L471">
        <v>2.94464499999998</v>
      </c>
      <c r="M471">
        <v>336.88271421512798</v>
      </c>
      <c r="N471">
        <v>0</v>
      </c>
      <c r="O471" s="8" t="str">
        <f>formatIP(Table1[[#This Row],[Address A]])</f>
        <v>010.012.000.001</v>
      </c>
      <c r="P471" s="8" t="str">
        <f>formatIP(Table1[[#This Row],[Address B]])</f>
        <v>010.011.009.028</v>
      </c>
      <c r="Q471" s="8" t="str">
        <f>VLOOKUP(Table1[[#This Row],[Address A]],IP_Master[],4,FALSE)</f>
        <v>PPPCFC1</v>
      </c>
      <c r="R471" s="8" t="str">
        <f>VLOOKUP(Table1[[#This Row],[Address B]],IP_Master[],4,FALSE)</f>
        <v>EGX100</v>
      </c>
      <c r="S471" s="8" t="str">
        <f>VLOOKUP(Table1[[#This Row],[Address A]],IP_Master[],2,FALSE)</f>
        <v>Fume Control</v>
      </c>
      <c r="T471" s="8" t="str">
        <f>VLOOKUP(Table1[[#This Row],[Address B]],IP_Master[],2,FALSE)</f>
        <v>Miscellaneous</v>
      </c>
      <c r="U471" s="9" t="str">
        <f>VLOOKUP(Table1[[#This Row],[Address A]],IP_Master[],3,FALSE)</f>
        <v>iFIX Nodes &amp; Ethernet Switches</v>
      </c>
      <c r="V471" s="9" t="str">
        <f>VLOOKUP(Table1[[#This Row],[Address B]],IP_Master[],3,FALSE)</f>
        <v>iFIX Nodes &amp; Ethernet Switches</v>
      </c>
      <c r="W471" s="9" t="str">
        <f>VLOOKUP(Table1[[#This Row],[Port B]],traffic_types[],2,FALSE)</f>
        <v>Modbus</v>
      </c>
    </row>
    <row r="472" spans="1:23" x14ac:dyDescent="0.6">
      <c r="A472" t="s">
        <v>53</v>
      </c>
      <c r="B472">
        <v>2833</v>
      </c>
      <c r="C472" t="s">
        <v>87</v>
      </c>
      <c r="D472">
        <v>502</v>
      </c>
      <c r="E472">
        <v>1</v>
      </c>
      <c r="F472" s="13">
        <v>62</v>
      </c>
      <c r="G472">
        <v>1</v>
      </c>
      <c r="H472">
        <v>62</v>
      </c>
      <c r="I472">
        <v>0</v>
      </c>
      <c r="J472">
        <v>0</v>
      </c>
      <c r="K472">
        <v>462.00289299999997</v>
      </c>
      <c r="L472">
        <v>0</v>
      </c>
      <c r="M472">
        <v>0</v>
      </c>
      <c r="N472">
        <v>0</v>
      </c>
      <c r="O472" s="8" t="str">
        <f>formatIP(Table1[[#This Row],[Address A]])</f>
        <v>010.012.000.001</v>
      </c>
      <c r="P472" s="8" t="str">
        <f>formatIP(Table1[[#This Row],[Address B]])</f>
        <v>010.011.009.028</v>
      </c>
      <c r="Q472" s="8" t="str">
        <f>VLOOKUP(Table1[[#This Row],[Address A]],IP_Master[],4,FALSE)</f>
        <v>PPPCFC1</v>
      </c>
      <c r="R472" s="8" t="str">
        <f>VLOOKUP(Table1[[#This Row],[Address B]],IP_Master[],4,FALSE)</f>
        <v>EGX100</v>
      </c>
      <c r="S472" s="8" t="str">
        <f>VLOOKUP(Table1[[#This Row],[Address A]],IP_Master[],2,FALSE)</f>
        <v>Fume Control</v>
      </c>
      <c r="T472" s="8" t="str">
        <f>VLOOKUP(Table1[[#This Row],[Address B]],IP_Master[],2,FALSE)</f>
        <v>Miscellaneous</v>
      </c>
      <c r="U472" s="9" t="str">
        <f>VLOOKUP(Table1[[#This Row],[Address A]],IP_Master[],3,FALSE)</f>
        <v>iFIX Nodes &amp; Ethernet Switches</v>
      </c>
      <c r="V472" s="9" t="str">
        <f>VLOOKUP(Table1[[#This Row],[Address B]],IP_Master[],3,FALSE)</f>
        <v>iFIX Nodes &amp; Ethernet Switches</v>
      </c>
      <c r="W472" s="9" t="str">
        <f>VLOOKUP(Table1[[#This Row],[Port B]],traffic_types[],2,FALSE)</f>
        <v>Modbus</v>
      </c>
    </row>
    <row r="473" spans="1:23" x14ac:dyDescent="0.6">
      <c r="A473" t="s">
        <v>53</v>
      </c>
      <c r="B473">
        <v>2834</v>
      </c>
      <c r="C473" t="s">
        <v>87</v>
      </c>
      <c r="D473">
        <v>502</v>
      </c>
      <c r="E473">
        <v>1</v>
      </c>
      <c r="F473" s="13">
        <v>62</v>
      </c>
      <c r="G473">
        <v>1</v>
      </c>
      <c r="H473">
        <v>62</v>
      </c>
      <c r="I473">
        <v>0</v>
      </c>
      <c r="J473">
        <v>0</v>
      </c>
      <c r="K473">
        <v>462.971609</v>
      </c>
      <c r="L473">
        <v>0</v>
      </c>
      <c r="M473">
        <v>0</v>
      </c>
      <c r="N473">
        <v>0</v>
      </c>
      <c r="O473" s="8" t="str">
        <f>formatIP(Table1[[#This Row],[Address A]])</f>
        <v>010.012.000.001</v>
      </c>
      <c r="P473" s="8" t="str">
        <f>formatIP(Table1[[#This Row],[Address B]])</f>
        <v>010.011.009.028</v>
      </c>
      <c r="Q473" s="8" t="str">
        <f>VLOOKUP(Table1[[#This Row],[Address A]],IP_Master[],4,FALSE)</f>
        <v>PPPCFC1</v>
      </c>
      <c r="R473" s="8" t="str">
        <f>VLOOKUP(Table1[[#This Row],[Address B]],IP_Master[],4,FALSE)</f>
        <v>EGX100</v>
      </c>
      <c r="S473" s="8" t="str">
        <f>VLOOKUP(Table1[[#This Row],[Address A]],IP_Master[],2,FALSE)</f>
        <v>Fume Control</v>
      </c>
      <c r="T473" s="8" t="str">
        <f>VLOOKUP(Table1[[#This Row],[Address B]],IP_Master[],2,FALSE)</f>
        <v>Miscellaneous</v>
      </c>
      <c r="U473" s="9" t="str">
        <f>VLOOKUP(Table1[[#This Row],[Address A]],IP_Master[],3,FALSE)</f>
        <v>iFIX Nodes &amp; Ethernet Switches</v>
      </c>
      <c r="V473" s="9" t="str">
        <f>VLOOKUP(Table1[[#This Row],[Address B]],IP_Master[],3,FALSE)</f>
        <v>iFIX Nodes &amp; Ethernet Switches</v>
      </c>
      <c r="W473" s="9" t="str">
        <f>VLOOKUP(Table1[[#This Row],[Port B]],traffic_types[],2,FALSE)</f>
        <v>Modbus</v>
      </c>
    </row>
    <row r="474" spans="1:23" x14ac:dyDescent="0.6">
      <c r="A474" t="s">
        <v>53</v>
      </c>
      <c r="B474">
        <v>2835</v>
      </c>
      <c r="C474" t="s">
        <v>87</v>
      </c>
      <c r="D474">
        <v>502</v>
      </c>
      <c r="E474">
        <v>2</v>
      </c>
      <c r="F474" s="13">
        <v>124</v>
      </c>
      <c r="G474">
        <v>2</v>
      </c>
      <c r="H474">
        <v>124</v>
      </c>
      <c r="I474">
        <v>0</v>
      </c>
      <c r="J474">
        <v>0</v>
      </c>
      <c r="K474">
        <v>463.036452</v>
      </c>
      <c r="L474">
        <v>3.0114399999999901</v>
      </c>
      <c r="M474">
        <v>329.41051457110302</v>
      </c>
      <c r="N474">
        <v>0</v>
      </c>
      <c r="O474" s="8" t="str">
        <f>formatIP(Table1[[#This Row],[Address A]])</f>
        <v>010.012.000.001</v>
      </c>
      <c r="P474" s="8" t="str">
        <f>formatIP(Table1[[#This Row],[Address B]])</f>
        <v>010.011.009.028</v>
      </c>
      <c r="Q474" s="8" t="str">
        <f>VLOOKUP(Table1[[#This Row],[Address A]],IP_Master[],4,FALSE)</f>
        <v>PPPCFC1</v>
      </c>
      <c r="R474" s="8" t="str">
        <f>VLOOKUP(Table1[[#This Row],[Address B]],IP_Master[],4,FALSE)</f>
        <v>EGX100</v>
      </c>
      <c r="S474" s="8" t="str">
        <f>VLOOKUP(Table1[[#This Row],[Address A]],IP_Master[],2,FALSE)</f>
        <v>Fume Control</v>
      </c>
      <c r="T474" s="8" t="str">
        <f>VLOOKUP(Table1[[#This Row],[Address B]],IP_Master[],2,FALSE)</f>
        <v>Miscellaneous</v>
      </c>
      <c r="U474" s="9" t="str">
        <f>VLOOKUP(Table1[[#This Row],[Address A]],IP_Master[],3,FALSE)</f>
        <v>iFIX Nodes &amp; Ethernet Switches</v>
      </c>
      <c r="V474" s="9" t="str">
        <f>VLOOKUP(Table1[[#This Row],[Address B]],IP_Master[],3,FALSE)</f>
        <v>iFIX Nodes &amp; Ethernet Switches</v>
      </c>
      <c r="W474" s="9" t="str">
        <f>VLOOKUP(Table1[[#This Row],[Port B]],traffic_types[],2,FALSE)</f>
        <v>Modbus</v>
      </c>
    </row>
    <row r="475" spans="1:23" x14ac:dyDescent="0.6">
      <c r="A475" t="s">
        <v>53</v>
      </c>
      <c r="B475">
        <v>2837</v>
      </c>
      <c r="C475" t="s">
        <v>87</v>
      </c>
      <c r="D475">
        <v>502</v>
      </c>
      <c r="E475">
        <v>1</v>
      </c>
      <c r="F475" s="13">
        <v>62</v>
      </c>
      <c r="G475">
        <v>1</v>
      </c>
      <c r="H475">
        <v>62</v>
      </c>
      <c r="I475">
        <v>0</v>
      </c>
      <c r="J475">
        <v>0</v>
      </c>
      <c r="K475">
        <v>463.59708599999999</v>
      </c>
      <c r="L475">
        <v>0</v>
      </c>
      <c r="M475">
        <v>0</v>
      </c>
      <c r="N475">
        <v>0</v>
      </c>
      <c r="O475" s="8" t="str">
        <f>formatIP(Table1[[#This Row],[Address A]])</f>
        <v>010.012.000.001</v>
      </c>
      <c r="P475" s="8" t="str">
        <f>formatIP(Table1[[#This Row],[Address B]])</f>
        <v>010.011.009.028</v>
      </c>
      <c r="Q475" s="8" t="str">
        <f>VLOOKUP(Table1[[#This Row],[Address A]],IP_Master[],4,FALSE)</f>
        <v>PPPCFC1</v>
      </c>
      <c r="R475" s="8" t="str">
        <f>VLOOKUP(Table1[[#This Row],[Address B]],IP_Master[],4,FALSE)</f>
        <v>EGX100</v>
      </c>
      <c r="S475" s="8" t="str">
        <f>VLOOKUP(Table1[[#This Row],[Address A]],IP_Master[],2,FALSE)</f>
        <v>Fume Control</v>
      </c>
      <c r="T475" s="8" t="str">
        <f>VLOOKUP(Table1[[#This Row],[Address B]],IP_Master[],2,FALSE)</f>
        <v>Miscellaneous</v>
      </c>
      <c r="U475" s="9" t="str">
        <f>VLOOKUP(Table1[[#This Row],[Address A]],IP_Master[],3,FALSE)</f>
        <v>iFIX Nodes &amp; Ethernet Switches</v>
      </c>
      <c r="V475" s="9" t="str">
        <f>VLOOKUP(Table1[[#This Row],[Address B]],IP_Master[],3,FALSE)</f>
        <v>iFIX Nodes &amp; Ethernet Switches</v>
      </c>
      <c r="W475" s="9" t="str">
        <f>VLOOKUP(Table1[[#This Row],[Port B]],traffic_types[],2,FALSE)</f>
        <v>Modbus</v>
      </c>
    </row>
    <row r="476" spans="1:23" x14ac:dyDescent="0.6">
      <c r="A476" t="s">
        <v>53</v>
      </c>
      <c r="B476">
        <v>2839</v>
      </c>
      <c r="C476" t="s">
        <v>87</v>
      </c>
      <c r="D476">
        <v>502</v>
      </c>
      <c r="E476">
        <v>1</v>
      </c>
      <c r="F476" s="13">
        <v>62</v>
      </c>
      <c r="G476">
        <v>1</v>
      </c>
      <c r="H476">
        <v>62</v>
      </c>
      <c r="I476">
        <v>0</v>
      </c>
      <c r="J476">
        <v>0</v>
      </c>
      <c r="K476">
        <v>466.05033800000001</v>
      </c>
      <c r="L476">
        <v>0</v>
      </c>
      <c r="M476">
        <v>0</v>
      </c>
      <c r="N476">
        <v>0</v>
      </c>
      <c r="O476" s="8" t="str">
        <f>formatIP(Table1[[#This Row],[Address A]])</f>
        <v>010.012.000.001</v>
      </c>
      <c r="P476" s="8" t="str">
        <f>formatIP(Table1[[#This Row],[Address B]])</f>
        <v>010.011.009.028</v>
      </c>
      <c r="Q476" s="8" t="str">
        <f>VLOOKUP(Table1[[#This Row],[Address A]],IP_Master[],4,FALSE)</f>
        <v>PPPCFC1</v>
      </c>
      <c r="R476" s="8" t="str">
        <f>VLOOKUP(Table1[[#This Row],[Address B]],IP_Master[],4,FALSE)</f>
        <v>EGX100</v>
      </c>
      <c r="S476" s="8" t="str">
        <f>VLOOKUP(Table1[[#This Row],[Address A]],IP_Master[],2,FALSE)</f>
        <v>Fume Control</v>
      </c>
      <c r="T476" s="8" t="str">
        <f>VLOOKUP(Table1[[#This Row],[Address B]],IP_Master[],2,FALSE)</f>
        <v>Miscellaneous</v>
      </c>
      <c r="U476" s="9" t="str">
        <f>VLOOKUP(Table1[[#This Row],[Address A]],IP_Master[],3,FALSE)</f>
        <v>iFIX Nodes &amp; Ethernet Switches</v>
      </c>
      <c r="V476" s="9" t="str">
        <f>VLOOKUP(Table1[[#This Row],[Address B]],IP_Master[],3,FALSE)</f>
        <v>iFIX Nodes &amp; Ethernet Switches</v>
      </c>
      <c r="W476" s="9" t="str">
        <f>VLOOKUP(Table1[[#This Row],[Port B]],traffic_types[],2,FALSE)</f>
        <v>Modbus</v>
      </c>
    </row>
    <row r="477" spans="1:23" x14ac:dyDescent="0.6">
      <c r="A477" t="s">
        <v>53</v>
      </c>
      <c r="B477">
        <v>2843</v>
      </c>
      <c r="C477" t="s">
        <v>87</v>
      </c>
      <c r="D477">
        <v>502</v>
      </c>
      <c r="E477">
        <v>2</v>
      </c>
      <c r="F477" s="13">
        <v>124</v>
      </c>
      <c r="G477">
        <v>2</v>
      </c>
      <c r="H477">
        <v>124</v>
      </c>
      <c r="I477">
        <v>0</v>
      </c>
      <c r="J477">
        <v>0</v>
      </c>
      <c r="K477">
        <v>489.54554200000001</v>
      </c>
      <c r="L477">
        <v>2.9589019999999699</v>
      </c>
      <c r="M477">
        <v>335.25949828686799</v>
      </c>
      <c r="N477">
        <v>0</v>
      </c>
      <c r="O477" s="8" t="str">
        <f>formatIP(Table1[[#This Row],[Address A]])</f>
        <v>010.012.000.001</v>
      </c>
      <c r="P477" s="8" t="str">
        <f>formatIP(Table1[[#This Row],[Address B]])</f>
        <v>010.011.009.028</v>
      </c>
      <c r="Q477" s="8" t="str">
        <f>VLOOKUP(Table1[[#This Row],[Address A]],IP_Master[],4,FALSE)</f>
        <v>PPPCFC1</v>
      </c>
      <c r="R477" s="8" t="str">
        <f>VLOOKUP(Table1[[#This Row],[Address B]],IP_Master[],4,FALSE)</f>
        <v>EGX100</v>
      </c>
      <c r="S477" s="8" t="str">
        <f>VLOOKUP(Table1[[#This Row],[Address A]],IP_Master[],2,FALSE)</f>
        <v>Fume Control</v>
      </c>
      <c r="T477" s="8" t="str">
        <f>VLOOKUP(Table1[[#This Row],[Address B]],IP_Master[],2,FALSE)</f>
        <v>Miscellaneous</v>
      </c>
      <c r="U477" s="9" t="str">
        <f>VLOOKUP(Table1[[#This Row],[Address A]],IP_Master[],3,FALSE)</f>
        <v>iFIX Nodes &amp; Ethernet Switches</v>
      </c>
      <c r="V477" s="9" t="str">
        <f>VLOOKUP(Table1[[#This Row],[Address B]],IP_Master[],3,FALSE)</f>
        <v>iFIX Nodes &amp; Ethernet Switches</v>
      </c>
      <c r="W477" s="9" t="str">
        <f>VLOOKUP(Table1[[#This Row],[Port B]],traffic_types[],2,FALSE)</f>
        <v>Modbus</v>
      </c>
    </row>
    <row r="478" spans="1:23" x14ac:dyDescent="0.6">
      <c r="A478" t="s">
        <v>53</v>
      </c>
      <c r="B478">
        <v>2845</v>
      </c>
      <c r="C478" t="s">
        <v>87</v>
      </c>
      <c r="D478">
        <v>502</v>
      </c>
      <c r="E478">
        <v>1</v>
      </c>
      <c r="F478" s="13">
        <v>62</v>
      </c>
      <c r="G478">
        <v>1</v>
      </c>
      <c r="H478">
        <v>62</v>
      </c>
      <c r="I478">
        <v>0</v>
      </c>
      <c r="J478">
        <v>0</v>
      </c>
      <c r="K478">
        <v>492.01081799999997</v>
      </c>
      <c r="L478">
        <v>0</v>
      </c>
      <c r="M478">
        <v>0</v>
      </c>
      <c r="N478">
        <v>0</v>
      </c>
      <c r="O478" s="8" t="str">
        <f>formatIP(Table1[[#This Row],[Address A]])</f>
        <v>010.012.000.001</v>
      </c>
      <c r="P478" s="8" t="str">
        <f>formatIP(Table1[[#This Row],[Address B]])</f>
        <v>010.011.009.028</v>
      </c>
      <c r="Q478" s="8" t="str">
        <f>VLOOKUP(Table1[[#This Row],[Address A]],IP_Master[],4,FALSE)</f>
        <v>PPPCFC1</v>
      </c>
      <c r="R478" s="8" t="str">
        <f>VLOOKUP(Table1[[#This Row],[Address B]],IP_Master[],4,FALSE)</f>
        <v>EGX100</v>
      </c>
      <c r="S478" s="8" t="str">
        <f>VLOOKUP(Table1[[#This Row],[Address A]],IP_Master[],2,FALSE)</f>
        <v>Fume Control</v>
      </c>
      <c r="T478" s="8" t="str">
        <f>VLOOKUP(Table1[[#This Row],[Address B]],IP_Master[],2,FALSE)</f>
        <v>Miscellaneous</v>
      </c>
      <c r="U478" s="9" t="str">
        <f>VLOOKUP(Table1[[#This Row],[Address A]],IP_Master[],3,FALSE)</f>
        <v>iFIX Nodes &amp; Ethernet Switches</v>
      </c>
      <c r="V478" s="9" t="str">
        <f>VLOOKUP(Table1[[#This Row],[Address B]],IP_Master[],3,FALSE)</f>
        <v>iFIX Nodes &amp; Ethernet Switches</v>
      </c>
      <c r="W478" s="9" t="str">
        <f>VLOOKUP(Table1[[#This Row],[Port B]],traffic_types[],2,FALSE)</f>
        <v>Modbus</v>
      </c>
    </row>
    <row r="479" spans="1:23" x14ac:dyDescent="0.6">
      <c r="A479" t="s">
        <v>53</v>
      </c>
      <c r="B479">
        <v>2846</v>
      </c>
      <c r="C479" t="s">
        <v>87</v>
      </c>
      <c r="D479">
        <v>502</v>
      </c>
      <c r="E479">
        <v>1</v>
      </c>
      <c r="F479" s="13">
        <v>62</v>
      </c>
      <c r="G479">
        <v>1</v>
      </c>
      <c r="H479">
        <v>62</v>
      </c>
      <c r="I479">
        <v>0</v>
      </c>
      <c r="J479">
        <v>0</v>
      </c>
      <c r="K479">
        <v>492.55394200000001</v>
      </c>
      <c r="L479">
        <v>0</v>
      </c>
      <c r="M479">
        <v>0</v>
      </c>
      <c r="N479">
        <v>0</v>
      </c>
      <c r="O479" s="8" t="str">
        <f>formatIP(Table1[[#This Row],[Address A]])</f>
        <v>010.012.000.001</v>
      </c>
      <c r="P479" s="8" t="str">
        <f>formatIP(Table1[[#This Row],[Address B]])</f>
        <v>010.011.009.028</v>
      </c>
      <c r="Q479" s="8" t="str">
        <f>VLOOKUP(Table1[[#This Row],[Address A]],IP_Master[],4,FALSE)</f>
        <v>PPPCFC1</v>
      </c>
      <c r="R479" s="8" t="str">
        <f>VLOOKUP(Table1[[#This Row],[Address B]],IP_Master[],4,FALSE)</f>
        <v>EGX100</v>
      </c>
      <c r="S479" s="8" t="str">
        <f>VLOOKUP(Table1[[#This Row],[Address A]],IP_Master[],2,FALSE)</f>
        <v>Fume Control</v>
      </c>
      <c r="T479" s="8" t="str">
        <f>VLOOKUP(Table1[[#This Row],[Address B]],IP_Master[],2,FALSE)</f>
        <v>Miscellaneous</v>
      </c>
      <c r="U479" s="9" t="str">
        <f>VLOOKUP(Table1[[#This Row],[Address A]],IP_Master[],3,FALSE)</f>
        <v>iFIX Nodes &amp; Ethernet Switches</v>
      </c>
      <c r="V479" s="9" t="str">
        <f>VLOOKUP(Table1[[#This Row],[Address B]],IP_Master[],3,FALSE)</f>
        <v>iFIX Nodes &amp; Ethernet Switches</v>
      </c>
      <c r="W479" s="9" t="str">
        <f>VLOOKUP(Table1[[#This Row],[Port B]],traffic_types[],2,FALSE)</f>
        <v>Modbus</v>
      </c>
    </row>
    <row r="480" spans="1:23" x14ac:dyDescent="0.6">
      <c r="A480" t="s">
        <v>53</v>
      </c>
      <c r="B480">
        <v>2847</v>
      </c>
      <c r="C480" t="s">
        <v>87</v>
      </c>
      <c r="D480">
        <v>502</v>
      </c>
      <c r="E480">
        <v>1</v>
      </c>
      <c r="F480" s="13">
        <v>62</v>
      </c>
      <c r="G480">
        <v>1</v>
      </c>
      <c r="H480">
        <v>62</v>
      </c>
      <c r="I480">
        <v>0</v>
      </c>
      <c r="J480">
        <v>0</v>
      </c>
      <c r="K480">
        <v>492.984668</v>
      </c>
      <c r="L480">
        <v>0</v>
      </c>
      <c r="M480">
        <v>0</v>
      </c>
      <c r="N480">
        <v>0</v>
      </c>
      <c r="O480" s="8" t="str">
        <f>formatIP(Table1[[#This Row],[Address A]])</f>
        <v>010.012.000.001</v>
      </c>
      <c r="P480" s="8" t="str">
        <f>formatIP(Table1[[#This Row],[Address B]])</f>
        <v>010.011.009.028</v>
      </c>
      <c r="Q480" s="8" t="str">
        <f>VLOOKUP(Table1[[#This Row],[Address A]],IP_Master[],4,FALSE)</f>
        <v>PPPCFC1</v>
      </c>
      <c r="R480" s="8" t="str">
        <f>VLOOKUP(Table1[[#This Row],[Address B]],IP_Master[],4,FALSE)</f>
        <v>EGX100</v>
      </c>
      <c r="S480" s="8" t="str">
        <f>VLOOKUP(Table1[[#This Row],[Address A]],IP_Master[],2,FALSE)</f>
        <v>Fume Control</v>
      </c>
      <c r="T480" s="8" t="str">
        <f>VLOOKUP(Table1[[#This Row],[Address B]],IP_Master[],2,FALSE)</f>
        <v>Miscellaneous</v>
      </c>
      <c r="U480" s="9" t="str">
        <f>VLOOKUP(Table1[[#This Row],[Address A]],IP_Master[],3,FALSE)</f>
        <v>iFIX Nodes &amp; Ethernet Switches</v>
      </c>
      <c r="V480" s="9" t="str">
        <f>VLOOKUP(Table1[[#This Row],[Address B]],IP_Master[],3,FALSE)</f>
        <v>iFIX Nodes &amp; Ethernet Switches</v>
      </c>
      <c r="W480" s="9" t="str">
        <f>VLOOKUP(Table1[[#This Row],[Port B]],traffic_types[],2,FALSE)</f>
        <v>Modbus</v>
      </c>
    </row>
    <row r="481" spans="1:23" x14ac:dyDescent="0.6">
      <c r="A481" t="s">
        <v>53</v>
      </c>
      <c r="B481">
        <v>2849</v>
      </c>
      <c r="C481" t="s">
        <v>87</v>
      </c>
      <c r="D481">
        <v>502</v>
      </c>
      <c r="E481">
        <v>1</v>
      </c>
      <c r="F481" s="13">
        <v>62</v>
      </c>
      <c r="G481">
        <v>1</v>
      </c>
      <c r="H481">
        <v>62</v>
      </c>
      <c r="I481">
        <v>0</v>
      </c>
      <c r="J481">
        <v>0</v>
      </c>
      <c r="K481">
        <v>493.60933299999999</v>
      </c>
      <c r="L481">
        <v>0</v>
      </c>
      <c r="M481">
        <v>0</v>
      </c>
      <c r="N481">
        <v>0</v>
      </c>
      <c r="O481" s="8" t="str">
        <f>formatIP(Table1[[#This Row],[Address A]])</f>
        <v>010.012.000.001</v>
      </c>
      <c r="P481" s="8" t="str">
        <f>formatIP(Table1[[#This Row],[Address B]])</f>
        <v>010.011.009.028</v>
      </c>
      <c r="Q481" s="8" t="str">
        <f>VLOOKUP(Table1[[#This Row],[Address A]],IP_Master[],4,FALSE)</f>
        <v>PPPCFC1</v>
      </c>
      <c r="R481" s="8" t="str">
        <f>VLOOKUP(Table1[[#This Row],[Address B]],IP_Master[],4,FALSE)</f>
        <v>EGX100</v>
      </c>
      <c r="S481" s="8" t="str">
        <f>VLOOKUP(Table1[[#This Row],[Address A]],IP_Master[],2,FALSE)</f>
        <v>Fume Control</v>
      </c>
      <c r="T481" s="8" t="str">
        <f>VLOOKUP(Table1[[#This Row],[Address B]],IP_Master[],2,FALSE)</f>
        <v>Miscellaneous</v>
      </c>
      <c r="U481" s="9" t="str">
        <f>VLOOKUP(Table1[[#This Row],[Address A]],IP_Master[],3,FALSE)</f>
        <v>iFIX Nodes &amp; Ethernet Switches</v>
      </c>
      <c r="V481" s="9" t="str">
        <f>VLOOKUP(Table1[[#This Row],[Address B]],IP_Master[],3,FALSE)</f>
        <v>iFIX Nodes &amp; Ethernet Switches</v>
      </c>
      <c r="W481" s="9" t="str">
        <f>VLOOKUP(Table1[[#This Row],[Port B]],traffic_types[],2,FALSE)</f>
        <v>Modbus</v>
      </c>
    </row>
    <row r="482" spans="1:23" x14ac:dyDescent="0.6">
      <c r="A482" t="s">
        <v>53</v>
      </c>
      <c r="B482">
        <v>2851</v>
      </c>
      <c r="C482" t="s">
        <v>87</v>
      </c>
      <c r="D482">
        <v>502</v>
      </c>
      <c r="E482">
        <v>1</v>
      </c>
      <c r="F482" s="13">
        <v>62</v>
      </c>
      <c r="G482">
        <v>1</v>
      </c>
      <c r="H482">
        <v>62</v>
      </c>
      <c r="I482">
        <v>0</v>
      </c>
      <c r="J482">
        <v>0</v>
      </c>
      <c r="K482">
        <v>495.022717</v>
      </c>
      <c r="L482">
        <v>0</v>
      </c>
      <c r="M482">
        <v>0</v>
      </c>
      <c r="N482">
        <v>0</v>
      </c>
      <c r="O482" s="8" t="str">
        <f>formatIP(Table1[[#This Row],[Address A]])</f>
        <v>010.012.000.001</v>
      </c>
      <c r="P482" s="8" t="str">
        <f>formatIP(Table1[[#This Row],[Address B]])</f>
        <v>010.011.009.028</v>
      </c>
      <c r="Q482" s="8" t="str">
        <f>VLOOKUP(Table1[[#This Row],[Address A]],IP_Master[],4,FALSE)</f>
        <v>PPPCFC1</v>
      </c>
      <c r="R482" s="8" t="str">
        <f>VLOOKUP(Table1[[#This Row],[Address B]],IP_Master[],4,FALSE)</f>
        <v>EGX100</v>
      </c>
      <c r="S482" s="8" t="str">
        <f>VLOOKUP(Table1[[#This Row],[Address A]],IP_Master[],2,FALSE)</f>
        <v>Fume Control</v>
      </c>
      <c r="T482" s="8" t="str">
        <f>VLOOKUP(Table1[[#This Row],[Address B]],IP_Master[],2,FALSE)</f>
        <v>Miscellaneous</v>
      </c>
      <c r="U482" s="9" t="str">
        <f>VLOOKUP(Table1[[#This Row],[Address A]],IP_Master[],3,FALSE)</f>
        <v>iFIX Nodes &amp; Ethernet Switches</v>
      </c>
      <c r="V482" s="9" t="str">
        <f>VLOOKUP(Table1[[#This Row],[Address B]],IP_Master[],3,FALSE)</f>
        <v>iFIX Nodes &amp; Ethernet Switches</v>
      </c>
      <c r="W482" s="9" t="str">
        <f>VLOOKUP(Table1[[#This Row],[Port B]],traffic_types[],2,FALSE)</f>
        <v>Modbus</v>
      </c>
    </row>
    <row r="483" spans="1:23" x14ac:dyDescent="0.6">
      <c r="A483" t="s">
        <v>53</v>
      </c>
      <c r="B483">
        <v>2852</v>
      </c>
      <c r="C483" t="s">
        <v>87</v>
      </c>
      <c r="D483">
        <v>502</v>
      </c>
      <c r="E483">
        <v>1</v>
      </c>
      <c r="F483" s="13">
        <v>62</v>
      </c>
      <c r="G483">
        <v>1</v>
      </c>
      <c r="H483">
        <v>62</v>
      </c>
      <c r="I483">
        <v>0</v>
      </c>
      <c r="J483">
        <v>0</v>
      </c>
      <c r="K483">
        <v>495.991421</v>
      </c>
      <c r="L483">
        <v>0</v>
      </c>
      <c r="M483">
        <v>0</v>
      </c>
      <c r="N483">
        <v>0</v>
      </c>
      <c r="O483" s="8" t="str">
        <f>formatIP(Table1[[#This Row],[Address A]])</f>
        <v>010.012.000.001</v>
      </c>
      <c r="P483" s="8" t="str">
        <f>formatIP(Table1[[#This Row],[Address B]])</f>
        <v>010.011.009.028</v>
      </c>
      <c r="Q483" s="8" t="str">
        <f>VLOOKUP(Table1[[#This Row],[Address A]],IP_Master[],4,FALSE)</f>
        <v>PPPCFC1</v>
      </c>
      <c r="R483" s="8" t="str">
        <f>VLOOKUP(Table1[[#This Row],[Address B]],IP_Master[],4,FALSE)</f>
        <v>EGX100</v>
      </c>
      <c r="S483" s="8" t="str">
        <f>VLOOKUP(Table1[[#This Row],[Address A]],IP_Master[],2,FALSE)</f>
        <v>Fume Control</v>
      </c>
      <c r="T483" s="8" t="str">
        <f>VLOOKUP(Table1[[#This Row],[Address B]],IP_Master[],2,FALSE)</f>
        <v>Miscellaneous</v>
      </c>
      <c r="U483" s="9" t="str">
        <f>VLOOKUP(Table1[[#This Row],[Address A]],IP_Master[],3,FALSE)</f>
        <v>iFIX Nodes &amp; Ethernet Switches</v>
      </c>
      <c r="V483" s="9" t="str">
        <f>VLOOKUP(Table1[[#This Row],[Address B]],IP_Master[],3,FALSE)</f>
        <v>iFIX Nodes &amp; Ethernet Switches</v>
      </c>
      <c r="W483" s="9" t="str">
        <f>VLOOKUP(Table1[[#This Row],[Port B]],traffic_types[],2,FALSE)</f>
        <v>Modbus</v>
      </c>
    </row>
    <row r="484" spans="1:23" x14ac:dyDescent="0.6">
      <c r="A484" t="s">
        <v>53</v>
      </c>
      <c r="B484">
        <v>2853</v>
      </c>
      <c r="C484" t="s">
        <v>87</v>
      </c>
      <c r="D484">
        <v>502</v>
      </c>
      <c r="E484">
        <v>2</v>
      </c>
      <c r="F484" s="13">
        <v>124</v>
      </c>
      <c r="G484">
        <v>2</v>
      </c>
      <c r="H484">
        <v>124</v>
      </c>
      <c r="I484">
        <v>0</v>
      </c>
      <c r="J484">
        <v>0</v>
      </c>
      <c r="K484">
        <v>496.05919299999999</v>
      </c>
      <c r="L484">
        <v>2.8834929999999899</v>
      </c>
      <c r="M484">
        <v>344.02719202023502</v>
      </c>
      <c r="N484">
        <v>0</v>
      </c>
      <c r="O484" s="8" t="str">
        <f>formatIP(Table1[[#This Row],[Address A]])</f>
        <v>010.012.000.001</v>
      </c>
      <c r="P484" s="8" t="str">
        <f>formatIP(Table1[[#This Row],[Address B]])</f>
        <v>010.011.009.028</v>
      </c>
      <c r="Q484" s="8" t="str">
        <f>VLOOKUP(Table1[[#This Row],[Address A]],IP_Master[],4,FALSE)</f>
        <v>PPPCFC1</v>
      </c>
      <c r="R484" s="8" t="str">
        <f>VLOOKUP(Table1[[#This Row],[Address B]],IP_Master[],4,FALSE)</f>
        <v>EGX100</v>
      </c>
      <c r="S484" s="8" t="str">
        <f>VLOOKUP(Table1[[#This Row],[Address A]],IP_Master[],2,FALSE)</f>
        <v>Fume Control</v>
      </c>
      <c r="T484" s="8" t="str">
        <f>VLOOKUP(Table1[[#This Row],[Address B]],IP_Master[],2,FALSE)</f>
        <v>Miscellaneous</v>
      </c>
      <c r="U484" s="9" t="str">
        <f>VLOOKUP(Table1[[#This Row],[Address A]],IP_Master[],3,FALSE)</f>
        <v>iFIX Nodes &amp; Ethernet Switches</v>
      </c>
      <c r="V484" s="9" t="str">
        <f>VLOOKUP(Table1[[#This Row],[Address B]],IP_Master[],3,FALSE)</f>
        <v>iFIX Nodes &amp; Ethernet Switches</v>
      </c>
      <c r="W484" s="9" t="str">
        <f>VLOOKUP(Table1[[#This Row],[Port B]],traffic_types[],2,FALSE)</f>
        <v>Modbus</v>
      </c>
    </row>
    <row r="485" spans="1:23" x14ac:dyDescent="0.6">
      <c r="A485" t="s">
        <v>53</v>
      </c>
      <c r="B485">
        <v>2855</v>
      </c>
      <c r="C485" t="s">
        <v>87</v>
      </c>
      <c r="D485">
        <v>502</v>
      </c>
      <c r="E485">
        <v>1</v>
      </c>
      <c r="F485" s="13">
        <v>62</v>
      </c>
      <c r="G485">
        <v>1</v>
      </c>
      <c r="H485">
        <v>62</v>
      </c>
      <c r="I485">
        <v>0</v>
      </c>
      <c r="J485">
        <v>0</v>
      </c>
      <c r="K485">
        <v>496.616961</v>
      </c>
      <c r="L485">
        <v>0</v>
      </c>
      <c r="M485">
        <v>0</v>
      </c>
      <c r="N485">
        <v>0</v>
      </c>
      <c r="O485" s="8" t="str">
        <f>formatIP(Table1[[#This Row],[Address A]])</f>
        <v>010.012.000.001</v>
      </c>
      <c r="P485" s="8" t="str">
        <f>formatIP(Table1[[#This Row],[Address B]])</f>
        <v>010.011.009.028</v>
      </c>
      <c r="Q485" s="8" t="str">
        <f>VLOOKUP(Table1[[#This Row],[Address A]],IP_Master[],4,FALSE)</f>
        <v>PPPCFC1</v>
      </c>
      <c r="R485" s="8" t="str">
        <f>VLOOKUP(Table1[[#This Row],[Address B]],IP_Master[],4,FALSE)</f>
        <v>EGX100</v>
      </c>
      <c r="S485" s="8" t="str">
        <f>VLOOKUP(Table1[[#This Row],[Address A]],IP_Master[],2,FALSE)</f>
        <v>Fume Control</v>
      </c>
      <c r="T485" s="8" t="str">
        <f>VLOOKUP(Table1[[#This Row],[Address B]],IP_Master[],2,FALSE)</f>
        <v>Miscellaneous</v>
      </c>
      <c r="U485" s="9" t="str">
        <f>VLOOKUP(Table1[[#This Row],[Address A]],IP_Master[],3,FALSE)</f>
        <v>iFIX Nodes &amp; Ethernet Switches</v>
      </c>
      <c r="V485" s="9" t="str">
        <f>VLOOKUP(Table1[[#This Row],[Address B]],IP_Master[],3,FALSE)</f>
        <v>iFIX Nodes &amp; Ethernet Switches</v>
      </c>
      <c r="W485" s="9" t="str">
        <f>VLOOKUP(Table1[[#This Row],[Port B]],traffic_types[],2,FALSE)</f>
        <v>Modbus</v>
      </c>
    </row>
    <row r="486" spans="1:23" x14ac:dyDescent="0.6">
      <c r="A486" t="s">
        <v>53</v>
      </c>
      <c r="B486">
        <v>2858</v>
      </c>
      <c r="C486" t="s">
        <v>87</v>
      </c>
      <c r="D486">
        <v>502</v>
      </c>
      <c r="E486">
        <v>1</v>
      </c>
      <c r="F486" s="13">
        <v>62</v>
      </c>
      <c r="G486">
        <v>1</v>
      </c>
      <c r="H486">
        <v>62</v>
      </c>
      <c r="I486">
        <v>0</v>
      </c>
      <c r="J486">
        <v>0</v>
      </c>
      <c r="K486">
        <v>499.07011299999999</v>
      </c>
      <c r="L486">
        <v>0</v>
      </c>
      <c r="M486">
        <v>0</v>
      </c>
      <c r="N486">
        <v>0</v>
      </c>
      <c r="O486" s="8" t="str">
        <f>formatIP(Table1[[#This Row],[Address A]])</f>
        <v>010.012.000.001</v>
      </c>
      <c r="P486" s="8" t="str">
        <f>formatIP(Table1[[#This Row],[Address B]])</f>
        <v>010.011.009.028</v>
      </c>
      <c r="Q486" s="8" t="str">
        <f>VLOOKUP(Table1[[#This Row],[Address A]],IP_Master[],4,FALSE)</f>
        <v>PPPCFC1</v>
      </c>
      <c r="R486" s="8" t="str">
        <f>VLOOKUP(Table1[[#This Row],[Address B]],IP_Master[],4,FALSE)</f>
        <v>EGX100</v>
      </c>
      <c r="S486" s="8" t="str">
        <f>VLOOKUP(Table1[[#This Row],[Address A]],IP_Master[],2,FALSE)</f>
        <v>Fume Control</v>
      </c>
      <c r="T486" s="8" t="str">
        <f>VLOOKUP(Table1[[#This Row],[Address B]],IP_Master[],2,FALSE)</f>
        <v>Miscellaneous</v>
      </c>
      <c r="U486" s="9" t="str">
        <f>VLOOKUP(Table1[[#This Row],[Address A]],IP_Master[],3,FALSE)</f>
        <v>iFIX Nodes &amp; Ethernet Switches</v>
      </c>
      <c r="V486" s="9" t="str">
        <f>VLOOKUP(Table1[[#This Row],[Address B]],IP_Master[],3,FALSE)</f>
        <v>iFIX Nodes &amp; Ethernet Switches</v>
      </c>
      <c r="W486" s="9" t="str">
        <f>VLOOKUP(Table1[[#This Row],[Port B]],traffic_types[],2,FALSE)</f>
        <v>Modbus</v>
      </c>
    </row>
    <row r="487" spans="1:23" x14ac:dyDescent="0.6">
      <c r="A487" t="s">
        <v>53</v>
      </c>
      <c r="B487">
        <v>2862</v>
      </c>
      <c r="C487" t="s">
        <v>87</v>
      </c>
      <c r="D487">
        <v>502</v>
      </c>
      <c r="E487">
        <v>2</v>
      </c>
      <c r="F487" s="13">
        <v>124</v>
      </c>
      <c r="G487">
        <v>2</v>
      </c>
      <c r="H487">
        <v>124</v>
      </c>
      <c r="I487">
        <v>0</v>
      </c>
      <c r="J487">
        <v>0</v>
      </c>
      <c r="K487">
        <v>522.56143799999995</v>
      </c>
      <c r="L487">
        <v>2.9392900000000299</v>
      </c>
      <c r="M487">
        <v>337.49647023600602</v>
      </c>
      <c r="N487">
        <v>0</v>
      </c>
      <c r="O487" s="8" t="str">
        <f>formatIP(Table1[[#This Row],[Address A]])</f>
        <v>010.012.000.001</v>
      </c>
      <c r="P487" s="8" t="str">
        <f>formatIP(Table1[[#This Row],[Address B]])</f>
        <v>010.011.009.028</v>
      </c>
      <c r="Q487" s="8" t="str">
        <f>VLOOKUP(Table1[[#This Row],[Address A]],IP_Master[],4,FALSE)</f>
        <v>PPPCFC1</v>
      </c>
      <c r="R487" s="8" t="str">
        <f>VLOOKUP(Table1[[#This Row],[Address B]],IP_Master[],4,FALSE)</f>
        <v>EGX100</v>
      </c>
      <c r="S487" s="8" t="str">
        <f>VLOOKUP(Table1[[#This Row],[Address A]],IP_Master[],2,FALSE)</f>
        <v>Fume Control</v>
      </c>
      <c r="T487" s="8" t="str">
        <f>VLOOKUP(Table1[[#This Row],[Address B]],IP_Master[],2,FALSE)</f>
        <v>Miscellaneous</v>
      </c>
      <c r="U487" s="9" t="str">
        <f>VLOOKUP(Table1[[#This Row],[Address A]],IP_Master[],3,FALSE)</f>
        <v>iFIX Nodes &amp; Ethernet Switches</v>
      </c>
      <c r="V487" s="9" t="str">
        <f>VLOOKUP(Table1[[#This Row],[Address B]],IP_Master[],3,FALSE)</f>
        <v>iFIX Nodes &amp; Ethernet Switches</v>
      </c>
      <c r="W487" s="9" t="str">
        <f>VLOOKUP(Table1[[#This Row],[Port B]],traffic_types[],2,FALSE)</f>
        <v>Modbus</v>
      </c>
    </row>
    <row r="488" spans="1:23" x14ac:dyDescent="0.6">
      <c r="A488" t="s">
        <v>53</v>
      </c>
      <c r="B488">
        <v>2863</v>
      </c>
      <c r="C488" t="s">
        <v>87</v>
      </c>
      <c r="D488">
        <v>502</v>
      </c>
      <c r="E488">
        <v>2</v>
      </c>
      <c r="F488" s="13">
        <v>124</v>
      </c>
      <c r="G488">
        <v>2</v>
      </c>
      <c r="H488">
        <v>124</v>
      </c>
      <c r="I488">
        <v>0</v>
      </c>
      <c r="J488">
        <v>0</v>
      </c>
      <c r="K488">
        <v>525.03267800000003</v>
      </c>
      <c r="L488">
        <v>2.9830190000000099</v>
      </c>
      <c r="M488">
        <v>332.54900488397698</v>
      </c>
      <c r="N488">
        <v>0</v>
      </c>
      <c r="O488" s="8" t="str">
        <f>formatIP(Table1[[#This Row],[Address A]])</f>
        <v>010.012.000.001</v>
      </c>
      <c r="P488" s="8" t="str">
        <f>formatIP(Table1[[#This Row],[Address B]])</f>
        <v>010.011.009.028</v>
      </c>
      <c r="Q488" s="8" t="str">
        <f>VLOOKUP(Table1[[#This Row],[Address A]],IP_Master[],4,FALSE)</f>
        <v>PPPCFC1</v>
      </c>
      <c r="R488" s="8" t="str">
        <f>VLOOKUP(Table1[[#This Row],[Address B]],IP_Master[],4,FALSE)</f>
        <v>EGX100</v>
      </c>
      <c r="S488" s="8" t="str">
        <f>VLOOKUP(Table1[[#This Row],[Address A]],IP_Master[],2,FALSE)</f>
        <v>Fume Control</v>
      </c>
      <c r="T488" s="8" t="str">
        <f>VLOOKUP(Table1[[#This Row],[Address B]],IP_Master[],2,FALSE)</f>
        <v>Miscellaneous</v>
      </c>
      <c r="U488" s="9" t="str">
        <f>VLOOKUP(Table1[[#This Row],[Address A]],IP_Master[],3,FALSE)</f>
        <v>iFIX Nodes &amp; Ethernet Switches</v>
      </c>
      <c r="V488" s="9" t="str">
        <f>VLOOKUP(Table1[[#This Row],[Address B]],IP_Master[],3,FALSE)</f>
        <v>iFIX Nodes &amp; Ethernet Switches</v>
      </c>
      <c r="W488" s="9" t="str">
        <f>VLOOKUP(Table1[[#This Row],[Port B]],traffic_types[],2,FALSE)</f>
        <v>Modbus</v>
      </c>
    </row>
    <row r="489" spans="1:23" x14ac:dyDescent="0.6">
      <c r="A489" t="s">
        <v>53</v>
      </c>
      <c r="B489">
        <v>2864</v>
      </c>
      <c r="C489" t="s">
        <v>87</v>
      </c>
      <c r="D489">
        <v>502</v>
      </c>
      <c r="E489">
        <v>1</v>
      </c>
      <c r="F489" s="13">
        <v>62</v>
      </c>
      <c r="G489">
        <v>1</v>
      </c>
      <c r="H489">
        <v>62</v>
      </c>
      <c r="I489">
        <v>0</v>
      </c>
      <c r="J489">
        <v>0</v>
      </c>
      <c r="K489">
        <v>525.57344499999999</v>
      </c>
      <c r="L489">
        <v>0</v>
      </c>
      <c r="M489">
        <v>0</v>
      </c>
      <c r="N489">
        <v>0</v>
      </c>
      <c r="O489" s="8" t="str">
        <f>formatIP(Table1[[#This Row],[Address A]])</f>
        <v>010.012.000.001</v>
      </c>
      <c r="P489" s="8" t="str">
        <f>formatIP(Table1[[#This Row],[Address B]])</f>
        <v>010.011.009.028</v>
      </c>
      <c r="Q489" s="8" t="str">
        <f>VLOOKUP(Table1[[#This Row],[Address A]],IP_Master[],4,FALSE)</f>
        <v>PPPCFC1</v>
      </c>
      <c r="R489" s="8" t="str">
        <f>VLOOKUP(Table1[[#This Row],[Address B]],IP_Master[],4,FALSE)</f>
        <v>EGX100</v>
      </c>
      <c r="S489" s="8" t="str">
        <f>VLOOKUP(Table1[[#This Row],[Address A]],IP_Master[],2,FALSE)</f>
        <v>Fume Control</v>
      </c>
      <c r="T489" s="8" t="str">
        <f>VLOOKUP(Table1[[#This Row],[Address B]],IP_Master[],2,FALSE)</f>
        <v>Miscellaneous</v>
      </c>
      <c r="U489" s="9" t="str">
        <f>VLOOKUP(Table1[[#This Row],[Address A]],IP_Master[],3,FALSE)</f>
        <v>iFIX Nodes &amp; Ethernet Switches</v>
      </c>
      <c r="V489" s="9" t="str">
        <f>VLOOKUP(Table1[[#This Row],[Address B]],IP_Master[],3,FALSE)</f>
        <v>iFIX Nodes &amp; Ethernet Switches</v>
      </c>
      <c r="W489" s="9" t="str">
        <f>VLOOKUP(Table1[[#This Row],[Port B]],traffic_types[],2,FALSE)</f>
        <v>Modbus</v>
      </c>
    </row>
    <row r="490" spans="1:23" x14ac:dyDescent="0.6">
      <c r="A490" t="s">
        <v>53</v>
      </c>
      <c r="B490">
        <v>2865</v>
      </c>
      <c r="C490" t="s">
        <v>87</v>
      </c>
      <c r="D490">
        <v>502</v>
      </c>
      <c r="E490">
        <v>2</v>
      </c>
      <c r="F490" s="13">
        <v>124</v>
      </c>
      <c r="G490">
        <v>2</v>
      </c>
      <c r="H490">
        <v>124</v>
      </c>
      <c r="I490">
        <v>0</v>
      </c>
      <c r="J490">
        <v>0</v>
      </c>
      <c r="K490">
        <v>526.00347999999997</v>
      </c>
      <c r="L490">
        <v>2.9176019999999898</v>
      </c>
      <c r="M490">
        <v>340.005250887545</v>
      </c>
      <c r="N490">
        <v>0</v>
      </c>
      <c r="O490" s="8" t="str">
        <f>formatIP(Table1[[#This Row],[Address A]])</f>
        <v>010.012.000.001</v>
      </c>
      <c r="P490" s="8" t="str">
        <f>formatIP(Table1[[#This Row],[Address B]])</f>
        <v>010.011.009.028</v>
      </c>
      <c r="Q490" s="8" t="str">
        <f>VLOOKUP(Table1[[#This Row],[Address A]],IP_Master[],4,FALSE)</f>
        <v>PPPCFC1</v>
      </c>
      <c r="R490" s="8" t="str">
        <f>VLOOKUP(Table1[[#This Row],[Address B]],IP_Master[],4,FALSE)</f>
        <v>EGX100</v>
      </c>
      <c r="S490" s="8" t="str">
        <f>VLOOKUP(Table1[[#This Row],[Address A]],IP_Master[],2,FALSE)</f>
        <v>Fume Control</v>
      </c>
      <c r="T490" s="8" t="str">
        <f>VLOOKUP(Table1[[#This Row],[Address B]],IP_Master[],2,FALSE)</f>
        <v>Miscellaneous</v>
      </c>
      <c r="U490" s="9" t="str">
        <f>VLOOKUP(Table1[[#This Row],[Address A]],IP_Master[],3,FALSE)</f>
        <v>iFIX Nodes &amp; Ethernet Switches</v>
      </c>
      <c r="V490" s="9" t="str">
        <f>VLOOKUP(Table1[[#This Row],[Address B]],IP_Master[],3,FALSE)</f>
        <v>iFIX Nodes &amp; Ethernet Switches</v>
      </c>
      <c r="W490" s="9" t="str">
        <f>VLOOKUP(Table1[[#This Row],[Port B]],traffic_types[],2,FALSE)</f>
        <v>Modbus</v>
      </c>
    </row>
    <row r="491" spans="1:23" x14ac:dyDescent="0.6">
      <c r="A491" t="s">
        <v>53</v>
      </c>
      <c r="B491">
        <v>2867</v>
      </c>
      <c r="C491" t="s">
        <v>87</v>
      </c>
      <c r="D491">
        <v>502</v>
      </c>
      <c r="E491">
        <v>2</v>
      </c>
      <c r="F491" s="13">
        <v>124</v>
      </c>
      <c r="G491">
        <v>2</v>
      </c>
      <c r="H491">
        <v>124</v>
      </c>
      <c r="I491">
        <v>0</v>
      </c>
      <c r="J491">
        <v>0</v>
      </c>
      <c r="K491">
        <v>526.62785599999995</v>
      </c>
      <c r="L491">
        <v>2.9975180000000101</v>
      </c>
      <c r="M491">
        <v>330.94046474449698</v>
      </c>
      <c r="N491">
        <v>0</v>
      </c>
      <c r="O491" s="8" t="str">
        <f>formatIP(Table1[[#This Row],[Address A]])</f>
        <v>010.012.000.001</v>
      </c>
      <c r="P491" s="8" t="str">
        <f>formatIP(Table1[[#This Row],[Address B]])</f>
        <v>010.011.009.028</v>
      </c>
      <c r="Q491" s="8" t="str">
        <f>VLOOKUP(Table1[[#This Row],[Address A]],IP_Master[],4,FALSE)</f>
        <v>PPPCFC1</v>
      </c>
      <c r="R491" s="8" t="str">
        <f>VLOOKUP(Table1[[#This Row],[Address B]],IP_Master[],4,FALSE)</f>
        <v>EGX100</v>
      </c>
      <c r="S491" s="8" t="str">
        <f>VLOOKUP(Table1[[#This Row],[Address A]],IP_Master[],2,FALSE)</f>
        <v>Fume Control</v>
      </c>
      <c r="T491" s="8" t="str">
        <f>VLOOKUP(Table1[[#This Row],[Address B]],IP_Master[],2,FALSE)</f>
        <v>Miscellaneous</v>
      </c>
      <c r="U491" s="9" t="str">
        <f>VLOOKUP(Table1[[#This Row],[Address A]],IP_Master[],3,FALSE)</f>
        <v>iFIX Nodes &amp; Ethernet Switches</v>
      </c>
      <c r="V491" s="9" t="str">
        <f>VLOOKUP(Table1[[#This Row],[Address B]],IP_Master[],3,FALSE)</f>
        <v>iFIX Nodes &amp; Ethernet Switches</v>
      </c>
      <c r="W491" s="9" t="str">
        <f>VLOOKUP(Table1[[#This Row],[Port B]],traffic_types[],2,FALSE)</f>
        <v>Modbus</v>
      </c>
    </row>
    <row r="492" spans="1:23" x14ac:dyDescent="0.6">
      <c r="A492" t="s">
        <v>53</v>
      </c>
      <c r="B492">
        <v>2869</v>
      </c>
      <c r="C492" t="s">
        <v>87</v>
      </c>
      <c r="D492">
        <v>502</v>
      </c>
      <c r="E492">
        <v>1</v>
      </c>
      <c r="F492" s="13">
        <v>62</v>
      </c>
      <c r="G492">
        <v>1</v>
      </c>
      <c r="H492">
        <v>62</v>
      </c>
      <c r="I492">
        <v>0</v>
      </c>
      <c r="J492">
        <v>0</v>
      </c>
      <c r="K492">
        <v>528.04247199999998</v>
      </c>
      <c r="L492">
        <v>0</v>
      </c>
      <c r="M492">
        <v>0</v>
      </c>
      <c r="N492">
        <v>0</v>
      </c>
      <c r="O492" s="8" t="str">
        <f>formatIP(Table1[[#This Row],[Address A]])</f>
        <v>010.012.000.001</v>
      </c>
      <c r="P492" s="8" t="str">
        <f>formatIP(Table1[[#This Row],[Address B]])</f>
        <v>010.011.009.028</v>
      </c>
      <c r="Q492" s="8" t="str">
        <f>VLOOKUP(Table1[[#This Row],[Address A]],IP_Master[],4,FALSE)</f>
        <v>PPPCFC1</v>
      </c>
      <c r="R492" s="8" t="str">
        <f>VLOOKUP(Table1[[#This Row],[Address B]],IP_Master[],4,FALSE)</f>
        <v>EGX100</v>
      </c>
      <c r="S492" s="8" t="str">
        <f>VLOOKUP(Table1[[#This Row],[Address A]],IP_Master[],2,FALSE)</f>
        <v>Fume Control</v>
      </c>
      <c r="T492" s="8" t="str">
        <f>VLOOKUP(Table1[[#This Row],[Address B]],IP_Master[],2,FALSE)</f>
        <v>Miscellaneous</v>
      </c>
      <c r="U492" s="9" t="str">
        <f>VLOOKUP(Table1[[#This Row],[Address A]],IP_Master[],3,FALSE)</f>
        <v>iFIX Nodes &amp; Ethernet Switches</v>
      </c>
      <c r="V492" s="9" t="str">
        <f>VLOOKUP(Table1[[#This Row],[Address B]],IP_Master[],3,FALSE)</f>
        <v>iFIX Nodes &amp; Ethernet Switches</v>
      </c>
      <c r="W492" s="9" t="str">
        <f>VLOOKUP(Table1[[#This Row],[Port B]],traffic_types[],2,FALSE)</f>
        <v>Modbus</v>
      </c>
    </row>
    <row r="493" spans="1:23" x14ac:dyDescent="0.6">
      <c r="A493" t="s">
        <v>53</v>
      </c>
      <c r="B493">
        <v>2870</v>
      </c>
      <c r="C493" t="s">
        <v>87</v>
      </c>
      <c r="D493">
        <v>502</v>
      </c>
      <c r="E493">
        <v>1</v>
      </c>
      <c r="F493" s="13">
        <v>62</v>
      </c>
      <c r="G493">
        <v>1</v>
      </c>
      <c r="H493">
        <v>62</v>
      </c>
      <c r="I493">
        <v>0</v>
      </c>
      <c r="J493">
        <v>0</v>
      </c>
      <c r="K493">
        <v>529.01132700000005</v>
      </c>
      <c r="L493">
        <v>0</v>
      </c>
      <c r="M493">
        <v>0</v>
      </c>
      <c r="N493">
        <v>0</v>
      </c>
      <c r="O493" s="8" t="str">
        <f>formatIP(Table1[[#This Row],[Address A]])</f>
        <v>010.012.000.001</v>
      </c>
      <c r="P493" s="8" t="str">
        <f>formatIP(Table1[[#This Row],[Address B]])</f>
        <v>010.011.009.028</v>
      </c>
      <c r="Q493" s="8" t="str">
        <f>VLOOKUP(Table1[[#This Row],[Address A]],IP_Master[],4,FALSE)</f>
        <v>PPPCFC1</v>
      </c>
      <c r="R493" s="8" t="str">
        <f>VLOOKUP(Table1[[#This Row],[Address B]],IP_Master[],4,FALSE)</f>
        <v>EGX100</v>
      </c>
      <c r="S493" s="8" t="str">
        <f>VLOOKUP(Table1[[#This Row],[Address A]],IP_Master[],2,FALSE)</f>
        <v>Fume Control</v>
      </c>
      <c r="T493" s="8" t="str">
        <f>VLOOKUP(Table1[[#This Row],[Address B]],IP_Master[],2,FALSE)</f>
        <v>Miscellaneous</v>
      </c>
      <c r="U493" s="9" t="str">
        <f>VLOOKUP(Table1[[#This Row],[Address A]],IP_Master[],3,FALSE)</f>
        <v>iFIX Nodes &amp; Ethernet Switches</v>
      </c>
      <c r="V493" s="9" t="str">
        <f>VLOOKUP(Table1[[#This Row],[Address B]],IP_Master[],3,FALSE)</f>
        <v>iFIX Nodes &amp; Ethernet Switches</v>
      </c>
      <c r="W493" s="9" t="str">
        <f>VLOOKUP(Table1[[#This Row],[Port B]],traffic_types[],2,FALSE)</f>
        <v>Modbus</v>
      </c>
    </row>
    <row r="494" spans="1:23" x14ac:dyDescent="0.6">
      <c r="A494" t="s">
        <v>53</v>
      </c>
      <c r="B494">
        <v>2871</v>
      </c>
      <c r="C494" t="s">
        <v>87</v>
      </c>
      <c r="D494">
        <v>502</v>
      </c>
      <c r="E494">
        <v>2</v>
      </c>
      <c r="F494" s="13">
        <v>124</v>
      </c>
      <c r="G494">
        <v>2</v>
      </c>
      <c r="H494">
        <v>124</v>
      </c>
      <c r="I494">
        <v>0</v>
      </c>
      <c r="J494">
        <v>0</v>
      </c>
      <c r="K494">
        <v>529.07636000000002</v>
      </c>
      <c r="L494">
        <v>2.8626699999999801</v>
      </c>
      <c r="M494">
        <v>346.52963841449002</v>
      </c>
      <c r="N494">
        <v>0</v>
      </c>
      <c r="O494" s="8" t="str">
        <f>formatIP(Table1[[#This Row],[Address A]])</f>
        <v>010.012.000.001</v>
      </c>
      <c r="P494" s="8" t="str">
        <f>formatIP(Table1[[#This Row],[Address B]])</f>
        <v>010.011.009.028</v>
      </c>
      <c r="Q494" s="8" t="str">
        <f>VLOOKUP(Table1[[#This Row],[Address A]],IP_Master[],4,FALSE)</f>
        <v>PPPCFC1</v>
      </c>
      <c r="R494" s="8" t="str">
        <f>VLOOKUP(Table1[[#This Row],[Address B]],IP_Master[],4,FALSE)</f>
        <v>EGX100</v>
      </c>
      <c r="S494" s="8" t="str">
        <f>VLOOKUP(Table1[[#This Row],[Address A]],IP_Master[],2,FALSE)</f>
        <v>Fume Control</v>
      </c>
      <c r="T494" s="8" t="str">
        <f>VLOOKUP(Table1[[#This Row],[Address B]],IP_Master[],2,FALSE)</f>
        <v>Miscellaneous</v>
      </c>
      <c r="U494" s="9" t="str">
        <f>VLOOKUP(Table1[[#This Row],[Address A]],IP_Master[],3,FALSE)</f>
        <v>iFIX Nodes &amp; Ethernet Switches</v>
      </c>
      <c r="V494" s="9" t="str">
        <f>VLOOKUP(Table1[[#This Row],[Address B]],IP_Master[],3,FALSE)</f>
        <v>iFIX Nodes &amp; Ethernet Switches</v>
      </c>
      <c r="W494" s="9" t="str">
        <f>VLOOKUP(Table1[[#This Row],[Port B]],traffic_types[],2,FALSE)</f>
        <v>Modbus</v>
      </c>
    </row>
    <row r="495" spans="1:23" x14ac:dyDescent="0.6">
      <c r="A495" t="s">
        <v>53</v>
      </c>
      <c r="B495">
        <v>2873</v>
      </c>
      <c r="C495" t="s">
        <v>87</v>
      </c>
      <c r="D495">
        <v>502</v>
      </c>
      <c r="E495">
        <v>1</v>
      </c>
      <c r="F495" s="13">
        <v>62</v>
      </c>
      <c r="G495">
        <v>1</v>
      </c>
      <c r="H495">
        <v>62</v>
      </c>
      <c r="I495">
        <v>0</v>
      </c>
      <c r="J495">
        <v>0</v>
      </c>
      <c r="K495">
        <v>529.63682600000004</v>
      </c>
      <c r="L495">
        <v>0</v>
      </c>
      <c r="M495">
        <v>0</v>
      </c>
      <c r="N495">
        <v>0</v>
      </c>
      <c r="O495" s="8" t="str">
        <f>formatIP(Table1[[#This Row],[Address A]])</f>
        <v>010.012.000.001</v>
      </c>
      <c r="P495" s="8" t="str">
        <f>formatIP(Table1[[#This Row],[Address B]])</f>
        <v>010.011.009.028</v>
      </c>
      <c r="Q495" s="8" t="str">
        <f>VLOOKUP(Table1[[#This Row],[Address A]],IP_Master[],4,FALSE)</f>
        <v>PPPCFC1</v>
      </c>
      <c r="R495" s="8" t="str">
        <f>VLOOKUP(Table1[[#This Row],[Address B]],IP_Master[],4,FALSE)</f>
        <v>EGX100</v>
      </c>
      <c r="S495" s="8" t="str">
        <f>VLOOKUP(Table1[[#This Row],[Address A]],IP_Master[],2,FALSE)</f>
        <v>Fume Control</v>
      </c>
      <c r="T495" s="8" t="str">
        <f>VLOOKUP(Table1[[#This Row],[Address B]],IP_Master[],2,FALSE)</f>
        <v>Miscellaneous</v>
      </c>
      <c r="U495" s="9" t="str">
        <f>VLOOKUP(Table1[[#This Row],[Address A]],IP_Master[],3,FALSE)</f>
        <v>iFIX Nodes &amp; Ethernet Switches</v>
      </c>
      <c r="V495" s="9" t="str">
        <f>VLOOKUP(Table1[[#This Row],[Address B]],IP_Master[],3,FALSE)</f>
        <v>iFIX Nodes &amp; Ethernet Switches</v>
      </c>
      <c r="W495" s="9" t="str">
        <f>VLOOKUP(Table1[[#This Row],[Port B]],traffic_types[],2,FALSE)</f>
        <v>Modbus</v>
      </c>
    </row>
    <row r="496" spans="1:23" x14ac:dyDescent="0.6">
      <c r="A496" t="s">
        <v>53</v>
      </c>
      <c r="B496">
        <v>2876</v>
      </c>
      <c r="C496" t="s">
        <v>87</v>
      </c>
      <c r="D496">
        <v>502</v>
      </c>
      <c r="E496">
        <v>1</v>
      </c>
      <c r="F496" s="13">
        <v>62</v>
      </c>
      <c r="G496">
        <v>1</v>
      </c>
      <c r="H496">
        <v>62</v>
      </c>
      <c r="I496">
        <v>0</v>
      </c>
      <c r="J496">
        <v>0</v>
      </c>
      <c r="K496">
        <v>532.08983699999999</v>
      </c>
      <c r="L496">
        <v>0</v>
      </c>
      <c r="M496">
        <v>0</v>
      </c>
      <c r="N496">
        <v>0</v>
      </c>
      <c r="O496" s="8" t="str">
        <f>formatIP(Table1[[#This Row],[Address A]])</f>
        <v>010.012.000.001</v>
      </c>
      <c r="P496" s="8" t="str">
        <f>formatIP(Table1[[#This Row],[Address B]])</f>
        <v>010.011.009.028</v>
      </c>
      <c r="Q496" s="8" t="str">
        <f>VLOOKUP(Table1[[#This Row],[Address A]],IP_Master[],4,FALSE)</f>
        <v>PPPCFC1</v>
      </c>
      <c r="R496" s="8" t="str">
        <f>VLOOKUP(Table1[[#This Row],[Address B]],IP_Master[],4,FALSE)</f>
        <v>EGX100</v>
      </c>
      <c r="S496" s="8" t="str">
        <f>VLOOKUP(Table1[[#This Row],[Address A]],IP_Master[],2,FALSE)</f>
        <v>Fume Control</v>
      </c>
      <c r="T496" s="8" t="str">
        <f>VLOOKUP(Table1[[#This Row],[Address B]],IP_Master[],2,FALSE)</f>
        <v>Miscellaneous</v>
      </c>
      <c r="U496" s="9" t="str">
        <f>VLOOKUP(Table1[[#This Row],[Address A]],IP_Master[],3,FALSE)</f>
        <v>iFIX Nodes &amp; Ethernet Switches</v>
      </c>
      <c r="V496" s="9" t="str">
        <f>VLOOKUP(Table1[[#This Row],[Address B]],IP_Master[],3,FALSE)</f>
        <v>iFIX Nodes &amp; Ethernet Switches</v>
      </c>
      <c r="W496" s="9" t="str">
        <f>VLOOKUP(Table1[[#This Row],[Port B]],traffic_types[],2,FALSE)</f>
        <v>Modbus</v>
      </c>
    </row>
    <row r="497" spans="1:23" x14ac:dyDescent="0.6">
      <c r="A497" t="s">
        <v>53</v>
      </c>
      <c r="B497">
        <v>2880</v>
      </c>
      <c r="C497" t="s">
        <v>87</v>
      </c>
      <c r="D497">
        <v>502</v>
      </c>
      <c r="E497">
        <v>1</v>
      </c>
      <c r="F497" s="13">
        <v>62</v>
      </c>
      <c r="G497">
        <v>1</v>
      </c>
      <c r="H497">
        <v>62</v>
      </c>
      <c r="I497">
        <v>0</v>
      </c>
      <c r="J497">
        <v>0</v>
      </c>
      <c r="K497">
        <v>555.58620599999995</v>
      </c>
      <c r="L497">
        <v>0</v>
      </c>
      <c r="M497">
        <v>0</v>
      </c>
      <c r="N497">
        <v>0</v>
      </c>
      <c r="O497" s="8" t="str">
        <f>formatIP(Table1[[#This Row],[Address A]])</f>
        <v>010.012.000.001</v>
      </c>
      <c r="P497" s="8" t="str">
        <f>formatIP(Table1[[#This Row],[Address B]])</f>
        <v>010.011.009.028</v>
      </c>
      <c r="Q497" s="8" t="str">
        <f>VLOOKUP(Table1[[#This Row],[Address A]],IP_Master[],4,FALSE)</f>
        <v>PPPCFC1</v>
      </c>
      <c r="R497" s="8" t="str">
        <f>VLOOKUP(Table1[[#This Row],[Address B]],IP_Master[],4,FALSE)</f>
        <v>EGX100</v>
      </c>
      <c r="S497" s="8" t="str">
        <f>VLOOKUP(Table1[[#This Row],[Address A]],IP_Master[],2,FALSE)</f>
        <v>Fume Control</v>
      </c>
      <c r="T497" s="8" t="str">
        <f>VLOOKUP(Table1[[#This Row],[Address B]],IP_Master[],2,FALSE)</f>
        <v>Miscellaneous</v>
      </c>
      <c r="U497" s="9" t="str">
        <f>VLOOKUP(Table1[[#This Row],[Address A]],IP_Master[],3,FALSE)</f>
        <v>iFIX Nodes &amp; Ethernet Switches</v>
      </c>
      <c r="V497" s="9" t="str">
        <f>VLOOKUP(Table1[[#This Row],[Address B]],IP_Master[],3,FALSE)</f>
        <v>iFIX Nodes &amp; Ethernet Switches</v>
      </c>
      <c r="W497" s="9" t="str">
        <f>VLOOKUP(Table1[[#This Row],[Port B]],traffic_types[],2,FALSE)</f>
        <v>Modbus</v>
      </c>
    </row>
    <row r="498" spans="1:23" x14ac:dyDescent="0.6">
      <c r="A498" t="s">
        <v>53</v>
      </c>
      <c r="B498">
        <v>2881</v>
      </c>
      <c r="C498" t="s">
        <v>87</v>
      </c>
      <c r="D498">
        <v>502</v>
      </c>
      <c r="E498">
        <v>2</v>
      </c>
      <c r="F498" s="13">
        <v>124</v>
      </c>
      <c r="G498">
        <v>2</v>
      </c>
      <c r="H498">
        <v>124</v>
      </c>
      <c r="I498">
        <v>0</v>
      </c>
      <c r="J498">
        <v>0</v>
      </c>
      <c r="K498">
        <v>558.05237799999998</v>
      </c>
      <c r="L498">
        <v>2.9597630000000699</v>
      </c>
      <c r="M498">
        <v>335.16197073886599</v>
      </c>
      <c r="N498">
        <v>0</v>
      </c>
      <c r="O498" s="8" t="str">
        <f>formatIP(Table1[[#This Row],[Address A]])</f>
        <v>010.012.000.001</v>
      </c>
      <c r="P498" s="8" t="str">
        <f>formatIP(Table1[[#This Row],[Address B]])</f>
        <v>010.011.009.028</v>
      </c>
      <c r="Q498" s="8" t="str">
        <f>VLOOKUP(Table1[[#This Row],[Address A]],IP_Master[],4,FALSE)</f>
        <v>PPPCFC1</v>
      </c>
      <c r="R498" s="8" t="str">
        <f>VLOOKUP(Table1[[#This Row],[Address B]],IP_Master[],4,FALSE)</f>
        <v>EGX100</v>
      </c>
      <c r="S498" s="8" t="str">
        <f>VLOOKUP(Table1[[#This Row],[Address A]],IP_Master[],2,FALSE)</f>
        <v>Fume Control</v>
      </c>
      <c r="T498" s="8" t="str">
        <f>VLOOKUP(Table1[[#This Row],[Address B]],IP_Master[],2,FALSE)</f>
        <v>Miscellaneous</v>
      </c>
      <c r="U498" s="9" t="str">
        <f>VLOOKUP(Table1[[#This Row],[Address A]],IP_Master[],3,FALSE)</f>
        <v>iFIX Nodes &amp; Ethernet Switches</v>
      </c>
      <c r="V498" s="9" t="str">
        <f>VLOOKUP(Table1[[#This Row],[Address B]],IP_Master[],3,FALSE)</f>
        <v>iFIX Nodes &amp; Ethernet Switches</v>
      </c>
      <c r="W498" s="9" t="str">
        <f>VLOOKUP(Table1[[#This Row],[Port B]],traffic_types[],2,FALSE)</f>
        <v>Modbus</v>
      </c>
    </row>
    <row r="499" spans="1:23" x14ac:dyDescent="0.6">
      <c r="A499" t="s">
        <v>53</v>
      </c>
      <c r="B499">
        <v>2882</v>
      </c>
      <c r="C499" t="s">
        <v>87</v>
      </c>
      <c r="D499">
        <v>502</v>
      </c>
      <c r="E499">
        <v>1</v>
      </c>
      <c r="F499" s="13">
        <v>62</v>
      </c>
      <c r="G499">
        <v>1</v>
      </c>
      <c r="H499">
        <v>62</v>
      </c>
      <c r="I499">
        <v>0</v>
      </c>
      <c r="J499">
        <v>0</v>
      </c>
      <c r="K499">
        <v>558.59324400000003</v>
      </c>
      <c r="L499">
        <v>0</v>
      </c>
      <c r="M499">
        <v>0</v>
      </c>
      <c r="N499">
        <v>0</v>
      </c>
      <c r="O499" s="8" t="str">
        <f>formatIP(Table1[[#This Row],[Address A]])</f>
        <v>010.012.000.001</v>
      </c>
      <c r="P499" s="8" t="str">
        <f>formatIP(Table1[[#This Row],[Address B]])</f>
        <v>010.011.009.028</v>
      </c>
      <c r="Q499" s="8" t="str">
        <f>VLOOKUP(Table1[[#This Row],[Address A]],IP_Master[],4,FALSE)</f>
        <v>PPPCFC1</v>
      </c>
      <c r="R499" s="8" t="str">
        <f>VLOOKUP(Table1[[#This Row],[Address B]],IP_Master[],4,FALSE)</f>
        <v>EGX100</v>
      </c>
      <c r="S499" s="8" t="str">
        <f>VLOOKUP(Table1[[#This Row],[Address A]],IP_Master[],2,FALSE)</f>
        <v>Fume Control</v>
      </c>
      <c r="T499" s="8" t="str">
        <f>VLOOKUP(Table1[[#This Row],[Address B]],IP_Master[],2,FALSE)</f>
        <v>Miscellaneous</v>
      </c>
      <c r="U499" s="9" t="str">
        <f>VLOOKUP(Table1[[#This Row],[Address A]],IP_Master[],3,FALSE)</f>
        <v>iFIX Nodes &amp; Ethernet Switches</v>
      </c>
      <c r="V499" s="9" t="str">
        <f>VLOOKUP(Table1[[#This Row],[Address B]],IP_Master[],3,FALSE)</f>
        <v>iFIX Nodes &amp; Ethernet Switches</v>
      </c>
      <c r="W499" s="9" t="str">
        <f>VLOOKUP(Table1[[#This Row],[Port B]],traffic_types[],2,FALSE)</f>
        <v>Modbus</v>
      </c>
    </row>
    <row r="500" spans="1:23" x14ac:dyDescent="0.6">
      <c r="A500" t="s">
        <v>53</v>
      </c>
      <c r="B500">
        <v>2883</v>
      </c>
      <c r="C500" t="s">
        <v>87</v>
      </c>
      <c r="D500">
        <v>502</v>
      </c>
      <c r="E500">
        <v>1</v>
      </c>
      <c r="F500" s="13">
        <v>62</v>
      </c>
      <c r="G500">
        <v>1</v>
      </c>
      <c r="H500">
        <v>62</v>
      </c>
      <c r="I500">
        <v>0</v>
      </c>
      <c r="J500">
        <v>0</v>
      </c>
      <c r="K500">
        <v>559.02307299999995</v>
      </c>
      <c r="L500">
        <v>0</v>
      </c>
      <c r="M500">
        <v>0</v>
      </c>
      <c r="N500">
        <v>0</v>
      </c>
      <c r="O500" s="8" t="str">
        <f>formatIP(Table1[[#This Row],[Address A]])</f>
        <v>010.012.000.001</v>
      </c>
      <c r="P500" s="8" t="str">
        <f>formatIP(Table1[[#This Row],[Address B]])</f>
        <v>010.011.009.028</v>
      </c>
      <c r="Q500" s="8" t="str">
        <f>VLOOKUP(Table1[[#This Row],[Address A]],IP_Master[],4,FALSE)</f>
        <v>PPPCFC1</v>
      </c>
      <c r="R500" s="8" t="str">
        <f>VLOOKUP(Table1[[#This Row],[Address B]],IP_Master[],4,FALSE)</f>
        <v>EGX100</v>
      </c>
      <c r="S500" s="8" t="str">
        <f>VLOOKUP(Table1[[#This Row],[Address A]],IP_Master[],2,FALSE)</f>
        <v>Fume Control</v>
      </c>
      <c r="T500" s="8" t="str">
        <f>VLOOKUP(Table1[[#This Row],[Address B]],IP_Master[],2,FALSE)</f>
        <v>Miscellaneous</v>
      </c>
      <c r="U500" s="9" t="str">
        <f>VLOOKUP(Table1[[#This Row],[Address A]],IP_Master[],3,FALSE)</f>
        <v>iFIX Nodes &amp; Ethernet Switches</v>
      </c>
      <c r="V500" s="9" t="str">
        <f>VLOOKUP(Table1[[#This Row],[Address B]],IP_Master[],3,FALSE)</f>
        <v>iFIX Nodes &amp; Ethernet Switches</v>
      </c>
      <c r="W500" s="9" t="str">
        <f>VLOOKUP(Table1[[#This Row],[Port B]],traffic_types[],2,FALSE)</f>
        <v>Modbus</v>
      </c>
    </row>
    <row r="501" spans="1:23" x14ac:dyDescent="0.6">
      <c r="A501" t="s">
        <v>53</v>
      </c>
      <c r="B501">
        <v>2885</v>
      </c>
      <c r="C501" t="s">
        <v>87</v>
      </c>
      <c r="D501">
        <v>502</v>
      </c>
      <c r="E501">
        <v>2</v>
      </c>
      <c r="F501" s="13">
        <v>124</v>
      </c>
      <c r="G501">
        <v>2</v>
      </c>
      <c r="H501">
        <v>124</v>
      </c>
      <c r="I501">
        <v>0</v>
      </c>
      <c r="J501">
        <v>0</v>
      </c>
      <c r="K501">
        <v>559.64882</v>
      </c>
      <c r="L501">
        <v>2.9728830000000199</v>
      </c>
      <c r="M501">
        <v>333.68282572842298</v>
      </c>
      <c r="N501">
        <v>0</v>
      </c>
      <c r="O501" s="8" t="str">
        <f>formatIP(Table1[[#This Row],[Address A]])</f>
        <v>010.012.000.001</v>
      </c>
      <c r="P501" s="8" t="str">
        <f>formatIP(Table1[[#This Row],[Address B]])</f>
        <v>010.011.009.028</v>
      </c>
      <c r="Q501" s="8" t="str">
        <f>VLOOKUP(Table1[[#This Row],[Address A]],IP_Master[],4,FALSE)</f>
        <v>PPPCFC1</v>
      </c>
      <c r="R501" s="8" t="str">
        <f>VLOOKUP(Table1[[#This Row],[Address B]],IP_Master[],4,FALSE)</f>
        <v>EGX100</v>
      </c>
      <c r="S501" s="8" t="str">
        <f>VLOOKUP(Table1[[#This Row],[Address A]],IP_Master[],2,FALSE)</f>
        <v>Fume Control</v>
      </c>
      <c r="T501" s="8" t="str">
        <f>VLOOKUP(Table1[[#This Row],[Address B]],IP_Master[],2,FALSE)</f>
        <v>Miscellaneous</v>
      </c>
      <c r="U501" s="9" t="str">
        <f>VLOOKUP(Table1[[#This Row],[Address A]],IP_Master[],3,FALSE)</f>
        <v>iFIX Nodes &amp; Ethernet Switches</v>
      </c>
      <c r="V501" s="9" t="str">
        <f>VLOOKUP(Table1[[#This Row],[Address B]],IP_Master[],3,FALSE)</f>
        <v>iFIX Nodes &amp; Ethernet Switches</v>
      </c>
      <c r="W501" s="9" t="str">
        <f>VLOOKUP(Table1[[#This Row],[Port B]],traffic_types[],2,FALSE)</f>
        <v>Modbus</v>
      </c>
    </row>
    <row r="502" spans="1:23" x14ac:dyDescent="0.6">
      <c r="A502" t="s">
        <v>53</v>
      </c>
      <c r="B502">
        <v>2888</v>
      </c>
      <c r="C502" t="s">
        <v>87</v>
      </c>
      <c r="D502">
        <v>502</v>
      </c>
      <c r="E502">
        <v>1</v>
      </c>
      <c r="F502" s="13">
        <v>62</v>
      </c>
      <c r="G502">
        <v>1</v>
      </c>
      <c r="H502">
        <v>62</v>
      </c>
      <c r="I502">
        <v>0</v>
      </c>
      <c r="J502">
        <v>0</v>
      </c>
      <c r="K502">
        <v>561.06241</v>
      </c>
      <c r="L502">
        <v>0</v>
      </c>
      <c r="M502">
        <v>0</v>
      </c>
      <c r="N502">
        <v>0</v>
      </c>
      <c r="O502" s="8" t="str">
        <f>formatIP(Table1[[#This Row],[Address A]])</f>
        <v>010.012.000.001</v>
      </c>
      <c r="P502" s="8" t="str">
        <f>formatIP(Table1[[#This Row],[Address B]])</f>
        <v>010.011.009.028</v>
      </c>
      <c r="Q502" s="8" t="str">
        <f>VLOOKUP(Table1[[#This Row],[Address A]],IP_Master[],4,FALSE)</f>
        <v>PPPCFC1</v>
      </c>
      <c r="R502" s="8" t="str">
        <f>VLOOKUP(Table1[[#This Row],[Address B]],IP_Master[],4,FALSE)</f>
        <v>EGX100</v>
      </c>
      <c r="S502" s="8" t="str">
        <f>VLOOKUP(Table1[[#This Row],[Address A]],IP_Master[],2,FALSE)</f>
        <v>Fume Control</v>
      </c>
      <c r="T502" s="8" t="str">
        <f>VLOOKUP(Table1[[#This Row],[Address B]],IP_Master[],2,FALSE)</f>
        <v>Miscellaneous</v>
      </c>
      <c r="U502" s="9" t="str">
        <f>VLOOKUP(Table1[[#This Row],[Address A]],IP_Master[],3,FALSE)</f>
        <v>iFIX Nodes &amp; Ethernet Switches</v>
      </c>
      <c r="V502" s="9" t="str">
        <f>VLOOKUP(Table1[[#This Row],[Address B]],IP_Master[],3,FALSE)</f>
        <v>iFIX Nodes &amp; Ethernet Switches</v>
      </c>
      <c r="W502" s="9" t="str">
        <f>VLOOKUP(Table1[[#This Row],[Port B]],traffic_types[],2,FALSE)</f>
        <v>Modbus</v>
      </c>
    </row>
    <row r="503" spans="1:23" x14ac:dyDescent="0.6">
      <c r="A503" t="s">
        <v>53</v>
      </c>
      <c r="B503">
        <v>2889</v>
      </c>
      <c r="C503" t="s">
        <v>87</v>
      </c>
      <c r="D503">
        <v>502</v>
      </c>
      <c r="E503">
        <v>1</v>
      </c>
      <c r="F503" s="13">
        <v>62</v>
      </c>
      <c r="G503">
        <v>1</v>
      </c>
      <c r="H503">
        <v>62</v>
      </c>
      <c r="I503">
        <v>0</v>
      </c>
      <c r="J503">
        <v>0</v>
      </c>
      <c r="K503">
        <v>562.03143899999998</v>
      </c>
      <c r="L503">
        <v>0</v>
      </c>
      <c r="M503">
        <v>0</v>
      </c>
      <c r="N503">
        <v>0</v>
      </c>
      <c r="O503" s="8" t="str">
        <f>formatIP(Table1[[#This Row],[Address A]])</f>
        <v>010.012.000.001</v>
      </c>
      <c r="P503" s="8" t="str">
        <f>formatIP(Table1[[#This Row],[Address B]])</f>
        <v>010.011.009.028</v>
      </c>
      <c r="Q503" s="8" t="str">
        <f>VLOOKUP(Table1[[#This Row],[Address A]],IP_Master[],4,FALSE)</f>
        <v>PPPCFC1</v>
      </c>
      <c r="R503" s="8" t="str">
        <f>VLOOKUP(Table1[[#This Row],[Address B]],IP_Master[],4,FALSE)</f>
        <v>EGX100</v>
      </c>
      <c r="S503" s="8" t="str">
        <f>VLOOKUP(Table1[[#This Row],[Address A]],IP_Master[],2,FALSE)</f>
        <v>Fume Control</v>
      </c>
      <c r="T503" s="8" t="str">
        <f>VLOOKUP(Table1[[#This Row],[Address B]],IP_Master[],2,FALSE)</f>
        <v>Miscellaneous</v>
      </c>
      <c r="U503" s="9" t="str">
        <f>VLOOKUP(Table1[[#This Row],[Address A]],IP_Master[],3,FALSE)</f>
        <v>iFIX Nodes &amp; Ethernet Switches</v>
      </c>
      <c r="V503" s="9" t="str">
        <f>VLOOKUP(Table1[[#This Row],[Address B]],IP_Master[],3,FALSE)</f>
        <v>iFIX Nodes &amp; Ethernet Switches</v>
      </c>
      <c r="W503" s="9" t="str">
        <f>VLOOKUP(Table1[[#This Row],[Port B]],traffic_types[],2,FALSE)</f>
        <v>Modbus</v>
      </c>
    </row>
    <row r="504" spans="1:23" x14ac:dyDescent="0.6">
      <c r="A504" t="s">
        <v>53</v>
      </c>
      <c r="B504">
        <v>2890</v>
      </c>
      <c r="C504" t="s">
        <v>87</v>
      </c>
      <c r="D504">
        <v>502</v>
      </c>
      <c r="E504">
        <v>2</v>
      </c>
      <c r="F504" s="13">
        <v>124</v>
      </c>
      <c r="G504">
        <v>2</v>
      </c>
      <c r="H504">
        <v>124</v>
      </c>
      <c r="I504">
        <v>0</v>
      </c>
      <c r="J504">
        <v>0</v>
      </c>
      <c r="K504">
        <v>562.09993999999995</v>
      </c>
      <c r="L504">
        <v>2.9362270000000299</v>
      </c>
      <c r="M504">
        <v>337.84853827718001</v>
      </c>
      <c r="N504">
        <v>0</v>
      </c>
      <c r="O504" s="8" t="str">
        <f>formatIP(Table1[[#This Row],[Address A]])</f>
        <v>010.012.000.001</v>
      </c>
      <c r="P504" s="8" t="str">
        <f>formatIP(Table1[[#This Row],[Address B]])</f>
        <v>010.011.009.028</v>
      </c>
      <c r="Q504" s="8" t="str">
        <f>VLOOKUP(Table1[[#This Row],[Address A]],IP_Master[],4,FALSE)</f>
        <v>PPPCFC1</v>
      </c>
      <c r="R504" s="8" t="str">
        <f>VLOOKUP(Table1[[#This Row],[Address B]],IP_Master[],4,FALSE)</f>
        <v>EGX100</v>
      </c>
      <c r="S504" s="8" t="str">
        <f>VLOOKUP(Table1[[#This Row],[Address A]],IP_Master[],2,FALSE)</f>
        <v>Fume Control</v>
      </c>
      <c r="T504" s="8" t="str">
        <f>VLOOKUP(Table1[[#This Row],[Address B]],IP_Master[],2,FALSE)</f>
        <v>Miscellaneous</v>
      </c>
      <c r="U504" s="9" t="str">
        <f>VLOOKUP(Table1[[#This Row],[Address A]],IP_Master[],3,FALSE)</f>
        <v>iFIX Nodes &amp; Ethernet Switches</v>
      </c>
      <c r="V504" s="9" t="str">
        <f>VLOOKUP(Table1[[#This Row],[Address B]],IP_Master[],3,FALSE)</f>
        <v>iFIX Nodes &amp; Ethernet Switches</v>
      </c>
      <c r="W504" s="9" t="str">
        <f>VLOOKUP(Table1[[#This Row],[Port B]],traffic_types[],2,FALSE)</f>
        <v>Modbus</v>
      </c>
    </row>
    <row r="505" spans="1:23" x14ac:dyDescent="0.6">
      <c r="A505" t="s">
        <v>53</v>
      </c>
      <c r="B505">
        <v>2892</v>
      </c>
      <c r="C505" t="s">
        <v>87</v>
      </c>
      <c r="D505">
        <v>502</v>
      </c>
      <c r="E505">
        <v>1</v>
      </c>
      <c r="F505" s="13">
        <v>62</v>
      </c>
      <c r="G505">
        <v>1</v>
      </c>
      <c r="H505">
        <v>62</v>
      </c>
      <c r="I505">
        <v>0</v>
      </c>
      <c r="J505">
        <v>0</v>
      </c>
      <c r="K505">
        <v>562.65655100000004</v>
      </c>
      <c r="L505">
        <v>0</v>
      </c>
      <c r="M505">
        <v>0</v>
      </c>
      <c r="N505">
        <v>0</v>
      </c>
      <c r="O505" s="8" t="str">
        <f>formatIP(Table1[[#This Row],[Address A]])</f>
        <v>010.012.000.001</v>
      </c>
      <c r="P505" s="8" t="str">
        <f>formatIP(Table1[[#This Row],[Address B]])</f>
        <v>010.011.009.028</v>
      </c>
      <c r="Q505" s="8" t="str">
        <f>VLOOKUP(Table1[[#This Row],[Address A]],IP_Master[],4,FALSE)</f>
        <v>PPPCFC1</v>
      </c>
      <c r="R505" s="8" t="str">
        <f>VLOOKUP(Table1[[#This Row],[Address B]],IP_Master[],4,FALSE)</f>
        <v>EGX100</v>
      </c>
      <c r="S505" s="8" t="str">
        <f>VLOOKUP(Table1[[#This Row],[Address A]],IP_Master[],2,FALSE)</f>
        <v>Fume Control</v>
      </c>
      <c r="T505" s="8" t="str">
        <f>VLOOKUP(Table1[[#This Row],[Address B]],IP_Master[],2,FALSE)</f>
        <v>Miscellaneous</v>
      </c>
      <c r="U505" s="9" t="str">
        <f>VLOOKUP(Table1[[#This Row],[Address A]],IP_Master[],3,FALSE)</f>
        <v>iFIX Nodes &amp; Ethernet Switches</v>
      </c>
      <c r="V505" s="9" t="str">
        <f>VLOOKUP(Table1[[#This Row],[Address B]],IP_Master[],3,FALSE)</f>
        <v>iFIX Nodes &amp; Ethernet Switches</v>
      </c>
      <c r="W505" s="9" t="str">
        <f>VLOOKUP(Table1[[#This Row],[Port B]],traffic_types[],2,FALSE)</f>
        <v>Modbus</v>
      </c>
    </row>
    <row r="506" spans="1:23" x14ac:dyDescent="0.6">
      <c r="A506" t="s">
        <v>53</v>
      </c>
      <c r="B506">
        <v>2894</v>
      </c>
      <c r="C506" t="s">
        <v>87</v>
      </c>
      <c r="D506">
        <v>502</v>
      </c>
      <c r="E506">
        <v>1</v>
      </c>
      <c r="F506" s="13">
        <v>62</v>
      </c>
      <c r="G506">
        <v>1</v>
      </c>
      <c r="H506">
        <v>62</v>
      </c>
      <c r="I506">
        <v>0</v>
      </c>
      <c r="J506">
        <v>0</v>
      </c>
      <c r="K506">
        <v>565.10967000000005</v>
      </c>
      <c r="L506">
        <v>0</v>
      </c>
      <c r="M506">
        <v>0</v>
      </c>
      <c r="N506">
        <v>0</v>
      </c>
      <c r="O506" s="8" t="str">
        <f>formatIP(Table1[[#This Row],[Address A]])</f>
        <v>010.012.000.001</v>
      </c>
      <c r="P506" s="8" t="str">
        <f>formatIP(Table1[[#This Row],[Address B]])</f>
        <v>010.011.009.028</v>
      </c>
      <c r="Q506" s="8" t="str">
        <f>VLOOKUP(Table1[[#This Row],[Address A]],IP_Master[],4,FALSE)</f>
        <v>PPPCFC1</v>
      </c>
      <c r="R506" s="8" t="str">
        <f>VLOOKUP(Table1[[#This Row],[Address B]],IP_Master[],4,FALSE)</f>
        <v>EGX100</v>
      </c>
      <c r="S506" s="8" t="str">
        <f>VLOOKUP(Table1[[#This Row],[Address A]],IP_Master[],2,FALSE)</f>
        <v>Fume Control</v>
      </c>
      <c r="T506" s="8" t="str">
        <f>VLOOKUP(Table1[[#This Row],[Address B]],IP_Master[],2,FALSE)</f>
        <v>Miscellaneous</v>
      </c>
      <c r="U506" s="9" t="str">
        <f>VLOOKUP(Table1[[#This Row],[Address A]],IP_Master[],3,FALSE)</f>
        <v>iFIX Nodes &amp; Ethernet Switches</v>
      </c>
      <c r="V506" s="9" t="str">
        <f>VLOOKUP(Table1[[#This Row],[Address B]],IP_Master[],3,FALSE)</f>
        <v>iFIX Nodes &amp; Ethernet Switches</v>
      </c>
      <c r="W506" s="9" t="str">
        <f>VLOOKUP(Table1[[#This Row],[Port B]],traffic_types[],2,FALSE)</f>
        <v>Modbus</v>
      </c>
    </row>
    <row r="507" spans="1:23" x14ac:dyDescent="0.6">
      <c r="A507" t="s">
        <v>53</v>
      </c>
      <c r="B507">
        <v>2899</v>
      </c>
      <c r="C507" t="s">
        <v>87</v>
      </c>
      <c r="D507">
        <v>502</v>
      </c>
      <c r="E507">
        <v>2</v>
      </c>
      <c r="F507" s="13">
        <v>124</v>
      </c>
      <c r="G507">
        <v>2</v>
      </c>
      <c r="H507">
        <v>124</v>
      </c>
      <c r="I507">
        <v>0</v>
      </c>
      <c r="J507">
        <v>0</v>
      </c>
      <c r="K507">
        <v>588.59930299999996</v>
      </c>
      <c r="L507">
        <v>2.9948450000000499</v>
      </c>
      <c r="M507">
        <v>331.23584025216098</v>
      </c>
      <c r="N507">
        <v>0</v>
      </c>
      <c r="O507" s="8" t="str">
        <f>formatIP(Table1[[#This Row],[Address A]])</f>
        <v>010.012.000.001</v>
      </c>
      <c r="P507" s="8" t="str">
        <f>formatIP(Table1[[#This Row],[Address B]])</f>
        <v>010.011.009.028</v>
      </c>
      <c r="Q507" s="8" t="str">
        <f>VLOOKUP(Table1[[#This Row],[Address A]],IP_Master[],4,FALSE)</f>
        <v>PPPCFC1</v>
      </c>
      <c r="R507" s="8" t="str">
        <f>VLOOKUP(Table1[[#This Row],[Address B]],IP_Master[],4,FALSE)</f>
        <v>EGX100</v>
      </c>
      <c r="S507" s="8" t="str">
        <f>VLOOKUP(Table1[[#This Row],[Address A]],IP_Master[],2,FALSE)</f>
        <v>Fume Control</v>
      </c>
      <c r="T507" s="8" t="str">
        <f>VLOOKUP(Table1[[#This Row],[Address B]],IP_Master[],2,FALSE)</f>
        <v>Miscellaneous</v>
      </c>
      <c r="U507" s="9" t="str">
        <f>VLOOKUP(Table1[[#This Row],[Address A]],IP_Master[],3,FALSE)</f>
        <v>iFIX Nodes &amp; Ethernet Switches</v>
      </c>
      <c r="V507" s="9" t="str">
        <f>VLOOKUP(Table1[[#This Row],[Address B]],IP_Master[],3,FALSE)</f>
        <v>iFIX Nodes &amp; Ethernet Switches</v>
      </c>
      <c r="W507" s="9" t="str">
        <f>VLOOKUP(Table1[[#This Row],[Port B]],traffic_types[],2,FALSE)</f>
        <v>Modbus</v>
      </c>
    </row>
    <row r="508" spans="1:23" x14ac:dyDescent="0.6">
      <c r="A508" t="s">
        <v>53</v>
      </c>
      <c r="B508">
        <v>2901</v>
      </c>
      <c r="C508" t="s">
        <v>87</v>
      </c>
      <c r="D508">
        <v>502</v>
      </c>
      <c r="E508">
        <v>2</v>
      </c>
      <c r="F508" s="13">
        <v>124</v>
      </c>
      <c r="G508">
        <v>2</v>
      </c>
      <c r="H508">
        <v>124</v>
      </c>
      <c r="I508">
        <v>0</v>
      </c>
      <c r="J508">
        <v>0</v>
      </c>
      <c r="K508">
        <v>591.07310900000004</v>
      </c>
      <c r="L508">
        <v>2.9354209999999101</v>
      </c>
      <c r="M508">
        <v>337.94130381980398</v>
      </c>
      <c r="N508">
        <v>0</v>
      </c>
      <c r="O508" s="8" t="str">
        <f>formatIP(Table1[[#This Row],[Address A]])</f>
        <v>010.012.000.001</v>
      </c>
      <c r="P508" s="8" t="str">
        <f>formatIP(Table1[[#This Row],[Address B]])</f>
        <v>010.011.009.028</v>
      </c>
      <c r="Q508" s="8" t="str">
        <f>VLOOKUP(Table1[[#This Row],[Address A]],IP_Master[],4,FALSE)</f>
        <v>PPPCFC1</v>
      </c>
      <c r="R508" s="8" t="str">
        <f>VLOOKUP(Table1[[#This Row],[Address B]],IP_Master[],4,FALSE)</f>
        <v>EGX100</v>
      </c>
      <c r="S508" s="8" t="str">
        <f>VLOOKUP(Table1[[#This Row],[Address A]],IP_Master[],2,FALSE)</f>
        <v>Fume Control</v>
      </c>
      <c r="T508" s="8" t="str">
        <f>VLOOKUP(Table1[[#This Row],[Address B]],IP_Master[],2,FALSE)</f>
        <v>Miscellaneous</v>
      </c>
      <c r="U508" s="9" t="str">
        <f>VLOOKUP(Table1[[#This Row],[Address A]],IP_Master[],3,FALSE)</f>
        <v>iFIX Nodes &amp; Ethernet Switches</v>
      </c>
      <c r="V508" s="9" t="str">
        <f>VLOOKUP(Table1[[#This Row],[Address B]],IP_Master[],3,FALSE)</f>
        <v>iFIX Nodes &amp; Ethernet Switches</v>
      </c>
      <c r="W508" s="9" t="str">
        <f>VLOOKUP(Table1[[#This Row],[Port B]],traffic_types[],2,FALSE)</f>
        <v>Modbus</v>
      </c>
    </row>
    <row r="509" spans="1:23" x14ac:dyDescent="0.6">
      <c r="A509" t="s">
        <v>53</v>
      </c>
      <c r="B509">
        <v>2902</v>
      </c>
      <c r="C509" t="s">
        <v>87</v>
      </c>
      <c r="D509">
        <v>502</v>
      </c>
      <c r="E509">
        <v>1</v>
      </c>
      <c r="F509" s="13">
        <v>62</v>
      </c>
      <c r="G509">
        <v>1</v>
      </c>
      <c r="H509">
        <v>62</v>
      </c>
      <c r="I509">
        <v>0</v>
      </c>
      <c r="J509">
        <v>0</v>
      </c>
      <c r="K509">
        <v>591.613024</v>
      </c>
      <c r="L509">
        <v>0</v>
      </c>
      <c r="M509">
        <v>0</v>
      </c>
      <c r="N509">
        <v>0</v>
      </c>
      <c r="O509" s="8" t="str">
        <f>formatIP(Table1[[#This Row],[Address A]])</f>
        <v>010.012.000.001</v>
      </c>
      <c r="P509" s="8" t="str">
        <f>formatIP(Table1[[#This Row],[Address B]])</f>
        <v>010.011.009.028</v>
      </c>
      <c r="Q509" s="8" t="str">
        <f>VLOOKUP(Table1[[#This Row],[Address A]],IP_Master[],4,FALSE)</f>
        <v>PPPCFC1</v>
      </c>
      <c r="R509" s="8" t="str">
        <f>VLOOKUP(Table1[[#This Row],[Address B]],IP_Master[],4,FALSE)</f>
        <v>EGX100</v>
      </c>
      <c r="S509" s="8" t="str">
        <f>VLOOKUP(Table1[[#This Row],[Address A]],IP_Master[],2,FALSE)</f>
        <v>Fume Control</v>
      </c>
      <c r="T509" s="8" t="str">
        <f>VLOOKUP(Table1[[#This Row],[Address B]],IP_Master[],2,FALSE)</f>
        <v>Miscellaneous</v>
      </c>
      <c r="U509" s="9" t="str">
        <f>VLOOKUP(Table1[[#This Row],[Address A]],IP_Master[],3,FALSE)</f>
        <v>iFIX Nodes &amp; Ethernet Switches</v>
      </c>
      <c r="V509" s="9" t="str">
        <f>VLOOKUP(Table1[[#This Row],[Address B]],IP_Master[],3,FALSE)</f>
        <v>iFIX Nodes &amp; Ethernet Switches</v>
      </c>
      <c r="W509" s="9" t="str">
        <f>VLOOKUP(Table1[[#This Row],[Port B]],traffic_types[],2,FALSE)</f>
        <v>Modbus</v>
      </c>
    </row>
    <row r="510" spans="1:23" x14ac:dyDescent="0.6">
      <c r="A510" t="s">
        <v>53</v>
      </c>
      <c r="B510">
        <v>2903</v>
      </c>
      <c r="C510" t="s">
        <v>87</v>
      </c>
      <c r="D510">
        <v>502</v>
      </c>
      <c r="E510">
        <v>2</v>
      </c>
      <c r="F510" s="13">
        <v>124</v>
      </c>
      <c r="G510">
        <v>2</v>
      </c>
      <c r="H510">
        <v>124</v>
      </c>
      <c r="I510">
        <v>0</v>
      </c>
      <c r="J510">
        <v>0</v>
      </c>
      <c r="K510">
        <v>592.04307200000005</v>
      </c>
      <c r="L510">
        <v>2.9714909999999</v>
      </c>
      <c r="M510">
        <v>333.83914001423301</v>
      </c>
      <c r="N510">
        <v>0</v>
      </c>
      <c r="O510" s="8" t="str">
        <f>formatIP(Table1[[#This Row],[Address A]])</f>
        <v>010.012.000.001</v>
      </c>
      <c r="P510" s="8" t="str">
        <f>formatIP(Table1[[#This Row],[Address B]])</f>
        <v>010.011.009.028</v>
      </c>
      <c r="Q510" s="8" t="str">
        <f>VLOOKUP(Table1[[#This Row],[Address A]],IP_Master[],4,FALSE)</f>
        <v>PPPCFC1</v>
      </c>
      <c r="R510" s="8" t="str">
        <f>VLOOKUP(Table1[[#This Row],[Address B]],IP_Master[],4,FALSE)</f>
        <v>EGX100</v>
      </c>
      <c r="S510" s="8" t="str">
        <f>VLOOKUP(Table1[[#This Row],[Address A]],IP_Master[],2,FALSE)</f>
        <v>Fume Control</v>
      </c>
      <c r="T510" s="8" t="str">
        <f>VLOOKUP(Table1[[#This Row],[Address B]],IP_Master[],2,FALSE)</f>
        <v>Miscellaneous</v>
      </c>
      <c r="U510" s="9" t="str">
        <f>VLOOKUP(Table1[[#This Row],[Address A]],IP_Master[],3,FALSE)</f>
        <v>iFIX Nodes &amp; Ethernet Switches</v>
      </c>
      <c r="V510" s="9" t="str">
        <f>VLOOKUP(Table1[[#This Row],[Address B]],IP_Master[],3,FALSE)</f>
        <v>iFIX Nodes &amp; Ethernet Switches</v>
      </c>
      <c r="W510" s="9" t="str">
        <f>VLOOKUP(Table1[[#This Row],[Port B]],traffic_types[],2,FALSE)</f>
        <v>Modbus</v>
      </c>
    </row>
    <row r="511" spans="1:23" x14ac:dyDescent="0.6">
      <c r="A511" t="s">
        <v>53</v>
      </c>
      <c r="B511">
        <v>2905</v>
      </c>
      <c r="C511" t="s">
        <v>87</v>
      </c>
      <c r="D511">
        <v>502</v>
      </c>
      <c r="E511">
        <v>2</v>
      </c>
      <c r="F511" s="13">
        <v>124</v>
      </c>
      <c r="G511">
        <v>2</v>
      </c>
      <c r="H511">
        <v>124</v>
      </c>
      <c r="I511">
        <v>0</v>
      </c>
      <c r="J511">
        <v>0</v>
      </c>
      <c r="K511">
        <v>592.66702599999996</v>
      </c>
      <c r="L511">
        <v>2.95101499999998</v>
      </c>
      <c r="M511">
        <v>336.15552614947899</v>
      </c>
      <c r="N511">
        <v>0</v>
      </c>
      <c r="O511" s="8" t="str">
        <f>formatIP(Table1[[#This Row],[Address A]])</f>
        <v>010.012.000.001</v>
      </c>
      <c r="P511" s="8" t="str">
        <f>formatIP(Table1[[#This Row],[Address B]])</f>
        <v>010.011.009.028</v>
      </c>
      <c r="Q511" s="8" t="str">
        <f>VLOOKUP(Table1[[#This Row],[Address A]],IP_Master[],4,FALSE)</f>
        <v>PPPCFC1</v>
      </c>
      <c r="R511" s="8" t="str">
        <f>VLOOKUP(Table1[[#This Row],[Address B]],IP_Master[],4,FALSE)</f>
        <v>EGX100</v>
      </c>
      <c r="S511" s="8" t="str">
        <f>VLOOKUP(Table1[[#This Row],[Address A]],IP_Master[],2,FALSE)</f>
        <v>Fume Control</v>
      </c>
      <c r="T511" s="8" t="str">
        <f>VLOOKUP(Table1[[#This Row],[Address B]],IP_Master[],2,FALSE)</f>
        <v>Miscellaneous</v>
      </c>
      <c r="U511" s="9" t="str">
        <f>VLOOKUP(Table1[[#This Row],[Address A]],IP_Master[],3,FALSE)</f>
        <v>iFIX Nodes &amp; Ethernet Switches</v>
      </c>
      <c r="V511" s="9" t="str">
        <f>VLOOKUP(Table1[[#This Row],[Address B]],IP_Master[],3,FALSE)</f>
        <v>iFIX Nodes &amp; Ethernet Switches</v>
      </c>
      <c r="W511" s="9" t="str">
        <f>VLOOKUP(Table1[[#This Row],[Port B]],traffic_types[],2,FALSE)</f>
        <v>Modbus</v>
      </c>
    </row>
    <row r="512" spans="1:23" x14ac:dyDescent="0.6">
      <c r="A512" t="s">
        <v>53</v>
      </c>
      <c r="B512">
        <v>2907</v>
      </c>
      <c r="C512" t="s">
        <v>87</v>
      </c>
      <c r="D512">
        <v>502</v>
      </c>
      <c r="E512">
        <v>1</v>
      </c>
      <c r="F512" s="13">
        <v>62</v>
      </c>
      <c r="G512">
        <v>1</v>
      </c>
      <c r="H512">
        <v>62</v>
      </c>
      <c r="I512">
        <v>0</v>
      </c>
      <c r="J512">
        <v>0</v>
      </c>
      <c r="K512">
        <v>594.08232399999997</v>
      </c>
      <c r="L512">
        <v>0</v>
      </c>
      <c r="M512">
        <v>0</v>
      </c>
      <c r="N512">
        <v>0</v>
      </c>
      <c r="O512" s="8" t="str">
        <f>formatIP(Table1[[#This Row],[Address A]])</f>
        <v>010.012.000.001</v>
      </c>
      <c r="P512" s="8" t="str">
        <f>formatIP(Table1[[#This Row],[Address B]])</f>
        <v>010.011.009.028</v>
      </c>
      <c r="Q512" s="8" t="str">
        <f>VLOOKUP(Table1[[#This Row],[Address A]],IP_Master[],4,FALSE)</f>
        <v>PPPCFC1</v>
      </c>
      <c r="R512" s="8" t="str">
        <f>VLOOKUP(Table1[[#This Row],[Address B]],IP_Master[],4,FALSE)</f>
        <v>EGX100</v>
      </c>
      <c r="S512" s="8" t="str">
        <f>VLOOKUP(Table1[[#This Row],[Address A]],IP_Master[],2,FALSE)</f>
        <v>Fume Control</v>
      </c>
      <c r="T512" s="8" t="str">
        <f>VLOOKUP(Table1[[#This Row],[Address B]],IP_Master[],2,FALSE)</f>
        <v>Miscellaneous</v>
      </c>
      <c r="U512" s="9" t="str">
        <f>VLOOKUP(Table1[[#This Row],[Address A]],IP_Master[],3,FALSE)</f>
        <v>iFIX Nodes &amp; Ethernet Switches</v>
      </c>
      <c r="V512" s="9" t="str">
        <f>VLOOKUP(Table1[[#This Row],[Address B]],IP_Master[],3,FALSE)</f>
        <v>iFIX Nodes &amp; Ethernet Switches</v>
      </c>
      <c r="W512" s="9" t="str">
        <f>VLOOKUP(Table1[[#This Row],[Port B]],traffic_types[],2,FALSE)</f>
        <v>Modbus</v>
      </c>
    </row>
    <row r="513" spans="1:23" x14ac:dyDescent="0.6">
      <c r="A513" t="s">
        <v>53</v>
      </c>
      <c r="B513">
        <v>2908</v>
      </c>
      <c r="C513" t="s">
        <v>87</v>
      </c>
      <c r="D513">
        <v>502</v>
      </c>
      <c r="E513">
        <v>1</v>
      </c>
      <c r="F513" s="13">
        <v>62</v>
      </c>
      <c r="G513">
        <v>1</v>
      </c>
      <c r="H513">
        <v>62</v>
      </c>
      <c r="I513">
        <v>0</v>
      </c>
      <c r="J513">
        <v>0</v>
      </c>
      <c r="K513">
        <v>595.05124999999998</v>
      </c>
      <c r="L513">
        <v>0</v>
      </c>
      <c r="M513">
        <v>0</v>
      </c>
      <c r="N513">
        <v>0</v>
      </c>
      <c r="O513" s="8" t="str">
        <f>formatIP(Table1[[#This Row],[Address A]])</f>
        <v>010.012.000.001</v>
      </c>
      <c r="P513" s="8" t="str">
        <f>formatIP(Table1[[#This Row],[Address B]])</f>
        <v>010.011.009.028</v>
      </c>
      <c r="Q513" s="8" t="str">
        <f>VLOOKUP(Table1[[#This Row],[Address A]],IP_Master[],4,FALSE)</f>
        <v>PPPCFC1</v>
      </c>
      <c r="R513" s="8" t="str">
        <f>VLOOKUP(Table1[[#This Row],[Address B]],IP_Master[],4,FALSE)</f>
        <v>EGX100</v>
      </c>
      <c r="S513" s="8" t="str">
        <f>VLOOKUP(Table1[[#This Row],[Address A]],IP_Master[],2,FALSE)</f>
        <v>Fume Control</v>
      </c>
      <c r="T513" s="8" t="str">
        <f>VLOOKUP(Table1[[#This Row],[Address B]],IP_Master[],2,FALSE)</f>
        <v>Miscellaneous</v>
      </c>
      <c r="U513" s="9" t="str">
        <f>VLOOKUP(Table1[[#This Row],[Address A]],IP_Master[],3,FALSE)</f>
        <v>iFIX Nodes &amp; Ethernet Switches</v>
      </c>
      <c r="V513" s="9" t="str">
        <f>VLOOKUP(Table1[[#This Row],[Address B]],IP_Master[],3,FALSE)</f>
        <v>iFIX Nodes &amp; Ethernet Switches</v>
      </c>
      <c r="W513" s="9" t="str">
        <f>VLOOKUP(Table1[[#This Row],[Port B]],traffic_types[],2,FALSE)</f>
        <v>Modbus</v>
      </c>
    </row>
    <row r="514" spans="1:23" x14ac:dyDescent="0.6">
      <c r="A514" t="s">
        <v>53</v>
      </c>
      <c r="B514">
        <v>2909</v>
      </c>
      <c r="C514" t="s">
        <v>87</v>
      </c>
      <c r="D514">
        <v>502</v>
      </c>
      <c r="E514">
        <v>1</v>
      </c>
      <c r="F514" s="13">
        <v>62</v>
      </c>
      <c r="G514">
        <v>1</v>
      </c>
      <c r="H514">
        <v>62</v>
      </c>
      <c r="I514">
        <v>0</v>
      </c>
      <c r="J514">
        <v>0</v>
      </c>
      <c r="K514">
        <v>595.11672499999997</v>
      </c>
      <c r="L514">
        <v>0</v>
      </c>
      <c r="M514">
        <v>0</v>
      </c>
      <c r="N514">
        <v>0</v>
      </c>
      <c r="O514" s="8" t="str">
        <f>formatIP(Table1[[#This Row],[Address A]])</f>
        <v>010.012.000.001</v>
      </c>
      <c r="P514" s="8" t="str">
        <f>formatIP(Table1[[#This Row],[Address B]])</f>
        <v>010.011.009.028</v>
      </c>
      <c r="Q514" s="8" t="str">
        <f>VLOOKUP(Table1[[#This Row],[Address A]],IP_Master[],4,FALSE)</f>
        <v>PPPCFC1</v>
      </c>
      <c r="R514" s="8" t="str">
        <f>VLOOKUP(Table1[[#This Row],[Address B]],IP_Master[],4,FALSE)</f>
        <v>EGX100</v>
      </c>
      <c r="S514" s="8" t="str">
        <f>VLOOKUP(Table1[[#This Row],[Address A]],IP_Master[],2,FALSE)</f>
        <v>Fume Control</v>
      </c>
      <c r="T514" s="8" t="str">
        <f>VLOOKUP(Table1[[#This Row],[Address B]],IP_Master[],2,FALSE)</f>
        <v>Miscellaneous</v>
      </c>
      <c r="U514" s="9" t="str">
        <f>VLOOKUP(Table1[[#This Row],[Address A]],IP_Master[],3,FALSE)</f>
        <v>iFIX Nodes &amp; Ethernet Switches</v>
      </c>
      <c r="V514" s="9" t="str">
        <f>VLOOKUP(Table1[[#This Row],[Address B]],IP_Master[],3,FALSE)</f>
        <v>iFIX Nodes &amp; Ethernet Switches</v>
      </c>
      <c r="W514" s="9" t="str">
        <f>VLOOKUP(Table1[[#This Row],[Port B]],traffic_types[],2,FALSE)</f>
        <v>Modbus</v>
      </c>
    </row>
    <row r="515" spans="1:23" x14ac:dyDescent="0.6">
      <c r="A515" t="s">
        <v>53</v>
      </c>
      <c r="B515">
        <v>2911</v>
      </c>
      <c r="C515" t="s">
        <v>87</v>
      </c>
      <c r="D515">
        <v>502</v>
      </c>
      <c r="E515">
        <v>1</v>
      </c>
      <c r="F515" s="13">
        <v>62</v>
      </c>
      <c r="G515">
        <v>1</v>
      </c>
      <c r="H515">
        <v>62</v>
      </c>
      <c r="I515">
        <v>0</v>
      </c>
      <c r="J515">
        <v>0</v>
      </c>
      <c r="K515">
        <v>595.67645500000003</v>
      </c>
      <c r="L515">
        <v>0</v>
      </c>
      <c r="M515">
        <v>0</v>
      </c>
      <c r="N515">
        <v>0</v>
      </c>
      <c r="O515" s="8" t="str">
        <f>formatIP(Table1[[#This Row],[Address A]])</f>
        <v>010.012.000.001</v>
      </c>
      <c r="P515" s="8" t="str">
        <f>formatIP(Table1[[#This Row],[Address B]])</f>
        <v>010.011.009.028</v>
      </c>
      <c r="Q515" s="8" t="str">
        <f>VLOOKUP(Table1[[#This Row],[Address A]],IP_Master[],4,FALSE)</f>
        <v>PPPCFC1</v>
      </c>
      <c r="R515" s="8" t="str">
        <f>VLOOKUP(Table1[[#This Row],[Address B]],IP_Master[],4,FALSE)</f>
        <v>EGX100</v>
      </c>
      <c r="S515" s="8" t="str">
        <f>VLOOKUP(Table1[[#This Row],[Address A]],IP_Master[],2,FALSE)</f>
        <v>Fume Control</v>
      </c>
      <c r="T515" s="8" t="str">
        <f>VLOOKUP(Table1[[#This Row],[Address B]],IP_Master[],2,FALSE)</f>
        <v>Miscellaneous</v>
      </c>
      <c r="U515" s="9" t="str">
        <f>VLOOKUP(Table1[[#This Row],[Address A]],IP_Master[],3,FALSE)</f>
        <v>iFIX Nodes &amp; Ethernet Switches</v>
      </c>
      <c r="V515" s="9" t="str">
        <f>VLOOKUP(Table1[[#This Row],[Address B]],IP_Master[],3,FALSE)</f>
        <v>iFIX Nodes &amp; Ethernet Switches</v>
      </c>
      <c r="W515" s="9" t="str">
        <f>VLOOKUP(Table1[[#This Row],[Port B]],traffic_types[],2,FALSE)</f>
        <v>Modbus</v>
      </c>
    </row>
    <row r="516" spans="1:23" x14ac:dyDescent="0.6">
      <c r="A516" t="s">
        <v>53</v>
      </c>
      <c r="B516">
        <v>2913</v>
      </c>
      <c r="C516" t="s">
        <v>87</v>
      </c>
      <c r="D516">
        <v>502</v>
      </c>
      <c r="E516">
        <v>1</v>
      </c>
      <c r="F516" s="13">
        <v>62</v>
      </c>
      <c r="G516">
        <v>1</v>
      </c>
      <c r="H516">
        <v>62</v>
      </c>
      <c r="I516">
        <v>0</v>
      </c>
      <c r="J516">
        <v>0</v>
      </c>
      <c r="K516">
        <v>598.12967500000002</v>
      </c>
      <c r="L516">
        <v>0</v>
      </c>
      <c r="M516">
        <v>0</v>
      </c>
      <c r="N516">
        <v>0</v>
      </c>
      <c r="O516" s="8" t="str">
        <f>formatIP(Table1[[#This Row],[Address A]])</f>
        <v>010.012.000.001</v>
      </c>
      <c r="P516" s="8" t="str">
        <f>formatIP(Table1[[#This Row],[Address B]])</f>
        <v>010.011.009.028</v>
      </c>
      <c r="Q516" s="8" t="str">
        <f>VLOOKUP(Table1[[#This Row],[Address A]],IP_Master[],4,FALSE)</f>
        <v>PPPCFC1</v>
      </c>
      <c r="R516" s="8" t="str">
        <f>VLOOKUP(Table1[[#This Row],[Address B]],IP_Master[],4,FALSE)</f>
        <v>EGX100</v>
      </c>
      <c r="S516" s="8" t="str">
        <f>VLOOKUP(Table1[[#This Row],[Address A]],IP_Master[],2,FALSE)</f>
        <v>Fume Control</v>
      </c>
      <c r="T516" s="8" t="str">
        <f>VLOOKUP(Table1[[#This Row],[Address B]],IP_Master[],2,FALSE)</f>
        <v>Miscellaneous</v>
      </c>
      <c r="U516" s="9" t="str">
        <f>VLOOKUP(Table1[[#This Row],[Address A]],IP_Master[],3,FALSE)</f>
        <v>iFIX Nodes &amp; Ethernet Switches</v>
      </c>
      <c r="V516" s="9" t="str">
        <f>VLOOKUP(Table1[[#This Row],[Address B]],IP_Master[],3,FALSE)</f>
        <v>iFIX Nodes &amp; Ethernet Switches</v>
      </c>
      <c r="W516" s="9" t="str">
        <f>VLOOKUP(Table1[[#This Row],[Port B]],traffic_types[],2,FALSE)</f>
        <v>Modbus</v>
      </c>
    </row>
    <row r="517" spans="1:23" x14ac:dyDescent="0.6">
      <c r="A517" t="s">
        <v>53</v>
      </c>
      <c r="B517">
        <v>2917</v>
      </c>
      <c r="C517" t="s">
        <v>87</v>
      </c>
      <c r="D517">
        <v>502</v>
      </c>
      <c r="E517">
        <v>2</v>
      </c>
      <c r="F517" s="13">
        <v>124</v>
      </c>
      <c r="G517">
        <v>2</v>
      </c>
      <c r="H517">
        <v>124</v>
      </c>
      <c r="I517">
        <v>0</v>
      </c>
      <c r="J517">
        <v>0</v>
      </c>
      <c r="K517">
        <v>621.62012300000004</v>
      </c>
      <c r="L517">
        <v>2.9704439999999299</v>
      </c>
      <c r="M517">
        <v>333.95680915042402</v>
      </c>
      <c r="N517">
        <v>0</v>
      </c>
      <c r="O517" s="8" t="str">
        <f>formatIP(Table1[[#This Row],[Address A]])</f>
        <v>010.012.000.001</v>
      </c>
      <c r="P517" s="8" t="str">
        <f>formatIP(Table1[[#This Row],[Address B]])</f>
        <v>010.011.009.028</v>
      </c>
      <c r="Q517" s="8" t="str">
        <f>VLOOKUP(Table1[[#This Row],[Address A]],IP_Master[],4,FALSE)</f>
        <v>PPPCFC1</v>
      </c>
      <c r="R517" s="8" t="str">
        <f>VLOOKUP(Table1[[#This Row],[Address B]],IP_Master[],4,FALSE)</f>
        <v>EGX100</v>
      </c>
      <c r="S517" s="8" t="str">
        <f>VLOOKUP(Table1[[#This Row],[Address A]],IP_Master[],2,FALSE)</f>
        <v>Fume Control</v>
      </c>
      <c r="T517" s="8" t="str">
        <f>VLOOKUP(Table1[[#This Row],[Address B]],IP_Master[],2,FALSE)</f>
        <v>Miscellaneous</v>
      </c>
      <c r="U517" s="9" t="str">
        <f>VLOOKUP(Table1[[#This Row],[Address A]],IP_Master[],3,FALSE)</f>
        <v>iFIX Nodes &amp; Ethernet Switches</v>
      </c>
      <c r="V517" s="9" t="str">
        <f>VLOOKUP(Table1[[#This Row],[Address B]],IP_Master[],3,FALSE)</f>
        <v>iFIX Nodes &amp; Ethernet Switches</v>
      </c>
      <c r="W517" s="9" t="str">
        <f>VLOOKUP(Table1[[#This Row],[Port B]],traffic_types[],2,FALSE)</f>
        <v>Modbus</v>
      </c>
    </row>
    <row r="518" spans="1:23" x14ac:dyDescent="0.6">
      <c r="A518" t="s">
        <v>53</v>
      </c>
      <c r="B518">
        <v>2918</v>
      </c>
      <c r="C518" t="s">
        <v>87</v>
      </c>
      <c r="D518">
        <v>502</v>
      </c>
      <c r="E518">
        <v>1</v>
      </c>
      <c r="F518" s="13">
        <v>62</v>
      </c>
      <c r="G518">
        <v>1</v>
      </c>
      <c r="H518">
        <v>62</v>
      </c>
      <c r="I518">
        <v>0</v>
      </c>
      <c r="J518">
        <v>0</v>
      </c>
      <c r="K518">
        <v>624.09116800000004</v>
      </c>
      <c r="L518">
        <v>0</v>
      </c>
      <c r="M518">
        <v>0</v>
      </c>
      <c r="N518">
        <v>0</v>
      </c>
      <c r="O518" s="8" t="str">
        <f>formatIP(Table1[[#This Row],[Address A]])</f>
        <v>010.012.000.001</v>
      </c>
      <c r="P518" s="8" t="str">
        <f>formatIP(Table1[[#This Row],[Address B]])</f>
        <v>010.011.009.028</v>
      </c>
      <c r="Q518" s="8" t="str">
        <f>VLOOKUP(Table1[[#This Row],[Address A]],IP_Master[],4,FALSE)</f>
        <v>PPPCFC1</v>
      </c>
      <c r="R518" s="8" t="str">
        <f>VLOOKUP(Table1[[#This Row],[Address B]],IP_Master[],4,FALSE)</f>
        <v>EGX100</v>
      </c>
      <c r="S518" s="8" t="str">
        <f>VLOOKUP(Table1[[#This Row],[Address A]],IP_Master[],2,FALSE)</f>
        <v>Fume Control</v>
      </c>
      <c r="T518" s="8" t="str">
        <f>VLOOKUP(Table1[[#This Row],[Address B]],IP_Master[],2,FALSE)</f>
        <v>Miscellaneous</v>
      </c>
      <c r="U518" s="9" t="str">
        <f>VLOOKUP(Table1[[#This Row],[Address A]],IP_Master[],3,FALSE)</f>
        <v>iFIX Nodes &amp; Ethernet Switches</v>
      </c>
      <c r="V518" s="9" t="str">
        <f>VLOOKUP(Table1[[#This Row],[Address B]],IP_Master[],3,FALSE)</f>
        <v>iFIX Nodes &amp; Ethernet Switches</v>
      </c>
      <c r="W518" s="9" t="str">
        <f>VLOOKUP(Table1[[#This Row],[Port B]],traffic_types[],2,FALSE)</f>
        <v>Modbus</v>
      </c>
    </row>
    <row r="519" spans="1:23" x14ac:dyDescent="0.6">
      <c r="A519" t="s">
        <v>53</v>
      </c>
      <c r="B519">
        <v>2919</v>
      </c>
      <c r="C519" t="s">
        <v>87</v>
      </c>
      <c r="D519">
        <v>502</v>
      </c>
      <c r="E519">
        <v>1</v>
      </c>
      <c r="F519" s="13">
        <v>62</v>
      </c>
      <c r="G519">
        <v>1</v>
      </c>
      <c r="H519">
        <v>62</v>
      </c>
      <c r="I519">
        <v>0</v>
      </c>
      <c r="J519">
        <v>0</v>
      </c>
      <c r="K519">
        <v>624.63288899999998</v>
      </c>
      <c r="L519">
        <v>0</v>
      </c>
      <c r="M519">
        <v>0</v>
      </c>
      <c r="N519">
        <v>0</v>
      </c>
      <c r="O519" s="8" t="str">
        <f>formatIP(Table1[[#This Row],[Address A]])</f>
        <v>010.012.000.001</v>
      </c>
      <c r="P519" s="8" t="str">
        <f>formatIP(Table1[[#This Row],[Address B]])</f>
        <v>010.011.009.028</v>
      </c>
      <c r="Q519" s="8" t="str">
        <f>VLOOKUP(Table1[[#This Row],[Address A]],IP_Master[],4,FALSE)</f>
        <v>PPPCFC1</v>
      </c>
      <c r="R519" s="8" t="str">
        <f>VLOOKUP(Table1[[#This Row],[Address B]],IP_Master[],4,FALSE)</f>
        <v>EGX100</v>
      </c>
      <c r="S519" s="8" t="str">
        <f>VLOOKUP(Table1[[#This Row],[Address A]],IP_Master[],2,FALSE)</f>
        <v>Fume Control</v>
      </c>
      <c r="T519" s="8" t="str">
        <f>VLOOKUP(Table1[[#This Row],[Address B]],IP_Master[],2,FALSE)</f>
        <v>Miscellaneous</v>
      </c>
      <c r="U519" s="9" t="str">
        <f>VLOOKUP(Table1[[#This Row],[Address A]],IP_Master[],3,FALSE)</f>
        <v>iFIX Nodes &amp; Ethernet Switches</v>
      </c>
      <c r="V519" s="9" t="str">
        <f>VLOOKUP(Table1[[#This Row],[Address B]],IP_Master[],3,FALSE)</f>
        <v>iFIX Nodes &amp; Ethernet Switches</v>
      </c>
      <c r="W519" s="9" t="str">
        <f>VLOOKUP(Table1[[#This Row],[Port B]],traffic_types[],2,FALSE)</f>
        <v>Modbus</v>
      </c>
    </row>
    <row r="520" spans="1:23" x14ac:dyDescent="0.6">
      <c r="A520" t="s">
        <v>53</v>
      </c>
      <c r="B520">
        <v>2920</v>
      </c>
      <c r="C520" t="s">
        <v>87</v>
      </c>
      <c r="D520">
        <v>502</v>
      </c>
      <c r="E520">
        <v>2</v>
      </c>
      <c r="F520" s="13">
        <v>124</v>
      </c>
      <c r="G520">
        <v>2</v>
      </c>
      <c r="H520">
        <v>124</v>
      </c>
      <c r="I520">
        <v>0</v>
      </c>
      <c r="J520">
        <v>0</v>
      </c>
      <c r="K520">
        <v>625.05503799999997</v>
      </c>
      <c r="L520">
        <v>2.9558260000000001</v>
      </c>
      <c r="M520">
        <v>335.608388315144</v>
      </c>
      <c r="N520">
        <v>0</v>
      </c>
      <c r="O520" s="8" t="str">
        <f>formatIP(Table1[[#This Row],[Address A]])</f>
        <v>010.012.000.001</v>
      </c>
      <c r="P520" s="8" t="str">
        <f>formatIP(Table1[[#This Row],[Address B]])</f>
        <v>010.011.009.028</v>
      </c>
      <c r="Q520" s="8" t="str">
        <f>VLOOKUP(Table1[[#This Row],[Address A]],IP_Master[],4,FALSE)</f>
        <v>PPPCFC1</v>
      </c>
      <c r="R520" s="8" t="str">
        <f>VLOOKUP(Table1[[#This Row],[Address B]],IP_Master[],4,FALSE)</f>
        <v>EGX100</v>
      </c>
      <c r="S520" s="8" t="str">
        <f>VLOOKUP(Table1[[#This Row],[Address A]],IP_Master[],2,FALSE)</f>
        <v>Fume Control</v>
      </c>
      <c r="T520" s="8" t="str">
        <f>VLOOKUP(Table1[[#This Row],[Address B]],IP_Master[],2,FALSE)</f>
        <v>Miscellaneous</v>
      </c>
      <c r="U520" s="9" t="str">
        <f>VLOOKUP(Table1[[#This Row],[Address A]],IP_Master[],3,FALSE)</f>
        <v>iFIX Nodes &amp; Ethernet Switches</v>
      </c>
      <c r="V520" s="9" t="str">
        <f>VLOOKUP(Table1[[#This Row],[Address B]],IP_Master[],3,FALSE)</f>
        <v>iFIX Nodes &amp; Ethernet Switches</v>
      </c>
      <c r="W520" s="9" t="str">
        <f>VLOOKUP(Table1[[#This Row],[Port B]],traffic_types[],2,FALSE)</f>
        <v>Modbus</v>
      </c>
    </row>
    <row r="521" spans="1:23" x14ac:dyDescent="0.6">
      <c r="A521" t="s">
        <v>53</v>
      </c>
      <c r="B521">
        <v>2922</v>
      </c>
      <c r="C521" t="s">
        <v>87</v>
      </c>
      <c r="D521">
        <v>502</v>
      </c>
      <c r="E521">
        <v>2</v>
      </c>
      <c r="F521" s="13">
        <v>124</v>
      </c>
      <c r="G521">
        <v>2</v>
      </c>
      <c r="H521">
        <v>124</v>
      </c>
      <c r="I521">
        <v>0</v>
      </c>
      <c r="J521">
        <v>0</v>
      </c>
      <c r="K521">
        <v>625.682545</v>
      </c>
      <c r="L521">
        <v>2.9319199999999901</v>
      </c>
      <c r="M521">
        <v>338.34483887691403</v>
      </c>
      <c r="N521">
        <v>0</v>
      </c>
      <c r="O521" s="8" t="str">
        <f>formatIP(Table1[[#This Row],[Address A]])</f>
        <v>010.012.000.001</v>
      </c>
      <c r="P521" s="8" t="str">
        <f>formatIP(Table1[[#This Row],[Address B]])</f>
        <v>010.011.009.028</v>
      </c>
      <c r="Q521" s="8" t="str">
        <f>VLOOKUP(Table1[[#This Row],[Address A]],IP_Master[],4,FALSE)</f>
        <v>PPPCFC1</v>
      </c>
      <c r="R521" s="8" t="str">
        <f>VLOOKUP(Table1[[#This Row],[Address B]],IP_Master[],4,FALSE)</f>
        <v>EGX100</v>
      </c>
      <c r="S521" s="8" t="str">
        <f>VLOOKUP(Table1[[#This Row],[Address A]],IP_Master[],2,FALSE)</f>
        <v>Fume Control</v>
      </c>
      <c r="T521" s="8" t="str">
        <f>VLOOKUP(Table1[[#This Row],[Address B]],IP_Master[],2,FALSE)</f>
        <v>Miscellaneous</v>
      </c>
      <c r="U521" s="9" t="str">
        <f>VLOOKUP(Table1[[#This Row],[Address A]],IP_Master[],3,FALSE)</f>
        <v>iFIX Nodes &amp; Ethernet Switches</v>
      </c>
      <c r="V521" s="9" t="str">
        <f>VLOOKUP(Table1[[#This Row],[Address B]],IP_Master[],3,FALSE)</f>
        <v>iFIX Nodes &amp; Ethernet Switches</v>
      </c>
      <c r="W521" s="9" t="str">
        <f>VLOOKUP(Table1[[#This Row],[Port B]],traffic_types[],2,FALSE)</f>
        <v>Modbus</v>
      </c>
    </row>
    <row r="522" spans="1:23" x14ac:dyDescent="0.6">
      <c r="A522" t="s">
        <v>53</v>
      </c>
      <c r="B522">
        <v>2925</v>
      </c>
      <c r="C522" t="s">
        <v>87</v>
      </c>
      <c r="D522">
        <v>502</v>
      </c>
      <c r="E522">
        <v>1</v>
      </c>
      <c r="F522" s="13">
        <v>62</v>
      </c>
      <c r="G522">
        <v>1</v>
      </c>
      <c r="H522">
        <v>62</v>
      </c>
      <c r="I522">
        <v>0</v>
      </c>
      <c r="J522">
        <v>0</v>
      </c>
      <c r="K522">
        <v>627.10191599999996</v>
      </c>
      <c r="L522">
        <v>0</v>
      </c>
      <c r="M522">
        <v>0</v>
      </c>
      <c r="N522">
        <v>0</v>
      </c>
      <c r="O522" s="8" t="str">
        <f>formatIP(Table1[[#This Row],[Address A]])</f>
        <v>010.012.000.001</v>
      </c>
      <c r="P522" s="8" t="str">
        <f>formatIP(Table1[[#This Row],[Address B]])</f>
        <v>010.011.009.028</v>
      </c>
      <c r="Q522" s="8" t="str">
        <f>VLOOKUP(Table1[[#This Row],[Address A]],IP_Master[],4,FALSE)</f>
        <v>PPPCFC1</v>
      </c>
      <c r="R522" s="8" t="str">
        <f>VLOOKUP(Table1[[#This Row],[Address B]],IP_Master[],4,FALSE)</f>
        <v>EGX100</v>
      </c>
      <c r="S522" s="8" t="str">
        <f>VLOOKUP(Table1[[#This Row],[Address A]],IP_Master[],2,FALSE)</f>
        <v>Fume Control</v>
      </c>
      <c r="T522" s="8" t="str">
        <f>VLOOKUP(Table1[[#This Row],[Address B]],IP_Master[],2,FALSE)</f>
        <v>Miscellaneous</v>
      </c>
      <c r="U522" s="9" t="str">
        <f>VLOOKUP(Table1[[#This Row],[Address A]],IP_Master[],3,FALSE)</f>
        <v>iFIX Nodes &amp; Ethernet Switches</v>
      </c>
      <c r="V522" s="9" t="str">
        <f>VLOOKUP(Table1[[#This Row],[Address B]],IP_Master[],3,FALSE)</f>
        <v>iFIX Nodes &amp; Ethernet Switches</v>
      </c>
      <c r="W522" s="9" t="str">
        <f>VLOOKUP(Table1[[#This Row],[Port B]],traffic_types[],2,FALSE)</f>
        <v>Modbus</v>
      </c>
    </row>
    <row r="523" spans="1:23" x14ac:dyDescent="0.6">
      <c r="A523" t="s">
        <v>53</v>
      </c>
      <c r="B523">
        <v>2926</v>
      </c>
      <c r="C523" t="s">
        <v>87</v>
      </c>
      <c r="D523">
        <v>502</v>
      </c>
      <c r="E523">
        <v>1</v>
      </c>
      <c r="F523" s="13">
        <v>62</v>
      </c>
      <c r="G523">
        <v>1</v>
      </c>
      <c r="H523">
        <v>62</v>
      </c>
      <c r="I523">
        <v>0</v>
      </c>
      <c r="J523">
        <v>0</v>
      </c>
      <c r="K523">
        <v>628.07092799999998</v>
      </c>
      <c r="L523">
        <v>0</v>
      </c>
      <c r="M523">
        <v>0</v>
      </c>
      <c r="N523">
        <v>0</v>
      </c>
      <c r="O523" s="8" t="str">
        <f>formatIP(Table1[[#This Row],[Address A]])</f>
        <v>010.012.000.001</v>
      </c>
      <c r="P523" s="8" t="str">
        <f>formatIP(Table1[[#This Row],[Address B]])</f>
        <v>010.011.009.028</v>
      </c>
      <c r="Q523" s="8" t="str">
        <f>VLOOKUP(Table1[[#This Row],[Address A]],IP_Master[],4,FALSE)</f>
        <v>PPPCFC1</v>
      </c>
      <c r="R523" s="8" t="str">
        <f>VLOOKUP(Table1[[#This Row],[Address B]],IP_Master[],4,FALSE)</f>
        <v>EGX100</v>
      </c>
      <c r="S523" s="8" t="str">
        <f>VLOOKUP(Table1[[#This Row],[Address A]],IP_Master[],2,FALSE)</f>
        <v>Fume Control</v>
      </c>
      <c r="T523" s="8" t="str">
        <f>VLOOKUP(Table1[[#This Row],[Address B]],IP_Master[],2,FALSE)</f>
        <v>Miscellaneous</v>
      </c>
      <c r="U523" s="9" t="str">
        <f>VLOOKUP(Table1[[#This Row],[Address A]],IP_Master[],3,FALSE)</f>
        <v>iFIX Nodes &amp; Ethernet Switches</v>
      </c>
      <c r="V523" s="9" t="str">
        <f>VLOOKUP(Table1[[#This Row],[Address B]],IP_Master[],3,FALSE)</f>
        <v>iFIX Nodes &amp; Ethernet Switches</v>
      </c>
      <c r="W523" s="9" t="str">
        <f>VLOOKUP(Table1[[#This Row],[Port B]],traffic_types[],2,FALSE)</f>
        <v>Modbus</v>
      </c>
    </row>
    <row r="524" spans="1:23" x14ac:dyDescent="0.6">
      <c r="A524" t="s">
        <v>53</v>
      </c>
      <c r="B524">
        <v>2927</v>
      </c>
      <c r="C524" t="s">
        <v>87</v>
      </c>
      <c r="D524">
        <v>502</v>
      </c>
      <c r="E524">
        <v>2</v>
      </c>
      <c r="F524" s="13">
        <v>124</v>
      </c>
      <c r="G524">
        <v>2</v>
      </c>
      <c r="H524">
        <v>124</v>
      </c>
      <c r="I524">
        <v>0</v>
      </c>
      <c r="J524">
        <v>0</v>
      </c>
      <c r="K524">
        <v>628.13653499999998</v>
      </c>
      <c r="L524">
        <v>2.9929580000000402</v>
      </c>
      <c r="M524">
        <v>331.444677807034</v>
      </c>
      <c r="N524">
        <v>0</v>
      </c>
      <c r="O524" s="8" t="str">
        <f>formatIP(Table1[[#This Row],[Address A]])</f>
        <v>010.012.000.001</v>
      </c>
      <c r="P524" s="8" t="str">
        <f>formatIP(Table1[[#This Row],[Address B]])</f>
        <v>010.011.009.028</v>
      </c>
      <c r="Q524" s="8" t="str">
        <f>VLOOKUP(Table1[[#This Row],[Address A]],IP_Master[],4,FALSE)</f>
        <v>PPPCFC1</v>
      </c>
      <c r="R524" s="8" t="str">
        <f>VLOOKUP(Table1[[#This Row],[Address B]],IP_Master[],4,FALSE)</f>
        <v>EGX100</v>
      </c>
      <c r="S524" s="8" t="str">
        <f>VLOOKUP(Table1[[#This Row],[Address A]],IP_Master[],2,FALSE)</f>
        <v>Fume Control</v>
      </c>
      <c r="T524" s="8" t="str">
        <f>VLOOKUP(Table1[[#This Row],[Address B]],IP_Master[],2,FALSE)</f>
        <v>Miscellaneous</v>
      </c>
      <c r="U524" s="9" t="str">
        <f>VLOOKUP(Table1[[#This Row],[Address A]],IP_Master[],3,FALSE)</f>
        <v>iFIX Nodes &amp; Ethernet Switches</v>
      </c>
      <c r="V524" s="9" t="str">
        <f>VLOOKUP(Table1[[#This Row],[Address B]],IP_Master[],3,FALSE)</f>
        <v>iFIX Nodes &amp; Ethernet Switches</v>
      </c>
      <c r="W524" s="9" t="str">
        <f>VLOOKUP(Table1[[#This Row],[Port B]],traffic_types[],2,FALSE)</f>
        <v>Modbus</v>
      </c>
    </row>
    <row r="525" spans="1:23" x14ac:dyDescent="0.6">
      <c r="A525" t="s">
        <v>53</v>
      </c>
      <c r="B525">
        <v>2929</v>
      </c>
      <c r="C525" t="s">
        <v>87</v>
      </c>
      <c r="D525">
        <v>502</v>
      </c>
      <c r="E525">
        <v>1</v>
      </c>
      <c r="F525" s="13">
        <v>62</v>
      </c>
      <c r="G525">
        <v>1</v>
      </c>
      <c r="H525">
        <v>62</v>
      </c>
      <c r="I525">
        <v>0</v>
      </c>
      <c r="J525">
        <v>0</v>
      </c>
      <c r="K525">
        <v>628.69619</v>
      </c>
      <c r="L525">
        <v>0</v>
      </c>
      <c r="M525">
        <v>0</v>
      </c>
      <c r="N525">
        <v>0</v>
      </c>
      <c r="O525" s="8" t="str">
        <f>formatIP(Table1[[#This Row],[Address A]])</f>
        <v>010.012.000.001</v>
      </c>
      <c r="P525" s="8" t="str">
        <f>formatIP(Table1[[#This Row],[Address B]])</f>
        <v>010.011.009.028</v>
      </c>
      <c r="Q525" s="8" t="str">
        <f>VLOOKUP(Table1[[#This Row],[Address A]],IP_Master[],4,FALSE)</f>
        <v>PPPCFC1</v>
      </c>
      <c r="R525" s="8" t="str">
        <f>VLOOKUP(Table1[[#This Row],[Address B]],IP_Master[],4,FALSE)</f>
        <v>EGX100</v>
      </c>
      <c r="S525" s="8" t="str">
        <f>VLOOKUP(Table1[[#This Row],[Address A]],IP_Master[],2,FALSE)</f>
        <v>Fume Control</v>
      </c>
      <c r="T525" s="8" t="str">
        <f>VLOOKUP(Table1[[#This Row],[Address B]],IP_Master[],2,FALSE)</f>
        <v>Miscellaneous</v>
      </c>
      <c r="U525" s="9" t="str">
        <f>VLOOKUP(Table1[[#This Row],[Address A]],IP_Master[],3,FALSE)</f>
        <v>iFIX Nodes &amp; Ethernet Switches</v>
      </c>
      <c r="V525" s="9" t="str">
        <f>VLOOKUP(Table1[[#This Row],[Address B]],IP_Master[],3,FALSE)</f>
        <v>iFIX Nodes &amp; Ethernet Switches</v>
      </c>
      <c r="W525" s="9" t="str">
        <f>VLOOKUP(Table1[[#This Row],[Port B]],traffic_types[],2,FALSE)</f>
        <v>Modbus</v>
      </c>
    </row>
    <row r="526" spans="1:23" x14ac:dyDescent="0.6">
      <c r="A526" t="s">
        <v>53</v>
      </c>
      <c r="B526">
        <v>2932</v>
      </c>
      <c r="C526" t="s">
        <v>87</v>
      </c>
      <c r="D526">
        <v>502</v>
      </c>
      <c r="E526">
        <v>1</v>
      </c>
      <c r="F526" s="13">
        <v>62</v>
      </c>
      <c r="G526">
        <v>1</v>
      </c>
      <c r="H526">
        <v>62</v>
      </c>
      <c r="I526">
        <v>0</v>
      </c>
      <c r="J526">
        <v>0</v>
      </c>
      <c r="K526">
        <v>631.149722</v>
      </c>
      <c r="L526">
        <v>0</v>
      </c>
      <c r="M526">
        <v>0</v>
      </c>
      <c r="N526">
        <v>0</v>
      </c>
      <c r="O526" s="8" t="str">
        <f>formatIP(Table1[[#This Row],[Address A]])</f>
        <v>010.012.000.001</v>
      </c>
      <c r="P526" s="8" t="str">
        <f>formatIP(Table1[[#This Row],[Address B]])</f>
        <v>010.011.009.028</v>
      </c>
      <c r="Q526" s="8" t="str">
        <f>VLOOKUP(Table1[[#This Row],[Address A]],IP_Master[],4,FALSE)</f>
        <v>PPPCFC1</v>
      </c>
      <c r="R526" s="8" t="str">
        <f>VLOOKUP(Table1[[#This Row],[Address B]],IP_Master[],4,FALSE)</f>
        <v>EGX100</v>
      </c>
      <c r="S526" s="8" t="str">
        <f>VLOOKUP(Table1[[#This Row],[Address A]],IP_Master[],2,FALSE)</f>
        <v>Fume Control</v>
      </c>
      <c r="T526" s="8" t="str">
        <f>VLOOKUP(Table1[[#This Row],[Address B]],IP_Master[],2,FALSE)</f>
        <v>Miscellaneous</v>
      </c>
      <c r="U526" s="9" t="str">
        <f>VLOOKUP(Table1[[#This Row],[Address A]],IP_Master[],3,FALSE)</f>
        <v>iFIX Nodes &amp; Ethernet Switches</v>
      </c>
      <c r="V526" s="9" t="str">
        <f>VLOOKUP(Table1[[#This Row],[Address B]],IP_Master[],3,FALSE)</f>
        <v>iFIX Nodes &amp; Ethernet Switches</v>
      </c>
      <c r="W526" s="9" t="str">
        <f>VLOOKUP(Table1[[#This Row],[Port B]],traffic_types[],2,FALSE)</f>
        <v>Modbus</v>
      </c>
    </row>
    <row r="527" spans="1:23" x14ac:dyDescent="0.6">
      <c r="A527" t="s">
        <v>53</v>
      </c>
      <c r="B527">
        <v>2935</v>
      </c>
      <c r="C527" t="s">
        <v>87</v>
      </c>
      <c r="D527">
        <v>502</v>
      </c>
      <c r="E527">
        <v>2</v>
      </c>
      <c r="F527" s="13">
        <v>124</v>
      </c>
      <c r="G527">
        <v>2</v>
      </c>
      <c r="H527">
        <v>124</v>
      </c>
      <c r="I527">
        <v>0</v>
      </c>
      <c r="J527">
        <v>0</v>
      </c>
      <c r="K527">
        <v>654.63696300000004</v>
      </c>
      <c r="L527">
        <v>2.9500299999999702</v>
      </c>
      <c r="M527">
        <v>336.26776676847697</v>
      </c>
      <c r="N527">
        <v>0</v>
      </c>
      <c r="O527" s="8" t="str">
        <f>formatIP(Table1[[#This Row],[Address A]])</f>
        <v>010.012.000.001</v>
      </c>
      <c r="P527" s="8" t="str">
        <f>formatIP(Table1[[#This Row],[Address B]])</f>
        <v>010.011.009.028</v>
      </c>
      <c r="Q527" s="8" t="str">
        <f>VLOOKUP(Table1[[#This Row],[Address A]],IP_Master[],4,FALSE)</f>
        <v>PPPCFC1</v>
      </c>
      <c r="R527" s="8" t="str">
        <f>VLOOKUP(Table1[[#This Row],[Address B]],IP_Master[],4,FALSE)</f>
        <v>EGX100</v>
      </c>
      <c r="S527" s="8" t="str">
        <f>VLOOKUP(Table1[[#This Row],[Address A]],IP_Master[],2,FALSE)</f>
        <v>Fume Control</v>
      </c>
      <c r="T527" s="8" t="str">
        <f>VLOOKUP(Table1[[#This Row],[Address B]],IP_Master[],2,FALSE)</f>
        <v>Miscellaneous</v>
      </c>
      <c r="U527" s="9" t="str">
        <f>VLOOKUP(Table1[[#This Row],[Address A]],IP_Master[],3,FALSE)</f>
        <v>iFIX Nodes &amp; Ethernet Switches</v>
      </c>
      <c r="V527" s="9" t="str">
        <f>VLOOKUP(Table1[[#This Row],[Address B]],IP_Master[],3,FALSE)</f>
        <v>iFIX Nodes &amp; Ethernet Switches</v>
      </c>
      <c r="W527" s="9" t="str">
        <f>VLOOKUP(Table1[[#This Row],[Port B]],traffic_types[],2,FALSE)</f>
        <v>Modbus</v>
      </c>
    </row>
    <row r="528" spans="1:23" x14ac:dyDescent="0.6">
      <c r="A528" t="s">
        <v>53</v>
      </c>
      <c r="B528">
        <v>2936</v>
      </c>
      <c r="C528" t="s">
        <v>87</v>
      </c>
      <c r="D528">
        <v>502</v>
      </c>
      <c r="E528">
        <v>2</v>
      </c>
      <c r="F528" s="13">
        <v>124</v>
      </c>
      <c r="G528">
        <v>2</v>
      </c>
      <c r="H528">
        <v>124</v>
      </c>
      <c r="I528">
        <v>0</v>
      </c>
      <c r="J528">
        <v>0</v>
      </c>
      <c r="K528">
        <v>657.11073999999996</v>
      </c>
      <c r="L528">
        <v>2.9911300000000001</v>
      </c>
      <c r="M528">
        <v>331.64723699738897</v>
      </c>
      <c r="N528">
        <v>0</v>
      </c>
      <c r="O528" s="8" t="str">
        <f>formatIP(Table1[[#This Row],[Address A]])</f>
        <v>010.012.000.001</v>
      </c>
      <c r="P528" s="8" t="str">
        <f>formatIP(Table1[[#This Row],[Address B]])</f>
        <v>010.011.009.028</v>
      </c>
      <c r="Q528" s="8" t="str">
        <f>VLOOKUP(Table1[[#This Row],[Address A]],IP_Master[],4,FALSE)</f>
        <v>PPPCFC1</v>
      </c>
      <c r="R528" s="8" t="str">
        <f>VLOOKUP(Table1[[#This Row],[Address B]],IP_Master[],4,FALSE)</f>
        <v>EGX100</v>
      </c>
      <c r="S528" s="8" t="str">
        <f>VLOOKUP(Table1[[#This Row],[Address A]],IP_Master[],2,FALSE)</f>
        <v>Fume Control</v>
      </c>
      <c r="T528" s="8" t="str">
        <f>VLOOKUP(Table1[[#This Row],[Address B]],IP_Master[],2,FALSE)</f>
        <v>Miscellaneous</v>
      </c>
      <c r="U528" s="9" t="str">
        <f>VLOOKUP(Table1[[#This Row],[Address A]],IP_Master[],3,FALSE)</f>
        <v>iFIX Nodes &amp; Ethernet Switches</v>
      </c>
      <c r="V528" s="9" t="str">
        <f>VLOOKUP(Table1[[#This Row],[Address B]],IP_Master[],3,FALSE)</f>
        <v>iFIX Nodes &amp; Ethernet Switches</v>
      </c>
      <c r="W528" s="9" t="str">
        <f>VLOOKUP(Table1[[#This Row],[Port B]],traffic_types[],2,FALSE)</f>
        <v>Modbus</v>
      </c>
    </row>
    <row r="529" spans="1:23" x14ac:dyDescent="0.6">
      <c r="A529" t="s">
        <v>53</v>
      </c>
      <c r="B529">
        <v>2937</v>
      </c>
      <c r="C529" t="s">
        <v>87</v>
      </c>
      <c r="D529">
        <v>502</v>
      </c>
      <c r="E529">
        <v>1</v>
      </c>
      <c r="F529" s="13">
        <v>62</v>
      </c>
      <c r="G529">
        <v>1</v>
      </c>
      <c r="H529">
        <v>62</v>
      </c>
      <c r="I529">
        <v>0</v>
      </c>
      <c r="J529">
        <v>0</v>
      </c>
      <c r="K529">
        <v>657.65268900000001</v>
      </c>
      <c r="L529">
        <v>0</v>
      </c>
      <c r="M529">
        <v>0</v>
      </c>
      <c r="N529">
        <v>0</v>
      </c>
      <c r="O529" s="8" t="str">
        <f>formatIP(Table1[[#This Row],[Address A]])</f>
        <v>010.012.000.001</v>
      </c>
      <c r="P529" s="8" t="str">
        <f>formatIP(Table1[[#This Row],[Address B]])</f>
        <v>010.011.009.028</v>
      </c>
      <c r="Q529" s="8" t="str">
        <f>VLOOKUP(Table1[[#This Row],[Address A]],IP_Master[],4,FALSE)</f>
        <v>PPPCFC1</v>
      </c>
      <c r="R529" s="8" t="str">
        <f>VLOOKUP(Table1[[#This Row],[Address B]],IP_Master[],4,FALSE)</f>
        <v>EGX100</v>
      </c>
      <c r="S529" s="8" t="str">
        <f>VLOOKUP(Table1[[#This Row],[Address A]],IP_Master[],2,FALSE)</f>
        <v>Fume Control</v>
      </c>
      <c r="T529" s="8" t="str">
        <f>VLOOKUP(Table1[[#This Row],[Address B]],IP_Master[],2,FALSE)</f>
        <v>Miscellaneous</v>
      </c>
      <c r="U529" s="9" t="str">
        <f>VLOOKUP(Table1[[#This Row],[Address A]],IP_Master[],3,FALSE)</f>
        <v>iFIX Nodes &amp; Ethernet Switches</v>
      </c>
      <c r="V529" s="9" t="str">
        <f>VLOOKUP(Table1[[#This Row],[Address B]],IP_Master[],3,FALSE)</f>
        <v>iFIX Nodes &amp; Ethernet Switches</v>
      </c>
      <c r="W529" s="9" t="str">
        <f>VLOOKUP(Table1[[#This Row],[Port B]],traffic_types[],2,FALSE)</f>
        <v>Modbus</v>
      </c>
    </row>
    <row r="530" spans="1:23" x14ac:dyDescent="0.6">
      <c r="A530" t="s">
        <v>53</v>
      </c>
      <c r="B530">
        <v>2938</v>
      </c>
      <c r="C530" t="s">
        <v>87</v>
      </c>
      <c r="D530">
        <v>502</v>
      </c>
      <c r="E530">
        <v>2</v>
      </c>
      <c r="F530" s="13">
        <v>124</v>
      </c>
      <c r="G530">
        <v>2</v>
      </c>
      <c r="H530">
        <v>124</v>
      </c>
      <c r="I530">
        <v>0</v>
      </c>
      <c r="J530">
        <v>0</v>
      </c>
      <c r="K530">
        <v>658.08264199999996</v>
      </c>
      <c r="L530">
        <v>2.9245809999999901</v>
      </c>
      <c r="M530">
        <v>339.19388794497502</v>
      </c>
      <c r="N530">
        <v>0</v>
      </c>
      <c r="O530" s="8" t="str">
        <f>formatIP(Table1[[#This Row],[Address A]])</f>
        <v>010.012.000.001</v>
      </c>
      <c r="P530" s="8" t="str">
        <f>formatIP(Table1[[#This Row],[Address B]])</f>
        <v>010.011.009.028</v>
      </c>
      <c r="Q530" s="8" t="str">
        <f>VLOOKUP(Table1[[#This Row],[Address A]],IP_Master[],4,FALSE)</f>
        <v>PPPCFC1</v>
      </c>
      <c r="R530" s="8" t="str">
        <f>VLOOKUP(Table1[[#This Row],[Address B]],IP_Master[],4,FALSE)</f>
        <v>EGX100</v>
      </c>
      <c r="S530" s="8" t="str">
        <f>VLOOKUP(Table1[[#This Row],[Address A]],IP_Master[],2,FALSE)</f>
        <v>Fume Control</v>
      </c>
      <c r="T530" s="8" t="str">
        <f>VLOOKUP(Table1[[#This Row],[Address B]],IP_Master[],2,FALSE)</f>
        <v>Miscellaneous</v>
      </c>
      <c r="U530" s="9" t="str">
        <f>VLOOKUP(Table1[[#This Row],[Address A]],IP_Master[],3,FALSE)</f>
        <v>iFIX Nodes &amp; Ethernet Switches</v>
      </c>
      <c r="V530" s="9" t="str">
        <f>VLOOKUP(Table1[[#This Row],[Address B]],IP_Master[],3,FALSE)</f>
        <v>iFIX Nodes &amp; Ethernet Switches</v>
      </c>
      <c r="W530" s="9" t="str">
        <f>VLOOKUP(Table1[[#This Row],[Port B]],traffic_types[],2,FALSE)</f>
        <v>Modbus</v>
      </c>
    </row>
    <row r="531" spans="1:23" x14ac:dyDescent="0.6">
      <c r="A531" t="s">
        <v>53</v>
      </c>
      <c r="B531">
        <v>2940</v>
      </c>
      <c r="C531" t="s">
        <v>87</v>
      </c>
      <c r="D531">
        <v>502</v>
      </c>
      <c r="E531">
        <v>2</v>
      </c>
      <c r="F531" s="13">
        <v>124</v>
      </c>
      <c r="G531">
        <v>2</v>
      </c>
      <c r="H531">
        <v>124</v>
      </c>
      <c r="I531">
        <v>0</v>
      </c>
      <c r="J531">
        <v>0</v>
      </c>
      <c r="K531">
        <v>658.71010899999999</v>
      </c>
      <c r="L531">
        <v>3.00132400000007</v>
      </c>
      <c r="M531">
        <v>330.52079682166197</v>
      </c>
      <c r="N531">
        <v>0</v>
      </c>
      <c r="O531" s="8" t="str">
        <f>formatIP(Table1[[#This Row],[Address A]])</f>
        <v>010.012.000.001</v>
      </c>
      <c r="P531" s="8" t="str">
        <f>formatIP(Table1[[#This Row],[Address B]])</f>
        <v>010.011.009.028</v>
      </c>
      <c r="Q531" s="8" t="str">
        <f>VLOOKUP(Table1[[#This Row],[Address A]],IP_Master[],4,FALSE)</f>
        <v>PPPCFC1</v>
      </c>
      <c r="R531" s="8" t="str">
        <f>VLOOKUP(Table1[[#This Row],[Address B]],IP_Master[],4,FALSE)</f>
        <v>EGX100</v>
      </c>
      <c r="S531" s="8" t="str">
        <f>VLOOKUP(Table1[[#This Row],[Address A]],IP_Master[],2,FALSE)</f>
        <v>Fume Control</v>
      </c>
      <c r="T531" s="8" t="str">
        <f>VLOOKUP(Table1[[#This Row],[Address B]],IP_Master[],2,FALSE)</f>
        <v>Miscellaneous</v>
      </c>
      <c r="U531" s="9" t="str">
        <f>VLOOKUP(Table1[[#This Row],[Address A]],IP_Master[],3,FALSE)</f>
        <v>iFIX Nodes &amp; Ethernet Switches</v>
      </c>
      <c r="V531" s="9" t="str">
        <f>VLOOKUP(Table1[[#This Row],[Address B]],IP_Master[],3,FALSE)</f>
        <v>iFIX Nodes &amp; Ethernet Switches</v>
      </c>
      <c r="W531" s="9" t="str">
        <f>VLOOKUP(Table1[[#This Row],[Port B]],traffic_types[],2,FALSE)</f>
        <v>Modbus</v>
      </c>
    </row>
    <row r="532" spans="1:23" x14ac:dyDescent="0.6">
      <c r="A532" t="s">
        <v>53</v>
      </c>
      <c r="B532">
        <v>2943</v>
      </c>
      <c r="C532" t="s">
        <v>87</v>
      </c>
      <c r="D532">
        <v>502</v>
      </c>
      <c r="E532">
        <v>1</v>
      </c>
      <c r="F532" s="13">
        <v>62</v>
      </c>
      <c r="G532">
        <v>1</v>
      </c>
      <c r="H532">
        <v>62</v>
      </c>
      <c r="I532">
        <v>0</v>
      </c>
      <c r="J532">
        <v>0</v>
      </c>
      <c r="K532">
        <v>660.12186099999997</v>
      </c>
      <c r="L532">
        <v>0</v>
      </c>
      <c r="M532">
        <v>0</v>
      </c>
      <c r="N532">
        <v>0</v>
      </c>
      <c r="O532" s="8" t="str">
        <f>formatIP(Table1[[#This Row],[Address A]])</f>
        <v>010.012.000.001</v>
      </c>
      <c r="P532" s="8" t="str">
        <f>formatIP(Table1[[#This Row],[Address B]])</f>
        <v>010.011.009.028</v>
      </c>
      <c r="Q532" s="8" t="str">
        <f>VLOOKUP(Table1[[#This Row],[Address A]],IP_Master[],4,FALSE)</f>
        <v>PPPCFC1</v>
      </c>
      <c r="R532" s="8" t="str">
        <f>VLOOKUP(Table1[[#This Row],[Address B]],IP_Master[],4,FALSE)</f>
        <v>EGX100</v>
      </c>
      <c r="S532" s="8" t="str">
        <f>VLOOKUP(Table1[[#This Row],[Address A]],IP_Master[],2,FALSE)</f>
        <v>Fume Control</v>
      </c>
      <c r="T532" s="8" t="str">
        <f>VLOOKUP(Table1[[#This Row],[Address B]],IP_Master[],2,FALSE)</f>
        <v>Miscellaneous</v>
      </c>
      <c r="U532" s="9" t="str">
        <f>VLOOKUP(Table1[[#This Row],[Address A]],IP_Master[],3,FALSE)</f>
        <v>iFIX Nodes &amp; Ethernet Switches</v>
      </c>
      <c r="V532" s="9" t="str">
        <f>VLOOKUP(Table1[[#This Row],[Address B]],IP_Master[],3,FALSE)</f>
        <v>iFIX Nodes &amp; Ethernet Switches</v>
      </c>
      <c r="W532" s="9" t="str">
        <f>VLOOKUP(Table1[[#This Row],[Port B]],traffic_types[],2,FALSE)</f>
        <v>Modbus</v>
      </c>
    </row>
    <row r="533" spans="1:23" x14ac:dyDescent="0.6">
      <c r="A533" t="s">
        <v>53</v>
      </c>
      <c r="B533">
        <v>2944</v>
      </c>
      <c r="C533" t="s">
        <v>87</v>
      </c>
      <c r="D533">
        <v>502</v>
      </c>
      <c r="E533">
        <v>1</v>
      </c>
      <c r="F533" s="13">
        <v>62</v>
      </c>
      <c r="G533">
        <v>1</v>
      </c>
      <c r="H533">
        <v>62</v>
      </c>
      <c r="I533">
        <v>0</v>
      </c>
      <c r="J533">
        <v>0</v>
      </c>
      <c r="K533">
        <v>661.09091699999999</v>
      </c>
      <c r="L533">
        <v>0</v>
      </c>
      <c r="M533">
        <v>0</v>
      </c>
      <c r="N533">
        <v>0</v>
      </c>
      <c r="O533" s="8" t="str">
        <f>formatIP(Table1[[#This Row],[Address A]])</f>
        <v>010.012.000.001</v>
      </c>
      <c r="P533" s="8" t="str">
        <f>formatIP(Table1[[#This Row],[Address B]])</f>
        <v>010.011.009.028</v>
      </c>
      <c r="Q533" s="8" t="str">
        <f>VLOOKUP(Table1[[#This Row],[Address A]],IP_Master[],4,FALSE)</f>
        <v>PPPCFC1</v>
      </c>
      <c r="R533" s="8" t="str">
        <f>VLOOKUP(Table1[[#This Row],[Address B]],IP_Master[],4,FALSE)</f>
        <v>EGX100</v>
      </c>
      <c r="S533" s="8" t="str">
        <f>VLOOKUP(Table1[[#This Row],[Address A]],IP_Master[],2,FALSE)</f>
        <v>Fume Control</v>
      </c>
      <c r="T533" s="8" t="str">
        <f>VLOOKUP(Table1[[#This Row],[Address B]],IP_Master[],2,FALSE)</f>
        <v>Miscellaneous</v>
      </c>
      <c r="U533" s="9" t="str">
        <f>VLOOKUP(Table1[[#This Row],[Address A]],IP_Master[],3,FALSE)</f>
        <v>iFIX Nodes &amp; Ethernet Switches</v>
      </c>
      <c r="V533" s="9" t="str">
        <f>VLOOKUP(Table1[[#This Row],[Address B]],IP_Master[],3,FALSE)</f>
        <v>iFIX Nodes &amp; Ethernet Switches</v>
      </c>
      <c r="W533" s="9" t="str">
        <f>VLOOKUP(Table1[[#This Row],[Port B]],traffic_types[],2,FALSE)</f>
        <v>Modbus</v>
      </c>
    </row>
    <row r="534" spans="1:23" x14ac:dyDescent="0.6">
      <c r="A534" t="s">
        <v>53</v>
      </c>
      <c r="B534">
        <v>2945</v>
      </c>
      <c r="C534" t="s">
        <v>87</v>
      </c>
      <c r="D534">
        <v>502</v>
      </c>
      <c r="E534">
        <v>2</v>
      </c>
      <c r="F534" s="13">
        <v>124</v>
      </c>
      <c r="G534">
        <v>2</v>
      </c>
      <c r="H534">
        <v>124</v>
      </c>
      <c r="I534">
        <v>0</v>
      </c>
      <c r="J534">
        <v>0</v>
      </c>
      <c r="K534">
        <v>661.15630399999998</v>
      </c>
      <c r="L534">
        <v>2.9695310000000701</v>
      </c>
      <c r="M534">
        <v>334.05948616127398</v>
      </c>
      <c r="N534">
        <v>0</v>
      </c>
      <c r="O534" s="8" t="str">
        <f>formatIP(Table1[[#This Row],[Address A]])</f>
        <v>010.012.000.001</v>
      </c>
      <c r="P534" s="8" t="str">
        <f>formatIP(Table1[[#This Row],[Address B]])</f>
        <v>010.011.009.028</v>
      </c>
      <c r="Q534" s="8" t="str">
        <f>VLOOKUP(Table1[[#This Row],[Address A]],IP_Master[],4,FALSE)</f>
        <v>PPPCFC1</v>
      </c>
      <c r="R534" s="8" t="str">
        <f>VLOOKUP(Table1[[#This Row],[Address B]],IP_Master[],4,FALSE)</f>
        <v>EGX100</v>
      </c>
      <c r="S534" s="8" t="str">
        <f>VLOOKUP(Table1[[#This Row],[Address A]],IP_Master[],2,FALSE)</f>
        <v>Fume Control</v>
      </c>
      <c r="T534" s="8" t="str">
        <f>VLOOKUP(Table1[[#This Row],[Address B]],IP_Master[],2,FALSE)</f>
        <v>Miscellaneous</v>
      </c>
      <c r="U534" s="9" t="str">
        <f>VLOOKUP(Table1[[#This Row],[Address A]],IP_Master[],3,FALSE)</f>
        <v>iFIX Nodes &amp; Ethernet Switches</v>
      </c>
      <c r="V534" s="9" t="str">
        <f>VLOOKUP(Table1[[#This Row],[Address B]],IP_Master[],3,FALSE)</f>
        <v>iFIX Nodes &amp; Ethernet Switches</v>
      </c>
      <c r="W534" s="9" t="str">
        <f>VLOOKUP(Table1[[#This Row],[Port B]],traffic_types[],2,FALSE)</f>
        <v>Modbus</v>
      </c>
    </row>
    <row r="535" spans="1:23" x14ac:dyDescent="0.6">
      <c r="A535" t="s">
        <v>53</v>
      </c>
      <c r="B535">
        <v>2947</v>
      </c>
      <c r="C535" t="s">
        <v>87</v>
      </c>
      <c r="D535">
        <v>502</v>
      </c>
      <c r="E535">
        <v>1</v>
      </c>
      <c r="F535" s="13">
        <v>62</v>
      </c>
      <c r="G535">
        <v>1</v>
      </c>
      <c r="H535">
        <v>62</v>
      </c>
      <c r="I535">
        <v>0</v>
      </c>
      <c r="J535">
        <v>0</v>
      </c>
      <c r="K535">
        <v>661.71603000000005</v>
      </c>
      <c r="L535">
        <v>0</v>
      </c>
      <c r="M535">
        <v>0</v>
      </c>
      <c r="N535">
        <v>0</v>
      </c>
      <c r="O535" s="8" t="str">
        <f>formatIP(Table1[[#This Row],[Address A]])</f>
        <v>010.012.000.001</v>
      </c>
      <c r="P535" s="8" t="str">
        <f>formatIP(Table1[[#This Row],[Address B]])</f>
        <v>010.011.009.028</v>
      </c>
      <c r="Q535" s="8" t="str">
        <f>VLOOKUP(Table1[[#This Row],[Address A]],IP_Master[],4,FALSE)</f>
        <v>PPPCFC1</v>
      </c>
      <c r="R535" s="8" t="str">
        <f>VLOOKUP(Table1[[#This Row],[Address B]],IP_Master[],4,FALSE)</f>
        <v>EGX100</v>
      </c>
      <c r="S535" s="8" t="str">
        <f>VLOOKUP(Table1[[#This Row],[Address A]],IP_Master[],2,FALSE)</f>
        <v>Fume Control</v>
      </c>
      <c r="T535" s="8" t="str">
        <f>VLOOKUP(Table1[[#This Row],[Address B]],IP_Master[],2,FALSE)</f>
        <v>Miscellaneous</v>
      </c>
      <c r="U535" s="9" t="str">
        <f>VLOOKUP(Table1[[#This Row],[Address A]],IP_Master[],3,FALSE)</f>
        <v>iFIX Nodes &amp; Ethernet Switches</v>
      </c>
      <c r="V535" s="9" t="str">
        <f>VLOOKUP(Table1[[#This Row],[Address B]],IP_Master[],3,FALSE)</f>
        <v>iFIX Nodes &amp; Ethernet Switches</v>
      </c>
      <c r="W535" s="9" t="str">
        <f>VLOOKUP(Table1[[#This Row],[Port B]],traffic_types[],2,FALSE)</f>
        <v>Modbus</v>
      </c>
    </row>
    <row r="536" spans="1:23" x14ac:dyDescent="0.6">
      <c r="A536" t="s">
        <v>53</v>
      </c>
      <c r="B536">
        <v>2949</v>
      </c>
      <c r="C536" t="s">
        <v>87</v>
      </c>
      <c r="D536">
        <v>502</v>
      </c>
      <c r="E536">
        <v>1</v>
      </c>
      <c r="F536" s="13">
        <v>62</v>
      </c>
      <c r="G536">
        <v>1</v>
      </c>
      <c r="H536">
        <v>62</v>
      </c>
      <c r="I536">
        <v>0</v>
      </c>
      <c r="J536">
        <v>0</v>
      </c>
      <c r="K536">
        <v>664.16916900000001</v>
      </c>
      <c r="L536">
        <v>0</v>
      </c>
      <c r="M536">
        <v>0</v>
      </c>
      <c r="N536">
        <v>0</v>
      </c>
      <c r="O536" s="8" t="str">
        <f>formatIP(Table1[[#This Row],[Address A]])</f>
        <v>010.012.000.001</v>
      </c>
      <c r="P536" s="8" t="str">
        <f>formatIP(Table1[[#This Row],[Address B]])</f>
        <v>010.011.009.028</v>
      </c>
      <c r="Q536" s="8" t="str">
        <f>VLOOKUP(Table1[[#This Row],[Address A]],IP_Master[],4,FALSE)</f>
        <v>PPPCFC1</v>
      </c>
      <c r="R536" s="8" t="str">
        <f>VLOOKUP(Table1[[#This Row],[Address B]],IP_Master[],4,FALSE)</f>
        <v>EGX100</v>
      </c>
      <c r="S536" s="8" t="str">
        <f>VLOOKUP(Table1[[#This Row],[Address A]],IP_Master[],2,FALSE)</f>
        <v>Fume Control</v>
      </c>
      <c r="T536" s="8" t="str">
        <f>VLOOKUP(Table1[[#This Row],[Address B]],IP_Master[],2,FALSE)</f>
        <v>Miscellaneous</v>
      </c>
      <c r="U536" s="9" t="str">
        <f>VLOOKUP(Table1[[#This Row],[Address A]],IP_Master[],3,FALSE)</f>
        <v>iFIX Nodes &amp; Ethernet Switches</v>
      </c>
      <c r="V536" s="9" t="str">
        <f>VLOOKUP(Table1[[#This Row],[Address B]],IP_Master[],3,FALSE)</f>
        <v>iFIX Nodes &amp; Ethernet Switches</v>
      </c>
      <c r="W536" s="9" t="str">
        <f>VLOOKUP(Table1[[#This Row],[Port B]],traffic_types[],2,FALSE)</f>
        <v>Modbus</v>
      </c>
    </row>
    <row r="537" spans="1:23" x14ac:dyDescent="0.6">
      <c r="A537" t="s">
        <v>53</v>
      </c>
      <c r="B537">
        <v>2954</v>
      </c>
      <c r="C537" t="s">
        <v>87</v>
      </c>
      <c r="D537">
        <v>502</v>
      </c>
      <c r="E537">
        <v>2</v>
      </c>
      <c r="F537" s="13">
        <v>124</v>
      </c>
      <c r="G537">
        <v>2</v>
      </c>
      <c r="H537">
        <v>124</v>
      </c>
      <c r="I537">
        <v>0</v>
      </c>
      <c r="J537">
        <v>0</v>
      </c>
      <c r="K537">
        <v>687.65680099999997</v>
      </c>
      <c r="L537">
        <v>2.9264130000000299</v>
      </c>
      <c r="M537">
        <v>338.98154498356598</v>
      </c>
      <c r="N537">
        <v>0</v>
      </c>
      <c r="O537" s="8" t="str">
        <f>formatIP(Table1[[#This Row],[Address A]])</f>
        <v>010.012.000.001</v>
      </c>
      <c r="P537" s="8" t="str">
        <f>formatIP(Table1[[#This Row],[Address B]])</f>
        <v>010.011.009.028</v>
      </c>
      <c r="Q537" s="8" t="str">
        <f>VLOOKUP(Table1[[#This Row],[Address A]],IP_Master[],4,FALSE)</f>
        <v>PPPCFC1</v>
      </c>
      <c r="R537" s="8" t="str">
        <f>VLOOKUP(Table1[[#This Row],[Address B]],IP_Master[],4,FALSE)</f>
        <v>EGX100</v>
      </c>
      <c r="S537" s="8" t="str">
        <f>VLOOKUP(Table1[[#This Row],[Address A]],IP_Master[],2,FALSE)</f>
        <v>Fume Control</v>
      </c>
      <c r="T537" s="8" t="str">
        <f>VLOOKUP(Table1[[#This Row],[Address B]],IP_Master[],2,FALSE)</f>
        <v>Miscellaneous</v>
      </c>
      <c r="U537" s="9" t="str">
        <f>VLOOKUP(Table1[[#This Row],[Address A]],IP_Master[],3,FALSE)</f>
        <v>iFIX Nodes &amp; Ethernet Switches</v>
      </c>
      <c r="V537" s="9" t="str">
        <f>VLOOKUP(Table1[[#This Row],[Address B]],IP_Master[],3,FALSE)</f>
        <v>iFIX Nodes &amp; Ethernet Switches</v>
      </c>
      <c r="W537" s="9" t="str">
        <f>VLOOKUP(Table1[[#This Row],[Port B]],traffic_types[],2,FALSE)</f>
        <v>Modbus</v>
      </c>
    </row>
    <row r="538" spans="1:23" x14ac:dyDescent="0.6">
      <c r="A538" t="s">
        <v>53</v>
      </c>
      <c r="B538">
        <v>2956</v>
      </c>
      <c r="C538" t="s">
        <v>87</v>
      </c>
      <c r="D538">
        <v>502</v>
      </c>
      <c r="E538">
        <v>2</v>
      </c>
      <c r="F538" s="13">
        <v>124</v>
      </c>
      <c r="G538">
        <v>2</v>
      </c>
      <c r="H538">
        <v>124</v>
      </c>
      <c r="I538">
        <v>0</v>
      </c>
      <c r="J538">
        <v>0</v>
      </c>
      <c r="K538">
        <v>690.12961199999995</v>
      </c>
      <c r="L538">
        <v>2.9686710000000902</v>
      </c>
      <c r="M538">
        <v>334.15626049500599</v>
      </c>
      <c r="N538">
        <v>0</v>
      </c>
      <c r="O538" s="8" t="str">
        <f>formatIP(Table1[[#This Row],[Address A]])</f>
        <v>010.012.000.001</v>
      </c>
      <c r="P538" s="8" t="str">
        <f>formatIP(Table1[[#This Row],[Address B]])</f>
        <v>010.011.009.028</v>
      </c>
      <c r="Q538" s="8" t="str">
        <f>VLOOKUP(Table1[[#This Row],[Address A]],IP_Master[],4,FALSE)</f>
        <v>PPPCFC1</v>
      </c>
      <c r="R538" s="8" t="str">
        <f>VLOOKUP(Table1[[#This Row],[Address B]],IP_Master[],4,FALSE)</f>
        <v>EGX100</v>
      </c>
      <c r="S538" s="8" t="str">
        <f>VLOOKUP(Table1[[#This Row],[Address A]],IP_Master[],2,FALSE)</f>
        <v>Fume Control</v>
      </c>
      <c r="T538" s="8" t="str">
        <f>VLOOKUP(Table1[[#This Row],[Address B]],IP_Master[],2,FALSE)</f>
        <v>Miscellaneous</v>
      </c>
      <c r="U538" s="9" t="str">
        <f>VLOOKUP(Table1[[#This Row],[Address A]],IP_Master[],3,FALSE)</f>
        <v>iFIX Nodes &amp; Ethernet Switches</v>
      </c>
      <c r="V538" s="9" t="str">
        <f>VLOOKUP(Table1[[#This Row],[Address B]],IP_Master[],3,FALSE)</f>
        <v>iFIX Nodes &amp; Ethernet Switches</v>
      </c>
      <c r="W538" s="9" t="str">
        <f>VLOOKUP(Table1[[#This Row],[Port B]],traffic_types[],2,FALSE)</f>
        <v>Modbus</v>
      </c>
    </row>
    <row r="539" spans="1:23" x14ac:dyDescent="0.6">
      <c r="A539" t="s">
        <v>53</v>
      </c>
      <c r="B539">
        <v>2957</v>
      </c>
      <c r="C539" t="s">
        <v>87</v>
      </c>
      <c r="D539">
        <v>502</v>
      </c>
      <c r="E539">
        <v>1</v>
      </c>
      <c r="F539" s="13">
        <v>62</v>
      </c>
      <c r="G539">
        <v>1</v>
      </c>
      <c r="H539">
        <v>62</v>
      </c>
      <c r="I539">
        <v>0</v>
      </c>
      <c r="J539">
        <v>0</v>
      </c>
      <c r="K539">
        <v>690.67252800000006</v>
      </c>
      <c r="L539">
        <v>0</v>
      </c>
      <c r="M539">
        <v>0</v>
      </c>
      <c r="N539">
        <v>0</v>
      </c>
      <c r="O539" s="8" t="str">
        <f>formatIP(Table1[[#This Row],[Address A]])</f>
        <v>010.012.000.001</v>
      </c>
      <c r="P539" s="8" t="str">
        <f>formatIP(Table1[[#This Row],[Address B]])</f>
        <v>010.011.009.028</v>
      </c>
      <c r="Q539" s="8" t="str">
        <f>VLOOKUP(Table1[[#This Row],[Address A]],IP_Master[],4,FALSE)</f>
        <v>PPPCFC1</v>
      </c>
      <c r="R539" s="8" t="str">
        <f>VLOOKUP(Table1[[#This Row],[Address B]],IP_Master[],4,FALSE)</f>
        <v>EGX100</v>
      </c>
      <c r="S539" s="8" t="str">
        <f>VLOOKUP(Table1[[#This Row],[Address A]],IP_Master[],2,FALSE)</f>
        <v>Fume Control</v>
      </c>
      <c r="T539" s="8" t="str">
        <f>VLOOKUP(Table1[[#This Row],[Address B]],IP_Master[],2,FALSE)</f>
        <v>Miscellaneous</v>
      </c>
      <c r="U539" s="9" t="str">
        <f>VLOOKUP(Table1[[#This Row],[Address A]],IP_Master[],3,FALSE)</f>
        <v>iFIX Nodes &amp; Ethernet Switches</v>
      </c>
      <c r="V539" s="9" t="str">
        <f>VLOOKUP(Table1[[#This Row],[Address B]],IP_Master[],3,FALSE)</f>
        <v>iFIX Nodes &amp; Ethernet Switches</v>
      </c>
      <c r="W539" s="9" t="str">
        <f>VLOOKUP(Table1[[#This Row],[Port B]],traffic_types[],2,FALSE)</f>
        <v>Modbus</v>
      </c>
    </row>
    <row r="540" spans="1:23" x14ac:dyDescent="0.6">
      <c r="A540" t="s">
        <v>53</v>
      </c>
      <c r="B540">
        <v>2958</v>
      </c>
      <c r="C540" t="s">
        <v>87</v>
      </c>
      <c r="D540">
        <v>502</v>
      </c>
      <c r="E540">
        <v>1</v>
      </c>
      <c r="F540" s="13">
        <v>62</v>
      </c>
      <c r="G540">
        <v>1</v>
      </c>
      <c r="H540">
        <v>62</v>
      </c>
      <c r="I540">
        <v>0</v>
      </c>
      <c r="J540">
        <v>0</v>
      </c>
      <c r="K540">
        <v>691.10308499999996</v>
      </c>
      <c r="L540">
        <v>0</v>
      </c>
      <c r="M540">
        <v>0</v>
      </c>
      <c r="N540">
        <v>0</v>
      </c>
      <c r="O540" s="8" t="str">
        <f>formatIP(Table1[[#This Row],[Address A]])</f>
        <v>010.012.000.001</v>
      </c>
      <c r="P540" s="8" t="str">
        <f>formatIP(Table1[[#This Row],[Address B]])</f>
        <v>010.011.009.028</v>
      </c>
      <c r="Q540" s="8" t="str">
        <f>VLOOKUP(Table1[[#This Row],[Address A]],IP_Master[],4,FALSE)</f>
        <v>PPPCFC1</v>
      </c>
      <c r="R540" s="8" t="str">
        <f>VLOOKUP(Table1[[#This Row],[Address B]],IP_Master[],4,FALSE)</f>
        <v>EGX100</v>
      </c>
      <c r="S540" s="8" t="str">
        <f>VLOOKUP(Table1[[#This Row],[Address A]],IP_Master[],2,FALSE)</f>
        <v>Fume Control</v>
      </c>
      <c r="T540" s="8" t="str">
        <f>VLOOKUP(Table1[[#This Row],[Address B]],IP_Master[],2,FALSE)</f>
        <v>Miscellaneous</v>
      </c>
      <c r="U540" s="9" t="str">
        <f>VLOOKUP(Table1[[#This Row],[Address A]],IP_Master[],3,FALSE)</f>
        <v>iFIX Nodes &amp; Ethernet Switches</v>
      </c>
      <c r="V540" s="9" t="str">
        <f>VLOOKUP(Table1[[#This Row],[Address B]],IP_Master[],3,FALSE)</f>
        <v>iFIX Nodes &amp; Ethernet Switches</v>
      </c>
      <c r="W540" s="9" t="str">
        <f>VLOOKUP(Table1[[#This Row],[Port B]],traffic_types[],2,FALSE)</f>
        <v>Modbus</v>
      </c>
    </row>
    <row r="541" spans="1:23" x14ac:dyDescent="0.6">
      <c r="A541" t="s">
        <v>53</v>
      </c>
      <c r="B541">
        <v>2960</v>
      </c>
      <c r="C541" t="s">
        <v>87</v>
      </c>
      <c r="D541">
        <v>502</v>
      </c>
      <c r="E541">
        <v>2</v>
      </c>
      <c r="F541" s="13">
        <v>124</v>
      </c>
      <c r="G541">
        <v>2</v>
      </c>
      <c r="H541">
        <v>124</v>
      </c>
      <c r="I541">
        <v>0</v>
      </c>
      <c r="J541">
        <v>0</v>
      </c>
      <c r="K541">
        <v>691.72903599999995</v>
      </c>
      <c r="L541">
        <v>2.9798550000000401</v>
      </c>
      <c r="M541">
        <v>332.90210429701602</v>
      </c>
      <c r="N541">
        <v>0</v>
      </c>
      <c r="O541" s="8" t="str">
        <f>formatIP(Table1[[#This Row],[Address A]])</f>
        <v>010.012.000.001</v>
      </c>
      <c r="P541" s="8" t="str">
        <f>formatIP(Table1[[#This Row],[Address B]])</f>
        <v>010.011.009.028</v>
      </c>
      <c r="Q541" s="8" t="str">
        <f>VLOOKUP(Table1[[#This Row],[Address A]],IP_Master[],4,FALSE)</f>
        <v>PPPCFC1</v>
      </c>
      <c r="R541" s="8" t="str">
        <f>VLOOKUP(Table1[[#This Row],[Address B]],IP_Master[],4,FALSE)</f>
        <v>EGX100</v>
      </c>
      <c r="S541" s="8" t="str">
        <f>VLOOKUP(Table1[[#This Row],[Address A]],IP_Master[],2,FALSE)</f>
        <v>Fume Control</v>
      </c>
      <c r="T541" s="8" t="str">
        <f>VLOOKUP(Table1[[#This Row],[Address B]],IP_Master[],2,FALSE)</f>
        <v>Miscellaneous</v>
      </c>
      <c r="U541" s="9" t="str">
        <f>VLOOKUP(Table1[[#This Row],[Address A]],IP_Master[],3,FALSE)</f>
        <v>iFIX Nodes &amp; Ethernet Switches</v>
      </c>
      <c r="V541" s="9" t="str">
        <f>VLOOKUP(Table1[[#This Row],[Address B]],IP_Master[],3,FALSE)</f>
        <v>iFIX Nodes &amp; Ethernet Switches</v>
      </c>
      <c r="W541" s="9" t="str">
        <f>VLOOKUP(Table1[[#This Row],[Port B]],traffic_types[],2,FALSE)</f>
        <v>Modbus</v>
      </c>
    </row>
    <row r="542" spans="1:23" x14ac:dyDescent="0.6">
      <c r="A542" t="s">
        <v>53</v>
      </c>
      <c r="B542">
        <v>2962</v>
      </c>
      <c r="C542" t="s">
        <v>87</v>
      </c>
      <c r="D542">
        <v>502</v>
      </c>
      <c r="E542">
        <v>1</v>
      </c>
      <c r="F542" s="13">
        <v>62</v>
      </c>
      <c r="G542">
        <v>1</v>
      </c>
      <c r="H542">
        <v>62</v>
      </c>
      <c r="I542">
        <v>0</v>
      </c>
      <c r="J542">
        <v>0</v>
      </c>
      <c r="K542">
        <v>693.14156700000001</v>
      </c>
      <c r="L542">
        <v>0</v>
      </c>
      <c r="M542">
        <v>0</v>
      </c>
      <c r="N542">
        <v>0</v>
      </c>
      <c r="O542" s="8" t="str">
        <f>formatIP(Table1[[#This Row],[Address A]])</f>
        <v>010.012.000.001</v>
      </c>
      <c r="P542" s="8" t="str">
        <f>formatIP(Table1[[#This Row],[Address B]])</f>
        <v>010.011.009.028</v>
      </c>
      <c r="Q542" s="8" t="str">
        <f>VLOOKUP(Table1[[#This Row],[Address A]],IP_Master[],4,FALSE)</f>
        <v>PPPCFC1</v>
      </c>
      <c r="R542" s="8" t="str">
        <f>VLOOKUP(Table1[[#This Row],[Address B]],IP_Master[],4,FALSE)</f>
        <v>EGX100</v>
      </c>
      <c r="S542" s="8" t="str">
        <f>VLOOKUP(Table1[[#This Row],[Address A]],IP_Master[],2,FALSE)</f>
        <v>Fume Control</v>
      </c>
      <c r="T542" s="8" t="str">
        <f>VLOOKUP(Table1[[#This Row],[Address B]],IP_Master[],2,FALSE)</f>
        <v>Miscellaneous</v>
      </c>
      <c r="U542" s="9" t="str">
        <f>VLOOKUP(Table1[[#This Row],[Address A]],IP_Master[],3,FALSE)</f>
        <v>iFIX Nodes &amp; Ethernet Switches</v>
      </c>
      <c r="V542" s="9" t="str">
        <f>VLOOKUP(Table1[[#This Row],[Address B]],IP_Master[],3,FALSE)</f>
        <v>iFIX Nodes &amp; Ethernet Switches</v>
      </c>
      <c r="W542" s="9" t="str">
        <f>VLOOKUP(Table1[[#This Row],[Port B]],traffic_types[],2,FALSE)</f>
        <v>Modbus</v>
      </c>
    </row>
    <row r="543" spans="1:23" x14ac:dyDescent="0.6">
      <c r="A543" t="s">
        <v>53</v>
      </c>
      <c r="B543">
        <v>2963</v>
      </c>
      <c r="C543" t="s">
        <v>87</v>
      </c>
      <c r="D543">
        <v>502</v>
      </c>
      <c r="E543">
        <v>1</v>
      </c>
      <c r="F543" s="13">
        <v>62</v>
      </c>
      <c r="G543">
        <v>1</v>
      </c>
      <c r="H543">
        <v>62</v>
      </c>
      <c r="I543">
        <v>0</v>
      </c>
      <c r="J543">
        <v>0</v>
      </c>
      <c r="K543">
        <v>694.11048400000004</v>
      </c>
      <c r="L543">
        <v>0</v>
      </c>
      <c r="M543">
        <v>0</v>
      </c>
      <c r="N543">
        <v>0</v>
      </c>
      <c r="O543" s="8" t="str">
        <f>formatIP(Table1[[#This Row],[Address A]])</f>
        <v>010.012.000.001</v>
      </c>
      <c r="P543" s="8" t="str">
        <f>formatIP(Table1[[#This Row],[Address B]])</f>
        <v>010.011.009.028</v>
      </c>
      <c r="Q543" s="8" t="str">
        <f>VLOOKUP(Table1[[#This Row],[Address A]],IP_Master[],4,FALSE)</f>
        <v>PPPCFC1</v>
      </c>
      <c r="R543" s="8" t="str">
        <f>VLOOKUP(Table1[[#This Row],[Address B]],IP_Master[],4,FALSE)</f>
        <v>EGX100</v>
      </c>
      <c r="S543" s="8" t="str">
        <f>VLOOKUP(Table1[[#This Row],[Address A]],IP_Master[],2,FALSE)</f>
        <v>Fume Control</v>
      </c>
      <c r="T543" s="8" t="str">
        <f>VLOOKUP(Table1[[#This Row],[Address B]],IP_Master[],2,FALSE)</f>
        <v>Miscellaneous</v>
      </c>
      <c r="U543" s="9" t="str">
        <f>VLOOKUP(Table1[[#This Row],[Address A]],IP_Master[],3,FALSE)</f>
        <v>iFIX Nodes &amp; Ethernet Switches</v>
      </c>
      <c r="V543" s="9" t="str">
        <f>VLOOKUP(Table1[[#This Row],[Address B]],IP_Master[],3,FALSE)</f>
        <v>iFIX Nodes &amp; Ethernet Switches</v>
      </c>
      <c r="W543" s="9" t="str">
        <f>VLOOKUP(Table1[[#This Row],[Port B]],traffic_types[],2,FALSE)</f>
        <v>Modbus</v>
      </c>
    </row>
    <row r="544" spans="1:23" x14ac:dyDescent="0.6">
      <c r="A544" t="s">
        <v>53</v>
      </c>
      <c r="B544">
        <v>2964</v>
      </c>
      <c r="C544" t="s">
        <v>87</v>
      </c>
      <c r="D544">
        <v>502</v>
      </c>
      <c r="E544">
        <v>2</v>
      </c>
      <c r="F544" s="13">
        <v>124</v>
      </c>
      <c r="G544">
        <v>2</v>
      </c>
      <c r="H544">
        <v>124</v>
      </c>
      <c r="I544">
        <v>0</v>
      </c>
      <c r="J544">
        <v>0</v>
      </c>
      <c r="K544">
        <v>694.17522099999996</v>
      </c>
      <c r="L544">
        <v>2.94697300000007</v>
      </c>
      <c r="M544">
        <v>336.61658929348101</v>
      </c>
      <c r="N544">
        <v>0</v>
      </c>
      <c r="O544" s="8" t="str">
        <f>formatIP(Table1[[#This Row],[Address A]])</f>
        <v>010.012.000.001</v>
      </c>
      <c r="P544" s="8" t="str">
        <f>formatIP(Table1[[#This Row],[Address B]])</f>
        <v>010.011.009.028</v>
      </c>
      <c r="Q544" s="8" t="str">
        <f>VLOOKUP(Table1[[#This Row],[Address A]],IP_Master[],4,FALSE)</f>
        <v>PPPCFC1</v>
      </c>
      <c r="R544" s="8" t="str">
        <f>VLOOKUP(Table1[[#This Row],[Address B]],IP_Master[],4,FALSE)</f>
        <v>EGX100</v>
      </c>
      <c r="S544" s="8" t="str">
        <f>VLOOKUP(Table1[[#This Row],[Address A]],IP_Master[],2,FALSE)</f>
        <v>Fume Control</v>
      </c>
      <c r="T544" s="8" t="str">
        <f>VLOOKUP(Table1[[#This Row],[Address B]],IP_Master[],2,FALSE)</f>
        <v>Miscellaneous</v>
      </c>
      <c r="U544" s="9" t="str">
        <f>VLOOKUP(Table1[[#This Row],[Address A]],IP_Master[],3,FALSE)</f>
        <v>iFIX Nodes &amp; Ethernet Switches</v>
      </c>
      <c r="V544" s="9" t="str">
        <f>VLOOKUP(Table1[[#This Row],[Address B]],IP_Master[],3,FALSE)</f>
        <v>iFIX Nodes &amp; Ethernet Switches</v>
      </c>
      <c r="W544" s="9" t="str">
        <f>VLOOKUP(Table1[[#This Row],[Port B]],traffic_types[],2,FALSE)</f>
        <v>Modbus</v>
      </c>
    </row>
    <row r="545" spans="1:23" x14ac:dyDescent="0.6">
      <c r="A545" t="s">
        <v>53</v>
      </c>
      <c r="B545">
        <v>2966</v>
      </c>
      <c r="C545" t="s">
        <v>87</v>
      </c>
      <c r="D545">
        <v>502</v>
      </c>
      <c r="E545">
        <v>1</v>
      </c>
      <c r="F545" s="13">
        <v>62</v>
      </c>
      <c r="G545">
        <v>1</v>
      </c>
      <c r="H545">
        <v>62</v>
      </c>
      <c r="I545">
        <v>0</v>
      </c>
      <c r="J545">
        <v>0</v>
      </c>
      <c r="K545">
        <v>694.735952</v>
      </c>
      <c r="L545">
        <v>0</v>
      </c>
      <c r="M545">
        <v>0</v>
      </c>
      <c r="N545">
        <v>0</v>
      </c>
      <c r="O545" s="8" t="str">
        <f>formatIP(Table1[[#This Row],[Address A]])</f>
        <v>010.012.000.001</v>
      </c>
      <c r="P545" s="8" t="str">
        <f>formatIP(Table1[[#This Row],[Address B]])</f>
        <v>010.011.009.028</v>
      </c>
      <c r="Q545" s="8" t="str">
        <f>VLOOKUP(Table1[[#This Row],[Address A]],IP_Master[],4,FALSE)</f>
        <v>PPPCFC1</v>
      </c>
      <c r="R545" s="8" t="str">
        <f>VLOOKUP(Table1[[#This Row],[Address B]],IP_Master[],4,FALSE)</f>
        <v>EGX100</v>
      </c>
      <c r="S545" s="8" t="str">
        <f>VLOOKUP(Table1[[#This Row],[Address A]],IP_Master[],2,FALSE)</f>
        <v>Fume Control</v>
      </c>
      <c r="T545" s="8" t="str">
        <f>VLOOKUP(Table1[[#This Row],[Address B]],IP_Master[],2,FALSE)</f>
        <v>Miscellaneous</v>
      </c>
      <c r="U545" s="9" t="str">
        <f>VLOOKUP(Table1[[#This Row],[Address A]],IP_Master[],3,FALSE)</f>
        <v>iFIX Nodes &amp; Ethernet Switches</v>
      </c>
      <c r="V545" s="9" t="str">
        <f>VLOOKUP(Table1[[#This Row],[Address B]],IP_Master[],3,FALSE)</f>
        <v>iFIX Nodes &amp; Ethernet Switches</v>
      </c>
      <c r="W545" s="9" t="str">
        <f>VLOOKUP(Table1[[#This Row],[Port B]],traffic_types[],2,FALSE)</f>
        <v>Modbus</v>
      </c>
    </row>
    <row r="546" spans="1:23" x14ac:dyDescent="0.6">
      <c r="A546" t="s">
        <v>53</v>
      </c>
      <c r="B546">
        <v>2968</v>
      </c>
      <c r="C546" t="s">
        <v>87</v>
      </c>
      <c r="D546">
        <v>502</v>
      </c>
      <c r="E546">
        <v>1</v>
      </c>
      <c r="F546" s="13">
        <v>62</v>
      </c>
      <c r="G546">
        <v>1</v>
      </c>
      <c r="H546">
        <v>62</v>
      </c>
      <c r="I546">
        <v>0</v>
      </c>
      <c r="J546">
        <v>0</v>
      </c>
      <c r="K546">
        <v>697.18901600000004</v>
      </c>
      <c r="L546">
        <v>0</v>
      </c>
      <c r="M546">
        <v>0</v>
      </c>
      <c r="N546">
        <v>0</v>
      </c>
      <c r="O546" s="8" t="str">
        <f>formatIP(Table1[[#This Row],[Address A]])</f>
        <v>010.012.000.001</v>
      </c>
      <c r="P546" s="8" t="str">
        <f>formatIP(Table1[[#This Row],[Address B]])</f>
        <v>010.011.009.028</v>
      </c>
      <c r="Q546" s="8" t="str">
        <f>VLOOKUP(Table1[[#This Row],[Address A]],IP_Master[],4,FALSE)</f>
        <v>PPPCFC1</v>
      </c>
      <c r="R546" s="8" t="str">
        <f>VLOOKUP(Table1[[#This Row],[Address B]],IP_Master[],4,FALSE)</f>
        <v>EGX100</v>
      </c>
      <c r="S546" s="8" t="str">
        <f>VLOOKUP(Table1[[#This Row],[Address A]],IP_Master[],2,FALSE)</f>
        <v>Fume Control</v>
      </c>
      <c r="T546" s="8" t="str">
        <f>VLOOKUP(Table1[[#This Row],[Address B]],IP_Master[],2,FALSE)</f>
        <v>Miscellaneous</v>
      </c>
      <c r="U546" s="9" t="str">
        <f>VLOOKUP(Table1[[#This Row],[Address A]],IP_Master[],3,FALSE)</f>
        <v>iFIX Nodes &amp; Ethernet Switches</v>
      </c>
      <c r="V546" s="9" t="str">
        <f>VLOOKUP(Table1[[#This Row],[Address B]],IP_Master[],3,FALSE)</f>
        <v>iFIX Nodes &amp; Ethernet Switches</v>
      </c>
      <c r="W546" s="9" t="str">
        <f>VLOOKUP(Table1[[#This Row],[Port B]],traffic_types[],2,FALSE)</f>
        <v>Modbus</v>
      </c>
    </row>
    <row r="547" spans="1:23" x14ac:dyDescent="0.6">
      <c r="A547" t="s">
        <v>53</v>
      </c>
      <c r="B547">
        <v>2972</v>
      </c>
      <c r="C547" t="s">
        <v>87</v>
      </c>
      <c r="D547">
        <v>502</v>
      </c>
      <c r="E547">
        <v>2</v>
      </c>
      <c r="F547" s="13">
        <v>124</v>
      </c>
      <c r="G547">
        <v>2</v>
      </c>
      <c r="H547">
        <v>124</v>
      </c>
      <c r="I547">
        <v>0</v>
      </c>
      <c r="J547">
        <v>0</v>
      </c>
      <c r="K547">
        <v>720.67663500000003</v>
      </c>
      <c r="L547">
        <v>3.0035940000000201</v>
      </c>
      <c r="M547">
        <v>330.27100200626103</v>
      </c>
      <c r="N547">
        <v>0</v>
      </c>
      <c r="O547" s="8" t="str">
        <f>formatIP(Table1[[#This Row],[Address A]])</f>
        <v>010.012.000.001</v>
      </c>
      <c r="P547" s="8" t="str">
        <f>formatIP(Table1[[#This Row],[Address B]])</f>
        <v>010.011.009.028</v>
      </c>
      <c r="Q547" s="8" t="str">
        <f>VLOOKUP(Table1[[#This Row],[Address A]],IP_Master[],4,FALSE)</f>
        <v>PPPCFC1</v>
      </c>
      <c r="R547" s="8" t="str">
        <f>VLOOKUP(Table1[[#This Row],[Address B]],IP_Master[],4,FALSE)</f>
        <v>EGX100</v>
      </c>
      <c r="S547" s="8" t="str">
        <f>VLOOKUP(Table1[[#This Row],[Address A]],IP_Master[],2,FALSE)</f>
        <v>Fume Control</v>
      </c>
      <c r="T547" s="8" t="str">
        <f>VLOOKUP(Table1[[#This Row],[Address B]],IP_Master[],2,FALSE)</f>
        <v>Miscellaneous</v>
      </c>
      <c r="U547" s="9" t="str">
        <f>VLOOKUP(Table1[[#This Row],[Address A]],IP_Master[],3,FALSE)</f>
        <v>iFIX Nodes &amp; Ethernet Switches</v>
      </c>
      <c r="V547" s="9" t="str">
        <f>VLOOKUP(Table1[[#This Row],[Address B]],IP_Master[],3,FALSE)</f>
        <v>iFIX Nodes &amp; Ethernet Switches</v>
      </c>
      <c r="W547" s="9" t="str">
        <f>VLOOKUP(Table1[[#This Row],[Port B]],traffic_types[],2,FALSE)</f>
        <v>Modbus</v>
      </c>
    </row>
    <row r="548" spans="1:23" x14ac:dyDescent="0.6">
      <c r="A548" t="s">
        <v>53</v>
      </c>
      <c r="B548">
        <v>2973</v>
      </c>
      <c r="C548" t="s">
        <v>87</v>
      </c>
      <c r="D548">
        <v>502</v>
      </c>
      <c r="E548">
        <v>1</v>
      </c>
      <c r="F548" s="13">
        <v>62</v>
      </c>
      <c r="G548">
        <v>1</v>
      </c>
      <c r="H548">
        <v>62</v>
      </c>
      <c r="I548">
        <v>0</v>
      </c>
      <c r="J548">
        <v>0</v>
      </c>
      <c r="K548">
        <v>723.15567999999996</v>
      </c>
      <c r="L548">
        <v>0</v>
      </c>
      <c r="M548">
        <v>0</v>
      </c>
      <c r="N548">
        <v>0</v>
      </c>
      <c r="O548" s="8" t="str">
        <f>formatIP(Table1[[#This Row],[Address A]])</f>
        <v>010.012.000.001</v>
      </c>
      <c r="P548" s="8" t="str">
        <f>formatIP(Table1[[#This Row],[Address B]])</f>
        <v>010.011.009.028</v>
      </c>
      <c r="Q548" s="8" t="str">
        <f>VLOOKUP(Table1[[#This Row],[Address A]],IP_Master[],4,FALSE)</f>
        <v>PPPCFC1</v>
      </c>
      <c r="R548" s="8" t="str">
        <f>VLOOKUP(Table1[[#This Row],[Address B]],IP_Master[],4,FALSE)</f>
        <v>EGX100</v>
      </c>
      <c r="S548" s="8" t="str">
        <f>VLOOKUP(Table1[[#This Row],[Address A]],IP_Master[],2,FALSE)</f>
        <v>Fume Control</v>
      </c>
      <c r="T548" s="8" t="str">
        <f>VLOOKUP(Table1[[#This Row],[Address B]],IP_Master[],2,FALSE)</f>
        <v>Miscellaneous</v>
      </c>
      <c r="U548" s="9" t="str">
        <f>VLOOKUP(Table1[[#This Row],[Address A]],IP_Master[],3,FALSE)</f>
        <v>iFIX Nodes &amp; Ethernet Switches</v>
      </c>
      <c r="V548" s="9" t="str">
        <f>VLOOKUP(Table1[[#This Row],[Address B]],IP_Master[],3,FALSE)</f>
        <v>iFIX Nodes &amp; Ethernet Switches</v>
      </c>
      <c r="W548" s="9" t="str">
        <f>VLOOKUP(Table1[[#This Row],[Port B]],traffic_types[],2,FALSE)</f>
        <v>Modbus</v>
      </c>
    </row>
    <row r="549" spans="1:23" x14ac:dyDescent="0.6">
      <c r="A549" t="s">
        <v>53</v>
      </c>
      <c r="B549">
        <v>2974</v>
      </c>
      <c r="C549" t="s">
        <v>87</v>
      </c>
      <c r="D549">
        <v>502</v>
      </c>
      <c r="E549">
        <v>1</v>
      </c>
      <c r="F549" s="13">
        <v>62</v>
      </c>
      <c r="G549">
        <v>1</v>
      </c>
      <c r="H549">
        <v>62</v>
      </c>
      <c r="I549">
        <v>0</v>
      </c>
      <c r="J549">
        <v>0</v>
      </c>
      <c r="K549">
        <v>723.69231100000002</v>
      </c>
      <c r="L549">
        <v>0</v>
      </c>
      <c r="M549">
        <v>0</v>
      </c>
      <c r="N549">
        <v>0</v>
      </c>
      <c r="O549" s="8" t="str">
        <f>formatIP(Table1[[#This Row],[Address A]])</f>
        <v>010.012.000.001</v>
      </c>
      <c r="P549" s="8" t="str">
        <f>formatIP(Table1[[#This Row],[Address B]])</f>
        <v>010.011.009.028</v>
      </c>
      <c r="Q549" s="8" t="str">
        <f>VLOOKUP(Table1[[#This Row],[Address A]],IP_Master[],4,FALSE)</f>
        <v>PPPCFC1</v>
      </c>
      <c r="R549" s="8" t="str">
        <f>VLOOKUP(Table1[[#This Row],[Address B]],IP_Master[],4,FALSE)</f>
        <v>EGX100</v>
      </c>
      <c r="S549" s="8" t="str">
        <f>VLOOKUP(Table1[[#This Row],[Address A]],IP_Master[],2,FALSE)</f>
        <v>Fume Control</v>
      </c>
      <c r="T549" s="8" t="str">
        <f>VLOOKUP(Table1[[#This Row],[Address B]],IP_Master[],2,FALSE)</f>
        <v>Miscellaneous</v>
      </c>
      <c r="U549" s="9" t="str">
        <f>VLOOKUP(Table1[[#This Row],[Address A]],IP_Master[],3,FALSE)</f>
        <v>iFIX Nodes &amp; Ethernet Switches</v>
      </c>
      <c r="V549" s="9" t="str">
        <f>VLOOKUP(Table1[[#This Row],[Address B]],IP_Master[],3,FALSE)</f>
        <v>iFIX Nodes &amp; Ethernet Switches</v>
      </c>
      <c r="W549" s="9" t="str">
        <f>VLOOKUP(Table1[[#This Row],[Port B]],traffic_types[],2,FALSE)</f>
        <v>Modbus</v>
      </c>
    </row>
    <row r="550" spans="1:23" x14ac:dyDescent="0.6">
      <c r="A550" t="s">
        <v>53</v>
      </c>
      <c r="B550">
        <v>2975</v>
      </c>
      <c r="C550" t="s">
        <v>87</v>
      </c>
      <c r="D550">
        <v>502</v>
      </c>
      <c r="E550">
        <v>2</v>
      </c>
      <c r="F550" s="13">
        <v>124</v>
      </c>
      <c r="G550">
        <v>2</v>
      </c>
      <c r="H550">
        <v>124</v>
      </c>
      <c r="I550">
        <v>0</v>
      </c>
      <c r="J550">
        <v>0</v>
      </c>
      <c r="K550">
        <v>724.12238100000002</v>
      </c>
      <c r="L550">
        <v>2.9782549999999901</v>
      </c>
      <c r="M550">
        <v>333.08094840771003</v>
      </c>
      <c r="N550">
        <v>0</v>
      </c>
      <c r="O550" s="8" t="str">
        <f>formatIP(Table1[[#This Row],[Address A]])</f>
        <v>010.012.000.001</v>
      </c>
      <c r="P550" s="8" t="str">
        <f>formatIP(Table1[[#This Row],[Address B]])</f>
        <v>010.011.009.028</v>
      </c>
      <c r="Q550" s="8" t="str">
        <f>VLOOKUP(Table1[[#This Row],[Address A]],IP_Master[],4,FALSE)</f>
        <v>PPPCFC1</v>
      </c>
      <c r="R550" s="8" t="str">
        <f>VLOOKUP(Table1[[#This Row],[Address B]],IP_Master[],4,FALSE)</f>
        <v>EGX100</v>
      </c>
      <c r="S550" s="8" t="str">
        <f>VLOOKUP(Table1[[#This Row],[Address A]],IP_Master[],2,FALSE)</f>
        <v>Fume Control</v>
      </c>
      <c r="T550" s="8" t="str">
        <f>VLOOKUP(Table1[[#This Row],[Address B]],IP_Master[],2,FALSE)</f>
        <v>Miscellaneous</v>
      </c>
      <c r="U550" s="9" t="str">
        <f>VLOOKUP(Table1[[#This Row],[Address A]],IP_Master[],3,FALSE)</f>
        <v>iFIX Nodes &amp; Ethernet Switches</v>
      </c>
      <c r="V550" s="9" t="str">
        <f>VLOOKUP(Table1[[#This Row],[Address B]],IP_Master[],3,FALSE)</f>
        <v>iFIX Nodes &amp; Ethernet Switches</v>
      </c>
      <c r="W550" s="9" t="str">
        <f>VLOOKUP(Table1[[#This Row],[Port B]],traffic_types[],2,FALSE)</f>
        <v>Modbus</v>
      </c>
    </row>
    <row r="551" spans="1:23" x14ac:dyDescent="0.6">
      <c r="A551" t="s">
        <v>53</v>
      </c>
      <c r="B551">
        <v>2977</v>
      </c>
      <c r="C551" t="s">
        <v>87</v>
      </c>
      <c r="D551">
        <v>502</v>
      </c>
      <c r="E551">
        <v>2</v>
      </c>
      <c r="F551" s="13">
        <v>124</v>
      </c>
      <c r="G551">
        <v>2</v>
      </c>
      <c r="H551">
        <v>124</v>
      </c>
      <c r="I551">
        <v>0</v>
      </c>
      <c r="J551">
        <v>0</v>
      </c>
      <c r="K551">
        <v>724.74778700000002</v>
      </c>
      <c r="L551">
        <v>2.9564430000000401</v>
      </c>
      <c r="M551">
        <v>335.53834794040898</v>
      </c>
      <c r="N551">
        <v>0</v>
      </c>
      <c r="O551" s="8" t="str">
        <f>formatIP(Table1[[#This Row],[Address A]])</f>
        <v>010.012.000.001</v>
      </c>
      <c r="P551" s="8" t="str">
        <f>formatIP(Table1[[#This Row],[Address B]])</f>
        <v>010.011.009.028</v>
      </c>
      <c r="Q551" s="8" t="str">
        <f>VLOOKUP(Table1[[#This Row],[Address A]],IP_Master[],4,FALSE)</f>
        <v>PPPCFC1</v>
      </c>
      <c r="R551" s="8" t="str">
        <f>VLOOKUP(Table1[[#This Row],[Address B]],IP_Master[],4,FALSE)</f>
        <v>EGX100</v>
      </c>
      <c r="S551" s="8" t="str">
        <f>VLOOKUP(Table1[[#This Row],[Address A]],IP_Master[],2,FALSE)</f>
        <v>Fume Control</v>
      </c>
      <c r="T551" s="8" t="str">
        <f>VLOOKUP(Table1[[#This Row],[Address B]],IP_Master[],2,FALSE)</f>
        <v>Miscellaneous</v>
      </c>
      <c r="U551" s="9" t="str">
        <f>VLOOKUP(Table1[[#This Row],[Address A]],IP_Master[],3,FALSE)</f>
        <v>iFIX Nodes &amp; Ethernet Switches</v>
      </c>
      <c r="V551" s="9" t="str">
        <f>VLOOKUP(Table1[[#This Row],[Address B]],IP_Master[],3,FALSE)</f>
        <v>iFIX Nodes &amp; Ethernet Switches</v>
      </c>
      <c r="W551" s="9" t="str">
        <f>VLOOKUP(Table1[[#This Row],[Port B]],traffic_types[],2,FALSE)</f>
        <v>Modbus</v>
      </c>
    </row>
    <row r="552" spans="1:23" x14ac:dyDescent="0.6">
      <c r="A552" t="s">
        <v>53</v>
      </c>
      <c r="B552">
        <v>2979</v>
      </c>
      <c r="C552" t="s">
        <v>87</v>
      </c>
      <c r="D552">
        <v>502</v>
      </c>
      <c r="E552">
        <v>1</v>
      </c>
      <c r="F552" s="13">
        <v>62</v>
      </c>
      <c r="G552">
        <v>1</v>
      </c>
      <c r="H552">
        <v>62</v>
      </c>
      <c r="I552">
        <v>0</v>
      </c>
      <c r="J552">
        <v>0</v>
      </c>
      <c r="K552">
        <v>726.16145400000005</v>
      </c>
      <c r="L552">
        <v>0</v>
      </c>
      <c r="M552">
        <v>0</v>
      </c>
      <c r="N552">
        <v>0</v>
      </c>
      <c r="O552" s="8" t="str">
        <f>formatIP(Table1[[#This Row],[Address A]])</f>
        <v>010.012.000.001</v>
      </c>
      <c r="P552" s="8" t="str">
        <f>formatIP(Table1[[#This Row],[Address B]])</f>
        <v>010.011.009.028</v>
      </c>
      <c r="Q552" s="8" t="str">
        <f>VLOOKUP(Table1[[#This Row],[Address A]],IP_Master[],4,FALSE)</f>
        <v>PPPCFC1</v>
      </c>
      <c r="R552" s="8" t="str">
        <f>VLOOKUP(Table1[[#This Row],[Address B]],IP_Master[],4,FALSE)</f>
        <v>EGX100</v>
      </c>
      <c r="S552" s="8" t="str">
        <f>VLOOKUP(Table1[[#This Row],[Address A]],IP_Master[],2,FALSE)</f>
        <v>Fume Control</v>
      </c>
      <c r="T552" s="8" t="str">
        <f>VLOOKUP(Table1[[#This Row],[Address B]],IP_Master[],2,FALSE)</f>
        <v>Miscellaneous</v>
      </c>
      <c r="U552" s="9" t="str">
        <f>VLOOKUP(Table1[[#This Row],[Address A]],IP_Master[],3,FALSE)</f>
        <v>iFIX Nodes &amp; Ethernet Switches</v>
      </c>
      <c r="V552" s="9" t="str">
        <f>VLOOKUP(Table1[[#This Row],[Address B]],IP_Master[],3,FALSE)</f>
        <v>iFIX Nodes &amp; Ethernet Switches</v>
      </c>
      <c r="W552" s="9" t="str">
        <f>VLOOKUP(Table1[[#This Row],[Port B]],traffic_types[],2,FALSE)</f>
        <v>Modbus</v>
      </c>
    </row>
    <row r="553" spans="1:23" x14ac:dyDescent="0.6">
      <c r="A553" t="s">
        <v>53</v>
      </c>
      <c r="B553">
        <v>2981</v>
      </c>
      <c r="C553" t="s">
        <v>87</v>
      </c>
      <c r="D553">
        <v>502</v>
      </c>
      <c r="E553">
        <v>1</v>
      </c>
      <c r="F553" s="13">
        <v>62</v>
      </c>
      <c r="G553">
        <v>1</v>
      </c>
      <c r="H553">
        <v>62</v>
      </c>
      <c r="I553">
        <v>0</v>
      </c>
      <c r="J553">
        <v>0</v>
      </c>
      <c r="K553">
        <v>727.13052200000004</v>
      </c>
      <c r="L553">
        <v>0</v>
      </c>
      <c r="M553">
        <v>0</v>
      </c>
      <c r="N553">
        <v>0</v>
      </c>
      <c r="O553" s="8" t="str">
        <f>formatIP(Table1[[#This Row],[Address A]])</f>
        <v>010.012.000.001</v>
      </c>
      <c r="P553" s="8" t="str">
        <f>formatIP(Table1[[#This Row],[Address B]])</f>
        <v>010.011.009.028</v>
      </c>
      <c r="Q553" s="8" t="str">
        <f>VLOOKUP(Table1[[#This Row],[Address A]],IP_Master[],4,FALSE)</f>
        <v>PPPCFC1</v>
      </c>
      <c r="R553" s="8" t="str">
        <f>VLOOKUP(Table1[[#This Row],[Address B]],IP_Master[],4,FALSE)</f>
        <v>EGX100</v>
      </c>
      <c r="S553" s="8" t="str">
        <f>VLOOKUP(Table1[[#This Row],[Address A]],IP_Master[],2,FALSE)</f>
        <v>Fume Control</v>
      </c>
      <c r="T553" s="8" t="str">
        <f>VLOOKUP(Table1[[#This Row],[Address B]],IP_Master[],2,FALSE)</f>
        <v>Miscellaneous</v>
      </c>
      <c r="U553" s="9" t="str">
        <f>VLOOKUP(Table1[[#This Row],[Address A]],IP_Master[],3,FALSE)</f>
        <v>iFIX Nodes &amp; Ethernet Switches</v>
      </c>
      <c r="V553" s="9" t="str">
        <f>VLOOKUP(Table1[[#This Row],[Address B]],IP_Master[],3,FALSE)</f>
        <v>iFIX Nodes &amp; Ethernet Switches</v>
      </c>
      <c r="W553" s="9" t="str">
        <f>VLOOKUP(Table1[[#This Row],[Port B]],traffic_types[],2,FALSE)</f>
        <v>Modbus</v>
      </c>
    </row>
    <row r="554" spans="1:23" x14ac:dyDescent="0.6">
      <c r="A554" t="s">
        <v>53</v>
      </c>
      <c r="B554">
        <v>2982</v>
      </c>
      <c r="C554" t="s">
        <v>87</v>
      </c>
      <c r="D554">
        <v>502</v>
      </c>
      <c r="E554">
        <v>2</v>
      </c>
      <c r="F554" s="13">
        <v>124</v>
      </c>
      <c r="G554">
        <v>2</v>
      </c>
      <c r="H554">
        <v>124</v>
      </c>
      <c r="I554">
        <v>0</v>
      </c>
      <c r="J554">
        <v>0</v>
      </c>
      <c r="K554">
        <v>727.19600600000001</v>
      </c>
      <c r="L554">
        <v>2.9225589999999801</v>
      </c>
      <c r="M554">
        <v>339.42856243449899</v>
      </c>
      <c r="N554">
        <v>0</v>
      </c>
      <c r="O554" s="8" t="str">
        <f>formatIP(Table1[[#This Row],[Address A]])</f>
        <v>010.012.000.001</v>
      </c>
      <c r="P554" s="8" t="str">
        <f>formatIP(Table1[[#This Row],[Address B]])</f>
        <v>010.011.009.028</v>
      </c>
      <c r="Q554" s="8" t="str">
        <f>VLOOKUP(Table1[[#This Row],[Address A]],IP_Master[],4,FALSE)</f>
        <v>PPPCFC1</v>
      </c>
      <c r="R554" s="8" t="str">
        <f>VLOOKUP(Table1[[#This Row],[Address B]],IP_Master[],4,FALSE)</f>
        <v>EGX100</v>
      </c>
      <c r="S554" s="8" t="str">
        <f>VLOOKUP(Table1[[#This Row],[Address A]],IP_Master[],2,FALSE)</f>
        <v>Fume Control</v>
      </c>
      <c r="T554" s="8" t="str">
        <f>VLOOKUP(Table1[[#This Row],[Address B]],IP_Master[],2,FALSE)</f>
        <v>Miscellaneous</v>
      </c>
      <c r="U554" s="9" t="str">
        <f>VLOOKUP(Table1[[#This Row],[Address A]],IP_Master[],3,FALSE)</f>
        <v>iFIX Nodes &amp; Ethernet Switches</v>
      </c>
      <c r="V554" s="9" t="str">
        <f>VLOOKUP(Table1[[#This Row],[Address B]],IP_Master[],3,FALSE)</f>
        <v>iFIX Nodes &amp; Ethernet Switches</v>
      </c>
      <c r="W554" s="9" t="str">
        <f>VLOOKUP(Table1[[#This Row],[Port B]],traffic_types[],2,FALSE)</f>
        <v>Modbus</v>
      </c>
    </row>
    <row r="555" spans="1:23" x14ac:dyDescent="0.6">
      <c r="A555" t="s">
        <v>53</v>
      </c>
      <c r="B555">
        <v>2984</v>
      </c>
      <c r="C555" t="s">
        <v>87</v>
      </c>
      <c r="D555">
        <v>502</v>
      </c>
      <c r="E555">
        <v>1</v>
      </c>
      <c r="F555" s="13">
        <v>62</v>
      </c>
      <c r="G555">
        <v>1</v>
      </c>
      <c r="H555">
        <v>62</v>
      </c>
      <c r="I555">
        <v>0</v>
      </c>
      <c r="J555">
        <v>0</v>
      </c>
      <c r="K555">
        <v>727.75581399999999</v>
      </c>
      <c r="L555">
        <v>0</v>
      </c>
      <c r="M555">
        <v>0</v>
      </c>
      <c r="N555">
        <v>0</v>
      </c>
      <c r="O555" s="8" t="str">
        <f>formatIP(Table1[[#This Row],[Address A]])</f>
        <v>010.012.000.001</v>
      </c>
      <c r="P555" s="8" t="str">
        <f>formatIP(Table1[[#This Row],[Address B]])</f>
        <v>010.011.009.028</v>
      </c>
      <c r="Q555" s="8" t="str">
        <f>VLOOKUP(Table1[[#This Row],[Address A]],IP_Master[],4,FALSE)</f>
        <v>PPPCFC1</v>
      </c>
      <c r="R555" s="8" t="str">
        <f>VLOOKUP(Table1[[#This Row],[Address B]],IP_Master[],4,FALSE)</f>
        <v>EGX100</v>
      </c>
      <c r="S555" s="8" t="str">
        <f>VLOOKUP(Table1[[#This Row],[Address A]],IP_Master[],2,FALSE)</f>
        <v>Fume Control</v>
      </c>
      <c r="T555" s="8" t="str">
        <f>VLOOKUP(Table1[[#This Row],[Address B]],IP_Master[],2,FALSE)</f>
        <v>Miscellaneous</v>
      </c>
      <c r="U555" s="9" t="str">
        <f>VLOOKUP(Table1[[#This Row],[Address A]],IP_Master[],3,FALSE)</f>
        <v>iFIX Nodes &amp; Ethernet Switches</v>
      </c>
      <c r="V555" s="9" t="str">
        <f>VLOOKUP(Table1[[#This Row],[Address B]],IP_Master[],3,FALSE)</f>
        <v>iFIX Nodes &amp; Ethernet Switches</v>
      </c>
      <c r="W555" s="9" t="str">
        <f>VLOOKUP(Table1[[#This Row],[Port B]],traffic_types[],2,FALSE)</f>
        <v>Modbus</v>
      </c>
    </row>
    <row r="556" spans="1:23" x14ac:dyDescent="0.6">
      <c r="A556" t="s">
        <v>53</v>
      </c>
      <c r="B556">
        <v>2987</v>
      </c>
      <c r="C556" t="s">
        <v>87</v>
      </c>
      <c r="D556">
        <v>502</v>
      </c>
      <c r="E556">
        <v>1</v>
      </c>
      <c r="F556" s="13">
        <v>62</v>
      </c>
      <c r="G556">
        <v>1</v>
      </c>
      <c r="H556">
        <v>62</v>
      </c>
      <c r="I556">
        <v>0</v>
      </c>
      <c r="J556">
        <v>0</v>
      </c>
      <c r="K556">
        <v>730.20882400000005</v>
      </c>
      <c r="L556">
        <v>0</v>
      </c>
      <c r="M556">
        <v>0</v>
      </c>
      <c r="N556">
        <v>0</v>
      </c>
      <c r="O556" s="8" t="str">
        <f>formatIP(Table1[[#This Row],[Address A]])</f>
        <v>010.012.000.001</v>
      </c>
      <c r="P556" s="8" t="str">
        <f>formatIP(Table1[[#This Row],[Address B]])</f>
        <v>010.011.009.028</v>
      </c>
      <c r="Q556" s="8" t="str">
        <f>VLOOKUP(Table1[[#This Row],[Address A]],IP_Master[],4,FALSE)</f>
        <v>PPPCFC1</v>
      </c>
      <c r="R556" s="8" t="str">
        <f>VLOOKUP(Table1[[#This Row],[Address B]],IP_Master[],4,FALSE)</f>
        <v>EGX100</v>
      </c>
      <c r="S556" s="8" t="str">
        <f>VLOOKUP(Table1[[#This Row],[Address A]],IP_Master[],2,FALSE)</f>
        <v>Fume Control</v>
      </c>
      <c r="T556" s="8" t="str">
        <f>VLOOKUP(Table1[[#This Row],[Address B]],IP_Master[],2,FALSE)</f>
        <v>Miscellaneous</v>
      </c>
      <c r="U556" s="9" t="str">
        <f>VLOOKUP(Table1[[#This Row],[Address A]],IP_Master[],3,FALSE)</f>
        <v>iFIX Nodes &amp; Ethernet Switches</v>
      </c>
      <c r="V556" s="9" t="str">
        <f>VLOOKUP(Table1[[#This Row],[Address B]],IP_Master[],3,FALSE)</f>
        <v>iFIX Nodes &amp; Ethernet Switches</v>
      </c>
      <c r="W556" s="9" t="str">
        <f>VLOOKUP(Table1[[#This Row],[Port B]],traffic_types[],2,FALSE)</f>
        <v>Modbus</v>
      </c>
    </row>
    <row r="557" spans="1:23" x14ac:dyDescent="0.6">
      <c r="A557" t="s">
        <v>53</v>
      </c>
      <c r="B557">
        <v>2990</v>
      </c>
      <c r="C557" t="s">
        <v>87</v>
      </c>
      <c r="D557">
        <v>502</v>
      </c>
      <c r="E557">
        <v>2</v>
      </c>
      <c r="F557" s="13">
        <v>124</v>
      </c>
      <c r="G557">
        <v>2</v>
      </c>
      <c r="H557">
        <v>124</v>
      </c>
      <c r="I557">
        <v>0</v>
      </c>
      <c r="J557">
        <v>0</v>
      </c>
      <c r="K557">
        <v>753.70120299999996</v>
      </c>
      <c r="L557">
        <v>2.8749270000000702</v>
      </c>
      <c r="M557">
        <v>345.05223958729198</v>
      </c>
      <c r="N557">
        <v>0</v>
      </c>
      <c r="O557" s="8" t="str">
        <f>formatIP(Table1[[#This Row],[Address A]])</f>
        <v>010.012.000.001</v>
      </c>
      <c r="P557" s="8" t="str">
        <f>formatIP(Table1[[#This Row],[Address B]])</f>
        <v>010.011.009.028</v>
      </c>
      <c r="Q557" s="8" t="str">
        <f>VLOOKUP(Table1[[#This Row],[Address A]],IP_Master[],4,FALSE)</f>
        <v>PPPCFC1</v>
      </c>
      <c r="R557" s="8" t="str">
        <f>VLOOKUP(Table1[[#This Row],[Address B]],IP_Master[],4,FALSE)</f>
        <v>EGX100</v>
      </c>
      <c r="S557" s="8" t="str">
        <f>VLOOKUP(Table1[[#This Row],[Address A]],IP_Master[],2,FALSE)</f>
        <v>Fume Control</v>
      </c>
      <c r="T557" s="8" t="str">
        <f>VLOOKUP(Table1[[#This Row],[Address B]],IP_Master[],2,FALSE)</f>
        <v>Miscellaneous</v>
      </c>
      <c r="U557" s="9" t="str">
        <f>VLOOKUP(Table1[[#This Row],[Address A]],IP_Master[],3,FALSE)</f>
        <v>iFIX Nodes &amp; Ethernet Switches</v>
      </c>
      <c r="V557" s="9" t="str">
        <f>VLOOKUP(Table1[[#This Row],[Address B]],IP_Master[],3,FALSE)</f>
        <v>iFIX Nodes &amp; Ethernet Switches</v>
      </c>
      <c r="W557" s="9" t="str">
        <f>VLOOKUP(Table1[[#This Row],[Port B]],traffic_types[],2,FALSE)</f>
        <v>Modbus</v>
      </c>
    </row>
    <row r="558" spans="1:23" x14ac:dyDescent="0.6">
      <c r="A558" t="s">
        <v>53</v>
      </c>
      <c r="B558">
        <v>2991</v>
      </c>
      <c r="C558" t="s">
        <v>87</v>
      </c>
      <c r="D558">
        <v>502</v>
      </c>
      <c r="E558">
        <v>1</v>
      </c>
      <c r="F558" s="13">
        <v>62</v>
      </c>
      <c r="G558">
        <v>1</v>
      </c>
      <c r="H558">
        <v>62</v>
      </c>
      <c r="I558">
        <v>0</v>
      </c>
      <c r="J558">
        <v>0</v>
      </c>
      <c r="K558">
        <v>756.171243</v>
      </c>
      <c r="L558">
        <v>0</v>
      </c>
      <c r="M558">
        <v>0</v>
      </c>
      <c r="N558">
        <v>0</v>
      </c>
      <c r="O558" s="8" t="str">
        <f>formatIP(Table1[[#This Row],[Address A]])</f>
        <v>010.012.000.001</v>
      </c>
      <c r="P558" s="8" t="str">
        <f>formatIP(Table1[[#This Row],[Address B]])</f>
        <v>010.011.009.028</v>
      </c>
      <c r="Q558" s="8" t="str">
        <f>VLOOKUP(Table1[[#This Row],[Address A]],IP_Master[],4,FALSE)</f>
        <v>PPPCFC1</v>
      </c>
      <c r="R558" s="8" t="str">
        <f>VLOOKUP(Table1[[#This Row],[Address B]],IP_Master[],4,FALSE)</f>
        <v>EGX100</v>
      </c>
      <c r="S558" s="8" t="str">
        <f>VLOOKUP(Table1[[#This Row],[Address A]],IP_Master[],2,FALSE)</f>
        <v>Fume Control</v>
      </c>
      <c r="T558" s="8" t="str">
        <f>VLOOKUP(Table1[[#This Row],[Address B]],IP_Master[],2,FALSE)</f>
        <v>Miscellaneous</v>
      </c>
      <c r="U558" s="9" t="str">
        <f>VLOOKUP(Table1[[#This Row],[Address A]],IP_Master[],3,FALSE)</f>
        <v>iFIX Nodes &amp; Ethernet Switches</v>
      </c>
      <c r="V558" s="9" t="str">
        <f>VLOOKUP(Table1[[#This Row],[Address B]],IP_Master[],3,FALSE)</f>
        <v>iFIX Nodes &amp; Ethernet Switches</v>
      </c>
      <c r="W558" s="9" t="str">
        <f>VLOOKUP(Table1[[#This Row],[Port B]],traffic_types[],2,FALSE)</f>
        <v>Modbus</v>
      </c>
    </row>
    <row r="559" spans="1:23" x14ac:dyDescent="0.6">
      <c r="A559" t="s">
        <v>53</v>
      </c>
      <c r="B559">
        <v>2992</v>
      </c>
      <c r="C559" t="s">
        <v>87</v>
      </c>
      <c r="D559">
        <v>502</v>
      </c>
      <c r="E559">
        <v>1</v>
      </c>
      <c r="F559" s="13">
        <v>62</v>
      </c>
      <c r="G559">
        <v>1</v>
      </c>
      <c r="H559">
        <v>62</v>
      </c>
      <c r="I559">
        <v>0</v>
      </c>
      <c r="J559">
        <v>0</v>
      </c>
      <c r="K559">
        <v>756.71213599999999</v>
      </c>
      <c r="L559">
        <v>0</v>
      </c>
      <c r="M559">
        <v>0</v>
      </c>
      <c r="N559">
        <v>0</v>
      </c>
      <c r="O559" s="8" t="str">
        <f>formatIP(Table1[[#This Row],[Address A]])</f>
        <v>010.012.000.001</v>
      </c>
      <c r="P559" s="8" t="str">
        <f>formatIP(Table1[[#This Row],[Address B]])</f>
        <v>010.011.009.028</v>
      </c>
      <c r="Q559" s="8" t="str">
        <f>VLOOKUP(Table1[[#This Row],[Address A]],IP_Master[],4,FALSE)</f>
        <v>PPPCFC1</v>
      </c>
      <c r="R559" s="8" t="str">
        <f>VLOOKUP(Table1[[#This Row],[Address B]],IP_Master[],4,FALSE)</f>
        <v>EGX100</v>
      </c>
      <c r="S559" s="8" t="str">
        <f>VLOOKUP(Table1[[#This Row],[Address A]],IP_Master[],2,FALSE)</f>
        <v>Fume Control</v>
      </c>
      <c r="T559" s="8" t="str">
        <f>VLOOKUP(Table1[[#This Row],[Address B]],IP_Master[],2,FALSE)</f>
        <v>Miscellaneous</v>
      </c>
      <c r="U559" s="9" t="str">
        <f>VLOOKUP(Table1[[#This Row],[Address A]],IP_Master[],3,FALSE)</f>
        <v>iFIX Nodes &amp; Ethernet Switches</v>
      </c>
      <c r="V559" s="9" t="str">
        <f>VLOOKUP(Table1[[#This Row],[Address B]],IP_Master[],3,FALSE)</f>
        <v>iFIX Nodes &amp; Ethernet Switches</v>
      </c>
      <c r="W559" s="9" t="str">
        <f>VLOOKUP(Table1[[#This Row],[Port B]],traffic_types[],2,FALSE)</f>
        <v>Modbus</v>
      </c>
    </row>
    <row r="560" spans="1:23" x14ac:dyDescent="0.6">
      <c r="A560" t="s">
        <v>53</v>
      </c>
      <c r="B560">
        <v>2993</v>
      </c>
      <c r="C560" t="s">
        <v>87</v>
      </c>
      <c r="D560">
        <v>502</v>
      </c>
      <c r="E560">
        <v>2</v>
      </c>
      <c r="F560" s="13">
        <v>124</v>
      </c>
      <c r="G560">
        <v>2</v>
      </c>
      <c r="H560">
        <v>124</v>
      </c>
      <c r="I560">
        <v>0</v>
      </c>
      <c r="J560">
        <v>0</v>
      </c>
      <c r="K560">
        <v>757.14210600000001</v>
      </c>
      <c r="L560">
        <v>2.9548539999999499</v>
      </c>
      <c r="M560">
        <v>335.71878678270201</v>
      </c>
      <c r="N560">
        <v>0</v>
      </c>
      <c r="O560" s="8" t="str">
        <f>formatIP(Table1[[#This Row],[Address A]])</f>
        <v>010.012.000.001</v>
      </c>
      <c r="P560" s="8" t="str">
        <f>formatIP(Table1[[#This Row],[Address B]])</f>
        <v>010.011.009.028</v>
      </c>
      <c r="Q560" s="8" t="str">
        <f>VLOOKUP(Table1[[#This Row],[Address A]],IP_Master[],4,FALSE)</f>
        <v>PPPCFC1</v>
      </c>
      <c r="R560" s="8" t="str">
        <f>VLOOKUP(Table1[[#This Row],[Address B]],IP_Master[],4,FALSE)</f>
        <v>EGX100</v>
      </c>
      <c r="S560" s="8" t="str">
        <f>VLOOKUP(Table1[[#This Row],[Address A]],IP_Master[],2,FALSE)</f>
        <v>Fume Control</v>
      </c>
      <c r="T560" s="8" t="str">
        <f>VLOOKUP(Table1[[#This Row],[Address B]],IP_Master[],2,FALSE)</f>
        <v>Miscellaneous</v>
      </c>
      <c r="U560" s="9" t="str">
        <f>VLOOKUP(Table1[[#This Row],[Address A]],IP_Master[],3,FALSE)</f>
        <v>iFIX Nodes &amp; Ethernet Switches</v>
      </c>
      <c r="V560" s="9" t="str">
        <f>VLOOKUP(Table1[[#This Row],[Address B]],IP_Master[],3,FALSE)</f>
        <v>iFIX Nodes &amp; Ethernet Switches</v>
      </c>
      <c r="W560" s="9" t="str">
        <f>VLOOKUP(Table1[[#This Row],[Port B]],traffic_types[],2,FALSE)</f>
        <v>Modbus</v>
      </c>
    </row>
    <row r="561" spans="1:23" x14ac:dyDescent="0.6">
      <c r="A561" t="s">
        <v>53</v>
      </c>
      <c r="B561">
        <v>2995</v>
      </c>
      <c r="C561" t="s">
        <v>87</v>
      </c>
      <c r="D561">
        <v>502</v>
      </c>
      <c r="E561">
        <v>1</v>
      </c>
      <c r="F561" s="13">
        <v>62</v>
      </c>
      <c r="G561">
        <v>1</v>
      </c>
      <c r="H561">
        <v>62</v>
      </c>
      <c r="I561">
        <v>0</v>
      </c>
      <c r="J561">
        <v>0</v>
      </c>
      <c r="K561">
        <v>757.76965600000005</v>
      </c>
      <c r="L561">
        <v>0</v>
      </c>
      <c r="M561">
        <v>0</v>
      </c>
      <c r="N561">
        <v>0</v>
      </c>
      <c r="O561" s="8" t="str">
        <f>formatIP(Table1[[#This Row],[Address A]])</f>
        <v>010.012.000.001</v>
      </c>
      <c r="P561" s="8" t="str">
        <f>formatIP(Table1[[#This Row],[Address B]])</f>
        <v>010.011.009.028</v>
      </c>
      <c r="Q561" s="8" t="str">
        <f>VLOOKUP(Table1[[#This Row],[Address A]],IP_Master[],4,FALSE)</f>
        <v>PPPCFC1</v>
      </c>
      <c r="R561" s="8" t="str">
        <f>VLOOKUP(Table1[[#This Row],[Address B]],IP_Master[],4,FALSE)</f>
        <v>EGX100</v>
      </c>
      <c r="S561" s="8" t="str">
        <f>VLOOKUP(Table1[[#This Row],[Address A]],IP_Master[],2,FALSE)</f>
        <v>Fume Control</v>
      </c>
      <c r="T561" s="8" t="str">
        <f>VLOOKUP(Table1[[#This Row],[Address B]],IP_Master[],2,FALSE)</f>
        <v>Miscellaneous</v>
      </c>
      <c r="U561" s="9" t="str">
        <f>VLOOKUP(Table1[[#This Row],[Address A]],IP_Master[],3,FALSE)</f>
        <v>iFIX Nodes &amp; Ethernet Switches</v>
      </c>
      <c r="V561" s="9" t="str">
        <f>VLOOKUP(Table1[[#This Row],[Address B]],IP_Master[],3,FALSE)</f>
        <v>iFIX Nodes &amp; Ethernet Switches</v>
      </c>
      <c r="W561" s="9" t="str">
        <f>VLOOKUP(Table1[[#This Row],[Port B]],traffic_types[],2,FALSE)</f>
        <v>Modbus</v>
      </c>
    </row>
    <row r="562" spans="1:23" x14ac:dyDescent="0.6">
      <c r="A562" t="s">
        <v>53</v>
      </c>
      <c r="B562">
        <v>2998</v>
      </c>
      <c r="C562" t="s">
        <v>87</v>
      </c>
      <c r="D562">
        <v>502</v>
      </c>
      <c r="E562">
        <v>1</v>
      </c>
      <c r="F562" s="13">
        <v>62</v>
      </c>
      <c r="G562">
        <v>1</v>
      </c>
      <c r="H562">
        <v>62</v>
      </c>
      <c r="I562">
        <v>0</v>
      </c>
      <c r="J562">
        <v>0</v>
      </c>
      <c r="K562">
        <v>759.18128400000001</v>
      </c>
      <c r="L562">
        <v>0</v>
      </c>
      <c r="M562">
        <v>0</v>
      </c>
      <c r="N562">
        <v>0</v>
      </c>
      <c r="O562" s="8" t="str">
        <f>formatIP(Table1[[#This Row],[Address A]])</f>
        <v>010.012.000.001</v>
      </c>
      <c r="P562" s="8" t="str">
        <f>formatIP(Table1[[#This Row],[Address B]])</f>
        <v>010.011.009.028</v>
      </c>
      <c r="Q562" s="8" t="str">
        <f>VLOOKUP(Table1[[#This Row],[Address A]],IP_Master[],4,FALSE)</f>
        <v>PPPCFC1</v>
      </c>
      <c r="R562" s="8" t="str">
        <f>VLOOKUP(Table1[[#This Row],[Address B]],IP_Master[],4,FALSE)</f>
        <v>EGX100</v>
      </c>
      <c r="S562" s="8" t="str">
        <f>VLOOKUP(Table1[[#This Row],[Address A]],IP_Master[],2,FALSE)</f>
        <v>Fume Control</v>
      </c>
      <c r="T562" s="8" t="str">
        <f>VLOOKUP(Table1[[#This Row],[Address B]],IP_Master[],2,FALSE)</f>
        <v>Miscellaneous</v>
      </c>
      <c r="U562" s="9" t="str">
        <f>VLOOKUP(Table1[[#This Row],[Address A]],IP_Master[],3,FALSE)</f>
        <v>iFIX Nodes &amp; Ethernet Switches</v>
      </c>
      <c r="V562" s="9" t="str">
        <f>VLOOKUP(Table1[[#This Row],[Address B]],IP_Master[],3,FALSE)</f>
        <v>iFIX Nodes &amp; Ethernet Switches</v>
      </c>
      <c r="W562" s="9" t="str">
        <f>VLOOKUP(Table1[[#This Row],[Port B]],traffic_types[],2,FALSE)</f>
        <v>Modbus</v>
      </c>
    </row>
    <row r="563" spans="1:23" x14ac:dyDescent="0.6">
      <c r="A563" t="s">
        <v>53</v>
      </c>
      <c r="B563">
        <v>3000</v>
      </c>
      <c r="C563" t="s">
        <v>87</v>
      </c>
      <c r="D563">
        <v>502</v>
      </c>
      <c r="E563">
        <v>1</v>
      </c>
      <c r="F563" s="13">
        <v>62</v>
      </c>
      <c r="G563">
        <v>1</v>
      </c>
      <c r="H563">
        <v>62</v>
      </c>
      <c r="I563">
        <v>0</v>
      </c>
      <c r="J563">
        <v>0</v>
      </c>
      <c r="K563">
        <v>760.15012999999999</v>
      </c>
      <c r="L563">
        <v>0</v>
      </c>
      <c r="M563">
        <v>0</v>
      </c>
      <c r="N563">
        <v>0</v>
      </c>
      <c r="O563" s="8" t="str">
        <f>formatIP(Table1[[#This Row],[Address A]])</f>
        <v>010.012.000.001</v>
      </c>
      <c r="P563" s="8" t="str">
        <f>formatIP(Table1[[#This Row],[Address B]])</f>
        <v>010.011.009.028</v>
      </c>
      <c r="Q563" s="8" t="str">
        <f>VLOOKUP(Table1[[#This Row],[Address A]],IP_Master[],4,FALSE)</f>
        <v>PPPCFC1</v>
      </c>
      <c r="R563" s="8" t="str">
        <f>VLOOKUP(Table1[[#This Row],[Address B]],IP_Master[],4,FALSE)</f>
        <v>EGX100</v>
      </c>
      <c r="S563" s="8" t="str">
        <f>VLOOKUP(Table1[[#This Row],[Address A]],IP_Master[],2,FALSE)</f>
        <v>Fume Control</v>
      </c>
      <c r="T563" s="8" t="str">
        <f>VLOOKUP(Table1[[#This Row],[Address B]],IP_Master[],2,FALSE)</f>
        <v>Miscellaneous</v>
      </c>
      <c r="U563" s="9" t="str">
        <f>VLOOKUP(Table1[[#This Row],[Address A]],IP_Master[],3,FALSE)</f>
        <v>iFIX Nodes &amp; Ethernet Switches</v>
      </c>
      <c r="V563" s="9" t="str">
        <f>VLOOKUP(Table1[[#This Row],[Address B]],IP_Master[],3,FALSE)</f>
        <v>iFIX Nodes &amp; Ethernet Switches</v>
      </c>
      <c r="W563" s="9" t="str">
        <f>VLOOKUP(Table1[[#This Row],[Port B]],traffic_types[],2,FALSE)</f>
        <v>Modbus</v>
      </c>
    </row>
    <row r="564" spans="1:23" x14ac:dyDescent="0.6">
      <c r="A564" t="s">
        <v>53</v>
      </c>
      <c r="B564">
        <v>3001</v>
      </c>
      <c r="C564" t="s">
        <v>87</v>
      </c>
      <c r="D564">
        <v>502</v>
      </c>
      <c r="E564">
        <v>2</v>
      </c>
      <c r="F564" s="13">
        <v>124</v>
      </c>
      <c r="G564">
        <v>2</v>
      </c>
      <c r="H564">
        <v>124</v>
      </c>
      <c r="I564">
        <v>0</v>
      </c>
      <c r="J564">
        <v>0</v>
      </c>
      <c r="K564">
        <v>760.21590900000001</v>
      </c>
      <c r="L564">
        <v>2.9996999999999598</v>
      </c>
      <c r="M564">
        <v>330.699736640335</v>
      </c>
      <c r="N564">
        <v>0</v>
      </c>
      <c r="O564" s="8" t="str">
        <f>formatIP(Table1[[#This Row],[Address A]])</f>
        <v>010.012.000.001</v>
      </c>
      <c r="P564" s="8" t="str">
        <f>formatIP(Table1[[#This Row],[Address B]])</f>
        <v>010.011.009.028</v>
      </c>
      <c r="Q564" s="8" t="str">
        <f>VLOOKUP(Table1[[#This Row],[Address A]],IP_Master[],4,FALSE)</f>
        <v>PPPCFC1</v>
      </c>
      <c r="R564" s="8" t="str">
        <f>VLOOKUP(Table1[[#This Row],[Address B]],IP_Master[],4,FALSE)</f>
        <v>EGX100</v>
      </c>
      <c r="S564" s="8" t="str">
        <f>VLOOKUP(Table1[[#This Row],[Address A]],IP_Master[],2,FALSE)</f>
        <v>Fume Control</v>
      </c>
      <c r="T564" s="8" t="str">
        <f>VLOOKUP(Table1[[#This Row],[Address B]],IP_Master[],2,FALSE)</f>
        <v>Miscellaneous</v>
      </c>
      <c r="U564" s="9" t="str">
        <f>VLOOKUP(Table1[[#This Row],[Address A]],IP_Master[],3,FALSE)</f>
        <v>iFIX Nodes &amp; Ethernet Switches</v>
      </c>
      <c r="V564" s="9" t="str">
        <f>VLOOKUP(Table1[[#This Row],[Address B]],IP_Master[],3,FALSE)</f>
        <v>iFIX Nodes &amp; Ethernet Switches</v>
      </c>
      <c r="W564" s="9" t="str">
        <f>VLOOKUP(Table1[[#This Row],[Port B]],traffic_types[],2,FALSE)</f>
        <v>Modbus</v>
      </c>
    </row>
    <row r="565" spans="1:23" x14ac:dyDescent="0.6">
      <c r="A565" t="s">
        <v>53</v>
      </c>
      <c r="B565">
        <v>3003</v>
      </c>
      <c r="C565" t="s">
        <v>87</v>
      </c>
      <c r="D565">
        <v>502</v>
      </c>
      <c r="E565">
        <v>1</v>
      </c>
      <c r="F565" s="13">
        <v>62</v>
      </c>
      <c r="G565">
        <v>1</v>
      </c>
      <c r="H565">
        <v>62</v>
      </c>
      <c r="I565">
        <v>0</v>
      </c>
      <c r="J565">
        <v>0</v>
      </c>
      <c r="K565">
        <v>760.77567399999998</v>
      </c>
      <c r="L565">
        <v>0</v>
      </c>
      <c r="M565">
        <v>0</v>
      </c>
      <c r="N565">
        <v>0</v>
      </c>
      <c r="O565" s="8" t="str">
        <f>formatIP(Table1[[#This Row],[Address A]])</f>
        <v>010.012.000.001</v>
      </c>
      <c r="P565" s="8" t="str">
        <f>formatIP(Table1[[#This Row],[Address B]])</f>
        <v>010.011.009.028</v>
      </c>
      <c r="Q565" s="8" t="str">
        <f>VLOOKUP(Table1[[#This Row],[Address A]],IP_Master[],4,FALSE)</f>
        <v>PPPCFC1</v>
      </c>
      <c r="R565" s="8" t="str">
        <f>VLOOKUP(Table1[[#This Row],[Address B]],IP_Master[],4,FALSE)</f>
        <v>EGX100</v>
      </c>
      <c r="S565" s="8" t="str">
        <f>VLOOKUP(Table1[[#This Row],[Address A]],IP_Master[],2,FALSE)</f>
        <v>Fume Control</v>
      </c>
      <c r="T565" s="8" t="str">
        <f>VLOOKUP(Table1[[#This Row],[Address B]],IP_Master[],2,FALSE)</f>
        <v>Miscellaneous</v>
      </c>
      <c r="U565" s="9" t="str">
        <f>VLOOKUP(Table1[[#This Row],[Address A]],IP_Master[],3,FALSE)</f>
        <v>iFIX Nodes &amp; Ethernet Switches</v>
      </c>
      <c r="V565" s="9" t="str">
        <f>VLOOKUP(Table1[[#This Row],[Address B]],IP_Master[],3,FALSE)</f>
        <v>iFIX Nodes &amp; Ethernet Switches</v>
      </c>
      <c r="W565" s="9" t="str">
        <f>VLOOKUP(Table1[[#This Row],[Port B]],traffic_types[],2,FALSE)</f>
        <v>Modbus</v>
      </c>
    </row>
    <row r="566" spans="1:23" x14ac:dyDescent="0.6">
      <c r="A566" t="s">
        <v>53</v>
      </c>
      <c r="B566">
        <v>3005</v>
      </c>
      <c r="C566" t="s">
        <v>87</v>
      </c>
      <c r="D566">
        <v>502</v>
      </c>
      <c r="E566">
        <v>1</v>
      </c>
      <c r="F566" s="13">
        <v>62</v>
      </c>
      <c r="G566">
        <v>1</v>
      </c>
      <c r="H566">
        <v>62</v>
      </c>
      <c r="I566">
        <v>0</v>
      </c>
      <c r="J566">
        <v>0</v>
      </c>
      <c r="K566">
        <v>763.22879399999999</v>
      </c>
      <c r="L566">
        <v>0</v>
      </c>
      <c r="M566">
        <v>0</v>
      </c>
      <c r="N566">
        <v>0</v>
      </c>
      <c r="O566" s="8" t="str">
        <f>formatIP(Table1[[#This Row],[Address A]])</f>
        <v>010.012.000.001</v>
      </c>
      <c r="P566" s="8" t="str">
        <f>formatIP(Table1[[#This Row],[Address B]])</f>
        <v>010.011.009.028</v>
      </c>
      <c r="Q566" s="8" t="str">
        <f>VLOOKUP(Table1[[#This Row],[Address A]],IP_Master[],4,FALSE)</f>
        <v>PPPCFC1</v>
      </c>
      <c r="R566" s="8" t="str">
        <f>VLOOKUP(Table1[[#This Row],[Address B]],IP_Master[],4,FALSE)</f>
        <v>EGX100</v>
      </c>
      <c r="S566" s="8" t="str">
        <f>VLOOKUP(Table1[[#This Row],[Address A]],IP_Master[],2,FALSE)</f>
        <v>Fume Control</v>
      </c>
      <c r="T566" s="8" t="str">
        <f>VLOOKUP(Table1[[#This Row],[Address B]],IP_Master[],2,FALSE)</f>
        <v>Miscellaneous</v>
      </c>
      <c r="U566" s="9" t="str">
        <f>VLOOKUP(Table1[[#This Row],[Address A]],IP_Master[],3,FALSE)</f>
        <v>iFIX Nodes &amp; Ethernet Switches</v>
      </c>
      <c r="V566" s="9" t="str">
        <f>VLOOKUP(Table1[[#This Row],[Address B]],IP_Master[],3,FALSE)</f>
        <v>iFIX Nodes &amp; Ethernet Switches</v>
      </c>
      <c r="W566" s="9" t="str">
        <f>VLOOKUP(Table1[[#This Row],[Port B]],traffic_types[],2,FALSE)</f>
        <v>Modbus</v>
      </c>
    </row>
    <row r="567" spans="1:23" x14ac:dyDescent="0.6">
      <c r="A567" t="s">
        <v>53</v>
      </c>
      <c r="B567">
        <v>3008</v>
      </c>
      <c r="C567" t="s">
        <v>87</v>
      </c>
      <c r="D567">
        <v>502</v>
      </c>
      <c r="E567">
        <v>2</v>
      </c>
      <c r="F567" s="13">
        <v>124</v>
      </c>
      <c r="G567">
        <v>2</v>
      </c>
      <c r="H567">
        <v>124</v>
      </c>
      <c r="I567">
        <v>0</v>
      </c>
      <c r="J567">
        <v>0</v>
      </c>
      <c r="K567">
        <v>786.716183</v>
      </c>
      <c r="L567">
        <v>2.8563799999999402</v>
      </c>
      <c r="M567">
        <v>347.29272715815802</v>
      </c>
      <c r="N567">
        <v>0</v>
      </c>
      <c r="O567" s="8" t="str">
        <f>formatIP(Table1[[#This Row],[Address A]])</f>
        <v>010.012.000.001</v>
      </c>
      <c r="P567" s="8" t="str">
        <f>formatIP(Table1[[#This Row],[Address B]])</f>
        <v>010.011.009.028</v>
      </c>
      <c r="Q567" s="8" t="str">
        <f>VLOOKUP(Table1[[#This Row],[Address A]],IP_Master[],4,FALSE)</f>
        <v>PPPCFC1</v>
      </c>
      <c r="R567" s="8" t="str">
        <f>VLOOKUP(Table1[[#This Row],[Address B]],IP_Master[],4,FALSE)</f>
        <v>EGX100</v>
      </c>
      <c r="S567" s="8" t="str">
        <f>VLOOKUP(Table1[[#This Row],[Address A]],IP_Master[],2,FALSE)</f>
        <v>Fume Control</v>
      </c>
      <c r="T567" s="8" t="str">
        <f>VLOOKUP(Table1[[#This Row],[Address B]],IP_Master[],2,FALSE)</f>
        <v>Miscellaneous</v>
      </c>
      <c r="U567" s="9" t="str">
        <f>VLOOKUP(Table1[[#This Row],[Address A]],IP_Master[],3,FALSE)</f>
        <v>iFIX Nodes &amp; Ethernet Switches</v>
      </c>
      <c r="V567" s="9" t="str">
        <f>VLOOKUP(Table1[[#This Row],[Address B]],IP_Master[],3,FALSE)</f>
        <v>iFIX Nodes &amp; Ethernet Switches</v>
      </c>
      <c r="W567" s="9" t="str">
        <f>VLOOKUP(Table1[[#This Row],[Port B]],traffic_types[],2,FALSE)</f>
        <v>Modbus</v>
      </c>
    </row>
    <row r="568" spans="1:23" x14ac:dyDescent="0.6">
      <c r="A568" t="s">
        <v>53</v>
      </c>
      <c r="B568">
        <v>3010</v>
      </c>
      <c r="C568" t="s">
        <v>87</v>
      </c>
      <c r="D568">
        <v>502</v>
      </c>
      <c r="E568">
        <v>1</v>
      </c>
      <c r="F568" s="13">
        <v>62</v>
      </c>
      <c r="G568">
        <v>1</v>
      </c>
      <c r="H568">
        <v>62</v>
      </c>
      <c r="I568">
        <v>0</v>
      </c>
      <c r="J568">
        <v>0</v>
      </c>
      <c r="K568">
        <v>789.193038</v>
      </c>
      <c r="L568">
        <v>0</v>
      </c>
      <c r="M568">
        <v>0</v>
      </c>
      <c r="N568">
        <v>0</v>
      </c>
      <c r="O568" s="8" t="str">
        <f>formatIP(Table1[[#This Row],[Address A]])</f>
        <v>010.012.000.001</v>
      </c>
      <c r="P568" s="8" t="str">
        <f>formatIP(Table1[[#This Row],[Address B]])</f>
        <v>010.011.009.028</v>
      </c>
      <c r="Q568" s="8" t="str">
        <f>VLOOKUP(Table1[[#This Row],[Address A]],IP_Master[],4,FALSE)</f>
        <v>PPPCFC1</v>
      </c>
      <c r="R568" s="8" t="str">
        <f>VLOOKUP(Table1[[#This Row],[Address B]],IP_Master[],4,FALSE)</f>
        <v>EGX100</v>
      </c>
      <c r="S568" s="8" t="str">
        <f>VLOOKUP(Table1[[#This Row],[Address A]],IP_Master[],2,FALSE)</f>
        <v>Fume Control</v>
      </c>
      <c r="T568" s="8" t="str">
        <f>VLOOKUP(Table1[[#This Row],[Address B]],IP_Master[],2,FALSE)</f>
        <v>Miscellaneous</v>
      </c>
      <c r="U568" s="9" t="str">
        <f>VLOOKUP(Table1[[#This Row],[Address A]],IP_Master[],3,FALSE)</f>
        <v>iFIX Nodes &amp; Ethernet Switches</v>
      </c>
      <c r="V568" s="9" t="str">
        <f>VLOOKUP(Table1[[#This Row],[Address B]],IP_Master[],3,FALSE)</f>
        <v>iFIX Nodes &amp; Ethernet Switches</v>
      </c>
      <c r="W568" s="9" t="str">
        <f>VLOOKUP(Table1[[#This Row],[Port B]],traffic_types[],2,FALSE)</f>
        <v>Modbus</v>
      </c>
    </row>
    <row r="569" spans="1:23" x14ac:dyDescent="0.6">
      <c r="A569" t="s">
        <v>53</v>
      </c>
      <c r="B569">
        <v>3011</v>
      </c>
      <c r="C569" t="s">
        <v>87</v>
      </c>
      <c r="D569">
        <v>502</v>
      </c>
      <c r="E569">
        <v>1</v>
      </c>
      <c r="F569" s="13">
        <v>62</v>
      </c>
      <c r="G569">
        <v>1</v>
      </c>
      <c r="H569">
        <v>62</v>
      </c>
      <c r="I569">
        <v>0</v>
      </c>
      <c r="J569">
        <v>0</v>
      </c>
      <c r="K569">
        <v>789.73200499999996</v>
      </c>
      <c r="L569">
        <v>0</v>
      </c>
      <c r="M569">
        <v>0</v>
      </c>
      <c r="N569">
        <v>0</v>
      </c>
      <c r="O569" s="8" t="str">
        <f>formatIP(Table1[[#This Row],[Address A]])</f>
        <v>010.012.000.001</v>
      </c>
      <c r="P569" s="8" t="str">
        <f>formatIP(Table1[[#This Row],[Address B]])</f>
        <v>010.011.009.028</v>
      </c>
      <c r="Q569" s="8" t="str">
        <f>VLOOKUP(Table1[[#This Row],[Address A]],IP_Master[],4,FALSE)</f>
        <v>PPPCFC1</v>
      </c>
      <c r="R569" s="8" t="str">
        <f>VLOOKUP(Table1[[#This Row],[Address B]],IP_Master[],4,FALSE)</f>
        <v>EGX100</v>
      </c>
      <c r="S569" s="8" t="str">
        <f>VLOOKUP(Table1[[#This Row],[Address A]],IP_Master[],2,FALSE)</f>
        <v>Fume Control</v>
      </c>
      <c r="T569" s="8" t="str">
        <f>VLOOKUP(Table1[[#This Row],[Address B]],IP_Master[],2,FALSE)</f>
        <v>Miscellaneous</v>
      </c>
      <c r="U569" s="9" t="str">
        <f>VLOOKUP(Table1[[#This Row],[Address A]],IP_Master[],3,FALSE)</f>
        <v>iFIX Nodes &amp; Ethernet Switches</v>
      </c>
      <c r="V569" s="9" t="str">
        <f>VLOOKUP(Table1[[#This Row],[Address B]],IP_Master[],3,FALSE)</f>
        <v>iFIX Nodes &amp; Ethernet Switches</v>
      </c>
      <c r="W569" s="9" t="str">
        <f>VLOOKUP(Table1[[#This Row],[Port B]],traffic_types[],2,FALSE)</f>
        <v>Modbus</v>
      </c>
    </row>
    <row r="570" spans="1:23" x14ac:dyDescent="0.6">
      <c r="A570" t="s">
        <v>53</v>
      </c>
      <c r="B570">
        <v>3013</v>
      </c>
      <c r="C570" t="s">
        <v>87</v>
      </c>
      <c r="D570">
        <v>502</v>
      </c>
      <c r="E570">
        <v>2</v>
      </c>
      <c r="F570" s="13">
        <v>124</v>
      </c>
      <c r="G570">
        <v>2</v>
      </c>
      <c r="H570">
        <v>124</v>
      </c>
      <c r="I570">
        <v>0</v>
      </c>
      <c r="J570">
        <v>0</v>
      </c>
      <c r="K570">
        <v>790.16386899999998</v>
      </c>
      <c r="L570">
        <v>2.92953799999998</v>
      </c>
      <c r="M570">
        <v>338.61994621677798</v>
      </c>
      <c r="N570">
        <v>0</v>
      </c>
      <c r="O570" s="8" t="str">
        <f>formatIP(Table1[[#This Row],[Address A]])</f>
        <v>010.012.000.001</v>
      </c>
      <c r="P570" s="8" t="str">
        <f>formatIP(Table1[[#This Row],[Address B]])</f>
        <v>010.011.009.028</v>
      </c>
      <c r="Q570" s="8" t="str">
        <f>VLOOKUP(Table1[[#This Row],[Address A]],IP_Master[],4,FALSE)</f>
        <v>PPPCFC1</v>
      </c>
      <c r="R570" s="8" t="str">
        <f>VLOOKUP(Table1[[#This Row],[Address B]],IP_Master[],4,FALSE)</f>
        <v>EGX100</v>
      </c>
      <c r="S570" s="8" t="str">
        <f>VLOOKUP(Table1[[#This Row],[Address A]],IP_Master[],2,FALSE)</f>
        <v>Fume Control</v>
      </c>
      <c r="T570" s="8" t="str">
        <f>VLOOKUP(Table1[[#This Row],[Address B]],IP_Master[],2,FALSE)</f>
        <v>Miscellaneous</v>
      </c>
      <c r="U570" s="9" t="str">
        <f>VLOOKUP(Table1[[#This Row],[Address A]],IP_Master[],3,FALSE)</f>
        <v>iFIX Nodes &amp; Ethernet Switches</v>
      </c>
      <c r="V570" s="9" t="str">
        <f>VLOOKUP(Table1[[#This Row],[Address B]],IP_Master[],3,FALSE)</f>
        <v>iFIX Nodes &amp; Ethernet Switches</v>
      </c>
      <c r="W570" s="9" t="str">
        <f>VLOOKUP(Table1[[#This Row],[Port B]],traffic_types[],2,FALSE)</f>
        <v>Modbus</v>
      </c>
    </row>
    <row r="571" spans="1:23" x14ac:dyDescent="0.6">
      <c r="A571" t="s">
        <v>53</v>
      </c>
      <c r="B571">
        <v>3015</v>
      </c>
      <c r="C571" t="s">
        <v>87</v>
      </c>
      <c r="D571">
        <v>502</v>
      </c>
      <c r="E571">
        <v>1</v>
      </c>
      <c r="F571" s="13">
        <v>62</v>
      </c>
      <c r="G571">
        <v>1</v>
      </c>
      <c r="H571">
        <v>62</v>
      </c>
      <c r="I571">
        <v>0</v>
      </c>
      <c r="J571">
        <v>0</v>
      </c>
      <c r="K571">
        <v>790.78966100000002</v>
      </c>
      <c r="L571">
        <v>0</v>
      </c>
      <c r="M571">
        <v>0</v>
      </c>
      <c r="N571">
        <v>0</v>
      </c>
      <c r="O571" s="8" t="str">
        <f>formatIP(Table1[[#This Row],[Address A]])</f>
        <v>010.012.000.001</v>
      </c>
      <c r="P571" s="8" t="str">
        <f>formatIP(Table1[[#This Row],[Address B]])</f>
        <v>010.011.009.028</v>
      </c>
      <c r="Q571" s="8" t="str">
        <f>VLOOKUP(Table1[[#This Row],[Address A]],IP_Master[],4,FALSE)</f>
        <v>PPPCFC1</v>
      </c>
      <c r="R571" s="8" t="str">
        <f>VLOOKUP(Table1[[#This Row],[Address B]],IP_Master[],4,FALSE)</f>
        <v>EGX100</v>
      </c>
      <c r="S571" s="8" t="str">
        <f>VLOOKUP(Table1[[#This Row],[Address A]],IP_Master[],2,FALSE)</f>
        <v>Fume Control</v>
      </c>
      <c r="T571" s="8" t="str">
        <f>VLOOKUP(Table1[[#This Row],[Address B]],IP_Master[],2,FALSE)</f>
        <v>Miscellaneous</v>
      </c>
      <c r="U571" s="9" t="str">
        <f>VLOOKUP(Table1[[#This Row],[Address A]],IP_Master[],3,FALSE)</f>
        <v>iFIX Nodes &amp; Ethernet Switches</v>
      </c>
      <c r="V571" s="9" t="str">
        <f>VLOOKUP(Table1[[#This Row],[Address B]],IP_Master[],3,FALSE)</f>
        <v>iFIX Nodes &amp; Ethernet Switches</v>
      </c>
      <c r="W571" s="9" t="str">
        <f>VLOOKUP(Table1[[#This Row],[Port B]],traffic_types[],2,FALSE)</f>
        <v>Modbus</v>
      </c>
    </row>
    <row r="572" spans="1:23" x14ac:dyDescent="0.6">
      <c r="A572" t="s">
        <v>53</v>
      </c>
      <c r="B572">
        <v>3017</v>
      </c>
      <c r="C572" t="s">
        <v>87</v>
      </c>
      <c r="D572">
        <v>502</v>
      </c>
      <c r="E572">
        <v>1</v>
      </c>
      <c r="F572" s="13">
        <v>62</v>
      </c>
      <c r="G572">
        <v>1</v>
      </c>
      <c r="H572">
        <v>62</v>
      </c>
      <c r="I572">
        <v>0</v>
      </c>
      <c r="J572">
        <v>0</v>
      </c>
      <c r="K572">
        <v>792.20106499999997</v>
      </c>
      <c r="L572">
        <v>0</v>
      </c>
      <c r="M572">
        <v>0</v>
      </c>
      <c r="N572">
        <v>0</v>
      </c>
      <c r="O572" s="8" t="str">
        <f>formatIP(Table1[[#This Row],[Address A]])</f>
        <v>010.012.000.001</v>
      </c>
      <c r="P572" s="8" t="str">
        <f>formatIP(Table1[[#This Row],[Address B]])</f>
        <v>010.011.009.028</v>
      </c>
      <c r="Q572" s="8" t="str">
        <f>VLOOKUP(Table1[[#This Row],[Address A]],IP_Master[],4,FALSE)</f>
        <v>PPPCFC1</v>
      </c>
      <c r="R572" s="8" t="str">
        <f>VLOOKUP(Table1[[#This Row],[Address B]],IP_Master[],4,FALSE)</f>
        <v>EGX100</v>
      </c>
      <c r="S572" s="8" t="str">
        <f>VLOOKUP(Table1[[#This Row],[Address A]],IP_Master[],2,FALSE)</f>
        <v>Fume Control</v>
      </c>
      <c r="T572" s="8" t="str">
        <f>VLOOKUP(Table1[[#This Row],[Address B]],IP_Master[],2,FALSE)</f>
        <v>Miscellaneous</v>
      </c>
      <c r="U572" s="9" t="str">
        <f>VLOOKUP(Table1[[#This Row],[Address A]],IP_Master[],3,FALSE)</f>
        <v>iFIX Nodes &amp; Ethernet Switches</v>
      </c>
      <c r="V572" s="9" t="str">
        <f>VLOOKUP(Table1[[#This Row],[Address B]],IP_Master[],3,FALSE)</f>
        <v>iFIX Nodes &amp; Ethernet Switches</v>
      </c>
      <c r="W572" s="9" t="str">
        <f>VLOOKUP(Table1[[#This Row],[Port B]],traffic_types[],2,FALSE)</f>
        <v>Modbus</v>
      </c>
    </row>
    <row r="573" spans="1:23" x14ac:dyDescent="0.6">
      <c r="A573" t="s">
        <v>53</v>
      </c>
      <c r="B573">
        <v>3018</v>
      </c>
      <c r="C573" t="s">
        <v>87</v>
      </c>
      <c r="D573">
        <v>502</v>
      </c>
      <c r="E573">
        <v>1</v>
      </c>
      <c r="F573" s="13">
        <v>62</v>
      </c>
      <c r="G573">
        <v>1</v>
      </c>
      <c r="H573">
        <v>62</v>
      </c>
      <c r="I573">
        <v>0</v>
      </c>
      <c r="J573">
        <v>0</v>
      </c>
      <c r="K573">
        <v>793.16999499999997</v>
      </c>
      <c r="L573">
        <v>0</v>
      </c>
      <c r="M573">
        <v>0</v>
      </c>
      <c r="N573">
        <v>0</v>
      </c>
      <c r="O573" s="8" t="str">
        <f>formatIP(Table1[[#This Row],[Address A]])</f>
        <v>010.012.000.001</v>
      </c>
      <c r="P573" s="8" t="str">
        <f>formatIP(Table1[[#This Row],[Address B]])</f>
        <v>010.011.009.028</v>
      </c>
      <c r="Q573" s="8" t="str">
        <f>VLOOKUP(Table1[[#This Row],[Address A]],IP_Master[],4,FALSE)</f>
        <v>PPPCFC1</v>
      </c>
      <c r="R573" s="8" t="str">
        <f>VLOOKUP(Table1[[#This Row],[Address B]],IP_Master[],4,FALSE)</f>
        <v>EGX100</v>
      </c>
      <c r="S573" s="8" t="str">
        <f>VLOOKUP(Table1[[#This Row],[Address A]],IP_Master[],2,FALSE)</f>
        <v>Fume Control</v>
      </c>
      <c r="T573" s="8" t="str">
        <f>VLOOKUP(Table1[[#This Row],[Address B]],IP_Master[],2,FALSE)</f>
        <v>Miscellaneous</v>
      </c>
      <c r="U573" s="9" t="str">
        <f>VLOOKUP(Table1[[#This Row],[Address A]],IP_Master[],3,FALSE)</f>
        <v>iFIX Nodes &amp; Ethernet Switches</v>
      </c>
      <c r="V573" s="9" t="str">
        <f>VLOOKUP(Table1[[#This Row],[Address B]],IP_Master[],3,FALSE)</f>
        <v>iFIX Nodes &amp; Ethernet Switches</v>
      </c>
      <c r="W573" s="9" t="str">
        <f>VLOOKUP(Table1[[#This Row],[Port B]],traffic_types[],2,FALSE)</f>
        <v>Modbus</v>
      </c>
    </row>
    <row r="574" spans="1:23" x14ac:dyDescent="0.6">
      <c r="A574" t="s">
        <v>53</v>
      </c>
      <c r="B574">
        <v>3019</v>
      </c>
      <c r="C574" t="s">
        <v>87</v>
      </c>
      <c r="D574">
        <v>502</v>
      </c>
      <c r="E574">
        <v>2</v>
      </c>
      <c r="F574" s="13">
        <v>124</v>
      </c>
      <c r="G574">
        <v>2</v>
      </c>
      <c r="H574">
        <v>124</v>
      </c>
      <c r="I574">
        <v>0</v>
      </c>
      <c r="J574">
        <v>0</v>
      </c>
      <c r="K574">
        <v>793.23850800000002</v>
      </c>
      <c r="L574">
        <v>2.9735049999999301</v>
      </c>
      <c r="M574">
        <v>333.61302570536202</v>
      </c>
      <c r="N574">
        <v>0</v>
      </c>
      <c r="O574" s="8" t="str">
        <f>formatIP(Table1[[#This Row],[Address A]])</f>
        <v>010.012.000.001</v>
      </c>
      <c r="P574" s="8" t="str">
        <f>formatIP(Table1[[#This Row],[Address B]])</f>
        <v>010.011.009.028</v>
      </c>
      <c r="Q574" s="8" t="str">
        <f>VLOOKUP(Table1[[#This Row],[Address A]],IP_Master[],4,FALSE)</f>
        <v>PPPCFC1</v>
      </c>
      <c r="R574" s="8" t="str">
        <f>VLOOKUP(Table1[[#This Row],[Address B]],IP_Master[],4,FALSE)</f>
        <v>EGX100</v>
      </c>
      <c r="S574" s="8" t="str">
        <f>VLOOKUP(Table1[[#This Row],[Address A]],IP_Master[],2,FALSE)</f>
        <v>Fume Control</v>
      </c>
      <c r="T574" s="8" t="str">
        <f>VLOOKUP(Table1[[#This Row],[Address B]],IP_Master[],2,FALSE)</f>
        <v>Miscellaneous</v>
      </c>
      <c r="U574" s="9" t="str">
        <f>VLOOKUP(Table1[[#This Row],[Address A]],IP_Master[],3,FALSE)</f>
        <v>iFIX Nodes &amp; Ethernet Switches</v>
      </c>
      <c r="V574" s="9" t="str">
        <f>VLOOKUP(Table1[[#This Row],[Address B]],IP_Master[],3,FALSE)</f>
        <v>iFIX Nodes &amp; Ethernet Switches</v>
      </c>
      <c r="W574" s="9" t="str">
        <f>VLOOKUP(Table1[[#This Row],[Port B]],traffic_types[],2,FALSE)</f>
        <v>Modbus</v>
      </c>
    </row>
    <row r="575" spans="1:23" x14ac:dyDescent="0.6">
      <c r="A575" t="s">
        <v>53</v>
      </c>
      <c r="B575">
        <v>3021</v>
      </c>
      <c r="C575" t="s">
        <v>87</v>
      </c>
      <c r="D575">
        <v>502</v>
      </c>
      <c r="E575">
        <v>1</v>
      </c>
      <c r="F575" s="13">
        <v>62</v>
      </c>
      <c r="G575">
        <v>1</v>
      </c>
      <c r="H575">
        <v>62</v>
      </c>
      <c r="I575">
        <v>0</v>
      </c>
      <c r="J575">
        <v>0</v>
      </c>
      <c r="K575">
        <v>793.79545399999995</v>
      </c>
      <c r="L575">
        <v>0</v>
      </c>
      <c r="M575">
        <v>0</v>
      </c>
      <c r="N575">
        <v>0</v>
      </c>
      <c r="O575" s="8" t="str">
        <f>formatIP(Table1[[#This Row],[Address A]])</f>
        <v>010.012.000.001</v>
      </c>
      <c r="P575" s="8" t="str">
        <f>formatIP(Table1[[#This Row],[Address B]])</f>
        <v>010.011.009.028</v>
      </c>
      <c r="Q575" s="8" t="str">
        <f>VLOOKUP(Table1[[#This Row],[Address A]],IP_Master[],4,FALSE)</f>
        <v>PPPCFC1</v>
      </c>
      <c r="R575" s="8" t="str">
        <f>VLOOKUP(Table1[[#This Row],[Address B]],IP_Master[],4,FALSE)</f>
        <v>EGX100</v>
      </c>
      <c r="S575" s="8" t="str">
        <f>VLOOKUP(Table1[[#This Row],[Address A]],IP_Master[],2,FALSE)</f>
        <v>Fume Control</v>
      </c>
      <c r="T575" s="8" t="str">
        <f>VLOOKUP(Table1[[#This Row],[Address B]],IP_Master[],2,FALSE)</f>
        <v>Miscellaneous</v>
      </c>
      <c r="U575" s="9" t="str">
        <f>VLOOKUP(Table1[[#This Row],[Address A]],IP_Master[],3,FALSE)</f>
        <v>iFIX Nodes &amp; Ethernet Switches</v>
      </c>
      <c r="V575" s="9" t="str">
        <f>VLOOKUP(Table1[[#This Row],[Address B]],IP_Master[],3,FALSE)</f>
        <v>iFIX Nodes &amp; Ethernet Switches</v>
      </c>
      <c r="W575" s="9" t="str">
        <f>VLOOKUP(Table1[[#This Row],[Port B]],traffic_types[],2,FALSE)</f>
        <v>Modbus</v>
      </c>
    </row>
    <row r="576" spans="1:23" x14ac:dyDescent="0.6">
      <c r="A576" t="s">
        <v>53</v>
      </c>
      <c r="B576">
        <v>3023</v>
      </c>
      <c r="C576" t="s">
        <v>87</v>
      </c>
      <c r="D576">
        <v>502</v>
      </c>
      <c r="E576">
        <v>1</v>
      </c>
      <c r="F576" s="13">
        <v>62</v>
      </c>
      <c r="G576">
        <v>1</v>
      </c>
      <c r="H576">
        <v>62</v>
      </c>
      <c r="I576">
        <v>0</v>
      </c>
      <c r="J576">
        <v>0</v>
      </c>
      <c r="K576">
        <v>796.24854700000003</v>
      </c>
      <c r="L576">
        <v>0</v>
      </c>
      <c r="M576">
        <v>0</v>
      </c>
      <c r="N576">
        <v>0</v>
      </c>
      <c r="O576" s="8" t="str">
        <f>formatIP(Table1[[#This Row],[Address A]])</f>
        <v>010.012.000.001</v>
      </c>
      <c r="P576" s="8" t="str">
        <f>formatIP(Table1[[#This Row],[Address B]])</f>
        <v>010.011.009.028</v>
      </c>
      <c r="Q576" s="8" t="str">
        <f>VLOOKUP(Table1[[#This Row],[Address A]],IP_Master[],4,FALSE)</f>
        <v>PPPCFC1</v>
      </c>
      <c r="R576" s="8" t="str">
        <f>VLOOKUP(Table1[[#This Row],[Address B]],IP_Master[],4,FALSE)</f>
        <v>EGX100</v>
      </c>
      <c r="S576" s="8" t="str">
        <f>VLOOKUP(Table1[[#This Row],[Address A]],IP_Master[],2,FALSE)</f>
        <v>Fume Control</v>
      </c>
      <c r="T576" s="8" t="str">
        <f>VLOOKUP(Table1[[#This Row],[Address B]],IP_Master[],2,FALSE)</f>
        <v>Miscellaneous</v>
      </c>
      <c r="U576" s="9" t="str">
        <f>VLOOKUP(Table1[[#This Row],[Address A]],IP_Master[],3,FALSE)</f>
        <v>iFIX Nodes &amp; Ethernet Switches</v>
      </c>
      <c r="V576" s="9" t="str">
        <f>VLOOKUP(Table1[[#This Row],[Address B]],IP_Master[],3,FALSE)</f>
        <v>iFIX Nodes &amp; Ethernet Switches</v>
      </c>
      <c r="W576" s="9" t="str">
        <f>VLOOKUP(Table1[[#This Row],[Port B]],traffic_types[],2,FALSE)</f>
        <v>Modbus</v>
      </c>
    </row>
    <row r="577" spans="1:23" x14ac:dyDescent="0.6">
      <c r="A577" t="s">
        <v>53</v>
      </c>
      <c r="B577">
        <v>3027</v>
      </c>
      <c r="C577" t="s">
        <v>87</v>
      </c>
      <c r="D577">
        <v>502</v>
      </c>
      <c r="E577">
        <v>1</v>
      </c>
      <c r="F577" s="13">
        <v>62</v>
      </c>
      <c r="G577">
        <v>1</v>
      </c>
      <c r="H577">
        <v>62</v>
      </c>
      <c r="I577">
        <v>0</v>
      </c>
      <c r="J577">
        <v>0</v>
      </c>
      <c r="K577">
        <v>819.74393599999996</v>
      </c>
      <c r="L577">
        <v>0</v>
      </c>
      <c r="M577">
        <v>0</v>
      </c>
      <c r="N577">
        <v>0</v>
      </c>
      <c r="O577" s="8" t="str">
        <f>formatIP(Table1[[#This Row],[Address A]])</f>
        <v>010.012.000.001</v>
      </c>
      <c r="P577" s="8" t="str">
        <f>formatIP(Table1[[#This Row],[Address B]])</f>
        <v>010.011.009.028</v>
      </c>
      <c r="Q577" s="8" t="str">
        <f>VLOOKUP(Table1[[#This Row],[Address A]],IP_Master[],4,FALSE)</f>
        <v>PPPCFC1</v>
      </c>
      <c r="R577" s="8" t="str">
        <f>VLOOKUP(Table1[[#This Row],[Address B]],IP_Master[],4,FALSE)</f>
        <v>EGX100</v>
      </c>
      <c r="S577" s="8" t="str">
        <f>VLOOKUP(Table1[[#This Row],[Address A]],IP_Master[],2,FALSE)</f>
        <v>Fume Control</v>
      </c>
      <c r="T577" s="8" t="str">
        <f>VLOOKUP(Table1[[#This Row],[Address B]],IP_Master[],2,FALSE)</f>
        <v>Miscellaneous</v>
      </c>
      <c r="U577" s="9" t="str">
        <f>VLOOKUP(Table1[[#This Row],[Address A]],IP_Master[],3,FALSE)</f>
        <v>iFIX Nodes &amp; Ethernet Switches</v>
      </c>
      <c r="V577" s="9" t="str">
        <f>VLOOKUP(Table1[[#This Row],[Address B]],IP_Master[],3,FALSE)</f>
        <v>iFIX Nodes &amp; Ethernet Switches</v>
      </c>
      <c r="W577" s="9" t="str">
        <f>VLOOKUP(Table1[[#This Row],[Port B]],traffic_types[],2,FALSE)</f>
        <v>Modbus</v>
      </c>
    </row>
    <row r="578" spans="1:23" x14ac:dyDescent="0.6">
      <c r="A578" t="s">
        <v>53</v>
      </c>
      <c r="B578">
        <v>3029</v>
      </c>
      <c r="C578" t="s">
        <v>87</v>
      </c>
      <c r="D578">
        <v>502</v>
      </c>
      <c r="E578">
        <v>2</v>
      </c>
      <c r="F578" s="13">
        <v>124</v>
      </c>
      <c r="G578">
        <v>2</v>
      </c>
      <c r="H578">
        <v>124</v>
      </c>
      <c r="I578">
        <v>0</v>
      </c>
      <c r="J578">
        <v>0</v>
      </c>
      <c r="K578">
        <v>822.21499200000005</v>
      </c>
      <c r="L578">
        <v>2.8688799999999901</v>
      </c>
      <c r="M578">
        <v>345.77953765929698</v>
      </c>
      <c r="N578">
        <v>0</v>
      </c>
      <c r="O578" s="8" t="str">
        <f>formatIP(Table1[[#This Row],[Address A]])</f>
        <v>010.012.000.001</v>
      </c>
      <c r="P578" s="8" t="str">
        <f>formatIP(Table1[[#This Row],[Address B]])</f>
        <v>010.011.009.028</v>
      </c>
      <c r="Q578" s="8" t="str">
        <f>VLOOKUP(Table1[[#This Row],[Address A]],IP_Master[],4,FALSE)</f>
        <v>PPPCFC1</v>
      </c>
      <c r="R578" s="8" t="str">
        <f>VLOOKUP(Table1[[#This Row],[Address B]],IP_Master[],4,FALSE)</f>
        <v>EGX100</v>
      </c>
      <c r="S578" s="8" t="str">
        <f>VLOOKUP(Table1[[#This Row],[Address A]],IP_Master[],2,FALSE)</f>
        <v>Fume Control</v>
      </c>
      <c r="T578" s="8" t="str">
        <f>VLOOKUP(Table1[[#This Row],[Address B]],IP_Master[],2,FALSE)</f>
        <v>Miscellaneous</v>
      </c>
      <c r="U578" s="9" t="str">
        <f>VLOOKUP(Table1[[#This Row],[Address A]],IP_Master[],3,FALSE)</f>
        <v>iFIX Nodes &amp; Ethernet Switches</v>
      </c>
      <c r="V578" s="9" t="str">
        <f>VLOOKUP(Table1[[#This Row],[Address B]],IP_Master[],3,FALSE)</f>
        <v>iFIX Nodes &amp; Ethernet Switches</v>
      </c>
      <c r="W578" s="9" t="str">
        <f>VLOOKUP(Table1[[#This Row],[Port B]],traffic_types[],2,FALSE)</f>
        <v>Modbus</v>
      </c>
    </row>
    <row r="579" spans="1:23" x14ac:dyDescent="0.6">
      <c r="A579" t="s">
        <v>53</v>
      </c>
      <c r="B579">
        <v>3030</v>
      </c>
      <c r="C579" t="s">
        <v>87</v>
      </c>
      <c r="D579">
        <v>502</v>
      </c>
      <c r="E579">
        <v>1</v>
      </c>
      <c r="F579" s="13">
        <v>62</v>
      </c>
      <c r="G579">
        <v>1</v>
      </c>
      <c r="H579">
        <v>62</v>
      </c>
      <c r="I579">
        <v>0</v>
      </c>
      <c r="J579">
        <v>0</v>
      </c>
      <c r="K579">
        <v>822.75197100000003</v>
      </c>
      <c r="L579">
        <v>0</v>
      </c>
      <c r="M579">
        <v>0</v>
      </c>
      <c r="N579">
        <v>0</v>
      </c>
      <c r="O579" s="8" t="str">
        <f>formatIP(Table1[[#This Row],[Address A]])</f>
        <v>010.012.000.001</v>
      </c>
      <c r="P579" s="8" t="str">
        <f>formatIP(Table1[[#This Row],[Address B]])</f>
        <v>010.011.009.028</v>
      </c>
      <c r="Q579" s="8" t="str">
        <f>VLOOKUP(Table1[[#This Row],[Address A]],IP_Master[],4,FALSE)</f>
        <v>PPPCFC1</v>
      </c>
      <c r="R579" s="8" t="str">
        <f>VLOOKUP(Table1[[#This Row],[Address B]],IP_Master[],4,FALSE)</f>
        <v>EGX100</v>
      </c>
      <c r="S579" s="8" t="str">
        <f>VLOOKUP(Table1[[#This Row],[Address A]],IP_Master[],2,FALSE)</f>
        <v>Fume Control</v>
      </c>
      <c r="T579" s="8" t="str">
        <f>VLOOKUP(Table1[[#This Row],[Address B]],IP_Master[],2,FALSE)</f>
        <v>Miscellaneous</v>
      </c>
      <c r="U579" s="9" t="str">
        <f>VLOOKUP(Table1[[#This Row],[Address A]],IP_Master[],3,FALSE)</f>
        <v>iFIX Nodes &amp; Ethernet Switches</v>
      </c>
      <c r="V579" s="9" t="str">
        <f>VLOOKUP(Table1[[#This Row],[Address B]],IP_Master[],3,FALSE)</f>
        <v>iFIX Nodes &amp; Ethernet Switches</v>
      </c>
      <c r="W579" s="9" t="str">
        <f>VLOOKUP(Table1[[#This Row],[Port B]],traffic_types[],2,FALSE)</f>
        <v>Modbus</v>
      </c>
    </row>
    <row r="580" spans="1:23" x14ac:dyDescent="0.6">
      <c r="A580" t="s">
        <v>53</v>
      </c>
      <c r="B580">
        <v>3031</v>
      </c>
      <c r="C580" t="s">
        <v>87</v>
      </c>
      <c r="D580">
        <v>502</v>
      </c>
      <c r="E580">
        <v>2</v>
      </c>
      <c r="F580" s="13">
        <v>124</v>
      </c>
      <c r="G580">
        <v>2</v>
      </c>
      <c r="H580">
        <v>124</v>
      </c>
      <c r="I580">
        <v>0</v>
      </c>
      <c r="J580">
        <v>0</v>
      </c>
      <c r="K580">
        <v>823.18181500000003</v>
      </c>
      <c r="L580">
        <v>2.9079849999999401</v>
      </c>
      <c r="M580">
        <v>341.12968258090098</v>
      </c>
      <c r="N580">
        <v>0</v>
      </c>
      <c r="O580" s="8" t="str">
        <f>formatIP(Table1[[#This Row],[Address A]])</f>
        <v>010.012.000.001</v>
      </c>
      <c r="P580" s="8" t="str">
        <f>formatIP(Table1[[#This Row],[Address B]])</f>
        <v>010.011.009.028</v>
      </c>
      <c r="Q580" s="8" t="str">
        <f>VLOOKUP(Table1[[#This Row],[Address A]],IP_Master[],4,FALSE)</f>
        <v>PPPCFC1</v>
      </c>
      <c r="R580" s="8" t="str">
        <f>VLOOKUP(Table1[[#This Row],[Address B]],IP_Master[],4,FALSE)</f>
        <v>EGX100</v>
      </c>
      <c r="S580" s="8" t="str">
        <f>VLOOKUP(Table1[[#This Row],[Address A]],IP_Master[],2,FALSE)</f>
        <v>Fume Control</v>
      </c>
      <c r="T580" s="8" t="str">
        <f>VLOOKUP(Table1[[#This Row],[Address B]],IP_Master[],2,FALSE)</f>
        <v>Miscellaneous</v>
      </c>
      <c r="U580" s="9" t="str">
        <f>VLOOKUP(Table1[[#This Row],[Address A]],IP_Master[],3,FALSE)</f>
        <v>iFIX Nodes &amp; Ethernet Switches</v>
      </c>
      <c r="V580" s="9" t="str">
        <f>VLOOKUP(Table1[[#This Row],[Address B]],IP_Master[],3,FALSE)</f>
        <v>iFIX Nodes &amp; Ethernet Switches</v>
      </c>
      <c r="W580" s="9" t="str">
        <f>VLOOKUP(Table1[[#This Row],[Port B]],traffic_types[],2,FALSE)</f>
        <v>Modbus</v>
      </c>
    </row>
    <row r="581" spans="1:23" x14ac:dyDescent="0.6">
      <c r="A581" t="s">
        <v>53</v>
      </c>
      <c r="B581">
        <v>3033</v>
      </c>
      <c r="C581" t="s">
        <v>87</v>
      </c>
      <c r="D581">
        <v>502</v>
      </c>
      <c r="E581">
        <v>2</v>
      </c>
      <c r="F581" s="13">
        <v>124</v>
      </c>
      <c r="G581">
        <v>2</v>
      </c>
      <c r="H581">
        <v>124</v>
      </c>
      <c r="I581">
        <v>0</v>
      </c>
      <c r="J581">
        <v>0</v>
      </c>
      <c r="K581">
        <v>823.80630699999995</v>
      </c>
      <c r="L581">
        <v>2.9876619999999998</v>
      </c>
      <c r="M581">
        <v>332.03220444615198</v>
      </c>
      <c r="N581">
        <v>0</v>
      </c>
      <c r="O581" s="8" t="str">
        <f>formatIP(Table1[[#This Row],[Address A]])</f>
        <v>010.012.000.001</v>
      </c>
      <c r="P581" s="8" t="str">
        <f>formatIP(Table1[[#This Row],[Address B]])</f>
        <v>010.011.009.028</v>
      </c>
      <c r="Q581" s="8" t="str">
        <f>VLOOKUP(Table1[[#This Row],[Address A]],IP_Master[],4,FALSE)</f>
        <v>PPPCFC1</v>
      </c>
      <c r="R581" s="8" t="str">
        <f>VLOOKUP(Table1[[#This Row],[Address B]],IP_Master[],4,FALSE)</f>
        <v>EGX100</v>
      </c>
      <c r="S581" s="8" t="str">
        <f>VLOOKUP(Table1[[#This Row],[Address A]],IP_Master[],2,FALSE)</f>
        <v>Fume Control</v>
      </c>
      <c r="T581" s="8" t="str">
        <f>VLOOKUP(Table1[[#This Row],[Address B]],IP_Master[],2,FALSE)</f>
        <v>Miscellaneous</v>
      </c>
      <c r="U581" s="9" t="str">
        <f>VLOOKUP(Table1[[#This Row],[Address A]],IP_Master[],3,FALSE)</f>
        <v>iFIX Nodes &amp; Ethernet Switches</v>
      </c>
      <c r="V581" s="9" t="str">
        <f>VLOOKUP(Table1[[#This Row],[Address B]],IP_Master[],3,FALSE)</f>
        <v>iFIX Nodes &amp; Ethernet Switches</v>
      </c>
      <c r="W581" s="9" t="str">
        <f>VLOOKUP(Table1[[#This Row],[Port B]],traffic_types[],2,FALSE)</f>
        <v>Modbus</v>
      </c>
    </row>
    <row r="582" spans="1:23" x14ac:dyDescent="0.6">
      <c r="A582" t="s">
        <v>53</v>
      </c>
      <c r="B582">
        <v>3035</v>
      </c>
      <c r="C582" t="s">
        <v>87</v>
      </c>
      <c r="D582">
        <v>502</v>
      </c>
      <c r="E582">
        <v>1</v>
      </c>
      <c r="F582" s="13">
        <v>62</v>
      </c>
      <c r="G582">
        <v>1</v>
      </c>
      <c r="H582">
        <v>62</v>
      </c>
      <c r="I582">
        <v>0</v>
      </c>
      <c r="J582">
        <v>0</v>
      </c>
      <c r="K582">
        <v>825.22101999999995</v>
      </c>
      <c r="L582">
        <v>0</v>
      </c>
      <c r="M582">
        <v>0</v>
      </c>
      <c r="N582">
        <v>0</v>
      </c>
      <c r="O582" s="8" t="str">
        <f>formatIP(Table1[[#This Row],[Address A]])</f>
        <v>010.012.000.001</v>
      </c>
      <c r="P582" s="8" t="str">
        <f>formatIP(Table1[[#This Row],[Address B]])</f>
        <v>010.011.009.028</v>
      </c>
      <c r="Q582" s="8" t="str">
        <f>VLOOKUP(Table1[[#This Row],[Address A]],IP_Master[],4,FALSE)</f>
        <v>PPPCFC1</v>
      </c>
      <c r="R582" s="8" t="str">
        <f>VLOOKUP(Table1[[#This Row],[Address B]],IP_Master[],4,FALSE)</f>
        <v>EGX100</v>
      </c>
      <c r="S582" s="8" t="str">
        <f>VLOOKUP(Table1[[#This Row],[Address A]],IP_Master[],2,FALSE)</f>
        <v>Fume Control</v>
      </c>
      <c r="T582" s="8" t="str">
        <f>VLOOKUP(Table1[[#This Row],[Address B]],IP_Master[],2,FALSE)</f>
        <v>Miscellaneous</v>
      </c>
      <c r="U582" s="9" t="str">
        <f>VLOOKUP(Table1[[#This Row],[Address A]],IP_Master[],3,FALSE)</f>
        <v>iFIX Nodes &amp; Ethernet Switches</v>
      </c>
      <c r="V582" s="9" t="str">
        <f>VLOOKUP(Table1[[#This Row],[Address B]],IP_Master[],3,FALSE)</f>
        <v>iFIX Nodes &amp; Ethernet Switches</v>
      </c>
      <c r="W582" s="9" t="str">
        <f>VLOOKUP(Table1[[#This Row],[Port B]],traffic_types[],2,FALSE)</f>
        <v>Modbus</v>
      </c>
    </row>
    <row r="583" spans="1:23" x14ac:dyDescent="0.6">
      <c r="A583" t="s">
        <v>53</v>
      </c>
      <c r="B583">
        <v>3036</v>
      </c>
      <c r="C583" t="s">
        <v>87</v>
      </c>
      <c r="D583">
        <v>502</v>
      </c>
      <c r="E583">
        <v>1</v>
      </c>
      <c r="F583" s="13">
        <v>62</v>
      </c>
      <c r="G583">
        <v>1</v>
      </c>
      <c r="H583">
        <v>62</v>
      </c>
      <c r="I583">
        <v>0</v>
      </c>
      <c r="J583">
        <v>0</v>
      </c>
      <c r="K583">
        <v>826.19020799999998</v>
      </c>
      <c r="L583">
        <v>0</v>
      </c>
      <c r="M583">
        <v>0</v>
      </c>
      <c r="N583">
        <v>0</v>
      </c>
      <c r="O583" s="8" t="str">
        <f>formatIP(Table1[[#This Row],[Address A]])</f>
        <v>010.012.000.001</v>
      </c>
      <c r="P583" s="8" t="str">
        <f>formatIP(Table1[[#This Row],[Address B]])</f>
        <v>010.011.009.028</v>
      </c>
      <c r="Q583" s="8" t="str">
        <f>VLOOKUP(Table1[[#This Row],[Address A]],IP_Master[],4,FALSE)</f>
        <v>PPPCFC1</v>
      </c>
      <c r="R583" s="8" t="str">
        <f>VLOOKUP(Table1[[#This Row],[Address B]],IP_Master[],4,FALSE)</f>
        <v>EGX100</v>
      </c>
      <c r="S583" s="8" t="str">
        <f>VLOOKUP(Table1[[#This Row],[Address A]],IP_Master[],2,FALSE)</f>
        <v>Fume Control</v>
      </c>
      <c r="T583" s="8" t="str">
        <f>VLOOKUP(Table1[[#This Row],[Address B]],IP_Master[],2,FALSE)</f>
        <v>Miscellaneous</v>
      </c>
      <c r="U583" s="9" t="str">
        <f>VLOOKUP(Table1[[#This Row],[Address A]],IP_Master[],3,FALSE)</f>
        <v>iFIX Nodes &amp; Ethernet Switches</v>
      </c>
      <c r="V583" s="9" t="str">
        <f>VLOOKUP(Table1[[#This Row],[Address B]],IP_Master[],3,FALSE)</f>
        <v>iFIX Nodes &amp; Ethernet Switches</v>
      </c>
      <c r="W583" s="9" t="str">
        <f>VLOOKUP(Table1[[#This Row],[Port B]],traffic_types[],2,FALSE)</f>
        <v>Modbus</v>
      </c>
    </row>
    <row r="584" spans="1:23" x14ac:dyDescent="0.6">
      <c r="A584" t="s">
        <v>53</v>
      </c>
      <c r="B584">
        <v>3037</v>
      </c>
      <c r="C584" t="s">
        <v>87</v>
      </c>
      <c r="D584">
        <v>502</v>
      </c>
      <c r="E584">
        <v>1</v>
      </c>
      <c r="F584" s="13">
        <v>62</v>
      </c>
      <c r="G584">
        <v>1</v>
      </c>
      <c r="H584">
        <v>62</v>
      </c>
      <c r="I584">
        <v>0</v>
      </c>
      <c r="J584">
        <v>0</v>
      </c>
      <c r="K584">
        <v>826.25643700000001</v>
      </c>
      <c r="L584">
        <v>0</v>
      </c>
      <c r="M584">
        <v>0</v>
      </c>
      <c r="N584">
        <v>0</v>
      </c>
      <c r="O584" s="8" t="str">
        <f>formatIP(Table1[[#This Row],[Address A]])</f>
        <v>010.012.000.001</v>
      </c>
      <c r="P584" s="8" t="str">
        <f>formatIP(Table1[[#This Row],[Address B]])</f>
        <v>010.011.009.028</v>
      </c>
      <c r="Q584" s="8" t="str">
        <f>VLOOKUP(Table1[[#This Row],[Address A]],IP_Master[],4,FALSE)</f>
        <v>PPPCFC1</v>
      </c>
      <c r="R584" s="8" t="str">
        <f>VLOOKUP(Table1[[#This Row],[Address B]],IP_Master[],4,FALSE)</f>
        <v>EGX100</v>
      </c>
      <c r="S584" s="8" t="str">
        <f>VLOOKUP(Table1[[#This Row],[Address A]],IP_Master[],2,FALSE)</f>
        <v>Fume Control</v>
      </c>
      <c r="T584" s="8" t="str">
        <f>VLOOKUP(Table1[[#This Row],[Address B]],IP_Master[],2,FALSE)</f>
        <v>Miscellaneous</v>
      </c>
      <c r="U584" s="9" t="str">
        <f>VLOOKUP(Table1[[#This Row],[Address A]],IP_Master[],3,FALSE)</f>
        <v>iFIX Nodes &amp; Ethernet Switches</v>
      </c>
      <c r="V584" s="9" t="str">
        <f>VLOOKUP(Table1[[#This Row],[Address B]],IP_Master[],3,FALSE)</f>
        <v>iFIX Nodes &amp; Ethernet Switches</v>
      </c>
      <c r="W584" s="9" t="str">
        <f>VLOOKUP(Table1[[#This Row],[Port B]],traffic_types[],2,FALSE)</f>
        <v>Modbus</v>
      </c>
    </row>
    <row r="585" spans="1:23" x14ac:dyDescent="0.6">
      <c r="A585" t="s">
        <v>53</v>
      </c>
      <c r="B585">
        <v>3039</v>
      </c>
      <c r="C585" t="s">
        <v>87</v>
      </c>
      <c r="D585">
        <v>502</v>
      </c>
      <c r="E585">
        <v>1</v>
      </c>
      <c r="F585" s="13">
        <v>62</v>
      </c>
      <c r="G585">
        <v>1</v>
      </c>
      <c r="H585">
        <v>62</v>
      </c>
      <c r="I585">
        <v>0</v>
      </c>
      <c r="J585">
        <v>0</v>
      </c>
      <c r="K585">
        <v>826.81527900000003</v>
      </c>
      <c r="L585">
        <v>0</v>
      </c>
      <c r="M585">
        <v>0</v>
      </c>
      <c r="N585">
        <v>0</v>
      </c>
      <c r="O585" s="8" t="str">
        <f>formatIP(Table1[[#This Row],[Address A]])</f>
        <v>010.012.000.001</v>
      </c>
      <c r="P585" s="8" t="str">
        <f>formatIP(Table1[[#This Row],[Address B]])</f>
        <v>010.011.009.028</v>
      </c>
      <c r="Q585" s="8" t="str">
        <f>VLOOKUP(Table1[[#This Row],[Address A]],IP_Master[],4,FALSE)</f>
        <v>PPPCFC1</v>
      </c>
      <c r="R585" s="8" t="str">
        <f>VLOOKUP(Table1[[#This Row],[Address B]],IP_Master[],4,FALSE)</f>
        <v>EGX100</v>
      </c>
      <c r="S585" s="8" t="str">
        <f>VLOOKUP(Table1[[#This Row],[Address A]],IP_Master[],2,FALSE)</f>
        <v>Fume Control</v>
      </c>
      <c r="T585" s="8" t="str">
        <f>VLOOKUP(Table1[[#This Row],[Address B]],IP_Master[],2,FALSE)</f>
        <v>Miscellaneous</v>
      </c>
      <c r="U585" s="9" t="str">
        <f>VLOOKUP(Table1[[#This Row],[Address A]],IP_Master[],3,FALSE)</f>
        <v>iFIX Nodes &amp; Ethernet Switches</v>
      </c>
      <c r="V585" s="9" t="str">
        <f>VLOOKUP(Table1[[#This Row],[Address B]],IP_Master[],3,FALSE)</f>
        <v>iFIX Nodes &amp; Ethernet Switches</v>
      </c>
      <c r="W585" s="9" t="str">
        <f>VLOOKUP(Table1[[#This Row],[Port B]],traffic_types[],2,FALSE)</f>
        <v>Modbus</v>
      </c>
    </row>
    <row r="586" spans="1:23" x14ac:dyDescent="0.6">
      <c r="A586" t="s">
        <v>53</v>
      </c>
      <c r="B586">
        <v>3042</v>
      </c>
      <c r="C586" t="s">
        <v>87</v>
      </c>
      <c r="D586">
        <v>502</v>
      </c>
      <c r="E586">
        <v>1</v>
      </c>
      <c r="F586" s="13">
        <v>62</v>
      </c>
      <c r="G586">
        <v>1</v>
      </c>
      <c r="H586">
        <v>62</v>
      </c>
      <c r="I586">
        <v>0</v>
      </c>
      <c r="J586">
        <v>0</v>
      </c>
      <c r="K586">
        <v>829.26836200000002</v>
      </c>
      <c r="L586">
        <v>0</v>
      </c>
      <c r="M586">
        <v>0</v>
      </c>
      <c r="N586">
        <v>0</v>
      </c>
      <c r="O586" s="8" t="str">
        <f>formatIP(Table1[[#This Row],[Address A]])</f>
        <v>010.012.000.001</v>
      </c>
      <c r="P586" s="8" t="str">
        <f>formatIP(Table1[[#This Row],[Address B]])</f>
        <v>010.011.009.028</v>
      </c>
      <c r="Q586" s="8" t="str">
        <f>VLOOKUP(Table1[[#This Row],[Address A]],IP_Master[],4,FALSE)</f>
        <v>PPPCFC1</v>
      </c>
      <c r="R586" s="8" t="str">
        <f>VLOOKUP(Table1[[#This Row],[Address B]],IP_Master[],4,FALSE)</f>
        <v>EGX100</v>
      </c>
      <c r="S586" s="8" t="str">
        <f>VLOOKUP(Table1[[#This Row],[Address A]],IP_Master[],2,FALSE)</f>
        <v>Fume Control</v>
      </c>
      <c r="T586" s="8" t="str">
        <f>VLOOKUP(Table1[[#This Row],[Address B]],IP_Master[],2,FALSE)</f>
        <v>Miscellaneous</v>
      </c>
      <c r="U586" s="9" t="str">
        <f>VLOOKUP(Table1[[#This Row],[Address A]],IP_Master[],3,FALSE)</f>
        <v>iFIX Nodes &amp; Ethernet Switches</v>
      </c>
      <c r="V586" s="9" t="str">
        <f>VLOOKUP(Table1[[#This Row],[Address B]],IP_Master[],3,FALSE)</f>
        <v>iFIX Nodes &amp; Ethernet Switches</v>
      </c>
      <c r="W586" s="9" t="str">
        <f>VLOOKUP(Table1[[#This Row],[Port B]],traffic_types[],2,FALSE)</f>
        <v>Modbus</v>
      </c>
    </row>
    <row r="587" spans="1:23" x14ac:dyDescent="0.6">
      <c r="A587" t="s">
        <v>53</v>
      </c>
      <c r="B587">
        <v>3047</v>
      </c>
      <c r="C587" t="s">
        <v>87</v>
      </c>
      <c r="D587">
        <v>502</v>
      </c>
      <c r="E587">
        <v>2</v>
      </c>
      <c r="F587" s="13">
        <v>124</v>
      </c>
      <c r="G587">
        <v>2</v>
      </c>
      <c r="H587">
        <v>124</v>
      </c>
      <c r="I587">
        <v>0</v>
      </c>
      <c r="J587">
        <v>0</v>
      </c>
      <c r="K587">
        <v>852.76071899999999</v>
      </c>
      <c r="L587">
        <v>3.0056750000000001</v>
      </c>
      <c r="M587">
        <v>330.04233657997003</v>
      </c>
      <c r="N587">
        <v>0</v>
      </c>
      <c r="O587" s="8" t="str">
        <f>formatIP(Table1[[#This Row],[Address A]])</f>
        <v>010.012.000.001</v>
      </c>
      <c r="P587" s="8" t="str">
        <f>formatIP(Table1[[#This Row],[Address B]])</f>
        <v>010.011.009.028</v>
      </c>
      <c r="Q587" s="8" t="str">
        <f>VLOOKUP(Table1[[#This Row],[Address A]],IP_Master[],4,FALSE)</f>
        <v>PPPCFC1</v>
      </c>
      <c r="R587" s="8" t="str">
        <f>VLOOKUP(Table1[[#This Row],[Address B]],IP_Master[],4,FALSE)</f>
        <v>EGX100</v>
      </c>
      <c r="S587" s="8" t="str">
        <f>VLOOKUP(Table1[[#This Row],[Address A]],IP_Master[],2,FALSE)</f>
        <v>Fume Control</v>
      </c>
      <c r="T587" s="8" t="str">
        <f>VLOOKUP(Table1[[#This Row],[Address B]],IP_Master[],2,FALSE)</f>
        <v>Miscellaneous</v>
      </c>
      <c r="U587" s="9" t="str">
        <f>VLOOKUP(Table1[[#This Row],[Address A]],IP_Master[],3,FALSE)</f>
        <v>iFIX Nodes &amp; Ethernet Switches</v>
      </c>
      <c r="V587" s="9" t="str">
        <f>VLOOKUP(Table1[[#This Row],[Address B]],IP_Master[],3,FALSE)</f>
        <v>iFIX Nodes &amp; Ethernet Switches</v>
      </c>
      <c r="W587" s="9" t="str">
        <f>VLOOKUP(Table1[[#This Row],[Port B]],traffic_types[],2,FALSE)</f>
        <v>Modbus</v>
      </c>
    </row>
    <row r="588" spans="1:23" x14ac:dyDescent="0.6">
      <c r="A588" t="s">
        <v>53</v>
      </c>
      <c r="B588">
        <v>3048</v>
      </c>
      <c r="C588" t="s">
        <v>87</v>
      </c>
      <c r="D588">
        <v>502</v>
      </c>
      <c r="E588">
        <v>2</v>
      </c>
      <c r="F588" s="13">
        <v>124</v>
      </c>
      <c r="G588">
        <v>2</v>
      </c>
      <c r="H588">
        <v>124</v>
      </c>
      <c r="I588">
        <v>0</v>
      </c>
      <c r="J588">
        <v>0</v>
      </c>
      <c r="K588">
        <v>855.22791299999994</v>
      </c>
      <c r="L588">
        <v>2.85230800000011</v>
      </c>
      <c r="M588">
        <v>347.78852774664</v>
      </c>
      <c r="N588">
        <v>0</v>
      </c>
      <c r="O588" s="8" t="str">
        <f>formatIP(Table1[[#This Row],[Address A]])</f>
        <v>010.012.000.001</v>
      </c>
      <c r="P588" s="8" t="str">
        <f>formatIP(Table1[[#This Row],[Address B]])</f>
        <v>010.011.009.028</v>
      </c>
      <c r="Q588" s="8" t="str">
        <f>VLOOKUP(Table1[[#This Row],[Address A]],IP_Master[],4,FALSE)</f>
        <v>PPPCFC1</v>
      </c>
      <c r="R588" s="8" t="str">
        <f>VLOOKUP(Table1[[#This Row],[Address B]],IP_Master[],4,FALSE)</f>
        <v>EGX100</v>
      </c>
      <c r="S588" s="8" t="str">
        <f>VLOOKUP(Table1[[#This Row],[Address A]],IP_Master[],2,FALSE)</f>
        <v>Fume Control</v>
      </c>
      <c r="T588" s="8" t="str">
        <f>VLOOKUP(Table1[[#This Row],[Address B]],IP_Master[],2,FALSE)</f>
        <v>Miscellaneous</v>
      </c>
      <c r="U588" s="9" t="str">
        <f>VLOOKUP(Table1[[#This Row],[Address A]],IP_Master[],3,FALSE)</f>
        <v>iFIX Nodes &amp; Ethernet Switches</v>
      </c>
      <c r="V588" s="9" t="str">
        <f>VLOOKUP(Table1[[#This Row],[Address B]],IP_Master[],3,FALSE)</f>
        <v>iFIX Nodes &amp; Ethernet Switches</v>
      </c>
      <c r="W588" s="9" t="str">
        <f>VLOOKUP(Table1[[#This Row],[Port B]],traffic_types[],2,FALSE)</f>
        <v>Modbus</v>
      </c>
    </row>
    <row r="589" spans="1:23" x14ac:dyDescent="0.6">
      <c r="A589" t="s">
        <v>53</v>
      </c>
      <c r="B589">
        <v>3049</v>
      </c>
      <c r="C589" t="s">
        <v>87</v>
      </c>
      <c r="D589">
        <v>502</v>
      </c>
      <c r="E589">
        <v>1</v>
      </c>
      <c r="F589" s="13">
        <v>62</v>
      </c>
      <c r="G589">
        <v>1</v>
      </c>
      <c r="H589">
        <v>62</v>
      </c>
      <c r="I589">
        <v>0</v>
      </c>
      <c r="J589">
        <v>0</v>
      </c>
      <c r="K589">
        <v>855.77160500000002</v>
      </c>
      <c r="L589">
        <v>0</v>
      </c>
      <c r="M589">
        <v>0</v>
      </c>
      <c r="N589">
        <v>0</v>
      </c>
      <c r="O589" s="8" t="str">
        <f>formatIP(Table1[[#This Row],[Address A]])</f>
        <v>010.012.000.001</v>
      </c>
      <c r="P589" s="8" t="str">
        <f>formatIP(Table1[[#This Row],[Address B]])</f>
        <v>010.011.009.028</v>
      </c>
      <c r="Q589" s="8" t="str">
        <f>VLOOKUP(Table1[[#This Row],[Address A]],IP_Master[],4,FALSE)</f>
        <v>PPPCFC1</v>
      </c>
      <c r="R589" s="8" t="str">
        <f>VLOOKUP(Table1[[#This Row],[Address B]],IP_Master[],4,FALSE)</f>
        <v>EGX100</v>
      </c>
      <c r="S589" s="8" t="str">
        <f>VLOOKUP(Table1[[#This Row],[Address A]],IP_Master[],2,FALSE)</f>
        <v>Fume Control</v>
      </c>
      <c r="T589" s="8" t="str">
        <f>VLOOKUP(Table1[[#This Row],[Address B]],IP_Master[],2,FALSE)</f>
        <v>Miscellaneous</v>
      </c>
      <c r="U589" s="9" t="str">
        <f>VLOOKUP(Table1[[#This Row],[Address A]],IP_Master[],3,FALSE)</f>
        <v>iFIX Nodes &amp; Ethernet Switches</v>
      </c>
      <c r="V589" s="9" t="str">
        <f>VLOOKUP(Table1[[#This Row],[Address B]],IP_Master[],3,FALSE)</f>
        <v>iFIX Nodes &amp; Ethernet Switches</v>
      </c>
      <c r="W589" s="9" t="str">
        <f>VLOOKUP(Table1[[#This Row],[Port B]],traffic_types[],2,FALSE)</f>
        <v>Modbus</v>
      </c>
    </row>
    <row r="590" spans="1:23" x14ac:dyDescent="0.6">
      <c r="A590" t="s">
        <v>53</v>
      </c>
      <c r="B590">
        <v>3050</v>
      </c>
      <c r="C590" t="s">
        <v>87</v>
      </c>
      <c r="D590">
        <v>502</v>
      </c>
      <c r="E590">
        <v>2</v>
      </c>
      <c r="F590" s="13">
        <v>124</v>
      </c>
      <c r="G590">
        <v>2</v>
      </c>
      <c r="H590">
        <v>124</v>
      </c>
      <c r="I590">
        <v>0</v>
      </c>
      <c r="J590">
        <v>0</v>
      </c>
      <c r="K590">
        <v>856.20281</v>
      </c>
      <c r="L590">
        <v>2.8833980000000601</v>
      </c>
      <c r="M590">
        <v>344.03852676598302</v>
      </c>
      <c r="N590">
        <v>0</v>
      </c>
      <c r="O590" s="8" t="str">
        <f>formatIP(Table1[[#This Row],[Address A]])</f>
        <v>010.012.000.001</v>
      </c>
      <c r="P590" s="8" t="str">
        <f>formatIP(Table1[[#This Row],[Address B]])</f>
        <v>010.011.009.028</v>
      </c>
      <c r="Q590" s="8" t="str">
        <f>VLOOKUP(Table1[[#This Row],[Address A]],IP_Master[],4,FALSE)</f>
        <v>PPPCFC1</v>
      </c>
      <c r="R590" s="8" t="str">
        <f>VLOOKUP(Table1[[#This Row],[Address B]],IP_Master[],4,FALSE)</f>
        <v>EGX100</v>
      </c>
      <c r="S590" s="8" t="str">
        <f>VLOOKUP(Table1[[#This Row],[Address A]],IP_Master[],2,FALSE)</f>
        <v>Fume Control</v>
      </c>
      <c r="T590" s="8" t="str">
        <f>VLOOKUP(Table1[[#This Row],[Address B]],IP_Master[],2,FALSE)</f>
        <v>Miscellaneous</v>
      </c>
      <c r="U590" s="9" t="str">
        <f>VLOOKUP(Table1[[#This Row],[Address A]],IP_Master[],3,FALSE)</f>
        <v>iFIX Nodes &amp; Ethernet Switches</v>
      </c>
      <c r="V590" s="9" t="str">
        <f>VLOOKUP(Table1[[#This Row],[Address B]],IP_Master[],3,FALSE)</f>
        <v>iFIX Nodes &amp; Ethernet Switches</v>
      </c>
      <c r="W590" s="9" t="str">
        <f>VLOOKUP(Table1[[#This Row],[Port B]],traffic_types[],2,FALSE)</f>
        <v>Modbus</v>
      </c>
    </row>
    <row r="591" spans="1:23" x14ac:dyDescent="0.6">
      <c r="A591" t="s">
        <v>53</v>
      </c>
      <c r="B591">
        <v>3052</v>
      </c>
      <c r="C591" t="s">
        <v>87</v>
      </c>
      <c r="D591">
        <v>502</v>
      </c>
      <c r="E591">
        <v>2</v>
      </c>
      <c r="F591" s="13">
        <v>124</v>
      </c>
      <c r="G591">
        <v>2</v>
      </c>
      <c r="H591">
        <v>124</v>
      </c>
      <c r="I591">
        <v>0</v>
      </c>
      <c r="J591">
        <v>0</v>
      </c>
      <c r="K591">
        <v>856.82846800000004</v>
      </c>
      <c r="L591">
        <v>2.8613039999999001</v>
      </c>
      <c r="M591">
        <v>346.69507329526402</v>
      </c>
      <c r="N591">
        <v>0</v>
      </c>
      <c r="O591" s="8" t="str">
        <f>formatIP(Table1[[#This Row],[Address A]])</f>
        <v>010.012.000.001</v>
      </c>
      <c r="P591" s="8" t="str">
        <f>formatIP(Table1[[#This Row],[Address B]])</f>
        <v>010.011.009.028</v>
      </c>
      <c r="Q591" s="8" t="str">
        <f>VLOOKUP(Table1[[#This Row],[Address A]],IP_Master[],4,FALSE)</f>
        <v>PPPCFC1</v>
      </c>
      <c r="R591" s="8" t="str">
        <f>VLOOKUP(Table1[[#This Row],[Address B]],IP_Master[],4,FALSE)</f>
        <v>EGX100</v>
      </c>
      <c r="S591" s="8" t="str">
        <f>VLOOKUP(Table1[[#This Row],[Address A]],IP_Master[],2,FALSE)</f>
        <v>Fume Control</v>
      </c>
      <c r="T591" s="8" t="str">
        <f>VLOOKUP(Table1[[#This Row],[Address B]],IP_Master[],2,FALSE)</f>
        <v>Miscellaneous</v>
      </c>
      <c r="U591" s="9" t="str">
        <f>VLOOKUP(Table1[[#This Row],[Address A]],IP_Master[],3,FALSE)</f>
        <v>iFIX Nodes &amp; Ethernet Switches</v>
      </c>
      <c r="V591" s="9" t="str">
        <f>VLOOKUP(Table1[[#This Row],[Address B]],IP_Master[],3,FALSE)</f>
        <v>iFIX Nodes &amp; Ethernet Switches</v>
      </c>
      <c r="W591" s="9" t="str">
        <f>VLOOKUP(Table1[[#This Row],[Port B]],traffic_types[],2,FALSE)</f>
        <v>Modbus</v>
      </c>
    </row>
    <row r="592" spans="1:23" x14ac:dyDescent="0.6">
      <c r="A592" t="s">
        <v>53</v>
      </c>
      <c r="B592">
        <v>3055</v>
      </c>
      <c r="C592" t="s">
        <v>87</v>
      </c>
      <c r="D592">
        <v>502</v>
      </c>
      <c r="E592">
        <v>1</v>
      </c>
      <c r="F592" s="13">
        <v>62</v>
      </c>
      <c r="G592">
        <v>1</v>
      </c>
      <c r="H592">
        <v>62</v>
      </c>
      <c r="I592">
        <v>0</v>
      </c>
      <c r="J592">
        <v>0</v>
      </c>
      <c r="K592">
        <v>858.24093600000003</v>
      </c>
      <c r="L592">
        <v>0</v>
      </c>
      <c r="M592">
        <v>0</v>
      </c>
      <c r="N592">
        <v>0</v>
      </c>
      <c r="O592" s="8" t="str">
        <f>formatIP(Table1[[#This Row],[Address A]])</f>
        <v>010.012.000.001</v>
      </c>
      <c r="P592" s="8" t="str">
        <f>formatIP(Table1[[#This Row],[Address B]])</f>
        <v>010.011.009.028</v>
      </c>
      <c r="Q592" s="8" t="str">
        <f>VLOOKUP(Table1[[#This Row],[Address A]],IP_Master[],4,FALSE)</f>
        <v>PPPCFC1</v>
      </c>
      <c r="R592" s="8" t="str">
        <f>VLOOKUP(Table1[[#This Row],[Address B]],IP_Master[],4,FALSE)</f>
        <v>EGX100</v>
      </c>
      <c r="S592" s="8" t="str">
        <f>VLOOKUP(Table1[[#This Row],[Address A]],IP_Master[],2,FALSE)</f>
        <v>Fume Control</v>
      </c>
      <c r="T592" s="8" t="str">
        <f>VLOOKUP(Table1[[#This Row],[Address B]],IP_Master[],2,FALSE)</f>
        <v>Miscellaneous</v>
      </c>
      <c r="U592" s="9" t="str">
        <f>VLOOKUP(Table1[[#This Row],[Address A]],IP_Master[],3,FALSE)</f>
        <v>iFIX Nodes &amp; Ethernet Switches</v>
      </c>
      <c r="V592" s="9" t="str">
        <f>VLOOKUP(Table1[[#This Row],[Address B]],IP_Master[],3,FALSE)</f>
        <v>iFIX Nodes &amp; Ethernet Switches</v>
      </c>
      <c r="W592" s="9" t="str">
        <f>VLOOKUP(Table1[[#This Row],[Port B]],traffic_types[],2,FALSE)</f>
        <v>Modbus</v>
      </c>
    </row>
    <row r="593" spans="1:23" x14ac:dyDescent="0.6">
      <c r="A593" t="s">
        <v>53</v>
      </c>
      <c r="B593">
        <v>3056</v>
      </c>
      <c r="C593" t="s">
        <v>87</v>
      </c>
      <c r="D593">
        <v>502</v>
      </c>
      <c r="E593">
        <v>1</v>
      </c>
      <c r="F593" s="13">
        <v>62</v>
      </c>
      <c r="G593">
        <v>1</v>
      </c>
      <c r="H593">
        <v>62</v>
      </c>
      <c r="I593">
        <v>0</v>
      </c>
      <c r="J593">
        <v>0</v>
      </c>
      <c r="K593">
        <v>859.20965100000001</v>
      </c>
      <c r="L593">
        <v>0</v>
      </c>
      <c r="M593">
        <v>0</v>
      </c>
      <c r="N593">
        <v>0</v>
      </c>
      <c r="O593" s="8" t="str">
        <f>formatIP(Table1[[#This Row],[Address A]])</f>
        <v>010.012.000.001</v>
      </c>
      <c r="P593" s="8" t="str">
        <f>formatIP(Table1[[#This Row],[Address B]])</f>
        <v>010.011.009.028</v>
      </c>
      <c r="Q593" s="8" t="str">
        <f>VLOOKUP(Table1[[#This Row],[Address A]],IP_Master[],4,FALSE)</f>
        <v>PPPCFC1</v>
      </c>
      <c r="R593" s="8" t="str">
        <f>VLOOKUP(Table1[[#This Row],[Address B]],IP_Master[],4,FALSE)</f>
        <v>EGX100</v>
      </c>
      <c r="S593" s="8" t="str">
        <f>VLOOKUP(Table1[[#This Row],[Address A]],IP_Master[],2,FALSE)</f>
        <v>Fume Control</v>
      </c>
      <c r="T593" s="8" t="str">
        <f>VLOOKUP(Table1[[#This Row],[Address B]],IP_Master[],2,FALSE)</f>
        <v>Miscellaneous</v>
      </c>
      <c r="U593" s="9" t="str">
        <f>VLOOKUP(Table1[[#This Row],[Address A]],IP_Master[],3,FALSE)</f>
        <v>iFIX Nodes &amp; Ethernet Switches</v>
      </c>
      <c r="V593" s="9" t="str">
        <f>VLOOKUP(Table1[[#This Row],[Address B]],IP_Master[],3,FALSE)</f>
        <v>iFIX Nodes &amp; Ethernet Switches</v>
      </c>
      <c r="W593" s="9" t="str">
        <f>VLOOKUP(Table1[[#This Row],[Port B]],traffic_types[],2,FALSE)</f>
        <v>Modbus</v>
      </c>
    </row>
    <row r="594" spans="1:23" x14ac:dyDescent="0.6">
      <c r="A594" t="s">
        <v>53</v>
      </c>
      <c r="B594">
        <v>3057</v>
      </c>
      <c r="C594" t="s">
        <v>87</v>
      </c>
      <c r="D594">
        <v>502</v>
      </c>
      <c r="E594">
        <v>1</v>
      </c>
      <c r="F594" s="13">
        <v>62</v>
      </c>
      <c r="G594">
        <v>1</v>
      </c>
      <c r="H594">
        <v>62</v>
      </c>
      <c r="I594">
        <v>0</v>
      </c>
      <c r="J594">
        <v>0</v>
      </c>
      <c r="K594">
        <v>859.27634799999998</v>
      </c>
      <c r="L594">
        <v>0</v>
      </c>
      <c r="M594">
        <v>0</v>
      </c>
      <c r="N594">
        <v>0</v>
      </c>
      <c r="O594" s="8" t="str">
        <f>formatIP(Table1[[#This Row],[Address A]])</f>
        <v>010.012.000.001</v>
      </c>
      <c r="P594" s="8" t="str">
        <f>formatIP(Table1[[#This Row],[Address B]])</f>
        <v>010.011.009.028</v>
      </c>
      <c r="Q594" s="8" t="str">
        <f>VLOOKUP(Table1[[#This Row],[Address A]],IP_Master[],4,FALSE)</f>
        <v>PPPCFC1</v>
      </c>
      <c r="R594" s="8" t="str">
        <f>VLOOKUP(Table1[[#This Row],[Address B]],IP_Master[],4,FALSE)</f>
        <v>EGX100</v>
      </c>
      <c r="S594" s="8" t="str">
        <f>VLOOKUP(Table1[[#This Row],[Address A]],IP_Master[],2,FALSE)</f>
        <v>Fume Control</v>
      </c>
      <c r="T594" s="8" t="str">
        <f>VLOOKUP(Table1[[#This Row],[Address B]],IP_Master[],2,FALSE)</f>
        <v>Miscellaneous</v>
      </c>
      <c r="U594" s="9" t="str">
        <f>VLOOKUP(Table1[[#This Row],[Address A]],IP_Master[],3,FALSE)</f>
        <v>iFIX Nodes &amp; Ethernet Switches</v>
      </c>
      <c r="V594" s="9" t="str">
        <f>VLOOKUP(Table1[[#This Row],[Address B]],IP_Master[],3,FALSE)</f>
        <v>iFIX Nodes &amp; Ethernet Switches</v>
      </c>
      <c r="W594" s="9" t="str">
        <f>VLOOKUP(Table1[[#This Row],[Port B]],traffic_types[],2,FALSE)</f>
        <v>Modbus</v>
      </c>
    </row>
    <row r="595" spans="1:23" x14ac:dyDescent="0.6">
      <c r="A595" t="s">
        <v>53</v>
      </c>
      <c r="B595">
        <v>3059</v>
      </c>
      <c r="C595" t="s">
        <v>87</v>
      </c>
      <c r="D595">
        <v>502</v>
      </c>
      <c r="E595">
        <v>1</v>
      </c>
      <c r="F595" s="13">
        <v>62</v>
      </c>
      <c r="G595">
        <v>1</v>
      </c>
      <c r="H595">
        <v>62</v>
      </c>
      <c r="I595">
        <v>0</v>
      </c>
      <c r="J595">
        <v>0</v>
      </c>
      <c r="K595">
        <v>859.83503599999995</v>
      </c>
      <c r="L595">
        <v>0</v>
      </c>
      <c r="M595">
        <v>0</v>
      </c>
      <c r="N595">
        <v>0</v>
      </c>
      <c r="O595" s="8" t="str">
        <f>formatIP(Table1[[#This Row],[Address A]])</f>
        <v>010.012.000.001</v>
      </c>
      <c r="P595" s="8" t="str">
        <f>formatIP(Table1[[#This Row],[Address B]])</f>
        <v>010.011.009.028</v>
      </c>
      <c r="Q595" s="8" t="str">
        <f>VLOOKUP(Table1[[#This Row],[Address A]],IP_Master[],4,FALSE)</f>
        <v>PPPCFC1</v>
      </c>
      <c r="R595" s="8" t="str">
        <f>VLOOKUP(Table1[[#This Row],[Address B]],IP_Master[],4,FALSE)</f>
        <v>EGX100</v>
      </c>
      <c r="S595" s="8" t="str">
        <f>VLOOKUP(Table1[[#This Row],[Address A]],IP_Master[],2,FALSE)</f>
        <v>Fume Control</v>
      </c>
      <c r="T595" s="8" t="str">
        <f>VLOOKUP(Table1[[#This Row],[Address B]],IP_Master[],2,FALSE)</f>
        <v>Miscellaneous</v>
      </c>
      <c r="U595" s="9" t="str">
        <f>VLOOKUP(Table1[[#This Row],[Address A]],IP_Master[],3,FALSE)</f>
        <v>iFIX Nodes &amp; Ethernet Switches</v>
      </c>
      <c r="V595" s="9" t="str">
        <f>VLOOKUP(Table1[[#This Row],[Address B]],IP_Master[],3,FALSE)</f>
        <v>iFIX Nodes &amp; Ethernet Switches</v>
      </c>
      <c r="W595" s="9" t="str">
        <f>VLOOKUP(Table1[[#This Row],[Port B]],traffic_types[],2,FALSE)</f>
        <v>Modbus</v>
      </c>
    </row>
    <row r="596" spans="1:23" x14ac:dyDescent="0.6">
      <c r="A596" t="s">
        <v>53</v>
      </c>
      <c r="B596">
        <v>3062</v>
      </c>
      <c r="C596" t="s">
        <v>87</v>
      </c>
      <c r="D596">
        <v>502</v>
      </c>
      <c r="E596">
        <v>1</v>
      </c>
      <c r="F596" s="13">
        <v>62</v>
      </c>
      <c r="G596">
        <v>1</v>
      </c>
      <c r="H596">
        <v>62</v>
      </c>
      <c r="I596">
        <v>0</v>
      </c>
      <c r="J596">
        <v>0</v>
      </c>
      <c r="K596">
        <v>862.28811499999995</v>
      </c>
      <c r="L596">
        <v>0</v>
      </c>
      <c r="M596">
        <v>0</v>
      </c>
      <c r="N596">
        <v>0</v>
      </c>
      <c r="O596" s="8" t="str">
        <f>formatIP(Table1[[#This Row],[Address A]])</f>
        <v>010.012.000.001</v>
      </c>
      <c r="P596" s="8" t="str">
        <f>formatIP(Table1[[#This Row],[Address B]])</f>
        <v>010.011.009.028</v>
      </c>
      <c r="Q596" s="8" t="str">
        <f>VLOOKUP(Table1[[#This Row],[Address A]],IP_Master[],4,FALSE)</f>
        <v>PPPCFC1</v>
      </c>
      <c r="R596" s="8" t="str">
        <f>VLOOKUP(Table1[[#This Row],[Address B]],IP_Master[],4,FALSE)</f>
        <v>EGX100</v>
      </c>
      <c r="S596" s="8" t="str">
        <f>VLOOKUP(Table1[[#This Row],[Address A]],IP_Master[],2,FALSE)</f>
        <v>Fume Control</v>
      </c>
      <c r="T596" s="8" t="str">
        <f>VLOOKUP(Table1[[#This Row],[Address B]],IP_Master[],2,FALSE)</f>
        <v>Miscellaneous</v>
      </c>
      <c r="U596" s="9" t="str">
        <f>VLOOKUP(Table1[[#This Row],[Address A]],IP_Master[],3,FALSE)</f>
        <v>iFIX Nodes &amp; Ethernet Switches</v>
      </c>
      <c r="V596" s="9" t="str">
        <f>VLOOKUP(Table1[[#This Row],[Address B]],IP_Master[],3,FALSE)</f>
        <v>iFIX Nodes &amp; Ethernet Switches</v>
      </c>
      <c r="W596" s="9" t="str">
        <f>VLOOKUP(Table1[[#This Row],[Port B]],traffic_types[],2,FALSE)</f>
        <v>Modbus</v>
      </c>
    </row>
    <row r="597" spans="1:23" x14ac:dyDescent="0.6">
      <c r="A597" t="s">
        <v>53</v>
      </c>
      <c r="B597">
        <v>3065</v>
      </c>
      <c r="C597" t="s">
        <v>87</v>
      </c>
      <c r="D597">
        <v>502</v>
      </c>
      <c r="E597">
        <v>2</v>
      </c>
      <c r="F597" s="13">
        <v>124</v>
      </c>
      <c r="G597">
        <v>2</v>
      </c>
      <c r="H597">
        <v>124</v>
      </c>
      <c r="I597">
        <v>0</v>
      </c>
      <c r="J597">
        <v>0</v>
      </c>
      <c r="K597">
        <v>885.77855099999999</v>
      </c>
      <c r="L597">
        <v>2.9842469999999799</v>
      </c>
      <c r="M597">
        <v>332.41216293423599</v>
      </c>
      <c r="N597">
        <v>0</v>
      </c>
      <c r="O597" s="8" t="str">
        <f>formatIP(Table1[[#This Row],[Address A]])</f>
        <v>010.012.000.001</v>
      </c>
      <c r="P597" s="8" t="str">
        <f>formatIP(Table1[[#This Row],[Address B]])</f>
        <v>010.011.009.028</v>
      </c>
      <c r="Q597" s="8" t="str">
        <f>VLOOKUP(Table1[[#This Row],[Address A]],IP_Master[],4,FALSE)</f>
        <v>PPPCFC1</v>
      </c>
      <c r="R597" s="8" t="str">
        <f>VLOOKUP(Table1[[#This Row],[Address B]],IP_Master[],4,FALSE)</f>
        <v>EGX100</v>
      </c>
      <c r="S597" s="8" t="str">
        <f>VLOOKUP(Table1[[#This Row],[Address A]],IP_Master[],2,FALSE)</f>
        <v>Fume Control</v>
      </c>
      <c r="T597" s="8" t="str">
        <f>VLOOKUP(Table1[[#This Row],[Address B]],IP_Master[],2,FALSE)</f>
        <v>Miscellaneous</v>
      </c>
      <c r="U597" s="9" t="str">
        <f>VLOOKUP(Table1[[#This Row],[Address A]],IP_Master[],3,FALSE)</f>
        <v>iFIX Nodes &amp; Ethernet Switches</v>
      </c>
      <c r="V597" s="9" t="str">
        <f>VLOOKUP(Table1[[#This Row],[Address B]],IP_Master[],3,FALSE)</f>
        <v>iFIX Nodes &amp; Ethernet Switches</v>
      </c>
      <c r="W597" s="9" t="str">
        <f>VLOOKUP(Table1[[#This Row],[Port B]],traffic_types[],2,FALSE)</f>
        <v>Modbus</v>
      </c>
    </row>
    <row r="598" spans="1:23" x14ac:dyDescent="0.6">
      <c r="A598" t="s">
        <v>53</v>
      </c>
      <c r="B598">
        <v>3067</v>
      </c>
      <c r="C598" t="s">
        <v>87</v>
      </c>
      <c r="D598">
        <v>502</v>
      </c>
      <c r="E598">
        <v>2</v>
      </c>
      <c r="F598" s="13">
        <v>124</v>
      </c>
      <c r="G598">
        <v>2</v>
      </c>
      <c r="H598">
        <v>124</v>
      </c>
      <c r="I598">
        <v>0</v>
      </c>
      <c r="J598">
        <v>0</v>
      </c>
      <c r="K598">
        <v>888.25365199999999</v>
      </c>
      <c r="L598">
        <v>2.9234840000000299</v>
      </c>
      <c r="M598">
        <v>339.32116611549401</v>
      </c>
      <c r="N598">
        <v>0</v>
      </c>
      <c r="O598" s="8" t="str">
        <f>formatIP(Table1[[#This Row],[Address A]])</f>
        <v>010.012.000.001</v>
      </c>
      <c r="P598" s="8" t="str">
        <f>formatIP(Table1[[#This Row],[Address B]])</f>
        <v>010.011.009.028</v>
      </c>
      <c r="Q598" s="8" t="str">
        <f>VLOOKUP(Table1[[#This Row],[Address A]],IP_Master[],4,FALSE)</f>
        <v>PPPCFC1</v>
      </c>
      <c r="R598" s="8" t="str">
        <f>VLOOKUP(Table1[[#This Row],[Address B]],IP_Master[],4,FALSE)</f>
        <v>EGX100</v>
      </c>
      <c r="S598" s="8" t="str">
        <f>VLOOKUP(Table1[[#This Row],[Address A]],IP_Master[],2,FALSE)</f>
        <v>Fume Control</v>
      </c>
      <c r="T598" s="8" t="str">
        <f>VLOOKUP(Table1[[#This Row],[Address B]],IP_Master[],2,FALSE)</f>
        <v>Miscellaneous</v>
      </c>
      <c r="U598" s="9" t="str">
        <f>VLOOKUP(Table1[[#This Row],[Address A]],IP_Master[],3,FALSE)</f>
        <v>iFIX Nodes &amp; Ethernet Switches</v>
      </c>
      <c r="V598" s="9" t="str">
        <f>VLOOKUP(Table1[[#This Row],[Address B]],IP_Master[],3,FALSE)</f>
        <v>iFIX Nodes &amp; Ethernet Switches</v>
      </c>
      <c r="W598" s="9" t="str">
        <f>VLOOKUP(Table1[[#This Row],[Port B]],traffic_types[],2,FALSE)</f>
        <v>Modbus</v>
      </c>
    </row>
    <row r="599" spans="1:23" x14ac:dyDescent="0.6">
      <c r="A599" t="s">
        <v>53</v>
      </c>
      <c r="B599">
        <v>3068</v>
      </c>
      <c r="C599" t="s">
        <v>87</v>
      </c>
      <c r="D599">
        <v>502</v>
      </c>
      <c r="E599">
        <v>1</v>
      </c>
      <c r="F599" s="13">
        <v>62</v>
      </c>
      <c r="G599">
        <v>1</v>
      </c>
      <c r="H599">
        <v>62</v>
      </c>
      <c r="I599">
        <v>0</v>
      </c>
      <c r="J599">
        <v>0</v>
      </c>
      <c r="K599">
        <v>888.79152599999998</v>
      </c>
      <c r="L599">
        <v>0</v>
      </c>
      <c r="M599">
        <v>0</v>
      </c>
      <c r="N599">
        <v>0</v>
      </c>
      <c r="O599" s="8" t="str">
        <f>formatIP(Table1[[#This Row],[Address A]])</f>
        <v>010.012.000.001</v>
      </c>
      <c r="P599" s="8" t="str">
        <f>formatIP(Table1[[#This Row],[Address B]])</f>
        <v>010.011.009.028</v>
      </c>
      <c r="Q599" s="8" t="str">
        <f>VLOOKUP(Table1[[#This Row],[Address A]],IP_Master[],4,FALSE)</f>
        <v>PPPCFC1</v>
      </c>
      <c r="R599" s="8" t="str">
        <f>VLOOKUP(Table1[[#This Row],[Address B]],IP_Master[],4,FALSE)</f>
        <v>EGX100</v>
      </c>
      <c r="S599" s="8" t="str">
        <f>VLOOKUP(Table1[[#This Row],[Address A]],IP_Master[],2,FALSE)</f>
        <v>Fume Control</v>
      </c>
      <c r="T599" s="8" t="str">
        <f>VLOOKUP(Table1[[#This Row],[Address B]],IP_Master[],2,FALSE)</f>
        <v>Miscellaneous</v>
      </c>
      <c r="U599" s="9" t="str">
        <f>VLOOKUP(Table1[[#This Row],[Address A]],IP_Master[],3,FALSE)</f>
        <v>iFIX Nodes &amp; Ethernet Switches</v>
      </c>
      <c r="V599" s="9" t="str">
        <f>VLOOKUP(Table1[[#This Row],[Address B]],IP_Master[],3,FALSE)</f>
        <v>iFIX Nodes &amp; Ethernet Switches</v>
      </c>
      <c r="W599" s="9" t="str">
        <f>VLOOKUP(Table1[[#This Row],[Port B]],traffic_types[],2,FALSE)</f>
        <v>Modbus</v>
      </c>
    </row>
    <row r="600" spans="1:23" x14ac:dyDescent="0.6">
      <c r="A600" t="s">
        <v>53</v>
      </c>
      <c r="B600">
        <v>3069</v>
      </c>
      <c r="C600" t="s">
        <v>87</v>
      </c>
      <c r="D600">
        <v>502</v>
      </c>
      <c r="E600">
        <v>2</v>
      </c>
      <c r="F600" s="13">
        <v>124</v>
      </c>
      <c r="G600">
        <v>2</v>
      </c>
      <c r="H600">
        <v>124</v>
      </c>
      <c r="I600">
        <v>0</v>
      </c>
      <c r="J600">
        <v>0</v>
      </c>
      <c r="K600">
        <v>889.216542</v>
      </c>
      <c r="L600">
        <v>2.86603100000002</v>
      </c>
      <c r="M600">
        <v>346.123262449008</v>
      </c>
      <c r="N600">
        <v>0</v>
      </c>
      <c r="O600" s="8" t="str">
        <f>formatIP(Table1[[#This Row],[Address A]])</f>
        <v>010.012.000.001</v>
      </c>
      <c r="P600" s="8" t="str">
        <f>formatIP(Table1[[#This Row],[Address B]])</f>
        <v>010.011.009.028</v>
      </c>
      <c r="Q600" s="8" t="str">
        <f>VLOOKUP(Table1[[#This Row],[Address A]],IP_Master[],4,FALSE)</f>
        <v>PPPCFC1</v>
      </c>
      <c r="R600" s="8" t="str">
        <f>VLOOKUP(Table1[[#This Row],[Address B]],IP_Master[],4,FALSE)</f>
        <v>EGX100</v>
      </c>
      <c r="S600" s="8" t="str">
        <f>VLOOKUP(Table1[[#This Row],[Address A]],IP_Master[],2,FALSE)</f>
        <v>Fume Control</v>
      </c>
      <c r="T600" s="8" t="str">
        <f>VLOOKUP(Table1[[#This Row],[Address B]],IP_Master[],2,FALSE)</f>
        <v>Miscellaneous</v>
      </c>
      <c r="U600" s="9" t="str">
        <f>VLOOKUP(Table1[[#This Row],[Address A]],IP_Master[],3,FALSE)</f>
        <v>iFIX Nodes &amp; Ethernet Switches</v>
      </c>
      <c r="V600" s="9" t="str">
        <f>VLOOKUP(Table1[[#This Row],[Address B]],IP_Master[],3,FALSE)</f>
        <v>iFIX Nodes &amp; Ethernet Switches</v>
      </c>
      <c r="W600" s="9" t="str">
        <f>VLOOKUP(Table1[[#This Row],[Port B]],traffic_types[],2,FALSE)</f>
        <v>Modbus</v>
      </c>
    </row>
    <row r="601" spans="1:23" x14ac:dyDescent="0.6">
      <c r="A601" t="s">
        <v>53</v>
      </c>
      <c r="B601">
        <v>3071</v>
      </c>
      <c r="C601" t="s">
        <v>87</v>
      </c>
      <c r="D601">
        <v>502</v>
      </c>
      <c r="E601">
        <v>2</v>
      </c>
      <c r="F601" s="13">
        <v>124</v>
      </c>
      <c r="G601">
        <v>2</v>
      </c>
      <c r="H601">
        <v>124</v>
      </c>
      <c r="I601">
        <v>0</v>
      </c>
      <c r="J601">
        <v>0</v>
      </c>
      <c r="K601">
        <v>889.84427500000004</v>
      </c>
      <c r="L601">
        <v>2.9424020000000199</v>
      </c>
      <c r="M601">
        <v>337.13952070451103</v>
      </c>
      <c r="N601">
        <v>0</v>
      </c>
      <c r="O601" s="8" t="str">
        <f>formatIP(Table1[[#This Row],[Address A]])</f>
        <v>010.012.000.001</v>
      </c>
      <c r="P601" s="8" t="str">
        <f>formatIP(Table1[[#This Row],[Address B]])</f>
        <v>010.011.009.028</v>
      </c>
      <c r="Q601" s="8" t="str">
        <f>VLOOKUP(Table1[[#This Row],[Address A]],IP_Master[],4,FALSE)</f>
        <v>PPPCFC1</v>
      </c>
      <c r="R601" s="8" t="str">
        <f>VLOOKUP(Table1[[#This Row],[Address B]],IP_Master[],4,FALSE)</f>
        <v>EGX100</v>
      </c>
      <c r="S601" s="8" t="str">
        <f>VLOOKUP(Table1[[#This Row],[Address A]],IP_Master[],2,FALSE)</f>
        <v>Fume Control</v>
      </c>
      <c r="T601" s="8" t="str">
        <f>VLOOKUP(Table1[[#This Row],[Address B]],IP_Master[],2,FALSE)</f>
        <v>Miscellaneous</v>
      </c>
      <c r="U601" s="9" t="str">
        <f>VLOOKUP(Table1[[#This Row],[Address A]],IP_Master[],3,FALSE)</f>
        <v>iFIX Nodes &amp; Ethernet Switches</v>
      </c>
      <c r="V601" s="9" t="str">
        <f>VLOOKUP(Table1[[#This Row],[Address B]],IP_Master[],3,FALSE)</f>
        <v>iFIX Nodes &amp; Ethernet Switches</v>
      </c>
      <c r="W601" s="9" t="str">
        <f>VLOOKUP(Table1[[#This Row],[Port B]],traffic_types[],2,FALSE)</f>
        <v>Modbus</v>
      </c>
    </row>
    <row r="602" spans="1:23" x14ac:dyDescent="0.6">
      <c r="A602" t="s">
        <v>53</v>
      </c>
      <c r="B602">
        <v>3074</v>
      </c>
      <c r="C602" t="s">
        <v>87</v>
      </c>
      <c r="D602">
        <v>502</v>
      </c>
      <c r="E602">
        <v>1</v>
      </c>
      <c r="F602" s="13">
        <v>62</v>
      </c>
      <c r="G602">
        <v>1</v>
      </c>
      <c r="H602">
        <v>62</v>
      </c>
      <c r="I602">
        <v>0</v>
      </c>
      <c r="J602">
        <v>0</v>
      </c>
      <c r="K602">
        <v>891.26060500000006</v>
      </c>
      <c r="L602">
        <v>0</v>
      </c>
      <c r="M602">
        <v>0</v>
      </c>
      <c r="N602">
        <v>0</v>
      </c>
      <c r="O602" s="8" t="str">
        <f>formatIP(Table1[[#This Row],[Address A]])</f>
        <v>010.012.000.001</v>
      </c>
      <c r="P602" s="8" t="str">
        <f>formatIP(Table1[[#This Row],[Address B]])</f>
        <v>010.011.009.028</v>
      </c>
      <c r="Q602" s="8" t="str">
        <f>VLOOKUP(Table1[[#This Row],[Address A]],IP_Master[],4,FALSE)</f>
        <v>PPPCFC1</v>
      </c>
      <c r="R602" s="8" t="str">
        <f>VLOOKUP(Table1[[#This Row],[Address B]],IP_Master[],4,FALSE)</f>
        <v>EGX100</v>
      </c>
      <c r="S602" s="8" t="str">
        <f>VLOOKUP(Table1[[#This Row],[Address A]],IP_Master[],2,FALSE)</f>
        <v>Fume Control</v>
      </c>
      <c r="T602" s="8" t="str">
        <f>VLOOKUP(Table1[[#This Row],[Address B]],IP_Master[],2,FALSE)</f>
        <v>Miscellaneous</v>
      </c>
      <c r="U602" s="9" t="str">
        <f>VLOOKUP(Table1[[#This Row],[Address A]],IP_Master[],3,FALSE)</f>
        <v>iFIX Nodes &amp; Ethernet Switches</v>
      </c>
      <c r="V602" s="9" t="str">
        <f>VLOOKUP(Table1[[#This Row],[Address B]],IP_Master[],3,FALSE)</f>
        <v>iFIX Nodes &amp; Ethernet Switches</v>
      </c>
      <c r="W602" s="9" t="str">
        <f>VLOOKUP(Table1[[#This Row],[Port B]],traffic_types[],2,FALSE)</f>
        <v>Modbus</v>
      </c>
    </row>
    <row r="603" spans="1:23" x14ac:dyDescent="0.6">
      <c r="A603" t="s">
        <v>53</v>
      </c>
      <c r="B603">
        <v>3075</v>
      </c>
      <c r="C603" t="s">
        <v>87</v>
      </c>
      <c r="D603">
        <v>502</v>
      </c>
      <c r="E603">
        <v>1</v>
      </c>
      <c r="F603" s="13">
        <v>62</v>
      </c>
      <c r="G603">
        <v>1</v>
      </c>
      <c r="H603">
        <v>62</v>
      </c>
      <c r="I603">
        <v>0</v>
      </c>
      <c r="J603">
        <v>0</v>
      </c>
      <c r="K603">
        <v>892.22942999999998</v>
      </c>
      <c r="L603">
        <v>0</v>
      </c>
      <c r="M603">
        <v>0</v>
      </c>
      <c r="N603">
        <v>0</v>
      </c>
      <c r="O603" s="8" t="str">
        <f>formatIP(Table1[[#This Row],[Address A]])</f>
        <v>010.012.000.001</v>
      </c>
      <c r="P603" s="8" t="str">
        <f>formatIP(Table1[[#This Row],[Address B]])</f>
        <v>010.011.009.028</v>
      </c>
      <c r="Q603" s="8" t="str">
        <f>VLOOKUP(Table1[[#This Row],[Address A]],IP_Master[],4,FALSE)</f>
        <v>PPPCFC1</v>
      </c>
      <c r="R603" s="8" t="str">
        <f>VLOOKUP(Table1[[#This Row],[Address B]],IP_Master[],4,FALSE)</f>
        <v>EGX100</v>
      </c>
      <c r="S603" s="8" t="str">
        <f>VLOOKUP(Table1[[#This Row],[Address A]],IP_Master[],2,FALSE)</f>
        <v>Fume Control</v>
      </c>
      <c r="T603" s="8" t="str">
        <f>VLOOKUP(Table1[[#This Row],[Address B]],IP_Master[],2,FALSE)</f>
        <v>Miscellaneous</v>
      </c>
      <c r="U603" s="9" t="str">
        <f>VLOOKUP(Table1[[#This Row],[Address A]],IP_Master[],3,FALSE)</f>
        <v>iFIX Nodes &amp; Ethernet Switches</v>
      </c>
      <c r="V603" s="9" t="str">
        <f>VLOOKUP(Table1[[#This Row],[Address B]],IP_Master[],3,FALSE)</f>
        <v>iFIX Nodes &amp; Ethernet Switches</v>
      </c>
      <c r="W603" s="9" t="str">
        <f>VLOOKUP(Table1[[#This Row],[Port B]],traffic_types[],2,FALSE)</f>
        <v>Modbus</v>
      </c>
    </row>
    <row r="604" spans="1:23" x14ac:dyDescent="0.6">
      <c r="A604" t="s">
        <v>53</v>
      </c>
      <c r="B604">
        <v>3076</v>
      </c>
      <c r="C604" t="s">
        <v>87</v>
      </c>
      <c r="D604">
        <v>502</v>
      </c>
      <c r="E604">
        <v>2</v>
      </c>
      <c r="F604" s="13">
        <v>124</v>
      </c>
      <c r="G604">
        <v>2</v>
      </c>
      <c r="H604">
        <v>124</v>
      </c>
      <c r="I604">
        <v>0</v>
      </c>
      <c r="J604">
        <v>0</v>
      </c>
      <c r="K604">
        <v>892.29512</v>
      </c>
      <c r="L604">
        <v>3.0065220000000199</v>
      </c>
      <c r="M604">
        <v>329.94935676505702</v>
      </c>
      <c r="N604">
        <v>0</v>
      </c>
      <c r="O604" s="8" t="str">
        <f>formatIP(Table1[[#This Row],[Address A]])</f>
        <v>010.012.000.001</v>
      </c>
      <c r="P604" s="8" t="str">
        <f>formatIP(Table1[[#This Row],[Address B]])</f>
        <v>010.011.009.028</v>
      </c>
      <c r="Q604" s="8" t="str">
        <f>VLOOKUP(Table1[[#This Row],[Address A]],IP_Master[],4,FALSE)</f>
        <v>PPPCFC1</v>
      </c>
      <c r="R604" s="8" t="str">
        <f>VLOOKUP(Table1[[#This Row],[Address B]],IP_Master[],4,FALSE)</f>
        <v>EGX100</v>
      </c>
      <c r="S604" s="8" t="str">
        <f>VLOOKUP(Table1[[#This Row],[Address A]],IP_Master[],2,FALSE)</f>
        <v>Fume Control</v>
      </c>
      <c r="T604" s="8" t="str">
        <f>VLOOKUP(Table1[[#This Row],[Address B]],IP_Master[],2,FALSE)</f>
        <v>Miscellaneous</v>
      </c>
      <c r="U604" s="9" t="str">
        <f>VLOOKUP(Table1[[#This Row],[Address A]],IP_Master[],3,FALSE)</f>
        <v>iFIX Nodes &amp; Ethernet Switches</v>
      </c>
      <c r="V604" s="9" t="str">
        <f>VLOOKUP(Table1[[#This Row],[Address B]],IP_Master[],3,FALSE)</f>
        <v>iFIX Nodes &amp; Ethernet Switches</v>
      </c>
      <c r="W604" s="9" t="str">
        <f>VLOOKUP(Table1[[#This Row],[Port B]],traffic_types[],2,FALSE)</f>
        <v>Modbus</v>
      </c>
    </row>
    <row r="605" spans="1:23" x14ac:dyDescent="0.6">
      <c r="A605" t="s">
        <v>53</v>
      </c>
      <c r="B605">
        <v>3078</v>
      </c>
      <c r="C605" t="s">
        <v>87</v>
      </c>
      <c r="D605">
        <v>502</v>
      </c>
      <c r="E605">
        <v>1</v>
      </c>
      <c r="F605" s="13">
        <v>62</v>
      </c>
      <c r="G605">
        <v>1</v>
      </c>
      <c r="H605">
        <v>62</v>
      </c>
      <c r="I605">
        <v>0</v>
      </c>
      <c r="J605">
        <v>0</v>
      </c>
      <c r="K605">
        <v>892.85484599999995</v>
      </c>
      <c r="L605">
        <v>0</v>
      </c>
      <c r="M605">
        <v>0</v>
      </c>
      <c r="N605">
        <v>0</v>
      </c>
      <c r="O605" s="8" t="str">
        <f>formatIP(Table1[[#This Row],[Address A]])</f>
        <v>010.012.000.001</v>
      </c>
      <c r="P605" s="8" t="str">
        <f>formatIP(Table1[[#This Row],[Address B]])</f>
        <v>010.011.009.028</v>
      </c>
      <c r="Q605" s="8" t="str">
        <f>VLOOKUP(Table1[[#This Row],[Address A]],IP_Master[],4,FALSE)</f>
        <v>PPPCFC1</v>
      </c>
      <c r="R605" s="8" t="str">
        <f>VLOOKUP(Table1[[#This Row],[Address B]],IP_Master[],4,FALSE)</f>
        <v>EGX100</v>
      </c>
      <c r="S605" s="8" t="str">
        <f>VLOOKUP(Table1[[#This Row],[Address A]],IP_Master[],2,FALSE)</f>
        <v>Fume Control</v>
      </c>
      <c r="T605" s="8" t="str">
        <f>VLOOKUP(Table1[[#This Row],[Address B]],IP_Master[],2,FALSE)</f>
        <v>Miscellaneous</v>
      </c>
      <c r="U605" s="9" t="str">
        <f>VLOOKUP(Table1[[#This Row],[Address A]],IP_Master[],3,FALSE)</f>
        <v>iFIX Nodes &amp; Ethernet Switches</v>
      </c>
      <c r="V605" s="9" t="str">
        <f>VLOOKUP(Table1[[#This Row],[Address B]],IP_Master[],3,FALSE)</f>
        <v>iFIX Nodes &amp; Ethernet Switches</v>
      </c>
      <c r="W605" s="9" t="str">
        <f>VLOOKUP(Table1[[#This Row],[Port B]],traffic_types[],2,FALSE)</f>
        <v>Modbus</v>
      </c>
    </row>
    <row r="606" spans="1:23" x14ac:dyDescent="0.6">
      <c r="A606" t="s">
        <v>53</v>
      </c>
      <c r="B606">
        <v>3080</v>
      </c>
      <c r="C606" t="s">
        <v>87</v>
      </c>
      <c r="D606">
        <v>502</v>
      </c>
      <c r="E606">
        <v>1</v>
      </c>
      <c r="F606" s="13">
        <v>62</v>
      </c>
      <c r="G606">
        <v>1</v>
      </c>
      <c r="H606">
        <v>62</v>
      </c>
      <c r="I606">
        <v>0</v>
      </c>
      <c r="J606">
        <v>0</v>
      </c>
      <c r="K606">
        <v>895.30801699999995</v>
      </c>
      <c r="L606">
        <v>0</v>
      </c>
      <c r="M606">
        <v>0</v>
      </c>
      <c r="N606">
        <v>0</v>
      </c>
      <c r="O606" s="8" t="str">
        <f>formatIP(Table1[[#This Row],[Address A]])</f>
        <v>010.012.000.001</v>
      </c>
      <c r="P606" s="8" t="str">
        <f>formatIP(Table1[[#This Row],[Address B]])</f>
        <v>010.011.009.028</v>
      </c>
      <c r="Q606" s="8" t="str">
        <f>VLOOKUP(Table1[[#This Row],[Address A]],IP_Master[],4,FALSE)</f>
        <v>PPPCFC1</v>
      </c>
      <c r="R606" s="8" t="str">
        <f>VLOOKUP(Table1[[#This Row],[Address B]],IP_Master[],4,FALSE)</f>
        <v>EGX100</v>
      </c>
      <c r="S606" s="8" t="str">
        <f>VLOOKUP(Table1[[#This Row],[Address A]],IP_Master[],2,FALSE)</f>
        <v>Fume Control</v>
      </c>
      <c r="T606" s="8" t="str">
        <f>VLOOKUP(Table1[[#This Row],[Address B]],IP_Master[],2,FALSE)</f>
        <v>Miscellaneous</v>
      </c>
      <c r="U606" s="9" t="str">
        <f>VLOOKUP(Table1[[#This Row],[Address A]],IP_Master[],3,FALSE)</f>
        <v>iFIX Nodes &amp; Ethernet Switches</v>
      </c>
      <c r="V606" s="9" t="str">
        <f>VLOOKUP(Table1[[#This Row],[Address B]],IP_Master[],3,FALSE)</f>
        <v>iFIX Nodes &amp; Ethernet Switches</v>
      </c>
      <c r="W606" s="9" t="str">
        <f>VLOOKUP(Table1[[#This Row],[Port B]],traffic_types[],2,FALSE)</f>
        <v>Modbus</v>
      </c>
    </row>
    <row r="607" spans="1:23" x14ac:dyDescent="0.6">
      <c r="A607" t="s">
        <v>97</v>
      </c>
      <c r="B607">
        <v>2489</v>
      </c>
      <c r="C607" t="s">
        <v>87</v>
      </c>
      <c r="D607">
        <v>502</v>
      </c>
      <c r="E607">
        <v>2</v>
      </c>
      <c r="F607" s="13">
        <v>124</v>
      </c>
      <c r="G607">
        <v>2</v>
      </c>
      <c r="H607">
        <v>124</v>
      </c>
      <c r="I607">
        <v>0</v>
      </c>
      <c r="J607">
        <v>0</v>
      </c>
      <c r="K607">
        <v>0.37428299999999998</v>
      </c>
      <c r="L607">
        <v>2.918164</v>
      </c>
      <c r="M607">
        <v>339.939770348754</v>
      </c>
      <c r="N607">
        <v>0</v>
      </c>
      <c r="O607" s="8" t="str">
        <f>formatIP(Table1[[#This Row],[Address A]])</f>
        <v>010.012.000.002</v>
      </c>
      <c r="P607" s="8" t="str">
        <f>formatIP(Table1[[#This Row],[Address B]])</f>
        <v>010.011.009.028</v>
      </c>
      <c r="Q607" s="8" t="str">
        <f>VLOOKUP(Table1[[#This Row],[Address A]],IP_Master[],4,FALSE)</f>
        <v>PPPCFC2</v>
      </c>
      <c r="R607" s="8" t="str">
        <f>VLOOKUP(Table1[[#This Row],[Address B]],IP_Master[],4,FALSE)</f>
        <v>EGX100</v>
      </c>
      <c r="S607" s="8" t="str">
        <f>VLOOKUP(Table1[[#This Row],[Address A]],IP_Master[],2,FALSE)</f>
        <v>Fume Control</v>
      </c>
      <c r="T607" s="8" t="str">
        <f>VLOOKUP(Table1[[#This Row],[Address B]],IP_Master[],2,FALSE)</f>
        <v>Miscellaneous</v>
      </c>
      <c r="U607" s="9" t="str">
        <f>VLOOKUP(Table1[[#This Row],[Address A]],IP_Master[],3,FALSE)</f>
        <v>iFIX Nodes &amp; Ethernet Switches</v>
      </c>
      <c r="V607" s="9" t="str">
        <f>VLOOKUP(Table1[[#This Row],[Address B]],IP_Master[],3,FALSE)</f>
        <v>iFIX Nodes &amp; Ethernet Switches</v>
      </c>
      <c r="W607" s="9" t="str">
        <f>VLOOKUP(Table1[[#This Row],[Port B]],traffic_types[],2,FALSE)</f>
        <v>Modbus</v>
      </c>
    </row>
    <row r="608" spans="1:23" x14ac:dyDescent="0.6">
      <c r="A608" t="s">
        <v>97</v>
      </c>
      <c r="B608">
        <v>2486</v>
      </c>
      <c r="C608" t="s">
        <v>87</v>
      </c>
      <c r="D608">
        <v>502</v>
      </c>
      <c r="E608">
        <v>1</v>
      </c>
      <c r="F608" s="13">
        <v>62</v>
      </c>
      <c r="G608">
        <v>1</v>
      </c>
      <c r="H608">
        <v>62</v>
      </c>
      <c r="I608">
        <v>0</v>
      </c>
      <c r="J608">
        <v>0</v>
      </c>
      <c r="K608">
        <v>1.4818309999999999</v>
      </c>
      <c r="L608">
        <v>0</v>
      </c>
      <c r="M608">
        <v>0</v>
      </c>
      <c r="N608">
        <v>0</v>
      </c>
      <c r="O608" s="8" t="str">
        <f>formatIP(Table1[[#This Row],[Address A]])</f>
        <v>010.012.000.002</v>
      </c>
      <c r="P608" s="8" t="str">
        <f>formatIP(Table1[[#This Row],[Address B]])</f>
        <v>010.011.009.028</v>
      </c>
      <c r="Q608" s="8" t="str">
        <f>VLOOKUP(Table1[[#This Row],[Address A]],IP_Master[],4,FALSE)</f>
        <v>PPPCFC2</v>
      </c>
      <c r="R608" s="8" t="str">
        <f>VLOOKUP(Table1[[#This Row],[Address B]],IP_Master[],4,FALSE)</f>
        <v>EGX100</v>
      </c>
      <c r="S608" s="8" t="str">
        <f>VLOOKUP(Table1[[#This Row],[Address A]],IP_Master[],2,FALSE)</f>
        <v>Fume Control</v>
      </c>
      <c r="T608" s="8" t="str">
        <f>VLOOKUP(Table1[[#This Row],[Address B]],IP_Master[],2,FALSE)</f>
        <v>Miscellaneous</v>
      </c>
      <c r="U608" s="9" t="str">
        <f>VLOOKUP(Table1[[#This Row],[Address A]],IP_Master[],3,FALSE)</f>
        <v>iFIX Nodes &amp; Ethernet Switches</v>
      </c>
      <c r="V608" s="9" t="str">
        <f>VLOOKUP(Table1[[#This Row],[Address B]],IP_Master[],3,FALSE)</f>
        <v>iFIX Nodes &amp; Ethernet Switches</v>
      </c>
      <c r="W608" s="9" t="str">
        <f>VLOOKUP(Table1[[#This Row],[Port B]],traffic_types[],2,FALSE)</f>
        <v>Modbus</v>
      </c>
    </row>
    <row r="609" spans="1:23" x14ac:dyDescent="0.6">
      <c r="A609" t="s">
        <v>97</v>
      </c>
      <c r="B609">
        <v>2490</v>
      </c>
      <c r="C609" t="s">
        <v>87</v>
      </c>
      <c r="D609">
        <v>502</v>
      </c>
      <c r="E609">
        <v>1</v>
      </c>
      <c r="F609" s="13">
        <v>62</v>
      </c>
      <c r="G609">
        <v>1</v>
      </c>
      <c r="H609">
        <v>62</v>
      </c>
      <c r="I609">
        <v>0</v>
      </c>
      <c r="J609">
        <v>0</v>
      </c>
      <c r="K609">
        <v>1.5663830000000001</v>
      </c>
      <c r="L609">
        <v>0</v>
      </c>
      <c r="M609">
        <v>0</v>
      </c>
      <c r="N609">
        <v>0</v>
      </c>
      <c r="O609" s="8" t="str">
        <f>formatIP(Table1[[#This Row],[Address A]])</f>
        <v>010.012.000.002</v>
      </c>
      <c r="P609" s="8" t="str">
        <f>formatIP(Table1[[#This Row],[Address B]])</f>
        <v>010.011.009.028</v>
      </c>
      <c r="Q609" s="8" t="str">
        <f>VLOOKUP(Table1[[#This Row],[Address A]],IP_Master[],4,FALSE)</f>
        <v>PPPCFC2</v>
      </c>
      <c r="R609" s="8" t="str">
        <f>VLOOKUP(Table1[[#This Row],[Address B]],IP_Master[],4,FALSE)</f>
        <v>EGX100</v>
      </c>
      <c r="S609" s="8" t="str">
        <f>VLOOKUP(Table1[[#This Row],[Address A]],IP_Master[],2,FALSE)</f>
        <v>Fume Control</v>
      </c>
      <c r="T609" s="8" t="str">
        <f>VLOOKUP(Table1[[#This Row],[Address B]],IP_Master[],2,FALSE)</f>
        <v>Miscellaneous</v>
      </c>
      <c r="U609" s="9" t="str">
        <f>VLOOKUP(Table1[[#This Row],[Address A]],IP_Master[],3,FALSE)</f>
        <v>iFIX Nodes &amp; Ethernet Switches</v>
      </c>
      <c r="V609" s="9" t="str">
        <f>VLOOKUP(Table1[[#This Row],[Address B]],IP_Master[],3,FALSE)</f>
        <v>iFIX Nodes &amp; Ethernet Switches</v>
      </c>
      <c r="W609" s="9" t="str">
        <f>VLOOKUP(Table1[[#This Row],[Port B]],traffic_types[],2,FALSE)</f>
        <v>Modbus</v>
      </c>
    </row>
    <row r="610" spans="1:23" x14ac:dyDescent="0.6">
      <c r="A610" t="s">
        <v>97</v>
      </c>
      <c r="B610">
        <v>2491</v>
      </c>
      <c r="C610" t="s">
        <v>87</v>
      </c>
      <c r="D610">
        <v>502</v>
      </c>
      <c r="E610">
        <v>2</v>
      </c>
      <c r="F610" s="13">
        <v>124</v>
      </c>
      <c r="G610">
        <v>2</v>
      </c>
      <c r="H610">
        <v>124</v>
      </c>
      <c r="I610">
        <v>0</v>
      </c>
      <c r="J610">
        <v>0</v>
      </c>
      <c r="K610">
        <v>1.936928</v>
      </c>
      <c r="L610">
        <v>2.9648910000000002</v>
      </c>
      <c r="M610">
        <v>334.582283126091</v>
      </c>
      <c r="N610">
        <v>0</v>
      </c>
      <c r="O610" s="8" t="str">
        <f>formatIP(Table1[[#This Row],[Address A]])</f>
        <v>010.012.000.002</v>
      </c>
      <c r="P610" s="8" t="str">
        <f>formatIP(Table1[[#This Row],[Address B]])</f>
        <v>010.011.009.028</v>
      </c>
      <c r="Q610" s="8" t="str">
        <f>VLOOKUP(Table1[[#This Row],[Address A]],IP_Master[],4,FALSE)</f>
        <v>PPPCFC2</v>
      </c>
      <c r="R610" s="8" t="str">
        <f>VLOOKUP(Table1[[#This Row],[Address B]],IP_Master[],4,FALSE)</f>
        <v>EGX100</v>
      </c>
      <c r="S610" s="8" t="str">
        <f>VLOOKUP(Table1[[#This Row],[Address A]],IP_Master[],2,FALSE)</f>
        <v>Fume Control</v>
      </c>
      <c r="T610" s="8" t="str">
        <f>VLOOKUP(Table1[[#This Row],[Address B]],IP_Master[],2,FALSE)</f>
        <v>Miscellaneous</v>
      </c>
      <c r="U610" s="9" t="str">
        <f>VLOOKUP(Table1[[#This Row],[Address A]],IP_Master[],3,FALSE)</f>
        <v>iFIX Nodes &amp; Ethernet Switches</v>
      </c>
      <c r="V610" s="9" t="str">
        <f>VLOOKUP(Table1[[#This Row],[Address B]],IP_Master[],3,FALSE)</f>
        <v>iFIX Nodes &amp; Ethernet Switches</v>
      </c>
      <c r="W610" s="9" t="str">
        <f>VLOOKUP(Table1[[#This Row],[Port B]],traffic_types[],2,FALSE)</f>
        <v>Modbus</v>
      </c>
    </row>
    <row r="611" spans="1:23" x14ac:dyDescent="0.6">
      <c r="A611" t="s">
        <v>97</v>
      </c>
      <c r="B611">
        <v>2487</v>
      </c>
      <c r="C611" t="s">
        <v>87</v>
      </c>
      <c r="D611">
        <v>502</v>
      </c>
      <c r="E611">
        <v>1</v>
      </c>
      <c r="F611" s="13">
        <v>62</v>
      </c>
      <c r="G611">
        <v>1</v>
      </c>
      <c r="H611">
        <v>62</v>
      </c>
      <c r="I611">
        <v>0</v>
      </c>
      <c r="J611">
        <v>0</v>
      </c>
      <c r="K611">
        <v>2.6889069999999999</v>
      </c>
      <c r="L611">
        <v>0</v>
      </c>
      <c r="M611">
        <v>0</v>
      </c>
      <c r="N611">
        <v>0</v>
      </c>
      <c r="O611" s="8" t="str">
        <f>formatIP(Table1[[#This Row],[Address A]])</f>
        <v>010.012.000.002</v>
      </c>
      <c r="P611" s="8" t="str">
        <f>formatIP(Table1[[#This Row],[Address B]])</f>
        <v>010.011.009.028</v>
      </c>
      <c r="Q611" s="8" t="str">
        <f>VLOOKUP(Table1[[#This Row],[Address A]],IP_Master[],4,FALSE)</f>
        <v>PPPCFC2</v>
      </c>
      <c r="R611" s="8" t="str">
        <f>VLOOKUP(Table1[[#This Row],[Address B]],IP_Master[],4,FALSE)</f>
        <v>EGX100</v>
      </c>
      <c r="S611" s="8" t="str">
        <f>VLOOKUP(Table1[[#This Row],[Address A]],IP_Master[],2,FALSE)</f>
        <v>Fume Control</v>
      </c>
      <c r="T611" s="8" t="str">
        <f>VLOOKUP(Table1[[#This Row],[Address B]],IP_Master[],2,FALSE)</f>
        <v>Miscellaneous</v>
      </c>
      <c r="U611" s="9" t="str">
        <f>VLOOKUP(Table1[[#This Row],[Address A]],IP_Master[],3,FALSE)</f>
        <v>iFIX Nodes &amp; Ethernet Switches</v>
      </c>
      <c r="V611" s="9" t="str">
        <f>VLOOKUP(Table1[[#This Row],[Address B]],IP_Master[],3,FALSE)</f>
        <v>iFIX Nodes &amp; Ethernet Switches</v>
      </c>
      <c r="W611" s="9" t="str">
        <f>VLOOKUP(Table1[[#This Row],[Port B]],traffic_types[],2,FALSE)</f>
        <v>Modbus</v>
      </c>
    </row>
    <row r="612" spans="1:23" x14ac:dyDescent="0.6">
      <c r="A612" t="s">
        <v>97</v>
      </c>
      <c r="B612">
        <v>2492</v>
      </c>
      <c r="C612" t="s">
        <v>87</v>
      </c>
      <c r="D612">
        <v>502</v>
      </c>
      <c r="E612">
        <v>1</v>
      </c>
      <c r="F612" s="13">
        <v>62</v>
      </c>
      <c r="G612">
        <v>1</v>
      </c>
      <c r="H612">
        <v>62</v>
      </c>
      <c r="I612">
        <v>0</v>
      </c>
      <c r="J612">
        <v>0</v>
      </c>
      <c r="K612">
        <v>2.7261289999999998</v>
      </c>
      <c r="L612">
        <v>0</v>
      </c>
      <c r="M612">
        <v>0</v>
      </c>
      <c r="N612">
        <v>0</v>
      </c>
      <c r="O612" s="8" t="str">
        <f>formatIP(Table1[[#This Row],[Address A]])</f>
        <v>010.012.000.002</v>
      </c>
      <c r="P612" s="8" t="str">
        <f>formatIP(Table1[[#This Row],[Address B]])</f>
        <v>010.011.009.028</v>
      </c>
      <c r="Q612" s="8" t="str">
        <f>VLOOKUP(Table1[[#This Row],[Address A]],IP_Master[],4,FALSE)</f>
        <v>PPPCFC2</v>
      </c>
      <c r="R612" s="8" t="str">
        <f>VLOOKUP(Table1[[#This Row],[Address B]],IP_Master[],4,FALSE)</f>
        <v>EGX100</v>
      </c>
      <c r="S612" s="8" t="str">
        <f>VLOOKUP(Table1[[#This Row],[Address A]],IP_Master[],2,FALSE)</f>
        <v>Fume Control</v>
      </c>
      <c r="T612" s="8" t="str">
        <f>VLOOKUP(Table1[[#This Row],[Address B]],IP_Master[],2,FALSE)</f>
        <v>Miscellaneous</v>
      </c>
      <c r="U612" s="9" t="str">
        <f>VLOOKUP(Table1[[#This Row],[Address A]],IP_Master[],3,FALSE)</f>
        <v>iFIX Nodes &amp; Ethernet Switches</v>
      </c>
      <c r="V612" s="9" t="str">
        <f>VLOOKUP(Table1[[#This Row],[Address B]],IP_Master[],3,FALSE)</f>
        <v>iFIX Nodes &amp; Ethernet Switches</v>
      </c>
      <c r="W612" s="9" t="str">
        <f>VLOOKUP(Table1[[#This Row],[Port B]],traffic_types[],2,FALSE)</f>
        <v>Modbus</v>
      </c>
    </row>
    <row r="613" spans="1:23" x14ac:dyDescent="0.6">
      <c r="A613" t="s">
        <v>97</v>
      </c>
      <c r="B613">
        <v>2488</v>
      </c>
      <c r="C613" t="s">
        <v>87</v>
      </c>
      <c r="D613">
        <v>502</v>
      </c>
      <c r="E613">
        <v>1</v>
      </c>
      <c r="F613" s="13">
        <v>62</v>
      </c>
      <c r="G613">
        <v>1</v>
      </c>
      <c r="H613">
        <v>62</v>
      </c>
      <c r="I613">
        <v>0</v>
      </c>
      <c r="J613">
        <v>0</v>
      </c>
      <c r="K613">
        <v>2.789504</v>
      </c>
      <c r="L613">
        <v>0</v>
      </c>
      <c r="M613">
        <v>0</v>
      </c>
      <c r="N613">
        <v>0</v>
      </c>
      <c r="O613" s="8" t="str">
        <f>formatIP(Table1[[#This Row],[Address A]])</f>
        <v>010.012.000.002</v>
      </c>
      <c r="P613" s="8" t="str">
        <f>formatIP(Table1[[#This Row],[Address B]])</f>
        <v>010.011.009.028</v>
      </c>
      <c r="Q613" s="8" t="str">
        <f>VLOOKUP(Table1[[#This Row],[Address A]],IP_Master[],4,FALSE)</f>
        <v>PPPCFC2</v>
      </c>
      <c r="R613" s="8" t="str">
        <f>VLOOKUP(Table1[[#This Row],[Address B]],IP_Master[],4,FALSE)</f>
        <v>EGX100</v>
      </c>
      <c r="S613" s="8" t="str">
        <f>VLOOKUP(Table1[[#This Row],[Address A]],IP_Master[],2,FALSE)</f>
        <v>Fume Control</v>
      </c>
      <c r="T613" s="8" t="str">
        <f>VLOOKUP(Table1[[#This Row],[Address B]],IP_Master[],2,FALSE)</f>
        <v>Miscellaneous</v>
      </c>
      <c r="U613" s="9" t="str">
        <f>VLOOKUP(Table1[[#This Row],[Address A]],IP_Master[],3,FALSE)</f>
        <v>iFIX Nodes &amp; Ethernet Switches</v>
      </c>
      <c r="V613" s="9" t="str">
        <f>VLOOKUP(Table1[[#This Row],[Address B]],IP_Master[],3,FALSE)</f>
        <v>iFIX Nodes &amp; Ethernet Switches</v>
      </c>
      <c r="W613" s="9" t="str">
        <f>VLOOKUP(Table1[[#This Row],[Port B]],traffic_types[],2,FALSE)</f>
        <v>Modbus</v>
      </c>
    </row>
    <row r="614" spans="1:23" x14ac:dyDescent="0.6">
      <c r="A614" t="s">
        <v>97</v>
      </c>
      <c r="B614">
        <v>2493</v>
      </c>
      <c r="C614" t="s">
        <v>87</v>
      </c>
      <c r="D614">
        <v>502</v>
      </c>
      <c r="E614">
        <v>1</v>
      </c>
      <c r="F614" s="13">
        <v>62</v>
      </c>
      <c r="G614">
        <v>1</v>
      </c>
      <c r="H614">
        <v>62</v>
      </c>
      <c r="I614">
        <v>0</v>
      </c>
      <c r="J614">
        <v>0</v>
      </c>
      <c r="K614">
        <v>2.8632900000000001</v>
      </c>
      <c r="L614">
        <v>0</v>
      </c>
      <c r="M614">
        <v>0</v>
      </c>
      <c r="N614">
        <v>0</v>
      </c>
      <c r="O614" s="8" t="str">
        <f>formatIP(Table1[[#This Row],[Address A]])</f>
        <v>010.012.000.002</v>
      </c>
      <c r="P614" s="8" t="str">
        <f>formatIP(Table1[[#This Row],[Address B]])</f>
        <v>010.011.009.028</v>
      </c>
      <c r="Q614" s="8" t="str">
        <f>VLOOKUP(Table1[[#This Row],[Address A]],IP_Master[],4,FALSE)</f>
        <v>PPPCFC2</v>
      </c>
      <c r="R614" s="8" t="str">
        <f>VLOOKUP(Table1[[#This Row],[Address B]],IP_Master[],4,FALSE)</f>
        <v>EGX100</v>
      </c>
      <c r="S614" s="8" t="str">
        <f>VLOOKUP(Table1[[#This Row],[Address A]],IP_Master[],2,FALSE)</f>
        <v>Fume Control</v>
      </c>
      <c r="T614" s="8" t="str">
        <f>VLOOKUP(Table1[[#This Row],[Address B]],IP_Master[],2,FALSE)</f>
        <v>Miscellaneous</v>
      </c>
      <c r="U614" s="9" t="str">
        <f>VLOOKUP(Table1[[#This Row],[Address A]],IP_Master[],3,FALSE)</f>
        <v>iFIX Nodes &amp; Ethernet Switches</v>
      </c>
      <c r="V614" s="9" t="str">
        <f>VLOOKUP(Table1[[#This Row],[Address B]],IP_Master[],3,FALSE)</f>
        <v>iFIX Nodes &amp; Ethernet Switches</v>
      </c>
      <c r="W614" s="9" t="str">
        <f>VLOOKUP(Table1[[#This Row],[Port B]],traffic_types[],2,FALSE)</f>
        <v>Modbus</v>
      </c>
    </row>
    <row r="615" spans="1:23" x14ac:dyDescent="0.6">
      <c r="A615" t="s">
        <v>97</v>
      </c>
      <c r="B615">
        <v>2494</v>
      </c>
      <c r="C615" t="s">
        <v>87</v>
      </c>
      <c r="D615">
        <v>502</v>
      </c>
      <c r="E615">
        <v>1</v>
      </c>
      <c r="F615" s="13">
        <v>62</v>
      </c>
      <c r="G615">
        <v>1</v>
      </c>
      <c r="H615">
        <v>62</v>
      </c>
      <c r="I615">
        <v>0</v>
      </c>
      <c r="J615">
        <v>0</v>
      </c>
      <c r="K615">
        <v>3.3789129999999998</v>
      </c>
      <c r="L615">
        <v>0</v>
      </c>
      <c r="M615">
        <v>0</v>
      </c>
      <c r="N615">
        <v>0</v>
      </c>
      <c r="O615" s="8" t="str">
        <f>formatIP(Table1[[#This Row],[Address A]])</f>
        <v>010.012.000.002</v>
      </c>
      <c r="P615" s="8" t="str">
        <f>formatIP(Table1[[#This Row],[Address B]])</f>
        <v>010.011.009.028</v>
      </c>
      <c r="Q615" s="8" t="str">
        <f>VLOOKUP(Table1[[#This Row],[Address A]],IP_Master[],4,FALSE)</f>
        <v>PPPCFC2</v>
      </c>
      <c r="R615" s="8" t="str">
        <f>VLOOKUP(Table1[[#This Row],[Address B]],IP_Master[],4,FALSE)</f>
        <v>EGX100</v>
      </c>
      <c r="S615" s="8" t="str">
        <f>VLOOKUP(Table1[[#This Row],[Address A]],IP_Master[],2,FALSE)</f>
        <v>Fume Control</v>
      </c>
      <c r="T615" s="8" t="str">
        <f>VLOOKUP(Table1[[#This Row],[Address B]],IP_Master[],2,FALSE)</f>
        <v>Miscellaneous</v>
      </c>
      <c r="U615" s="9" t="str">
        <f>VLOOKUP(Table1[[#This Row],[Address A]],IP_Master[],3,FALSE)</f>
        <v>iFIX Nodes &amp; Ethernet Switches</v>
      </c>
      <c r="V615" s="9" t="str">
        <f>VLOOKUP(Table1[[#This Row],[Address B]],IP_Master[],3,FALSE)</f>
        <v>iFIX Nodes &amp; Ethernet Switches</v>
      </c>
      <c r="W615" s="9" t="str">
        <f>VLOOKUP(Table1[[#This Row],[Port B]],traffic_types[],2,FALSE)</f>
        <v>Modbus</v>
      </c>
    </row>
    <row r="616" spans="1:23" x14ac:dyDescent="0.6">
      <c r="A616" t="s">
        <v>97</v>
      </c>
      <c r="B616">
        <v>2495</v>
      </c>
      <c r="C616" t="s">
        <v>87</v>
      </c>
      <c r="D616">
        <v>502</v>
      </c>
      <c r="E616">
        <v>1</v>
      </c>
      <c r="F616" s="13">
        <v>62</v>
      </c>
      <c r="G616">
        <v>1</v>
      </c>
      <c r="H616">
        <v>62</v>
      </c>
      <c r="I616">
        <v>0</v>
      </c>
      <c r="J616">
        <v>0</v>
      </c>
      <c r="K616">
        <v>4.9414709999999999</v>
      </c>
      <c r="L616">
        <v>0</v>
      </c>
      <c r="M616">
        <v>0</v>
      </c>
      <c r="N616">
        <v>0</v>
      </c>
      <c r="O616" s="8" t="str">
        <f>formatIP(Table1[[#This Row],[Address A]])</f>
        <v>010.012.000.002</v>
      </c>
      <c r="P616" s="8" t="str">
        <f>formatIP(Table1[[#This Row],[Address B]])</f>
        <v>010.011.009.028</v>
      </c>
      <c r="Q616" s="8" t="str">
        <f>VLOOKUP(Table1[[#This Row],[Address A]],IP_Master[],4,FALSE)</f>
        <v>PPPCFC2</v>
      </c>
      <c r="R616" s="8" t="str">
        <f>VLOOKUP(Table1[[#This Row],[Address B]],IP_Master[],4,FALSE)</f>
        <v>EGX100</v>
      </c>
      <c r="S616" s="8" t="str">
        <f>VLOOKUP(Table1[[#This Row],[Address A]],IP_Master[],2,FALSE)</f>
        <v>Fume Control</v>
      </c>
      <c r="T616" s="8" t="str">
        <f>VLOOKUP(Table1[[#This Row],[Address B]],IP_Master[],2,FALSE)</f>
        <v>Miscellaneous</v>
      </c>
      <c r="U616" s="9" t="str">
        <f>VLOOKUP(Table1[[#This Row],[Address A]],IP_Master[],3,FALSE)</f>
        <v>iFIX Nodes &amp; Ethernet Switches</v>
      </c>
      <c r="V616" s="9" t="str">
        <f>VLOOKUP(Table1[[#This Row],[Address B]],IP_Master[],3,FALSE)</f>
        <v>iFIX Nodes &amp; Ethernet Switches</v>
      </c>
      <c r="W616" s="9" t="str">
        <f>VLOOKUP(Table1[[#This Row],[Port B]],traffic_types[],2,FALSE)</f>
        <v>Modbus</v>
      </c>
    </row>
    <row r="617" spans="1:23" x14ac:dyDescent="0.6">
      <c r="A617" t="s">
        <v>97</v>
      </c>
      <c r="B617">
        <v>2503</v>
      </c>
      <c r="C617" t="s">
        <v>87</v>
      </c>
      <c r="D617">
        <v>502</v>
      </c>
      <c r="E617">
        <v>2</v>
      </c>
      <c r="F617" s="13">
        <v>124</v>
      </c>
      <c r="G617">
        <v>2</v>
      </c>
      <c r="H617">
        <v>124</v>
      </c>
      <c r="I617">
        <v>0</v>
      </c>
      <c r="J617">
        <v>0</v>
      </c>
      <c r="K617">
        <v>31.572572000000001</v>
      </c>
      <c r="L617">
        <v>3.0023460000000002</v>
      </c>
      <c r="M617">
        <v>330.40828738593098</v>
      </c>
      <c r="N617">
        <v>0</v>
      </c>
      <c r="O617" s="8" t="str">
        <f>formatIP(Table1[[#This Row],[Address A]])</f>
        <v>010.012.000.002</v>
      </c>
      <c r="P617" s="8" t="str">
        <f>formatIP(Table1[[#This Row],[Address B]])</f>
        <v>010.011.009.028</v>
      </c>
      <c r="Q617" s="8" t="str">
        <f>VLOOKUP(Table1[[#This Row],[Address A]],IP_Master[],4,FALSE)</f>
        <v>PPPCFC2</v>
      </c>
      <c r="R617" s="8" t="str">
        <f>VLOOKUP(Table1[[#This Row],[Address B]],IP_Master[],4,FALSE)</f>
        <v>EGX100</v>
      </c>
      <c r="S617" s="8" t="str">
        <f>VLOOKUP(Table1[[#This Row],[Address A]],IP_Master[],2,FALSE)</f>
        <v>Fume Control</v>
      </c>
      <c r="T617" s="8" t="str">
        <f>VLOOKUP(Table1[[#This Row],[Address B]],IP_Master[],2,FALSE)</f>
        <v>Miscellaneous</v>
      </c>
      <c r="U617" s="9" t="str">
        <f>VLOOKUP(Table1[[#This Row],[Address A]],IP_Master[],3,FALSE)</f>
        <v>iFIX Nodes &amp; Ethernet Switches</v>
      </c>
      <c r="V617" s="9" t="str">
        <f>VLOOKUP(Table1[[#This Row],[Address B]],IP_Master[],3,FALSE)</f>
        <v>iFIX Nodes &amp; Ethernet Switches</v>
      </c>
      <c r="W617" s="9" t="str">
        <f>VLOOKUP(Table1[[#This Row],[Port B]],traffic_types[],2,FALSE)</f>
        <v>Modbus</v>
      </c>
    </row>
    <row r="618" spans="1:23" x14ac:dyDescent="0.6">
      <c r="A618" t="s">
        <v>97</v>
      </c>
      <c r="B618">
        <v>2504</v>
      </c>
      <c r="C618" t="s">
        <v>87</v>
      </c>
      <c r="D618">
        <v>502</v>
      </c>
      <c r="E618">
        <v>2</v>
      </c>
      <c r="F618" s="13">
        <v>124</v>
      </c>
      <c r="G618">
        <v>2</v>
      </c>
      <c r="H618">
        <v>124</v>
      </c>
      <c r="I618">
        <v>0</v>
      </c>
      <c r="J618">
        <v>0</v>
      </c>
      <c r="K618">
        <v>32.738097000000003</v>
      </c>
      <c r="L618">
        <v>2.9432429999999998</v>
      </c>
      <c r="M618">
        <v>337.04318671614999</v>
      </c>
      <c r="N618">
        <v>0</v>
      </c>
      <c r="O618" s="8" t="str">
        <f>formatIP(Table1[[#This Row],[Address A]])</f>
        <v>010.012.000.002</v>
      </c>
      <c r="P618" s="8" t="str">
        <f>formatIP(Table1[[#This Row],[Address B]])</f>
        <v>010.011.009.028</v>
      </c>
      <c r="Q618" s="8" t="str">
        <f>VLOOKUP(Table1[[#This Row],[Address A]],IP_Master[],4,FALSE)</f>
        <v>PPPCFC2</v>
      </c>
      <c r="R618" s="8" t="str">
        <f>VLOOKUP(Table1[[#This Row],[Address B]],IP_Master[],4,FALSE)</f>
        <v>EGX100</v>
      </c>
      <c r="S618" s="8" t="str">
        <f>VLOOKUP(Table1[[#This Row],[Address A]],IP_Master[],2,FALSE)</f>
        <v>Fume Control</v>
      </c>
      <c r="T618" s="8" t="str">
        <f>VLOOKUP(Table1[[#This Row],[Address B]],IP_Master[],2,FALSE)</f>
        <v>Miscellaneous</v>
      </c>
      <c r="U618" s="9" t="str">
        <f>VLOOKUP(Table1[[#This Row],[Address A]],IP_Master[],3,FALSE)</f>
        <v>iFIX Nodes &amp; Ethernet Switches</v>
      </c>
      <c r="V618" s="9" t="str">
        <f>VLOOKUP(Table1[[#This Row],[Address B]],IP_Master[],3,FALSE)</f>
        <v>iFIX Nodes &amp; Ethernet Switches</v>
      </c>
      <c r="W618" s="9" t="str">
        <f>VLOOKUP(Table1[[#This Row],[Port B]],traffic_types[],2,FALSE)</f>
        <v>Modbus</v>
      </c>
    </row>
    <row r="619" spans="1:23" x14ac:dyDescent="0.6">
      <c r="A619" t="s">
        <v>97</v>
      </c>
      <c r="B619">
        <v>2505</v>
      </c>
      <c r="C619" t="s">
        <v>87</v>
      </c>
      <c r="D619">
        <v>502</v>
      </c>
      <c r="E619">
        <v>1</v>
      </c>
      <c r="F619" s="13">
        <v>62</v>
      </c>
      <c r="G619">
        <v>1</v>
      </c>
      <c r="H619">
        <v>62</v>
      </c>
      <c r="I619">
        <v>0</v>
      </c>
      <c r="J619">
        <v>0</v>
      </c>
      <c r="K619">
        <v>32.872978000000003</v>
      </c>
      <c r="L619">
        <v>0</v>
      </c>
      <c r="M619">
        <v>0</v>
      </c>
      <c r="N619">
        <v>0</v>
      </c>
      <c r="O619" s="8" t="str">
        <f>formatIP(Table1[[#This Row],[Address A]])</f>
        <v>010.012.000.002</v>
      </c>
      <c r="P619" s="8" t="str">
        <f>formatIP(Table1[[#This Row],[Address B]])</f>
        <v>010.011.009.028</v>
      </c>
      <c r="Q619" s="8" t="str">
        <f>VLOOKUP(Table1[[#This Row],[Address A]],IP_Master[],4,FALSE)</f>
        <v>PPPCFC2</v>
      </c>
      <c r="R619" s="8" t="str">
        <f>VLOOKUP(Table1[[#This Row],[Address B]],IP_Master[],4,FALSE)</f>
        <v>EGX100</v>
      </c>
      <c r="S619" s="8" t="str">
        <f>VLOOKUP(Table1[[#This Row],[Address A]],IP_Master[],2,FALSE)</f>
        <v>Fume Control</v>
      </c>
      <c r="T619" s="8" t="str">
        <f>VLOOKUP(Table1[[#This Row],[Address B]],IP_Master[],2,FALSE)</f>
        <v>Miscellaneous</v>
      </c>
      <c r="U619" s="9" t="str">
        <f>VLOOKUP(Table1[[#This Row],[Address A]],IP_Master[],3,FALSE)</f>
        <v>iFIX Nodes &amp; Ethernet Switches</v>
      </c>
      <c r="V619" s="9" t="str">
        <f>VLOOKUP(Table1[[#This Row],[Address B]],IP_Master[],3,FALSE)</f>
        <v>iFIX Nodes &amp; Ethernet Switches</v>
      </c>
      <c r="W619" s="9" t="str">
        <f>VLOOKUP(Table1[[#This Row],[Port B]],traffic_types[],2,FALSE)</f>
        <v>Modbus</v>
      </c>
    </row>
    <row r="620" spans="1:23" x14ac:dyDescent="0.6">
      <c r="A620" t="s">
        <v>97</v>
      </c>
      <c r="B620">
        <v>2506</v>
      </c>
      <c r="C620" t="s">
        <v>87</v>
      </c>
      <c r="D620">
        <v>502</v>
      </c>
      <c r="E620">
        <v>2</v>
      </c>
      <c r="F620" s="13">
        <v>124</v>
      </c>
      <c r="G620">
        <v>2</v>
      </c>
      <c r="H620">
        <v>124</v>
      </c>
      <c r="I620">
        <v>0</v>
      </c>
      <c r="J620">
        <v>0</v>
      </c>
      <c r="K620">
        <v>33.387597999999997</v>
      </c>
      <c r="L620">
        <v>2.9978140000000102</v>
      </c>
      <c r="M620">
        <v>330.90778814162502</v>
      </c>
      <c r="N620">
        <v>0</v>
      </c>
      <c r="O620" s="8" t="str">
        <f>formatIP(Table1[[#This Row],[Address A]])</f>
        <v>010.012.000.002</v>
      </c>
      <c r="P620" s="8" t="str">
        <f>formatIP(Table1[[#This Row],[Address B]])</f>
        <v>010.011.009.028</v>
      </c>
      <c r="Q620" s="8" t="str">
        <f>VLOOKUP(Table1[[#This Row],[Address A]],IP_Master[],4,FALSE)</f>
        <v>PPPCFC2</v>
      </c>
      <c r="R620" s="8" t="str">
        <f>VLOOKUP(Table1[[#This Row],[Address B]],IP_Master[],4,FALSE)</f>
        <v>EGX100</v>
      </c>
      <c r="S620" s="8" t="str">
        <f>VLOOKUP(Table1[[#This Row],[Address A]],IP_Master[],2,FALSE)</f>
        <v>Fume Control</v>
      </c>
      <c r="T620" s="8" t="str">
        <f>VLOOKUP(Table1[[#This Row],[Address B]],IP_Master[],2,FALSE)</f>
        <v>Miscellaneous</v>
      </c>
      <c r="U620" s="9" t="str">
        <f>VLOOKUP(Table1[[#This Row],[Address A]],IP_Master[],3,FALSE)</f>
        <v>iFIX Nodes &amp; Ethernet Switches</v>
      </c>
      <c r="V620" s="9" t="str">
        <f>VLOOKUP(Table1[[#This Row],[Address B]],IP_Master[],3,FALSE)</f>
        <v>iFIX Nodes &amp; Ethernet Switches</v>
      </c>
      <c r="W620" s="9" t="str">
        <f>VLOOKUP(Table1[[#This Row],[Port B]],traffic_types[],2,FALSE)</f>
        <v>Modbus</v>
      </c>
    </row>
    <row r="621" spans="1:23" x14ac:dyDescent="0.6">
      <c r="A621" t="s">
        <v>97</v>
      </c>
      <c r="B621">
        <v>2507</v>
      </c>
      <c r="C621" t="s">
        <v>87</v>
      </c>
      <c r="D621">
        <v>502</v>
      </c>
      <c r="E621">
        <v>1</v>
      </c>
      <c r="F621" s="13">
        <v>62</v>
      </c>
      <c r="G621">
        <v>1</v>
      </c>
      <c r="H621">
        <v>62</v>
      </c>
      <c r="I621">
        <v>0</v>
      </c>
      <c r="J621">
        <v>0</v>
      </c>
      <c r="K621">
        <v>34.582340000000002</v>
      </c>
      <c r="L621">
        <v>0</v>
      </c>
      <c r="M621">
        <v>0</v>
      </c>
      <c r="N621">
        <v>0</v>
      </c>
      <c r="O621" s="8" t="str">
        <f>formatIP(Table1[[#This Row],[Address A]])</f>
        <v>010.012.000.002</v>
      </c>
      <c r="P621" s="8" t="str">
        <f>formatIP(Table1[[#This Row],[Address B]])</f>
        <v>010.011.009.028</v>
      </c>
      <c r="Q621" s="8" t="str">
        <f>VLOOKUP(Table1[[#This Row],[Address A]],IP_Master[],4,FALSE)</f>
        <v>PPPCFC2</v>
      </c>
      <c r="R621" s="8" t="str">
        <f>VLOOKUP(Table1[[#This Row],[Address B]],IP_Master[],4,FALSE)</f>
        <v>EGX100</v>
      </c>
      <c r="S621" s="8" t="str">
        <f>VLOOKUP(Table1[[#This Row],[Address A]],IP_Master[],2,FALSE)</f>
        <v>Fume Control</v>
      </c>
      <c r="T621" s="8" t="str">
        <f>VLOOKUP(Table1[[#This Row],[Address B]],IP_Master[],2,FALSE)</f>
        <v>Miscellaneous</v>
      </c>
      <c r="U621" s="9" t="str">
        <f>VLOOKUP(Table1[[#This Row],[Address A]],IP_Master[],3,FALSE)</f>
        <v>iFIX Nodes &amp; Ethernet Switches</v>
      </c>
      <c r="V621" s="9" t="str">
        <f>VLOOKUP(Table1[[#This Row],[Address B]],IP_Master[],3,FALSE)</f>
        <v>iFIX Nodes &amp; Ethernet Switches</v>
      </c>
      <c r="W621" s="9" t="str">
        <f>VLOOKUP(Table1[[#This Row],[Port B]],traffic_types[],2,FALSE)</f>
        <v>Modbus</v>
      </c>
    </row>
    <row r="622" spans="1:23" x14ac:dyDescent="0.6">
      <c r="A622" t="s">
        <v>97</v>
      </c>
      <c r="B622">
        <v>2508</v>
      </c>
      <c r="C622" t="s">
        <v>87</v>
      </c>
      <c r="D622">
        <v>502</v>
      </c>
      <c r="E622">
        <v>1</v>
      </c>
      <c r="F622" s="13">
        <v>62</v>
      </c>
      <c r="G622">
        <v>1</v>
      </c>
      <c r="H622">
        <v>62</v>
      </c>
      <c r="I622">
        <v>0</v>
      </c>
      <c r="J622">
        <v>0</v>
      </c>
      <c r="K622">
        <v>34.944389000000001</v>
      </c>
      <c r="L622">
        <v>0</v>
      </c>
      <c r="M622">
        <v>0</v>
      </c>
      <c r="N622">
        <v>0</v>
      </c>
      <c r="O622" s="8" t="str">
        <f>formatIP(Table1[[#This Row],[Address A]])</f>
        <v>010.012.000.002</v>
      </c>
      <c r="P622" s="8" t="str">
        <f>formatIP(Table1[[#This Row],[Address B]])</f>
        <v>010.011.009.028</v>
      </c>
      <c r="Q622" s="8" t="str">
        <f>VLOOKUP(Table1[[#This Row],[Address A]],IP_Master[],4,FALSE)</f>
        <v>PPPCFC2</v>
      </c>
      <c r="R622" s="8" t="str">
        <f>VLOOKUP(Table1[[#This Row],[Address B]],IP_Master[],4,FALSE)</f>
        <v>EGX100</v>
      </c>
      <c r="S622" s="8" t="str">
        <f>VLOOKUP(Table1[[#This Row],[Address A]],IP_Master[],2,FALSE)</f>
        <v>Fume Control</v>
      </c>
      <c r="T622" s="8" t="str">
        <f>VLOOKUP(Table1[[#This Row],[Address B]],IP_Master[],2,FALSE)</f>
        <v>Miscellaneous</v>
      </c>
      <c r="U622" s="9" t="str">
        <f>VLOOKUP(Table1[[#This Row],[Address A]],IP_Master[],3,FALSE)</f>
        <v>iFIX Nodes &amp; Ethernet Switches</v>
      </c>
      <c r="V622" s="9" t="str">
        <f>VLOOKUP(Table1[[#This Row],[Address B]],IP_Master[],3,FALSE)</f>
        <v>iFIX Nodes &amp; Ethernet Switches</v>
      </c>
      <c r="W622" s="9" t="str">
        <f>VLOOKUP(Table1[[#This Row],[Port B]],traffic_types[],2,FALSE)</f>
        <v>Modbus</v>
      </c>
    </row>
    <row r="623" spans="1:23" x14ac:dyDescent="0.6">
      <c r="A623" t="s">
        <v>97</v>
      </c>
      <c r="B623">
        <v>2509</v>
      </c>
      <c r="C623" t="s">
        <v>87</v>
      </c>
      <c r="D623">
        <v>502</v>
      </c>
      <c r="E623">
        <v>1</v>
      </c>
      <c r="F623" s="13">
        <v>62</v>
      </c>
      <c r="G623">
        <v>1</v>
      </c>
      <c r="H623">
        <v>62</v>
      </c>
      <c r="I623">
        <v>0</v>
      </c>
      <c r="J623">
        <v>0</v>
      </c>
      <c r="K623">
        <v>35.738532999999997</v>
      </c>
      <c r="L623">
        <v>0</v>
      </c>
      <c r="M623">
        <v>0</v>
      </c>
      <c r="N623">
        <v>0</v>
      </c>
      <c r="O623" s="8" t="str">
        <f>formatIP(Table1[[#This Row],[Address A]])</f>
        <v>010.012.000.002</v>
      </c>
      <c r="P623" s="8" t="str">
        <f>formatIP(Table1[[#This Row],[Address B]])</f>
        <v>010.011.009.028</v>
      </c>
      <c r="Q623" s="8" t="str">
        <f>VLOOKUP(Table1[[#This Row],[Address A]],IP_Master[],4,FALSE)</f>
        <v>PPPCFC2</v>
      </c>
      <c r="R623" s="8" t="str">
        <f>VLOOKUP(Table1[[#This Row],[Address B]],IP_Master[],4,FALSE)</f>
        <v>EGX100</v>
      </c>
      <c r="S623" s="8" t="str">
        <f>VLOOKUP(Table1[[#This Row],[Address A]],IP_Master[],2,FALSE)</f>
        <v>Fume Control</v>
      </c>
      <c r="T623" s="8" t="str">
        <f>VLOOKUP(Table1[[#This Row],[Address B]],IP_Master[],2,FALSE)</f>
        <v>Miscellaneous</v>
      </c>
      <c r="U623" s="9" t="str">
        <f>VLOOKUP(Table1[[#This Row],[Address A]],IP_Master[],3,FALSE)</f>
        <v>iFIX Nodes &amp; Ethernet Switches</v>
      </c>
      <c r="V623" s="9" t="str">
        <f>VLOOKUP(Table1[[#This Row],[Address B]],IP_Master[],3,FALSE)</f>
        <v>iFIX Nodes &amp; Ethernet Switches</v>
      </c>
      <c r="W623" s="9" t="str">
        <f>VLOOKUP(Table1[[#This Row],[Port B]],traffic_types[],2,FALSE)</f>
        <v>Modbus</v>
      </c>
    </row>
    <row r="624" spans="1:23" x14ac:dyDescent="0.6">
      <c r="A624" t="s">
        <v>97</v>
      </c>
      <c r="B624">
        <v>2510</v>
      </c>
      <c r="C624" t="s">
        <v>87</v>
      </c>
      <c r="D624">
        <v>502</v>
      </c>
      <c r="E624">
        <v>1</v>
      </c>
      <c r="F624" s="13">
        <v>62</v>
      </c>
      <c r="G624">
        <v>1</v>
      </c>
      <c r="H624">
        <v>62</v>
      </c>
      <c r="I624">
        <v>0</v>
      </c>
      <c r="J624">
        <v>0</v>
      </c>
      <c r="K624">
        <v>35.879116000000003</v>
      </c>
      <c r="L624">
        <v>0</v>
      </c>
      <c r="M624">
        <v>0</v>
      </c>
      <c r="N624">
        <v>0</v>
      </c>
      <c r="O624" s="8" t="str">
        <f>formatIP(Table1[[#This Row],[Address A]])</f>
        <v>010.012.000.002</v>
      </c>
      <c r="P624" s="8" t="str">
        <f>formatIP(Table1[[#This Row],[Address B]])</f>
        <v>010.011.009.028</v>
      </c>
      <c r="Q624" s="8" t="str">
        <f>VLOOKUP(Table1[[#This Row],[Address A]],IP_Master[],4,FALSE)</f>
        <v>PPPCFC2</v>
      </c>
      <c r="R624" s="8" t="str">
        <f>VLOOKUP(Table1[[#This Row],[Address B]],IP_Master[],4,FALSE)</f>
        <v>EGX100</v>
      </c>
      <c r="S624" s="8" t="str">
        <f>VLOOKUP(Table1[[#This Row],[Address A]],IP_Master[],2,FALSE)</f>
        <v>Fume Control</v>
      </c>
      <c r="T624" s="8" t="str">
        <f>VLOOKUP(Table1[[#This Row],[Address B]],IP_Master[],2,FALSE)</f>
        <v>Miscellaneous</v>
      </c>
      <c r="U624" s="9" t="str">
        <f>VLOOKUP(Table1[[#This Row],[Address A]],IP_Master[],3,FALSE)</f>
        <v>iFIX Nodes &amp; Ethernet Switches</v>
      </c>
      <c r="V624" s="9" t="str">
        <f>VLOOKUP(Table1[[#This Row],[Address B]],IP_Master[],3,FALSE)</f>
        <v>iFIX Nodes &amp; Ethernet Switches</v>
      </c>
      <c r="W624" s="9" t="str">
        <f>VLOOKUP(Table1[[#This Row],[Port B]],traffic_types[],2,FALSE)</f>
        <v>Modbus</v>
      </c>
    </row>
    <row r="625" spans="1:23" x14ac:dyDescent="0.6">
      <c r="A625" t="s">
        <v>97</v>
      </c>
      <c r="B625">
        <v>2511</v>
      </c>
      <c r="C625" t="s">
        <v>87</v>
      </c>
      <c r="D625">
        <v>502</v>
      </c>
      <c r="E625">
        <v>1</v>
      </c>
      <c r="F625" s="13">
        <v>62</v>
      </c>
      <c r="G625">
        <v>1</v>
      </c>
      <c r="H625">
        <v>62</v>
      </c>
      <c r="I625">
        <v>0</v>
      </c>
      <c r="J625">
        <v>0</v>
      </c>
      <c r="K625">
        <v>36.394770999999999</v>
      </c>
      <c r="L625">
        <v>0</v>
      </c>
      <c r="M625">
        <v>0</v>
      </c>
      <c r="N625">
        <v>0</v>
      </c>
      <c r="O625" s="8" t="str">
        <f>formatIP(Table1[[#This Row],[Address A]])</f>
        <v>010.012.000.002</v>
      </c>
      <c r="P625" s="8" t="str">
        <f>formatIP(Table1[[#This Row],[Address B]])</f>
        <v>010.011.009.028</v>
      </c>
      <c r="Q625" s="8" t="str">
        <f>VLOOKUP(Table1[[#This Row],[Address A]],IP_Master[],4,FALSE)</f>
        <v>PPPCFC2</v>
      </c>
      <c r="R625" s="8" t="str">
        <f>VLOOKUP(Table1[[#This Row],[Address B]],IP_Master[],4,FALSE)</f>
        <v>EGX100</v>
      </c>
      <c r="S625" s="8" t="str">
        <f>VLOOKUP(Table1[[#This Row],[Address A]],IP_Master[],2,FALSE)</f>
        <v>Fume Control</v>
      </c>
      <c r="T625" s="8" t="str">
        <f>VLOOKUP(Table1[[#This Row],[Address B]],IP_Master[],2,FALSE)</f>
        <v>Miscellaneous</v>
      </c>
      <c r="U625" s="9" t="str">
        <f>VLOOKUP(Table1[[#This Row],[Address A]],IP_Master[],3,FALSE)</f>
        <v>iFIX Nodes &amp; Ethernet Switches</v>
      </c>
      <c r="V625" s="9" t="str">
        <f>VLOOKUP(Table1[[#This Row],[Address B]],IP_Master[],3,FALSE)</f>
        <v>iFIX Nodes &amp; Ethernet Switches</v>
      </c>
      <c r="W625" s="9" t="str">
        <f>VLOOKUP(Table1[[#This Row],[Port B]],traffic_types[],2,FALSE)</f>
        <v>Modbus</v>
      </c>
    </row>
    <row r="626" spans="1:23" x14ac:dyDescent="0.6">
      <c r="A626" t="s">
        <v>97</v>
      </c>
      <c r="B626">
        <v>2512</v>
      </c>
      <c r="C626" t="s">
        <v>87</v>
      </c>
      <c r="D626">
        <v>502</v>
      </c>
      <c r="E626">
        <v>1</v>
      </c>
      <c r="F626" s="13">
        <v>62</v>
      </c>
      <c r="G626">
        <v>1</v>
      </c>
      <c r="H626">
        <v>62</v>
      </c>
      <c r="I626">
        <v>0</v>
      </c>
      <c r="J626">
        <v>0</v>
      </c>
      <c r="K626">
        <v>37.957348000000003</v>
      </c>
      <c r="L626">
        <v>0</v>
      </c>
      <c r="M626">
        <v>0</v>
      </c>
      <c r="N626">
        <v>0</v>
      </c>
      <c r="O626" s="8" t="str">
        <f>formatIP(Table1[[#This Row],[Address A]])</f>
        <v>010.012.000.002</v>
      </c>
      <c r="P626" s="8" t="str">
        <f>formatIP(Table1[[#This Row],[Address B]])</f>
        <v>010.011.009.028</v>
      </c>
      <c r="Q626" s="8" t="str">
        <f>VLOOKUP(Table1[[#This Row],[Address A]],IP_Master[],4,FALSE)</f>
        <v>PPPCFC2</v>
      </c>
      <c r="R626" s="8" t="str">
        <f>VLOOKUP(Table1[[#This Row],[Address B]],IP_Master[],4,FALSE)</f>
        <v>EGX100</v>
      </c>
      <c r="S626" s="8" t="str">
        <f>VLOOKUP(Table1[[#This Row],[Address A]],IP_Master[],2,FALSE)</f>
        <v>Fume Control</v>
      </c>
      <c r="T626" s="8" t="str">
        <f>VLOOKUP(Table1[[#This Row],[Address B]],IP_Master[],2,FALSE)</f>
        <v>Miscellaneous</v>
      </c>
      <c r="U626" s="9" t="str">
        <f>VLOOKUP(Table1[[#This Row],[Address A]],IP_Master[],3,FALSE)</f>
        <v>iFIX Nodes &amp; Ethernet Switches</v>
      </c>
      <c r="V626" s="9" t="str">
        <f>VLOOKUP(Table1[[#This Row],[Address B]],IP_Master[],3,FALSE)</f>
        <v>iFIX Nodes &amp; Ethernet Switches</v>
      </c>
      <c r="W626" s="9" t="str">
        <f>VLOOKUP(Table1[[#This Row],[Port B]],traffic_types[],2,FALSE)</f>
        <v>Modbus</v>
      </c>
    </row>
    <row r="627" spans="1:23" x14ac:dyDescent="0.6">
      <c r="A627" t="s">
        <v>97</v>
      </c>
      <c r="B627">
        <v>2518</v>
      </c>
      <c r="C627" t="s">
        <v>87</v>
      </c>
      <c r="D627">
        <v>502</v>
      </c>
      <c r="E627">
        <v>2</v>
      </c>
      <c r="F627" s="13">
        <v>124</v>
      </c>
      <c r="G627">
        <v>2</v>
      </c>
      <c r="H627">
        <v>124</v>
      </c>
      <c r="I627">
        <v>0</v>
      </c>
      <c r="J627">
        <v>0</v>
      </c>
      <c r="K627">
        <v>64.587325000000007</v>
      </c>
      <c r="L627">
        <v>2.9800229999999899</v>
      </c>
      <c r="M627">
        <v>332.88333680646201</v>
      </c>
      <c r="N627">
        <v>0</v>
      </c>
      <c r="O627" s="8" t="str">
        <f>formatIP(Table1[[#This Row],[Address A]])</f>
        <v>010.012.000.002</v>
      </c>
      <c r="P627" s="8" t="str">
        <f>formatIP(Table1[[#This Row],[Address B]])</f>
        <v>010.011.009.028</v>
      </c>
      <c r="Q627" s="8" t="str">
        <f>VLOOKUP(Table1[[#This Row],[Address A]],IP_Master[],4,FALSE)</f>
        <v>PPPCFC2</v>
      </c>
      <c r="R627" s="8" t="str">
        <f>VLOOKUP(Table1[[#This Row],[Address B]],IP_Master[],4,FALSE)</f>
        <v>EGX100</v>
      </c>
      <c r="S627" s="8" t="str">
        <f>VLOOKUP(Table1[[#This Row],[Address A]],IP_Master[],2,FALSE)</f>
        <v>Fume Control</v>
      </c>
      <c r="T627" s="8" t="str">
        <f>VLOOKUP(Table1[[#This Row],[Address B]],IP_Master[],2,FALSE)</f>
        <v>Miscellaneous</v>
      </c>
      <c r="U627" s="9" t="str">
        <f>VLOOKUP(Table1[[#This Row],[Address A]],IP_Master[],3,FALSE)</f>
        <v>iFIX Nodes &amp; Ethernet Switches</v>
      </c>
      <c r="V627" s="9" t="str">
        <f>VLOOKUP(Table1[[#This Row],[Address B]],IP_Master[],3,FALSE)</f>
        <v>iFIX Nodes &amp; Ethernet Switches</v>
      </c>
      <c r="W627" s="9" t="str">
        <f>VLOOKUP(Table1[[#This Row],[Port B]],traffic_types[],2,FALSE)</f>
        <v>Modbus</v>
      </c>
    </row>
    <row r="628" spans="1:23" x14ac:dyDescent="0.6">
      <c r="A628" t="s">
        <v>97</v>
      </c>
      <c r="B628">
        <v>2519</v>
      </c>
      <c r="C628" t="s">
        <v>87</v>
      </c>
      <c r="D628">
        <v>502</v>
      </c>
      <c r="E628">
        <v>2</v>
      </c>
      <c r="F628" s="13">
        <v>124</v>
      </c>
      <c r="G628">
        <v>2</v>
      </c>
      <c r="H628">
        <v>124</v>
      </c>
      <c r="I628">
        <v>0</v>
      </c>
      <c r="J628">
        <v>0</v>
      </c>
      <c r="K628">
        <v>65.740176000000005</v>
      </c>
      <c r="L628">
        <v>2.9335200000000001</v>
      </c>
      <c r="M628">
        <v>338.16029889007001</v>
      </c>
      <c r="N628">
        <v>0</v>
      </c>
      <c r="O628" s="8" t="str">
        <f>formatIP(Table1[[#This Row],[Address A]])</f>
        <v>010.012.000.002</v>
      </c>
      <c r="P628" s="8" t="str">
        <f>formatIP(Table1[[#This Row],[Address B]])</f>
        <v>010.011.009.028</v>
      </c>
      <c r="Q628" s="8" t="str">
        <f>VLOOKUP(Table1[[#This Row],[Address A]],IP_Master[],4,FALSE)</f>
        <v>PPPCFC2</v>
      </c>
      <c r="R628" s="8" t="str">
        <f>VLOOKUP(Table1[[#This Row],[Address B]],IP_Master[],4,FALSE)</f>
        <v>EGX100</v>
      </c>
      <c r="S628" s="8" t="str">
        <f>VLOOKUP(Table1[[#This Row],[Address A]],IP_Master[],2,FALSE)</f>
        <v>Fume Control</v>
      </c>
      <c r="T628" s="8" t="str">
        <f>VLOOKUP(Table1[[#This Row],[Address B]],IP_Master[],2,FALSE)</f>
        <v>Miscellaneous</v>
      </c>
      <c r="U628" s="9" t="str">
        <f>VLOOKUP(Table1[[#This Row],[Address A]],IP_Master[],3,FALSE)</f>
        <v>iFIX Nodes &amp; Ethernet Switches</v>
      </c>
      <c r="V628" s="9" t="str">
        <f>VLOOKUP(Table1[[#This Row],[Address B]],IP_Master[],3,FALSE)</f>
        <v>iFIX Nodes &amp; Ethernet Switches</v>
      </c>
      <c r="W628" s="9" t="str">
        <f>VLOOKUP(Table1[[#This Row],[Port B]],traffic_types[],2,FALSE)</f>
        <v>Modbus</v>
      </c>
    </row>
    <row r="629" spans="1:23" x14ac:dyDescent="0.6">
      <c r="A629" t="s">
        <v>97</v>
      </c>
      <c r="B629">
        <v>2520</v>
      </c>
      <c r="C629" t="s">
        <v>87</v>
      </c>
      <c r="D629">
        <v>502</v>
      </c>
      <c r="E629">
        <v>2</v>
      </c>
      <c r="F629" s="13">
        <v>124</v>
      </c>
      <c r="G629">
        <v>2</v>
      </c>
      <c r="H629">
        <v>124</v>
      </c>
      <c r="I629">
        <v>0</v>
      </c>
      <c r="J629">
        <v>0</v>
      </c>
      <c r="K629">
        <v>65.883737999999994</v>
      </c>
      <c r="L629">
        <v>2.9911640000000101</v>
      </c>
      <c r="M629">
        <v>331.64346722546702</v>
      </c>
      <c r="N629">
        <v>0</v>
      </c>
      <c r="O629" s="8" t="str">
        <f>formatIP(Table1[[#This Row],[Address A]])</f>
        <v>010.012.000.002</v>
      </c>
      <c r="P629" s="8" t="str">
        <f>formatIP(Table1[[#This Row],[Address B]])</f>
        <v>010.011.009.028</v>
      </c>
      <c r="Q629" s="8" t="str">
        <f>VLOOKUP(Table1[[#This Row],[Address A]],IP_Master[],4,FALSE)</f>
        <v>PPPCFC2</v>
      </c>
      <c r="R629" s="8" t="str">
        <f>VLOOKUP(Table1[[#This Row],[Address B]],IP_Master[],4,FALSE)</f>
        <v>EGX100</v>
      </c>
      <c r="S629" s="8" t="str">
        <f>VLOOKUP(Table1[[#This Row],[Address A]],IP_Master[],2,FALSE)</f>
        <v>Fume Control</v>
      </c>
      <c r="T629" s="8" t="str">
        <f>VLOOKUP(Table1[[#This Row],[Address B]],IP_Master[],2,FALSE)</f>
        <v>Miscellaneous</v>
      </c>
      <c r="U629" s="9" t="str">
        <f>VLOOKUP(Table1[[#This Row],[Address A]],IP_Master[],3,FALSE)</f>
        <v>iFIX Nodes &amp; Ethernet Switches</v>
      </c>
      <c r="V629" s="9" t="str">
        <f>VLOOKUP(Table1[[#This Row],[Address B]],IP_Master[],3,FALSE)</f>
        <v>iFIX Nodes &amp; Ethernet Switches</v>
      </c>
      <c r="W629" s="9" t="str">
        <f>VLOOKUP(Table1[[#This Row],[Port B]],traffic_types[],2,FALSE)</f>
        <v>Modbus</v>
      </c>
    </row>
    <row r="630" spans="1:23" x14ac:dyDescent="0.6">
      <c r="A630" t="s">
        <v>97</v>
      </c>
      <c r="B630">
        <v>2521</v>
      </c>
      <c r="C630" t="s">
        <v>87</v>
      </c>
      <c r="D630">
        <v>502</v>
      </c>
      <c r="E630">
        <v>2</v>
      </c>
      <c r="F630" s="13">
        <v>124</v>
      </c>
      <c r="G630">
        <v>2</v>
      </c>
      <c r="H630">
        <v>124</v>
      </c>
      <c r="I630">
        <v>0</v>
      </c>
      <c r="J630">
        <v>0</v>
      </c>
      <c r="K630">
        <v>66.401632000000006</v>
      </c>
      <c r="L630">
        <v>2.9762080000000002</v>
      </c>
      <c r="M630">
        <v>333.31003747049903</v>
      </c>
      <c r="N630">
        <v>0</v>
      </c>
      <c r="O630" s="8" t="str">
        <f>formatIP(Table1[[#This Row],[Address A]])</f>
        <v>010.012.000.002</v>
      </c>
      <c r="P630" s="8" t="str">
        <f>formatIP(Table1[[#This Row],[Address B]])</f>
        <v>010.011.009.028</v>
      </c>
      <c r="Q630" s="8" t="str">
        <f>VLOOKUP(Table1[[#This Row],[Address A]],IP_Master[],4,FALSE)</f>
        <v>PPPCFC2</v>
      </c>
      <c r="R630" s="8" t="str">
        <f>VLOOKUP(Table1[[#This Row],[Address B]],IP_Master[],4,FALSE)</f>
        <v>EGX100</v>
      </c>
      <c r="S630" s="8" t="str">
        <f>VLOOKUP(Table1[[#This Row],[Address A]],IP_Master[],2,FALSE)</f>
        <v>Fume Control</v>
      </c>
      <c r="T630" s="8" t="str">
        <f>VLOOKUP(Table1[[#This Row],[Address B]],IP_Master[],2,FALSE)</f>
        <v>Miscellaneous</v>
      </c>
      <c r="U630" s="9" t="str">
        <f>VLOOKUP(Table1[[#This Row],[Address A]],IP_Master[],3,FALSE)</f>
        <v>iFIX Nodes &amp; Ethernet Switches</v>
      </c>
      <c r="V630" s="9" t="str">
        <f>VLOOKUP(Table1[[#This Row],[Address B]],IP_Master[],3,FALSE)</f>
        <v>iFIX Nodes &amp; Ethernet Switches</v>
      </c>
      <c r="W630" s="9" t="str">
        <f>VLOOKUP(Table1[[#This Row],[Port B]],traffic_types[],2,FALSE)</f>
        <v>Modbus</v>
      </c>
    </row>
    <row r="631" spans="1:23" x14ac:dyDescent="0.6">
      <c r="A631" t="s">
        <v>97</v>
      </c>
      <c r="B631">
        <v>2522</v>
      </c>
      <c r="C631" t="s">
        <v>87</v>
      </c>
      <c r="D631">
        <v>502</v>
      </c>
      <c r="E631">
        <v>1</v>
      </c>
      <c r="F631" s="13">
        <v>62</v>
      </c>
      <c r="G631">
        <v>1</v>
      </c>
      <c r="H631">
        <v>62</v>
      </c>
      <c r="I631">
        <v>0</v>
      </c>
      <c r="J631">
        <v>0</v>
      </c>
      <c r="K631">
        <v>67.59787</v>
      </c>
      <c r="L631">
        <v>0</v>
      </c>
      <c r="M631">
        <v>0</v>
      </c>
      <c r="N631">
        <v>0</v>
      </c>
      <c r="O631" s="8" t="str">
        <f>formatIP(Table1[[#This Row],[Address A]])</f>
        <v>010.012.000.002</v>
      </c>
      <c r="P631" s="8" t="str">
        <f>formatIP(Table1[[#This Row],[Address B]])</f>
        <v>010.011.009.028</v>
      </c>
      <c r="Q631" s="8" t="str">
        <f>VLOOKUP(Table1[[#This Row],[Address A]],IP_Master[],4,FALSE)</f>
        <v>PPPCFC2</v>
      </c>
      <c r="R631" s="8" t="str">
        <f>VLOOKUP(Table1[[#This Row],[Address B]],IP_Master[],4,FALSE)</f>
        <v>EGX100</v>
      </c>
      <c r="S631" s="8" t="str">
        <f>VLOOKUP(Table1[[#This Row],[Address A]],IP_Master[],2,FALSE)</f>
        <v>Fume Control</v>
      </c>
      <c r="T631" s="8" t="str">
        <f>VLOOKUP(Table1[[#This Row],[Address B]],IP_Master[],2,FALSE)</f>
        <v>Miscellaneous</v>
      </c>
      <c r="U631" s="9" t="str">
        <f>VLOOKUP(Table1[[#This Row],[Address A]],IP_Master[],3,FALSE)</f>
        <v>iFIX Nodes &amp; Ethernet Switches</v>
      </c>
      <c r="V631" s="9" t="str">
        <f>VLOOKUP(Table1[[#This Row],[Address B]],IP_Master[],3,FALSE)</f>
        <v>iFIX Nodes &amp; Ethernet Switches</v>
      </c>
      <c r="W631" s="9" t="str">
        <f>VLOOKUP(Table1[[#This Row],[Port B]],traffic_types[],2,FALSE)</f>
        <v>Modbus</v>
      </c>
    </row>
    <row r="632" spans="1:23" x14ac:dyDescent="0.6">
      <c r="A632" t="s">
        <v>97</v>
      </c>
      <c r="B632">
        <v>2523</v>
      </c>
      <c r="C632" t="s">
        <v>87</v>
      </c>
      <c r="D632">
        <v>502</v>
      </c>
      <c r="E632">
        <v>1</v>
      </c>
      <c r="F632" s="13">
        <v>62</v>
      </c>
      <c r="G632">
        <v>1</v>
      </c>
      <c r="H632">
        <v>62</v>
      </c>
      <c r="I632">
        <v>0</v>
      </c>
      <c r="J632">
        <v>0</v>
      </c>
      <c r="K632">
        <v>67.970194000000006</v>
      </c>
      <c r="L632">
        <v>0</v>
      </c>
      <c r="M632">
        <v>0</v>
      </c>
      <c r="N632">
        <v>0</v>
      </c>
      <c r="O632" s="8" t="str">
        <f>formatIP(Table1[[#This Row],[Address A]])</f>
        <v>010.012.000.002</v>
      </c>
      <c r="P632" s="8" t="str">
        <f>formatIP(Table1[[#This Row],[Address B]])</f>
        <v>010.011.009.028</v>
      </c>
      <c r="Q632" s="8" t="str">
        <f>VLOOKUP(Table1[[#This Row],[Address A]],IP_Master[],4,FALSE)</f>
        <v>PPPCFC2</v>
      </c>
      <c r="R632" s="8" t="str">
        <f>VLOOKUP(Table1[[#This Row],[Address B]],IP_Master[],4,FALSE)</f>
        <v>EGX100</v>
      </c>
      <c r="S632" s="8" t="str">
        <f>VLOOKUP(Table1[[#This Row],[Address A]],IP_Master[],2,FALSE)</f>
        <v>Fume Control</v>
      </c>
      <c r="T632" s="8" t="str">
        <f>VLOOKUP(Table1[[#This Row],[Address B]],IP_Master[],2,FALSE)</f>
        <v>Miscellaneous</v>
      </c>
      <c r="U632" s="9" t="str">
        <f>VLOOKUP(Table1[[#This Row],[Address A]],IP_Master[],3,FALSE)</f>
        <v>iFIX Nodes &amp; Ethernet Switches</v>
      </c>
      <c r="V632" s="9" t="str">
        <f>VLOOKUP(Table1[[#This Row],[Address B]],IP_Master[],3,FALSE)</f>
        <v>iFIX Nodes &amp; Ethernet Switches</v>
      </c>
      <c r="W632" s="9" t="str">
        <f>VLOOKUP(Table1[[#This Row],[Port B]],traffic_types[],2,FALSE)</f>
        <v>Modbus</v>
      </c>
    </row>
    <row r="633" spans="1:23" x14ac:dyDescent="0.6">
      <c r="A633" t="s">
        <v>97</v>
      </c>
      <c r="B633">
        <v>2525</v>
      </c>
      <c r="C633" t="s">
        <v>87</v>
      </c>
      <c r="D633">
        <v>502</v>
      </c>
      <c r="E633">
        <v>1</v>
      </c>
      <c r="F633" s="13">
        <v>62</v>
      </c>
      <c r="G633">
        <v>1</v>
      </c>
      <c r="H633">
        <v>62</v>
      </c>
      <c r="I633">
        <v>0</v>
      </c>
      <c r="J633">
        <v>0</v>
      </c>
      <c r="K633">
        <v>68.754236000000006</v>
      </c>
      <c r="L633">
        <v>0</v>
      </c>
      <c r="M633">
        <v>0</v>
      </c>
      <c r="N633">
        <v>0</v>
      </c>
      <c r="O633" s="8" t="str">
        <f>formatIP(Table1[[#This Row],[Address A]])</f>
        <v>010.012.000.002</v>
      </c>
      <c r="P633" s="8" t="str">
        <f>formatIP(Table1[[#This Row],[Address B]])</f>
        <v>010.011.009.028</v>
      </c>
      <c r="Q633" s="8" t="str">
        <f>VLOOKUP(Table1[[#This Row],[Address A]],IP_Master[],4,FALSE)</f>
        <v>PPPCFC2</v>
      </c>
      <c r="R633" s="8" t="str">
        <f>VLOOKUP(Table1[[#This Row],[Address B]],IP_Master[],4,FALSE)</f>
        <v>EGX100</v>
      </c>
      <c r="S633" s="8" t="str">
        <f>VLOOKUP(Table1[[#This Row],[Address A]],IP_Master[],2,FALSE)</f>
        <v>Fume Control</v>
      </c>
      <c r="T633" s="8" t="str">
        <f>VLOOKUP(Table1[[#This Row],[Address B]],IP_Master[],2,FALSE)</f>
        <v>Miscellaneous</v>
      </c>
      <c r="U633" s="9" t="str">
        <f>VLOOKUP(Table1[[#This Row],[Address A]],IP_Master[],3,FALSE)</f>
        <v>iFIX Nodes &amp; Ethernet Switches</v>
      </c>
      <c r="V633" s="9" t="str">
        <f>VLOOKUP(Table1[[#This Row],[Address B]],IP_Master[],3,FALSE)</f>
        <v>iFIX Nodes &amp; Ethernet Switches</v>
      </c>
      <c r="W633" s="9" t="str">
        <f>VLOOKUP(Table1[[#This Row],[Port B]],traffic_types[],2,FALSE)</f>
        <v>Modbus</v>
      </c>
    </row>
    <row r="634" spans="1:23" x14ac:dyDescent="0.6">
      <c r="A634" t="s">
        <v>97</v>
      </c>
      <c r="B634">
        <v>2526</v>
      </c>
      <c r="C634" t="s">
        <v>87</v>
      </c>
      <c r="D634">
        <v>502</v>
      </c>
      <c r="E634">
        <v>1</v>
      </c>
      <c r="F634" s="13">
        <v>62</v>
      </c>
      <c r="G634">
        <v>1</v>
      </c>
      <c r="H634">
        <v>62</v>
      </c>
      <c r="I634">
        <v>0</v>
      </c>
      <c r="J634">
        <v>0</v>
      </c>
      <c r="K634">
        <v>68.894802999999996</v>
      </c>
      <c r="L634">
        <v>0</v>
      </c>
      <c r="M634">
        <v>0</v>
      </c>
      <c r="N634">
        <v>0</v>
      </c>
      <c r="O634" s="8" t="str">
        <f>formatIP(Table1[[#This Row],[Address A]])</f>
        <v>010.012.000.002</v>
      </c>
      <c r="P634" s="8" t="str">
        <f>formatIP(Table1[[#This Row],[Address B]])</f>
        <v>010.011.009.028</v>
      </c>
      <c r="Q634" s="8" t="str">
        <f>VLOOKUP(Table1[[#This Row],[Address A]],IP_Master[],4,FALSE)</f>
        <v>PPPCFC2</v>
      </c>
      <c r="R634" s="8" t="str">
        <f>VLOOKUP(Table1[[#This Row],[Address B]],IP_Master[],4,FALSE)</f>
        <v>EGX100</v>
      </c>
      <c r="S634" s="8" t="str">
        <f>VLOOKUP(Table1[[#This Row],[Address A]],IP_Master[],2,FALSE)</f>
        <v>Fume Control</v>
      </c>
      <c r="T634" s="8" t="str">
        <f>VLOOKUP(Table1[[#This Row],[Address B]],IP_Master[],2,FALSE)</f>
        <v>Miscellaneous</v>
      </c>
      <c r="U634" s="9" t="str">
        <f>VLOOKUP(Table1[[#This Row],[Address A]],IP_Master[],3,FALSE)</f>
        <v>iFIX Nodes &amp; Ethernet Switches</v>
      </c>
      <c r="V634" s="9" t="str">
        <f>VLOOKUP(Table1[[#This Row],[Address B]],IP_Master[],3,FALSE)</f>
        <v>iFIX Nodes &amp; Ethernet Switches</v>
      </c>
      <c r="W634" s="9" t="str">
        <f>VLOOKUP(Table1[[#This Row],[Port B]],traffic_types[],2,FALSE)</f>
        <v>Modbus</v>
      </c>
    </row>
    <row r="635" spans="1:23" x14ac:dyDescent="0.6">
      <c r="A635" t="s">
        <v>97</v>
      </c>
      <c r="B635">
        <v>2527</v>
      </c>
      <c r="C635" t="s">
        <v>87</v>
      </c>
      <c r="D635">
        <v>502</v>
      </c>
      <c r="E635">
        <v>1</v>
      </c>
      <c r="F635" s="13">
        <v>62</v>
      </c>
      <c r="G635">
        <v>1</v>
      </c>
      <c r="H635">
        <v>62</v>
      </c>
      <c r="I635">
        <v>0</v>
      </c>
      <c r="J635">
        <v>0</v>
      </c>
      <c r="K635">
        <v>69.410449</v>
      </c>
      <c r="L635">
        <v>0</v>
      </c>
      <c r="M635">
        <v>0</v>
      </c>
      <c r="N635">
        <v>0</v>
      </c>
      <c r="O635" s="8" t="str">
        <f>formatIP(Table1[[#This Row],[Address A]])</f>
        <v>010.012.000.002</v>
      </c>
      <c r="P635" s="8" t="str">
        <f>formatIP(Table1[[#This Row],[Address B]])</f>
        <v>010.011.009.028</v>
      </c>
      <c r="Q635" s="8" t="str">
        <f>VLOOKUP(Table1[[#This Row],[Address A]],IP_Master[],4,FALSE)</f>
        <v>PPPCFC2</v>
      </c>
      <c r="R635" s="8" t="str">
        <f>VLOOKUP(Table1[[#This Row],[Address B]],IP_Master[],4,FALSE)</f>
        <v>EGX100</v>
      </c>
      <c r="S635" s="8" t="str">
        <f>VLOOKUP(Table1[[#This Row],[Address A]],IP_Master[],2,FALSE)</f>
        <v>Fume Control</v>
      </c>
      <c r="T635" s="8" t="str">
        <f>VLOOKUP(Table1[[#This Row],[Address B]],IP_Master[],2,FALSE)</f>
        <v>Miscellaneous</v>
      </c>
      <c r="U635" s="9" t="str">
        <f>VLOOKUP(Table1[[#This Row],[Address A]],IP_Master[],3,FALSE)</f>
        <v>iFIX Nodes &amp; Ethernet Switches</v>
      </c>
      <c r="V635" s="9" t="str">
        <f>VLOOKUP(Table1[[#This Row],[Address B]],IP_Master[],3,FALSE)</f>
        <v>iFIX Nodes &amp; Ethernet Switches</v>
      </c>
      <c r="W635" s="9" t="str">
        <f>VLOOKUP(Table1[[#This Row],[Port B]],traffic_types[],2,FALSE)</f>
        <v>Modbus</v>
      </c>
    </row>
    <row r="636" spans="1:23" x14ac:dyDescent="0.6">
      <c r="A636" t="s">
        <v>97</v>
      </c>
      <c r="B636">
        <v>2528</v>
      </c>
      <c r="C636" t="s">
        <v>87</v>
      </c>
      <c r="D636">
        <v>502</v>
      </c>
      <c r="E636">
        <v>1</v>
      </c>
      <c r="F636" s="13">
        <v>62</v>
      </c>
      <c r="G636">
        <v>1</v>
      </c>
      <c r="H636">
        <v>62</v>
      </c>
      <c r="I636">
        <v>0</v>
      </c>
      <c r="J636">
        <v>0</v>
      </c>
      <c r="K636">
        <v>70.972920000000002</v>
      </c>
      <c r="L636">
        <v>0</v>
      </c>
      <c r="M636">
        <v>0</v>
      </c>
      <c r="N636">
        <v>0</v>
      </c>
      <c r="O636" s="8" t="str">
        <f>formatIP(Table1[[#This Row],[Address A]])</f>
        <v>010.012.000.002</v>
      </c>
      <c r="P636" s="8" t="str">
        <f>formatIP(Table1[[#This Row],[Address B]])</f>
        <v>010.011.009.028</v>
      </c>
      <c r="Q636" s="8" t="str">
        <f>VLOOKUP(Table1[[#This Row],[Address A]],IP_Master[],4,FALSE)</f>
        <v>PPPCFC2</v>
      </c>
      <c r="R636" s="8" t="str">
        <f>VLOOKUP(Table1[[#This Row],[Address B]],IP_Master[],4,FALSE)</f>
        <v>EGX100</v>
      </c>
      <c r="S636" s="8" t="str">
        <f>VLOOKUP(Table1[[#This Row],[Address A]],IP_Master[],2,FALSE)</f>
        <v>Fume Control</v>
      </c>
      <c r="T636" s="8" t="str">
        <f>VLOOKUP(Table1[[#This Row],[Address B]],IP_Master[],2,FALSE)</f>
        <v>Miscellaneous</v>
      </c>
      <c r="U636" s="9" t="str">
        <f>VLOOKUP(Table1[[#This Row],[Address A]],IP_Master[],3,FALSE)</f>
        <v>iFIX Nodes &amp; Ethernet Switches</v>
      </c>
      <c r="V636" s="9" t="str">
        <f>VLOOKUP(Table1[[#This Row],[Address B]],IP_Master[],3,FALSE)</f>
        <v>iFIX Nodes &amp; Ethernet Switches</v>
      </c>
      <c r="W636" s="9" t="str">
        <f>VLOOKUP(Table1[[#This Row],[Port B]],traffic_types[],2,FALSE)</f>
        <v>Modbus</v>
      </c>
    </row>
    <row r="637" spans="1:23" x14ac:dyDescent="0.6">
      <c r="A637" t="s">
        <v>97</v>
      </c>
      <c r="B637">
        <v>2533</v>
      </c>
      <c r="C637" t="s">
        <v>87</v>
      </c>
      <c r="D637">
        <v>502</v>
      </c>
      <c r="E637">
        <v>2</v>
      </c>
      <c r="F637" s="13">
        <v>124</v>
      </c>
      <c r="G637">
        <v>2</v>
      </c>
      <c r="H637">
        <v>124</v>
      </c>
      <c r="I637">
        <v>0</v>
      </c>
      <c r="J637">
        <v>0</v>
      </c>
      <c r="K637">
        <v>97.603853999999998</v>
      </c>
      <c r="L637">
        <v>2.955851</v>
      </c>
      <c r="M637">
        <v>335.60554980613102</v>
      </c>
      <c r="N637">
        <v>0</v>
      </c>
      <c r="O637" s="8" t="str">
        <f>formatIP(Table1[[#This Row],[Address A]])</f>
        <v>010.012.000.002</v>
      </c>
      <c r="P637" s="8" t="str">
        <f>formatIP(Table1[[#This Row],[Address B]])</f>
        <v>010.011.009.028</v>
      </c>
      <c r="Q637" s="8" t="str">
        <f>VLOOKUP(Table1[[#This Row],[Address A]],IP_Master[],4,FALSE)</f>
        <v>PPPCFC2</v>
      </c>
      <c r="R637" s="8" t="str">
        <f>VLOOKUP(Table1[[#This Row],[Address B]],IP_Master[],4,FALSE)</f>
        <v>EGX100</v>
      </c>
      <c r="S637" s="8" t="str">
        <f>VLOOKUP(Table1[[#This Row],[Address A]],IP_Master[],2,FALSE)</f>
        <v>Fume Control</v>
      </c>
      <c r="T637" s="8" t="str">
        <f>VLOOKUP(Table1[[#This Row],[Address B]],IP_Master[],2,FALSE)</f>
        <v>Miscellaneous</v>
      </c>
      <c r="U637" s="9" t="str">
        <f>VLOOKUP(Table1[[#This Row],[Address A]],IP_Master[],3,FALSE)</f>
        <v>iFIX Nodes &amp; Ethernet Switches</v>
      </c>
      <c r="V637" s="9" t="str">
        <f>VLOOKUP(Table1[[#This Row],[Address B]],IP_Master[],3,FALSE)</f>
        <v>iFIX Nodes &amp; Ethernet Switches</v>
      </c>
      <c r="W637" s="9" t="str">
        <f>VLOOKUP(Table1[[#This Row],[Port B]],traffic_types[],2,FALSE)</f>
        <v>Modbus</v>
      </c>
    </row>
    <row r="638" spans="1:23" x14ac:dyDescent="0.6">
      <c r="A638" t="s">
        <v>97</v>
      </c>
      <c r="B638">
        <v>2535</v>
      </c>
      <c r="C638" t="s">
        <v>87</v>
      </c>
      <c r="D638">
        <v>502</v>
      </c>
      <c r="E638">
        <v>2</v>
      </c>
      <c r="F638" s="13">
        <v>124</v>
      </c>
      <c r="G638">
        <v>2</v>
      </c>
      <c r="H638">
        <v>124</v>
      </c>
      <c r="I638">
        <v>0</v>
      </c>
      <c r="J638">
        <v>0</v>
      </c>
      <c r="K638">
        <v>98.755930000000006</v>
      </c>
      <c r="L638">
        <v>3.0107460000000001</v>
      </c>
      <c r="M638">
        <v>329.48644621632002</v>
      </c>
      <c r="N638">
        <v>0</v>
      </c>
      <c r="O638" s="8" t="str">
        <f>formatIP(Table1[[#This Row],[Address A]])</f>
        <v>010.012.000.002</v>
      </c>
      <c r="P638" s="8" t="str">
        <f>formatIP(Table1[[#This Row],[Address B]])</f>
        <v>010.011.009.028</v>
      </c>
      <c r="Q638" s="8" t="str">
        <f>VLOOKUP(Table1[[#This Row],[Address A]],IP_Master[],4,FALSE)</f>
        <v>PPPCFC2</v>
      </c>
      <c r="R638" s="8" t="str">
        <f>VLOOKUP(Table1[[#This Row],[Address B]],IP_Master[],4,FALSE)</f>
        <v>EGX100</v>
      </c>
      <c r="S638" s="8" t="str">
        <f>VLOOKUP(Table1[[#This Row],[Address A]],IP_Master[],2,FALSE)</f>
        <v>Fume Control</v>
      </c>
      <c r="T638" s="8" t="str">
        <f>VLOOKUP(Table1[[#This Row],[Address B]],IP_Master[],2,FALSE)</f>
        <v>Miscellaneous</v>
      </c>
      <c r="U638" s="9" t="str">
        <f>VLOOKUP(Table1[[#This Row],[Address A]],IP_Master[],3,FALSE)</f>
        <v>iFIX Nodes &amp; Ethernet Switches</v>
      </c>
      <c r="V638" s="9" t="str">
        <f>VLOOKUP(Table1[[#This Row],[Address B]],IP_Master[],3,FALSE)</f>
        <v>iFIX Nodes &amp; Ethernet Switches</v>
      </c>
      <c r="W638" s="9" t="str">
        <f>VLOOKUP(Table1[[#This Row],[Port B]],traffic_types[],2,FALSE)</f>
        <v>Modbus</v>
      </c>
    </row>
    <row r="639" spans="1:23" x14ac:dyDescent="0.6">
      <c r="A639" t="s">
        <v>97</v>
      </c>
      <c r="B639">
        <v>2536</v>
      </c>
      <c r="C639" t="s">
        <v>87</v>
      </c>
      <c r="D639">
        <v>502</v>
      </c>
      <c r="E639">
        <v>2</v>
      </c>
      <c r="F639" s="13">
        <v>124</v>
      </c>
      <c r="G639">
        <v>2</v>
      </c>
      <c r="H639">
        <v>124</v>
      </c>
      <c r="I639">
        <v>0</v>
      </c>
      <c r="J639">
        <v>0</v>
      </c>
      <c r="K639">
        <v>98.897544999999994</v>
      </c>
      <c r="L639">
        <v>2.9698050000000098</v>
      </c>
      <c r="M639">
        <v>334.02866518171999</v>
      </c>
      <c r="N639">
        <v>0</v>
      </c>
      <c r="O639" s="8" t="str">
        <f>formatIP(Table1[[#This Row],[Address A]])</f>
        <v>010.012.000.002</v>
      </c>
      <c r="P639" s="8" t="str">
        <f>formatIP(Table1[[#This Row],[Address B]])</f>
        <v>010.011.009.028</v>
      </c>
      <c r="Q639" s="8" t="str">
        <f>VLOOKUP(Table1[[#This Row],[Address A]],IP_Master[],4,FALSE)</f>
        <v>PPPCFC2</v>
      </c>
      <c r="R639" s="8" t="str">
        <f>VLOOKUP(Table1[[#This Row],[Address B]],IP_Master[],4,FALSE)</f>
        <v>EGX100</v>
      </c>
      <c r="S639" s="8" t="str">
        <f>VLOOKUP(Table1[[#This Row],[Address A]],IP_Master[],2,FALSE)</f>
        <v>Fume Control</v>
      </c>
      <c r="T639" s="8" t="str">
        <f>VLOOKUP(Table1[[#This Row],[Address B]],IP_Master[],2,FALSE)</f>
        <v>Miscellaneous</v>
      </c>
      <c r="U639" s="9" t="str">
        <f>VLOOKUP(Table1[[#This Row],[Address A]],IP_Master[],3,FALSE)</f>
        <v>iFIX Nodes &amp; Ethernet Switches</v>
      </c>
      <c r="V639" s="9" t="str">
        <f>VLOOKUP(Table1[[#This Row],[Address B]],IP_Master[],3,FALSE)</f>
        <v>iFIX Nodes &amp; Ethernet Switches</v>
      </c>
      <c r="W639" s="9" t="str">
        <f>VLOOKUP(Table1[[#This Row],[Port B]],traffic_types[],2,FALSE)</f>
        <v>Modbus</v>
      </c>
    </row>
    <row r="640" spans="1:23" x14ac:dyDescent="0.6">
      <c r="A640" t="s">
        <v>97</v>
      </c>
      <c r="B640">
        <v>2537</v>
      </c>
      <c r="C640" t="s">
        <v>87</v>
      </c>
      <c r="D640">
        <v>502</v>
      </c>
      <c r="E640">
        <v>2</v>
      </c>
      <c r="F640" s="13">
        <v>124</v>
      </c>
      <c r="G640">
        <v>2</v>
      </c>
      <c r="H640">
        <v>124</v>
      </c>
      <c r="I640">
        <v>0</v>
      </c>
      <c r="J640">
        <v>0</v>
      </c>
      <c r="K640">
        <v>99.417214000000001</v>
      </c>
      <c r="L640">
        <v>2.953033</v>
      </c>
      <c r="M640">
        <v>335.925809159599</v>
      </c>
      <c r="N640">
        <v>0</v>
      </c>
      <c r="O640" s="8" t="str">
        <f>formatIP(Table1[[#This Row],[Address A]])</f>
        <v>010.012.000.002</v>
      </c>
      <c r="P640" s="8" t="str">
        <f>formatIP(Table1[[#This Row],[Address B]])</f>
        <v>010.011.009.028</v>
      </c>
      <c r="Q640" s="8" t="str">
        <f>VLOOKUP(Table1[[#This Row],[Address A]],IP_Master[],4,FALSE)</f>
        <v>PPPCFC2</v>
      </c>
      <c r="R640" s="8" t="str">
        <f>VLOOKUP(Table1[[#This Row],[Address B]],IP_Master[],4,FALSE)</f>
        <v>EGX100</v>
      </c>
      <c r="S640" s="8" t="str">
        <f>VLOOKUP(Table1[[#This Row],[Address A]],IP_Master[],2,FALSE)</f>
        <v>Fume Control</v>
      </c>
      <c r="T640" s="8" t="str">
        <f>VLOOKUP(Table1[[#This Row],[Address B]],IP_Master[],2,FALSE)</f>
        <v>Miscellaneous</v>
      </c>
      <c r="U640" s="9" t="str">
        <f>VLOOKUP(Table1[[#This Row],[Address A]],IP_Master[],3,FALSE)</f>
        <v>iFIX Nodes &amp; Ethernet Switches</v>
      </c>
      <c r="V640" s="9" t="str">
        <f>VLOOKUP(Table1[[#This Row],[Address B]],IP_Master[],3,FALSE)</f>
        <v>iFIX Nodes &amp; Ethernet Switches</v>
      </c>
      <c r="W640" s="9" t="str">
        <f>VLOOKUP(Table1[[#This Row],[Port B]],traffic_types[],2,FALSE)</f>
        <v>Modbus</v>
      </c>
    </row>
    <row r="641" spans="1:23" x14ac:dyDescent="0.6">
      <c r="A641" t="s">
        <v>97</v>
      </c>
      <c r="B641">
        <v>2538</v>
      </c>
      <c r="C641" t="s">
        <v>87</v>
      </c>
      <c r="D641">
        <v>502</v>
      </c>
      <c r="E641">
        <v>1</v>
      </c>
      <c r="F641" s="13">
        <v>62</v>
      </c>
      <c r="G641">
        <v>1</v>
      </c>
      <c r="H641">
        <v>62</v>
      </c>
      <c r="I641">
        <v>0</v>
      </c>
      <c r="J641">
        <v>0</v>
      </c>
      <c r="K641">
        <v>100.613756</v>
      </c>
      <c r="L641">
        <v>0</v>
      </c>
      <c r="M641">
        <v>0</v>
      </c>
      <c r="N641">
        <v>0</v>
      </c>
      <c r="O641" s="8" t="str">
        <f>formatIP(Table1[[#This Row],[Address A]])</f>
        <v>010.012.000.002</v>
      </c>
      <c r="P641" s="8" t="str">
        <f>formatIP(Table1[[#This Row],[Address B]])</f>
        <v>010.011.009.028</v>
      </c>
      <c r="Q641" s="8" t="str">
        <f>VLOOKUP(Table1[[#This Row],[Address A]],IP_Master[],4,FALSE)</f>
        <v>PPPCFC2</v>
      </c>
      <c r="R641" s="8" t="str">
        <f>VLOOKUP(Table1[[#This Row],[Address B]],IP_Master[],4,FALSE)</f>
        <v>EGX100</v>
      </c>
      <c r="S641" s="8" t="str">
        <f>VLOOKUP(Table1[[#This Row],[Address A]],IP_Master[],2,FALSE)</f>
        <v>Fume Control</v>
      </c>
      <c r="T641" s="8" t="str">
        <f>VLOOKUP(Table1[[#This Row],[Address B]],IP_Master[],2,FALSE)</f>
        <v>Miscellaneous</v>
      </c>
      <c r="U641" s="9" t="str">
        <f>VLOOKUP(Table1[[#This Row],[Address A]],IP_Master[],3,FALSE)</f>
        <v>iFIX Nodes &amp; Ethernet Switches</v>
      </c>
      <c r="V641" s="9" t="str">
        <f>VLOOKUP(Table1[[#This Row],[Address B]],IP_Master[],3,FALSE)</f>
        <v>iFIX Nodes &amp; Ethernet Switches</v>
      </c>
      <c r="W641" s="9" t="str">
        <f>VLOOKUP(Table1[[#This Row],[Port B]],traffic_types[],2,FALSE)</f>
        <v>Modbus</v>
      </c>
    </row>
    <row r="642" spans="1:23" x14ac:dyDescent="0.6">
      <c r="A642" t="s">
        <v>97</v>
      </c>
      <c r="B642">
        <v>2539</v>
      </c>
      <c r="C642" t="s">
        <v>87</v>
      </c>
      <c r="D642">
        <v>502</v>
      </c>
      <c r="E642">
        <v>2</v>
      </c>
      <c r="F642" s="13">
        <v>124</v>
      </c>
      <c r="G642">
        <v>2</v>
      </c>
      <c r="H642">
        <v>124</v>
      </c>
      <c r="I642">
        <v>0</v>
      </c>
      <c r="J642">
        <v>0</v>
      </c>
      <c r="K642">
        <v>100.97504000000001</v>
      </c>
      <c r="L642">
        <v>3.004588</v>
      </c>
      <c r="M642">
        <v>330.16173931334401</v>
      </c>
      <c r="N642">
        <v>0</v>
      </c>
      <c r="O642" s="8" t="str">
        <f>formatIP(Table1[[#This Row],[Address A]])</f>
        <v>010.012.000.002</v>
      </c>
      <c r="P642" s="8" t="str">
        <f>formatIP(Table1[[#This Row],[Address B]])</f>
        <v>010.011.009.028</v>
      </c>
      <c r="Q642" s="8" t="str">
        <f>VLOOKUP(Table1[[#This Row],[Address A]],IP_Master[],4,FALSE)</f>
        <v>PPPCFC2</v>
      </c>
      <c r="R642" s="8" t="str">
        <f>VLOOKUP(Table1[[#This Row],[Address B]],IP_Master[],4,FALSE)</f>
        <v>EGX100</v>
      </c>
      <c r="S642" s="8" t="str">
        <f>VLOOKUP(Table1[[#This Row],[Address A]],IP_Master[],2,FALSE)</f>
        <v>Fume Control</v>
      </c>
      <c r="T642" s="8" t="str">
        <f>VLOOKUP(Table1[[#This Row],[Address B]],IP_Master[],2,FALSE)</f>
        <v>Miscellaneous</v>
      </c>
      <c r="U642" s="9" t="str">
        <f>VLOOKUP(Table1[[#This Row],[Address A]],IP_Master[],3,FALSE)</f>
        <v>iFIX Nodes &amp; Ethernet Switches</v>
      </c>
      <c r="V642" s="9" t="str">
        <f>VLOOKUP(Table1[[#This Row],[Address B]],IP_Master[],3,FALSE)</f>
        <v>iFIX Nodes &amp; Ethernet Switches</v>
      </c>
      <c r="W642" s="9" t="str">
        <f>VLOOKUP(Table1[[#This Row],[Port B]],traffic_types[],2,FALSE)</f>
        <v>Modbus</v>
      </c>
    </row>
    <row r="643" spans="1:23" x14ac:dyDescent="0.6">
      <c r="A643" t="s">
        <v>97</v>
      </c>
      <c r="B643">
        <v>2540</v>
      </c>
      <c r="C643" t="s">
        <v>87</v>
      </c>
      <c r="D643">
        <v>502</v>
      </c>
      <c r="E643">
        <v>1</v>
      </c>
      <c r="F643" s="13">
        <v>62</v>
      </c>
      <c r="G643">
        <v>1</v>
      </c>
      <c r="H643">
        <v>62</v>
      </c>
      <c r="I643">
        <v>0</v>
      </c>
      <c r="J643">
        <v>0</v>
      </c>
      <c r="K643">
        <v>101.76997299999999</v>
      </c>
      <c r="L643">
        <v>0</v>
      </c>
      <c r="M643">
        <v>0</v>
      </c>
      <c r="N643">
        <v>0</v>
      </c>
      <c r="O643" s="8" t="str">
        <f>formatIP(Table1[[#This Row],[Address A]])</f>
        <v>010.012.000.002</v>
      </c>
      <c r="P643" s="8" t="str">
        <f>formatIP(Table1[[#This Row],[Address B]])</f>
        <v>010.011.009.028</v>
      </c>
      <c r="Q643" s="8" t="str">
        <f>VLOOKUP(Table1[[#This Row],[Address A]],IP_Master[],4,FALSE)</f>
        <v>PPPCFC2</v>
      </c>
      <c r="R643" s="8" t="str">
        <f>VLOOKUP(Table1[[#This Row],[Address B]],IP_Master[],4,FALSE)</f>
        <v>EGX100</v>
      </c>
      <c r="S643" s="8" t="str">
        <f>VLOOKUP(Table1[[#This Row],[Address A]],IP_Master[],2,FALSE)</f>
        <v>Fume Control</v>
      </c>
      <c r="T643" s="8" t="str">
        <f>VLOOKUP(Table1[[#This Row],[Address B]],IP_Master[],2,FALSE)</f>
        <v>Miscellaneous</v>
      </c>
      <c r="U643" s="9" t="str">
        <f>VLOOKUP(Table1[[#This Row],[Address A]],IP_Master[],3,FALSE)</f>
        <v>iFIX Nodes &amp; Ethernet Switches</v>
      </c>
      <c r="V643" s="9" t="str">
        <f>VLOOKUP(Table1[[#This Row],[Address B]],IP_Master[],3,FALSE)</f>
        <v>iFIX Nodes &amp; Ethernet Switches</v>
      </c>
      <c r="W643" s="9" t="str">
        <f>VLOOKUP(Table1[[#This Row],[Port B]],traffic_types[],2,FALSE)</f>
        <v>Modbus</v>
      </c>
    </row>
    <row r="644" spans="1:23" x14ac:dyDescent="0.6">
      <c r="A644" t="s">
        <v>97</v>
      </c>
      <c r="B644">
        <v>2541</v>
      </c>
      <c r="C644" t="s">
        <v>87</v>
      </c>
      <c r="D644">
        <v>502</v>
      </c>
      <c r="E644">
        <v>1</v>
      </c>
      <c r="F644" s="13">
        <v>62</v>
      </c>
      <c r="G644">
        <v>1</v>
      </c>
      <c r="H644">
        <v>62</v>
      </c>
      <c r="I644">
        <v>0</v>
      </c>
      <c r="J644">
        <v>0</v>
      </c>
      <c r="K644">
        <v>101.910599</v>
      </c>
      <c r="L644">
        <v>0</v>
      </c>
      <c r="M644">
        <v>0</v>
      </c>
      <c r="N644">
        <v>0</v>
      </c>
      <c r="O644" s="8" t="str">
        <f>formatIP(Table1[[#This Row],[Address A]])</f>
        <v>010.012.000.002</v>
      </c>
      <c r="P644" s="8" t="str">
        <f>formatIP(Table1[[#This Row],[Address B]])</f>
        <v>010.011.009.028</v>
      </c>
      <c r="Q644" s="8" t="str">
        <f>VLOOKUP(Table1[[#This Row],[Address A]],IP_Master[],4,FALSE)</f>
        <v>PPPCFC2</v>
      </c>
      <c r="R644" s="8" t="str">
        <f>VLOOKUP(Table1[[#This Row],[Address B]],IP_Master[],4,FALSE)</f>
        <v>EGX100</v>
      </c>
      <c r="S644" s="8" t="str">
        <f>VLOOKUP(Table1[[#This Row],[Address A]],IP_Master[],2,FALSE)</f>
        <v>Fume Control</v>
      </c>
      <c r="T644" s="8" t="str">
        <f>VLOOKUP(Table1[[#This Row],[Address B]],IP_Master[],2,FALSE)</f>
        <v>Miscellaneous</v>
      </c>
      <c r="U644" s="9" t="str">
        <f>VLOOKUP(Table1[[#This Row],[Address A]],IP_Master[],3,FALSE)</f>
        <v>iFIX Nodes &amp; Ethernet Switches</v>
      </c>
      <c r="V644" s="9" t="str">
        <f>VLOOKUP(Table1[[#This Row],[Address B]],IP_Master[],3,FALSE)</f>
        <v>iFIX Nodes &amp; Ethernet Switches</v>
      </c>
      <c r="W644" s="9" t="str">
        <f>VLOOKUP(Table1[[#This Row],[Port B]],traffic_types[],2,FALSE)</f>
        <v>Modbus</v>
      </c>
    </row>
    <row r="645" spans="1:23" x14ac:dyDescent="0.6">
      <c r="A645" t="s">
        <v>97</v>
      </c>
      <c r="B645">
        <v>2542</v>
      </c>
      <c r="C645" t="s">
        <v>87</v>
      </c>
      <c r="D645">
        <v>502</v>
      </c>
      <c r="E645">
        <v>1</v>
      </c>
      <c r="F645" s="13">
        <v>62</v>
      </c>
      <c r="G645">
        <v>1</v>
      </c>
      <c r="H645">
        <v>62</v>
      </c>
      <c r="I645">
        <v>0</v>
      </c>
      <c r="J645">
        <v>0</v>
      </c>
      <c r="K645">
        <v>102.426278</v>
      </c>
      <c r="L645">
        <v>0</v>
      </c>
      <c r="M645">
        <v>0</v>
      </c>
      <c r="N645">
        <v>0</v>
      </c>
      <c r="O645" s="8" t="str">
        <f>formatIP(Table1[[#This Row],[Address A]])</f>
        <v>010.012.000.002</v>
      </c>
      <c r="P645" s="8" t="str">
        <f>formatIP(Table1[[#This Row],[Address B]])</f>
        <v>010.011.009.028</v>
      </c>
      <c r="Q645" s="8" t="str">
        <f>VLOOKUP(Table1[[#This Row],[Address A]],IP_Master[],4,FALSE)</f>
        <v>PPPCFC2</v>
      </c>
      <c r="R645" s="8" t="str">
        <f>VLOOKUP(Table1[[#This Row],[Address B]],IP_Master[],4,FALSE)</f>
        <v>EGX100</v>
      </c>
      <c r="S645" s="8" t="str">
        <f>VLOOKUP(Table1[[#This Row],[Address A]],IP_Master[],2,FALSE)</f>
        <v>Fume Control</v>
      </c>
      <c r="T645" s="8" t="str">
        <f>VLOOKUP(Table1[[#This Row],[Address B]],IP_Master[],2,FALSE)</f>
        <v>Miscellaneous</v>
      </c>
      <c r="U645" s="9" t="str">
        <f>VLOOKUP(Table1[[#This Row],[Address A]],IP_Master[],3,FALSE)</f>
        <v>iFIX Nodes &amp; Ethernet Switches</v>
      </c>
      <c r="V645" s="9" t="str">
        <f>VLOOKUP(Table1[[#This Row],[Address B]],IP_Master[],3,FALSE)</f>
        <v>iFIX Nodes &amp; Ethernet Switches</v>
      </c>
      <c r="W645" s="9" t="str">
        <f>VLOOKUP(Table1[[#This Row],[Port B]],traffic_types[],2,FALSE)</f>
        <v>Modbus</v>
      </c>
    </row>
    <row r="646" spans="1:23" x14ac:dyDescent="0.6">
      <c r="A646" t="s">
        <v>97</v>
      </c>
      <c r="B646">
        <v>2543</v>
      </c>
      <c r="C646" t="s">
        <v>87</v>
      </c>
      <c r="D646">
        <v>502</v>
      </c>
      <c r="E646">
        <v>1</v>
      </c>
      <c r="F646" s="13">
        <v>62</v>
      </c>
      <c r="G646">
        <v>1</v>
      </c>
      <c r="H646">
        <v>62</v>
      </c>
      <c r="I646">
        <v>0</v>
      </c>
      <c r="J646">
        <v>0</v>
      </c>
      <c r="K646">
        <v>103.988902</v>
      </c>
      <c r="L646">
        <v>0</v>
      </c>
      <c r="M646">
        <v>0</v>
      </c>
      <c r="N646">
        <v>0</v>
      </c>
      <c r="O646" s="8" t="str">
        <f>formatIP(Table1[[#This Row],[Address A]])</f>
        <v>010.012.000.002</v>
      </c>
      <c r="P646" s="8" t="str">
        <f>formatIP(Table1[[#This Row],[Address B]])</f>
        <v>010.011.009.028</v>
      </c>
      <c r="Q646" s="8" t="str">
        <f>VLOOKUP(Table1[[#This Row],[Address A]],IP_Master[],4,FALSE)</f>
        <v>PPPCFC2</v>
      </c>
      <c r="R646" s="8" t="str">
        <f>VLOOKUP(Table1[[#This Row],[Address B]],IP_Master[],4,FALSE)</f>
        <v>EGX100</v>
      </c>
      <c r="S646" s="8" t="str">
        <f>VLOOKUP(Table1[[#This Row],[Address A]],IP_Master[],2,FALSE)</f>
        <v>Fume Control</v>
      </c>
      <c r="T646" s="8" t="str">
        <f>VLOOKUP(Table1[[#This Row],[Address B]],IP_Master[],2,FALSE)</f>
        <v>Miscellaneous</v>
      </c>
      <c r="U646" s="9" t="str">
        <f>VLOOKUP(Table1[[#This Row],[Address A]],IP_Master[],3,FALSE)</f>
        <v>iFIX Nodes &amp; Ethernet Switches</v>
      </c>
      <c r="V646" s="9" t="str">
        <f>VLOOKUP(Table1[[#This Row],[Address B]],IP_Master[],3,FALSE)</f>
        <v>iFIX Nodes &amp; Ethernet Switches</v>
      </c>
      <c r="W646" s="9" t="str">
        <f>VLOOKUP(Table1[[#This Row],[Port B]],traffic_types[],2,FALSE)</f>
        <v>Modbus</v>
      </c>
    </row>
    <row r="647" spans="1:23" x14ac:dyDescent="0.6">
      <c r="A647" t="s">
        <v>97</v>
      </c>
      <c r="B647">
        <v>2550</v>
      </c>
      <c r="C647" t="s">
        <v>87</v>
      </c>
      <c r="D647">
        <v>502</v>
      </c>
      <c r="E647">
        <v>2</v>
      </c>
      <c r="F647" s="13">
        <v>124</v>
      </c>
      <c r="G647">
        <v>2</v>
      </c>
      <c r="H647">
        <v>124</v>
      </c>
      <c r="I647">
        <v>0</v>
      </c>
      <c r="J647">
        <v>0</v>
      </c>
      <c r="K647">
        <v>130.61956000000001</v>
      </c>
      <c r="L647">
        <v>2.9324770000000102</v>
      </c>
      <c r="M647">
        <v>338.280573044562</v>
      </c>
      <c r="N647">
        <v>0</v>
      </c>
      <c r="O647" s="8" t="str">
        <f>formatIP(Table1[[#This Row],[Address A]])</f>
        <v>010.012.000.002</v>
      </c>
      <c r="P647" s="8" t="str">
        <f>formatIP(Table1[[#This Row],[Address B]])</f>
        <v>010.011.009.028</v>
      </c>
      <c r="Q647" s="8" t="str">
        <f>VLOOKUP(Table1[[#This Row],[Address A]],IP_Master[],4,FALSE)</f>
        <v>PPPCFC2</v>
      </c>
      <c r="R647" s="8" t="str">
        <f>VLOOKUP(Table1[[#This Row],[Address B]],IP_Master[],4,FALSE)</f>
        <v>EGX100</v>
      </c>
      <c r="S647" s="8" t="str">
        <f>VLOOKUP(Table1[[#This Row],[Address A]],IP_Master[],2,FALSE)</f>
        <v>Fume Control</v>
      </c>
      <c r="T647" s="8" t="str">
        <f>VLOOKUP(Table1[[#This Row],[Address B]],IP_Master[],2,FALSE)</f>
        <v>Miscellaneous</v>
      </c>
      <c r="U647" s="9" t="str">
        <f>VLOOKUP(Table1[[#This Row],[Address A]],IP_Master[],3,FALSE)</f>
        <v>iFIX Nodes &amp; Ethernet Switches</v>
      </c>
      <c r="V647" s="9" t="str">
        <f>VLOOKUP(Table1[[#This Row],[Address B]],IP_Master[],3,FALSE)</f>
        <v>iFIX Nodes &amp; Ethernet Switches</v>
      </c>
      <c r="W647" s="9" t="str">
        <f>VLOOKUP(Table1[[#This Row],[Port B]],traffic_types[],2,FALSE)</f>
        <v>Modbus</v>
      </c>
    </row>
    <row r="648" spans="1:23" x14ac:dyDescent="0.6">
      <c r="A648" t="s">
        <v>97</v>
      </c>
      <c r="B648">
        <v>2551</v>
      </c>
      <c r="C648" t="s">
        <v>87</v>
      </c>
      <c r="D648">
        <v>502</v>
      </c>
      <c r="E648">
        <v>2</v>
      </c>
      <c r="F648" s="13">
        <v>124</v>
      </c>
      <c r="G648">
        <v>2</v>
      </c>
      <c r="H648">
        <v>124</v>
      </c>
      <c r="I648">
        <v>0</v>
      </c>
      <c r="J648">
        <v>0</v>
      </c>
      <c r="K648">
        <v>131.77686600000001</v>
      </c>
      <c r="L648">
        <v>2.9822119999999801</v>
      </c>
      <c r="M648">
        <v>332.63899414260601</v>
      </c>
      <c r="N648">
        <v>0</v>
      </c>
      <c r="O648" s="8" t="str">
        <f>formatIP(Table1[[#This Row],[Address A]])</f>
        <v>010.012.000.002</v>
      </c>
      <c r="P648" s="8" t="str">
        <f>formatIP(Table1[[#This Row],[Address B]])</f>
        <v>010.011.009.028</v>
      </c>
      <c r="Q648" s="8" t="str">
        <f>VLOOKUP(Table1[[#This Row],[Address A]],IP_Master[],4,FALSE)</f>
        <v>PPPCFC2</v>
      </c>
      <c r="R648" s="8" t="str">
        <f>VLOOKUP(Table1[[#This Row],[Address B]],IP_Master[],4,FALSE)</f>
        <v>EGX100</v>
      </c>
      <c r="S648" s="8" t="str">
        <f>VLOOKUP(Table1[[#This Row],[Address A]],IP_Master[],2,FALSE)</f>
        <v>Fume Control</v>
      </c>
      <c r="T648" s="8" t="str">
        <f>VLOOKUP(Table1[[#This Row],[Address B]],IP_Master[],2,FALSE)</f>
        <v>Miscellaneous</v>
      </c>
      <c r="U648" s="9" t="str">
        <f>VLOOKUP(Table1[[#This Row],[Address A]],IP_Master[],3,FALSE)</f>
        <v>iFIX Nodes &amp; Ethernet Switches</v>
      </c>
      <c r="V648" s="9" t="str">
        <f>VLOOKUP(Table1[[#This Row],[Address B]],IP_Master[],3,FALSE)</f>
        <v>iFIX Nodes &amp; Ethernet Switches</v>
      </c>
      <c r="W648" s="9" t="str">
        <f>VLOOKUP(Table1[[#This Row],[Port B]],traffic_types[],2,FALSE)</f>
        <v>Modbus</v>
      </c>
    </row>
    <row r="649" spans="1:23" x14ac:dyDescent="0.6">
      <c r="A649" t="s">
        <v>97</v>
      </c>
      <c r="B649">
        <v>2552</v>
      </c>
      <c r="C649" t="s">
        <v>87</v>
      </c>
      <c r="D649">
        <v>502</v>
      </c>
      <c r="E649">
        <v>2</v>
      </c>
      <c r="F649" s="13">
        <v>124</v>
      </c>
      <c r="G649">
        <v>2</v>
      </c>
      <c r="H649">
        <v>124</v>
      </c>
      <c r="I649">
        <v>0</v>
      </c>
      <c r="J649">
        <v>0</v>
      </c>
      <c r="K649">
        <v>131.91840500000001</v>
      </c>
      <c r="L649">
        <v>2.9412289999999901</v>
      </c>
      <c r="M649">
        <v>337.27397628678398</v>
      </c>
      <c r="N649">
        <v>0</v>
      </c>
      <c r="O649" s="8" t="str">
        <f>formatIP(Table1[[#This Row],[Address A]])</f>
        <v>010.012.000.002</v>
      </c>
      <c r="P649" s="8" t="str">
        <f>formatIP(Table1[[#This Row],[Address B]])</f>
        <v>010.011.009.028</v>
      </c>
      <c r="Q649" s="8" t="str">
        <f>VLOOKUP(Table1[[#This Row],[Address A]],IP_Master[],4,FALSE)</f>
        <v>PPPCFC2</v>
      </c>
      <c r="R649" s="8" t="str">
        <f>VLOOKUP(Table1[[#This Row],[Address B]],IP_Master[],4,FALSE)</f>
        <v>EGX100</v>
      </c>
      <c r="S649" s="8" t="str">
        <f>VLOOKUP(Table1[[#This Row],[Address A]],IP_Master[],2,FALSE)</f>
        <v>Fume Control</v>
      </c>
      <c r="T649" s="8" t="str">
        <f>VLOOKUP(Table1[[#This Row],[Address B]],IP_Master[],2,FALSE)</f>
        <v>Miscellaneous</v>
      </c>
      <c r="U649" s="9" t="str">
        <f>VLOOKUP(Table1[[#This Row],[Address A]],IP_Master[],3,FALSE)</f>
        <v>iFIX Nodes &amp; Ethernet Switches</v>
      </c>
      <c r="V649" s="9" t="str">
        <f>VLOOKUP(Table1[[#This Row],[Address B]],IP_Master[],3,FALSE)</f>
        <v>iFIX Nodes &amp; Ethernet Switches</v>
      </c>
      <c r="W649" s="9" t="str">
        <f>VLOOKUP(Table1[[#This Row],[Port B]],traffic_types[],2,FALSE)</f>
        <v>Modbus</v>
      </c>
    </row>
    <row r="650" spans="1:23" x14ac:dyDescent="0.6">
      <c r="A650" t="s">
        <v>97</v>
      </c>
      <c r="B650">
        <v>2553</v>
      </c>
      <c r="C650" t="s">
        <v>87</v>
      </c>
      <c r="D650">
        <v>502</v>
      </c>
      <c r="E650">
        <v>2</v>
      </c>
      <c r="F650" s="13">
        <v>124</v>
      </c>
      <c r="G650">
        <v>2</v>
      </c>
      <c r="H650">
        <v>124</v>
      </c>
      <c r="I650">
        <v>0</v>
      </c>
      <c r="J650">
        <v>0</v>
      </c>
      <c r="K650">
        <v>132.438187</v>
      </c>
      <c r="L650">
        <v>2.92448200000001</v>
      </c>
      <c r="M650">
        <v>339.20537038695898</v>
      </c>
      <c r="N650">
        <v>0</v>
      </c>
      <c r="O650" s="8" t="str">
        <f>formatIP(Table1[[#This Row],[Address A]])</f>
        <v>010.012.000.002</v>
      </c>
      <c r="P650" s="8" t="str">
        <f>formatIP(Table1[[#This Row],[Address B]])</f>
        <v>010.011.009.028</v>
      </c>
      <c r="Q650" s="8" t="str">
        <f>VLOOKUP(Table1[[#This Row],[Address A]],IP_Master[],4,FALSE)</f>
        <v>PPPCFC2</v>
      </c>
      <c r="R650" s="8" t="str">
        <f>VLOOKUP(Table1[[#This Row],[Address B]],IP_Master[],4,FALSE)</f>
        <v>EGX100</v>
      </c>
      <c r="S650" s="8" t="str">
        <f>VLOOKUP(Table1[[#This Row],[Address A]],IP_Master[],2,FALSE)</f>
        <v>Fume Control</v>
      </c>
      <c r="T650" s="8" t="str">
        <f>VLOOKUP(Table1[[#This Row],[Address B]],IP_Master[],2,FALSE)</f>
        <v>Miscellaneous</v>
      </c>
      <c r="U650" s="9" t="str">
        <f>VLOOKUP(Table1[[#This Row],[Address A]],IP_Master[],3,FALSE)</f>
        <v>iFIX Nodes &amp; Ethernet Switches</v>
      </c>
      <c r="V650" s="9" t="str">
        <f>VLOOKUP(Table1[[#This Row],[Address B]],IP_Master[],3,FALSE)</f>
        <v>iFIX Nodes &amp; Ethernet Switches</v>
      </c>
      <c r="W650" s="9" t="str">
        <f>VLOOKUP(Table1[[#This Row],[Port B]],traffic_types[],2,FALSE)</f>
        <v>Modbus</v>
      </c>
    </row>
    <row r="651" spans="1:23" x14ac:dyDescent="0.6">
      <c r="A651" t="s">
        <v>97</v>
      </c>
      <c r="B651">
        <v>2554</v>
      </c>
      <c r="C651" t="s">
        <v>87</v>
      </c>
      <c r="D651">
        <v>502</v>
      </c>
      <c r="E651">
        <v>1</v>
      </c>
      <c r="F651" s="13">
        <v>62</v>
      </c>
      <c r="G651">
        <v>1</v>
      </c>
      <c r="H651">
        <v>62</v>
      </c>
      <c r="I651">
        <v>0</v>
      </c>
      <c r="J651">
        <v>0</v>
      </c>
      <c r="K651">
        <v>133.629839</v>
      </c>
      <c r="L651">
        <v>0</v>
      </c>
      <c r="M651">
        <v>0</v>
      </c>
      <c r="N651">
        <v>0</v>
      </c>
      <c r="O651" s="8" t="str">
        <f>formatIP(Table1[[#This Row],[Address A]])</f>
        <v>010.012.000.002</v>
      </c>
      <c r="P651" s="8" t="str">
        <f>formatIP(Table1[[#This Row],[Address B]])</f>
        <v>010.011.009.028</v>
      </c>
      <c r="Q651" s="8" t="str">
        <f>VLOOKUP(Table1[[#This Row],[Address A]],IP_Master[],4,FALSE)</f>
        <v>PPPCFC2</v>
      </c>
      <c r="R651" s="8" t="str">
        <f>VLOOKUP(Table1[[#This Row],[Address B]],IP_Master[],4,FALSE)</f>
        <v>EGX100</v>
      </c>
      <c r="S651" s="8" t="str">
        <f>VLOOKUP(Table1[[#This Row],[Address A]],IP_Master[],2,FALSE)</f>
        <v>Fume Control</v>
      </c>
      <c r="T651" s="8" t="str">
        <f>VLOOKUP(Table1[[#This Row],[Address B]],IP_Master[],2,FALSE)</f>
        <v>Miscellaneous</v>
      </c>
      <c r="U651" s="9" t="str">
        <f>VLOOKUP(Table1[[#This Row],[Address A]],IP_Master[],3,FALSE)</f>
        <v>iFIX Nodes &amp; Ethernet Switches</v>
      </c>
      <c r="V651" s="9" t="str">
        <f>VLOOKUP(Table1[[#This Row],[Address B]],IP_Master[],3,FALSE)</f>
        <v>iFIX Nodes &amp; Ethernet Switches</v>
      </c>
      <c r="W651" s="9" t="str">
        <f>VLOOKUP(Table1[[#This Row],[Port B]],traffic_types[],2,FALSE)</f>
        <v>Modbus</v>
      </c>
    </row>
    <row r="652" spans="1:23" x14ac:dyDescent="0.6">
      <c r="A652" t="s">
        <v>97</v>
      </c>
      <c r="B652">
        <v>2555</v>
      </c>
      <c r="C652" t="s">
        <v>87</v>
      </c>
      <c r="D652">
        <v>502</v>
      </c>
      <c r="E652">
        <v>2</v>
      </c>
      <c r="F652" s="13">
        <v>124</v>
      </c>
      <c r="G652">
        <v>2</v>
      </c>
      <c r="H652">
        <v>124</v>
      </c>
      <c r="I652">
        <v>0</v>
      </c>
      <c r="J652">
        <v>0</v>
      </c>
      <c r="K652">
        <v>133.99937700000001</v>
      </c>
      <c r="L652">
        <v>2.9726749999999802</v>
      </c>
      <c r="M652">
        <v>333.70617373241498</v>
      </c>
      <c r="N652">
        <v>0</v>
      </c>
      <c r="O652" s="8" t="str">
        <f>formatIP(Table1[[#This Row],[Address A]])</f>
        <v>010.012.000.002</v>
      </c>
      <c r="P652" s="8" t="str">
        <f>formatIP(Table1[[#This Row],[Address B]])</f>
        <v>010.011.009.028</v>
      </c>
      <c r="Q652" s="8" t="str">
        <f>VLOOKUP(Table1[[#This Row],[Address A]],IP_Master[],4,FALSE)</f>
        <v>PPPCFC2</v>
      </c>
      <c r="R652" s="8" t="str">
        <f>VLOOKUP(Table1[[#This Row],[Address B]],IP_Master[],4,FALSE)</f>
        <v>EGX100</v>
      </c>
      <c r="S652" s="8" t="str">
        <f>VLOOKUP(Table1[[#This Row],[Address A]],IP_Master[],2,FALSE)</f>
        <v>Fume Control</v>
      </c>
      <c r="T652" s="8" t="str">
        <f>VLOOKUP(Table1[[#This Row],[Address B]],IP_Master[],2,FALSE)</f>
        <v>Miscellaneous</v>
      </c>
      <c r="U652" s="9" t="str">
        <f>VLOOKUP(Table1[[#This Row],[Address A]],IP_Master[],3,FALSE)</f>
        <v>iFIX Nodes &amp; Ethernet Switches</v>
      </c>
      <c r="V652" s="9" t="str">
        <f>VLOOKUP(Table1[[#This Row],[Address B]],IP_Master[],3,FALSE)</f>
        <v>iFIX Nodes &amp; Ethernet Switches</v>
      </c>
      <c r="W652" s="9" t="str">
        <f>VLOOKUP(Table1[[#This Row],[Port B]],traffic_types[],2,FALSE)</f>
        <v>Modbus</v>
      </c>
    </row>
    <row r="653" spans="1:23" x14ac:dyDescent="0.6">
      <c r="A653" t="s">
        <v>97</v>
      </c>
      <c r="B653">
        <v>2556</v>
      </c>
      <c r="C653" t="s">
        <v>87</v>
      </c>
      <c r="D653">
        <v>502</v>
      </c>
      <c r="E653">
        <v>1</v>
      </c>
      <c r="F653" s="13">
        <v>62</v>
      </c>
      <c r="G653">
        <v>1</v>
      </c>
      <c r="H653">
        <v>62</v>
      </c>
      <c r="I653">
        <v>0</v>
      </c>
      <c r="J653">
        <v>0</v>
      </c>
      <c r="K653">
        <v>134.78594799999999</v>
      </c>
      <c r="L653">
        <v>0</v>
      </c>
      <c r="M653">
        <v>0</v>
      </c>
      <c r="N653">
        <v>0</v>
      </c>
      <c r="O653" s="8" t="str">
        <f>formatIP(Table1[[#This Row],[Address A]])</f>
        <v>010.012.000.002</v>
      </c>
      <c r="P653" s="8" t="str">
        <f>formatIP(Table1[[#This Row],[Address B]])</f>
        <v>010.011.009.028</v>
      </c>
      <c r="Q653" s="8" t="str">
        <f>VLOOKUP(Table1[[#This Row],[Address A]],IP_Master[],4,FALSE)</f>
        <v>PPPCFC2</v>
      </c>
      <c r="R653" s="8" t="str">
        <f>VLOOKUP(Table1[[#This Row],[Address B]],IP_Master[],4,FALSE)</f>
        <v>EGX100</v>
      </c>
      <c r="S653" s="8" t="str">
        <f>VLOOKUP(Table1[[#This Row],[Address A]],IP_Master[],2,FALSE)</f>
        <v>Fume Control</v>
      </c>
      <c r="T653" s="8" t="str">
        <f>VLOOKUP(Table1[[#This Row],[Address B]],IP_Master[],2,FALSE)</f>
        <v>Miscellaneous</v>
      </c>
      <c r="U653" s="9" t="str">
        <f>VLOOKUP(Table1[[#This Row],[Address A]],IP_Master[],3,FALSE)</f>
        <v>iFIX Nodes &amp; Ethernet Switches</v>
      </c>
      <c r="V653" s="9" t="str">
        <f>VLOOKUP(Table1[[#This Row],[Address B]],IP_Master[],3,FALSE)</f>
        <v>iFIX Nodes &amp; Ethernet Switches</v>
      </c>
      <c r="W653" s="9" t="str">
        <f>VLOOKUP(Table1[[#This Row],[Port B]],traffic_types[],2,FALSE)</f>
        <v>Modbus</v>
      </c>
    </row>
    <row r="654" spans="1:23" x14ac:dyDescent="0.6">
      <c r="A654" t="s">
        <v>97</v>
      </c>
      <c r="B654">
        <v>2557</v>
      </c>
      <c r="C654" t="s">
        <v>87</v>
      </c>
      <c r="D654">
        <v>502</v>
      </c>
      <c r="E654">
        <v>1</v>
      </c>
      <c r="F654" s="13">
        <v>62</v>
      </c>
      <c r="G654">
        <v>1</v>
      </c>
      <c r="H654">
        <v>62</v>
      </c>
      <c r="I654">
        <v>0</v>
      </c>
      <c r="J654">
        <v>0</v>
      </c>
      <c r="K654">
        <v>134.92655600000001</v>
      </c>
      <c r="L654">
        <v>0</v>
      </c>
      <c r="M654">
        <v>0</v>
      </c>
      <c r="N654">
        <v>0</v>
      </c>
      <c r="O654" s="8" t="str">
        <f>formatIP(Table1[[#This Row],[Address A]])</f>
        <v>010.012.000.002</v>
      </c>
      <c r="P654" s="8" t="str">
        <f>formatIP(Table1[[#This Row],[Address B]])</f>
        <v>010.011.009.028</v>
      </c>
      <c r="Q654" s="8" t="str">
        <f>VLOOKUP(Table1[[#This Row],[Address A]],IP_Master[],4,FALSE)</f>
        <v>PPPCFC2</v>
      </c>
      <c r="R654" s="8" t="str">
        <f>VLOOKUP(Table1[[#This Row],[Address B]],IP_Master[],4,FALSE)</f>
        <v>EGX100</v>
      </c>
      <c r="S654" s="8" t="str">
        <f>VLOOKUP(Table1[[#This Row],[Address A]],IP_Master[],2,FALSE)</f>
        <v>Fume Control</v>
      </c>
      <c r="T654" s="8" t="str">
        <f>VLOOKUP(Table1[[#This Row],[Address B]],IP_Master[],2,FALSE)</f>
        <v>Miscellaneous</v>
      </c>
      <c r="U654" s="9" t="str">
        <f>VLOOKUP(Table1[[#This Row],[Address A]],IP_Master[],3,FALSE)</f>
        <v>iFIX Nodes &amp; Ethernet Switches</v>
      </c>
      <c r="V654" s="9" t="str">
        <f>VLOOKUP(Table1[[#This Row],[Address B]],IP_Master[],3,FALSE)</f>
        <v>iFIX Nodes &amp; Ethernet Switches</v>
      </c>
      <c r="W654" s="9" t="str">
        <f>VLOOKUP(Table1[[#This Row],[Port B]],traffic_types[],2,FALSE)</f>
        <v>Modbus</v>
      </c>
    </row>
    <row r="655" spans="1:23" x14ac:dyDescent="0.6">
      <c r="A655" t="s">
        <v>97</v>
      </c>
      <c r="B655">
        <v>2558</v>
      </c>
      <c r="C655" t="s">
        <v>87</v>
      </c>
      <c r="D655">
        <v>502</v>
      </c>
      <c r="E655">
        <v>1</v>
      </c>
      <c r="F655" s="13">
        <v>62</v>
      </c>
      <c r="G655">
        <v>1</v>
      </c>
      <c r="H655">
        <v>62</v>
      </c>
      <c r="I655">
        <v>0</v>
      </c>
      <c r="J655">
        <v>0</v>
      </c>
      <c r="K655">
        <v>135.44206700000001</v>
      </c>
      <c r="L655">
        <v>0</v>
      </c>
      <c r="M655">
        <v>0</v>
      </c>
      <c r="N655">
        <v>0</v>
      </c>
      <c r="O655" s="8" t="str">
        <f>formatIP(Table1[[#This Row],[Address A]])</f>
        <v>010.012.000.002</v>
      </c>
      <c r="P655" s="8" t="str">
        <f>formatIP(Table1[[#This Row],[Address B]])</f>
        <v>010.011.009.028</v>
      </c>
      <c r="Q655" s="8" t="str">
        <f>VLOOKUP(Table1[[#This Row],[Address A]],IP_Master[],4,FALSE)</f>
        <v>PPPCFC2</v>
      </c>
      <c r="R655" s="8" t="str">
        <f>VLOOKUP(Table1[[#This Row],[Address B]],IP_Master[],4,FALSE)</f>
        <v>EGX100</v>
      </c>
      <c r="S655" s="8" t="str">
        <f>VLOOKUP(Table1[[#This Row],[Address A]],IP_Master[],2,FALSE)</f>
        <v>Fume Control</v>
      </c>
      <c r="T655" s="8" t="str">
        <f>VLOOKUP(Table1[[#This Row],[Address B]],IP_Master[],2,FALSE)</f>
        <v>Miscellaneous</v>
      </c>
      <c r="U655" s="9" t="str">
        <f>VLOOKUP(Table1[[#This Row],[Address A]],IP_Master[],3,FALSE)</f>
        <v>iFIX Nodes &amp; Ethernet Switches</v>
      </c>
      <c r="V655" s="9" t="str">
        <f>VLOOKUP(Table1[[#This Row],[Address B]],IP_Master[],3,FALSE)</f>
        <v>iFIX Nodes &amp; Ethernet Switches</v>
      </c>
      <c r="W655" s="9" t="str">
        <f>VLOOKUP(Table1[[#This Row],[Port B]],traffic_types[],2,FALSE)</f>
        <v>Modbus</v>
      </c>
    </row>
    <row r="656" spans="1:23" x14ac:dyDescent="0.6">
      <c r="A656" t="s">
        <v>97</v>
      </c>
      <c r="B656">
        <v>2559</v>
      </c>
      <c r="C656" t="s">
        <v>87</v>
      </c>
      <c r="D656">
        <v>502</v>
      </c>
      <c r="E656">
        <v>1</v>
      </c>
      <c r="F656" s="13">
        <v>62</v>
      </c>
      <c r="G656">
        <v>1</v>
      </c>
      <c r="H656">
        <v>62</v>
      </c>
      <c r="I656">
        <v>0</v>
      </c>
      <c r="J656">
        <v>0</v>
      </c>
      <c r="K656">
        <v>137.00461300000001</v>
      </c>
      <c r="L656">
        <v>0</v>
      </c>
      <c r="M656">
        <v>0</v>
      </c>
      <c r="N656">
        <v>0</v>
      </c>
      <c r="O656" s="8" t="str">
        <f>formatIP(Table1[[#This Row],[Address A]])</f>
        <v>010.012.000.002</v>
      </c>
      <c r="P656" s="8" t="str">
        <f>formatIP(Table1[[#This Row],[Address B]])</f>
        <v>010.011.009.028</v>
      </c>
      <c r="Q656" s="8" t="str">
        <f>VLOOKUP(Table1[[#This Row],[Address A]],IP_Master[],4,FALSE)</f>
        <v>PPPCFC2</v>
      </c>
      <c r="R656" s="8" t="str">
        <f>VLOOKUP(Table1[[#This Row],[Address B]],IP_Master[],4,FALSE)</f>
        <v>EGX100</v>
      </c>
      <c r="S656" s="8" t="str">
        <f>VLOOKUP(Table1[[#This Row],[Address A]],IP_Master[],2,FALSE)</f>
        <v>Fume Control</v>
      </c>
      <c r="T656" s="8" t="str">
        <f>VLOOKUP(Table1[[#This Row],[Address B]],IP_Master[],2,FALSE)</f>
        <v>Miscellaneous</v>
      </c>
      <c r="U656" s="9" t="str">
        <f>VLOOKUP(Table1[[#This Row],[Address A]],IP_Master[],3,FALSE)</f>
        <v>iFIX Nodes &amp; Ethernet Switches</v>
      </c>
      <c r="V656" s="9" t="str">
        <f>VLOOKUP(Table1[[#This Row],[Address B]],IP_Master[],3,FALSE)</f>
        <v>iFIX Nodes &amp; Ethernet Switches</v>
      </c>
      <c r="W656" s="9" t="str">
        <f>VLOOKUP(Table1[[#This Row],[Port B]],traffic_types[],2,FALSE)</f>
        <v>Modbus</v>
      </c>
    </row>
    <row r="657" spans="1:23" x14ac:dyDescent="0.6">
      <c r="A657" t="s">
        <v>97</v>
      </c>
      <c r="B657">
        <v>2565</v>
      </c>
      <c r="C657" t="s">
        <v>87</v>
      </c>
      <c r="D657">
        <v>502</v>
      </c>
      <c r="E657">
        <v>2</v>
      </c>
      <c r="F657" s="13">
        <v>124</v>
      </c>
      <c r="G657">
        <v>2</v>
      </c>
      <c r="H657">
        <v>124</v>
      </c>
      <c r="I657">
        <v>0</v>
      </c>
      <c r="J657">
        <v>0</v>
      </c>
      <c r="K657">
        <v>163.634049</v>
      </c>
      <c r="L657">
        <v>3.011056</v>
      </c>
      <c r="M657">
        <v>329.452524297124</v>
      </c>
      <c r="N657">
        <v>0</v>
      </c>
      <c r="O657" s="8" t="str">
        <f>formatIP(Table1[[#This Row],[Address A]])</f>
        <v>010.012.000.002</v>
      </c>
      <c r="P657" s="8" t="str">
        <f>formatIP(Table1[[#This Row],[Address B]])</f>
        <v>010.011.009.028</v>
      </c>
      <c r="Q657" s="8" t="str">
        <f>VLOOKUP(Table1[[#This Row],[Address A]],IP_Master[],4,FALSE)</f>
        <v>PPPCFC2</v>
      </c>
      <c r="R657" s="8" t="str">
        <f>VLOOKUP(Table1[[#This Row],[Address B]],IP_Master[],4,FALSE)</f>
        <v>EGX100</v>
      </c>
      <c r="S657" s="8" t="str">
        <f>VLOOKUP(Table1[[#This Row],[Address A]],IP_Master[],2,FALSE)</f>
        <v>Fume Control</v>
      </c>
      <c r="T657" s="8" t="str">
        <f>VLOOKUP(Table1[[#This Row],[Address B]],IP_Master[],2,FALSE)</f>
        <v>Miscellaneous</v>
      </c>
      <c r="U657" s="9" t="str">
        <f>VLOOKUP(Table1[[#This Row],[Address A]],IP_Master[],3,FALSE)</f>
        <v>iFIX Nodes &amp; Ethernet Switches</v>
      </c>
      <c r="V657" s="9" t="str">
        <f>VLOOKUP(Table1[[#This Row],[Address B]],IP_Master[],3,FALSE)</f>
        <v>iFIX Nodes &amp; Ethernet Switches</v>
      </c>
      <c r="W657" s="9" t="str">
        <f>VLOOKUP(Table1[[#This Row],[Port B]],traffic_types[],2,FALSE)</f>
        <v>Modbus</v>
      </c>
    </row>
    <row r="658" spans="1:23" x14ac:dyDescent="0.6">
      <c r="A658" t="s">
        <v>97</v>
      </c>
      <c r="B658">
        <v>2566</v>
      </c>
      <c r="C658" t="s">
        <v>87</v>
      </c>
      <c r="D658">
        <v>502</v>
      </c>
      <c r="E658">
        <v>2</v>
      </c>
      <c r="F658" s="13">
        <v>124</v>
      </c>
      <c r="G658">
        <v>2</v>
      </c>
      <c r="H658">
        <v>124</v>
      </c>
      <c r="I658">
        <v>0</v>
      </c>
      <c r="J658">
        <v>0</v>
      </c>
      <c r="K658">
        <v>164.787927</v>
      </c>
      <c r="L658">
        <v>2.9636759999999902</v>
      </c>
      <c r="M658">
        <v>334.719449764415</v>
      </c>
      <c r="N658">
        <v>0</v>
      </c>
      <c r="O658" s="8" t="str">
        <f>formatIP(Table1[[#This Row],[Address A]])</f>
        <v>010.012.000.002</v>
      </c>
      <c r="P658" s="8" t="str">
        <f>formatIP(Table1[[#This Row],[Address B]])</f>
        <v>010.011.009.028</v>
      </c>
      <c r="Q658" s="8" t="str">
        <f>VLOOKUP(Table1[[#This Row],[Address A]],IP_Master[],4,FALSE)</f>
        <v>PPPCFC2</v>
      </c>
      <c r="R658" s="8" t="str">
        <f>VLOOKUP(Table1[[#This Row],[Address B]],IP_Master[],4,FALSE)</f>
        <v>EGX100</v>
      </c>
      <c r="S658" s="8" t="str">
        <f>VLOOKUP(Table1[[#This Row],[Address A]],IP_Master[],2,FALSE)</f>
        <v>Fume Control</v>
      </c>
      <c r="T658" s="8" t="str">
        <f>VLOOKUP(Table1[[#This Row],[Address B]],IP_Master[],2,FALSE)</f>
        <v>Miscellaneous</v>
      </c>
      <c r="U658" s="9" t="str">
        <f>VLOOKUP(Table1[[#This Row],[Address A]],IP_Master[],3,FALSE)</f>
        <v>iFIX Nodes &amp; Ethernet Switches</v>
      </c>
      <c r="V658" s="9" t="str">
        <f>VLOOKUP(Table1[[#This Row],[Address B]],IP_Master[],3,FALSE)</f>
        <v>iFIX Nodes &amp; Ethernet Switches</v>
      </c>
      <c r="W658" s="9" t="str">
        <f>VLOOKUP(Table1[[#This Row],[Port B]],traffic_types[],2,FALSE)</f>
        <v>Modbus</v>
      </c>
    </row>
    <row r="659" spans="1:23" x14ac:dyDescent="0.6">
      <c r="A659" t="s">
        <v>97</v>
      </c>
      <c r="B659">
        <v>2567</v>
      </c>
      <c r="C659" t="s">
        <v>87</v>
      </c>
      <c r="D659">
        <v>502</v>
      </c>
      <c r="E659">
        <v>2</v>
      </c>
      <c r="F659" s="13">
        <v>124</v>
      </c>
      <c r="G659">
        <v>2</v>
      </c>
      <c r="H659">
        <v>124</v>
      </c>
      <c r="I659">
        <v>0</v>
      </c>
      <c r="J659">
        <v>0</v>
      </c>
      <c r="K659">
        <v>164.93117100000001</v>
      </c>
      <c r="L659">
        <v>2.9209830000000099</v>
      </c>
      <c r="M659">
        <v>339.61169921221602</v>
      </c>
      <c r="N659">
        <v>0</v>
      </c>
      <c r="O659" s="8" t="str">
        <f>formatIP(Table1[[#This Row],[Address A]])</f>
        <v>010.012.000.002</v>
      </c>
      <c r="P659" s="8" t="str">
        <f>formatIP(Table1[[#This Row],[Address B]])</f>
        <v>010.011.009.028</v>
      </c>
      <c r="Q659" s="8" t="str">
        <f>VLOOKUP(Table1[[#This Row],[Address A]],IP_Master[],4,FALSE)</f>
        <v>PPPCFC2</v>
      </c>
      <c r="R659" s="8" t="str">
        <f>VLOOKUP(Table1[[#This Row],[Address B]],IP_Master[],4,FALSE)</f>
        <v>EGX100</v>
      </c>
      <c r="S659" s="8" t="str">
        <f>VLOOKUP(Table1[[#This Row],[Address A]],IP_Master[],2,FALSE)</f>
        <v>Fume Control</v>
      </c>
      <c r="T659" s="8" t="str">
        <f>VLOOKUP(Table1[[#This Row],[Address B]],IP_Master[],2,FALSE)</f>
        <v>Miscellaneous</v>
      </c>
      <c r="U659" s="9" t="str">
        <f>VLOOKUP(Table1[[#This Row],[Address A]],IP_Master[],3,FALSE)</f>
        <v>iFIX Nodes &amp; Ethernet Switches</v>
      </c>
      <c r="V659" s="9" t="str">
        <f>VLOOKUP(Table1[[#This Row],[Address B]],IP_Master[],3,FALSE)</f>
        <v>iFIX Nodes &amp; Ethernet Switches</v>
      </c>
      <c r="W659" s="9" t="str">
        <f>VLOOKUP(Table1[[#This Row],[Port B]],traffic_types[],2,FALSE)</f>
        <v>Modbus</v>
      </c>
    </row>
    <row r="660" spans="1:23" x14ac:dyDescent="0.6">
      <c r="A660" t="s">
        <v>97</v>
      </c>
      <c r="B660">
        <v>2568</v>
      </c>
      <c r="C660" t="s">
        <v>87</v>
      </c>
      <c r="D660">
        <v>502</v>
      </c>
      <c r="E660">
        <v>2</v>
      </c>
      <c r="F660" s="13">
        <v>124</v>
      </c>
      <c r="G660">
        <v>2</v>
      </c>
      <c r="H660">
        <v>124</v>
      </c>
      <c r="I660">
        <v>0</v>
      </c>
      <c r="J660">
        <v>0</v>
      </c>
      <c r="K660">
        <v>165.45073600000001</v>
      </c>
      <c r="L660">
        <v>3.004864</v>
      </c>
      <c r="M660">
        <v>330.13141360141401</v>
      </c>
      <c r="N660">
        <v>0</v>
      </c>
      <c r="O660" s="8" t="str">
        <f>formatIP(Table1[[#This Row],[Address A]])</f>
        <v>010.012.000.002</v>
      </c>
      <c r="P660" s="8" t="str">
        <f>formatIP(Table1[[#This Row],[Address B]])</f>
        <v>010.011.009.028</v>
      </c>
      <c r="Q660" s="8" t="str">
        <f>VLOOKUP(Table1[[#This Row],[Address A]],IP_Master[],4,FALSE)</f>
        <v>PPPCFC2</v>
      </c>
      <c r="R660" s="8" t="str">
        <f>VLOOKUP(Table1[[#This Row],[Address B]],IP_Master[],4,FALSE)</f>
        <v>EGX100</v>
      </c>
      <c r="S660" s="8" t="str">
        <f>VLOOKUP(Table1[[#This Row],[Address A]],IP_Master[],2,FALSE)</f>
        <v>Fume Control</v>
      </c>
      <c r="T660" s="8" t="str">
        <f>VLOOKUP(Table1[[#This Row],[Address B]],IP_Master[],2,FALSE)</f>
        <v>Miscellaneous</v>
      </c>
      <c r="U660" s="9" t="str">
        <f>VLOOKUP(Table1[[#This Row],[Address A]],IP_Master[],3,FALSE)</f>
        <v>iFIX Nodes &amp; Ethernet Switches</v>
      </c>
      <c r="V660" s="9" t="str">
        <f>VLOOKUP(Table1[[#This Row],[Address B]],IP_Master[],3,FALSE)</f>
        <v>iFIX Nodes &amp; Ethernet Switches</v>
      </c>
      <c r="W660" s="9" t="str">
        <f>VLOOKUP(Table1[[#This Row],[Port B]],traffic_types[],2,FALSE)</f>
        <v>Modbus</v>
      </c>
    </row>
    <row r="661" spans="1:23" x14ac:dyDescent="0.6">
      <c r="A661" t="s">
        <v>97</v>
      </c>
      <c r="B661">
        <v>2569</v>
      </c>
      <c r="C661" t="s">
        <v>87</v>
      </c>
      <c r="D661">
        <v>502</v>
      </c>
      <c r="E661">
        <v>1</v>
      </c>
      <c r="F661" s="13">
        <v>62</v>
      </c>
      <c r="G661">
        <v>1</v>
      </c>
      <c r="H661">
        <v>62</v>
      </c>
      <c r="I661">
        <v>0</v>
      </c>
      <c r="J661">
        <v>0</v>
      </c>
      <c r="K661">
        <v>166.645535</v>
      </c>
      <c r="L661">
        <v>0</v>
      </c>
      <c r="M661">
        <v>0</v>
      </c>
      <c r="N661">
        <v>0</v>
      </c>
      <c r="O661" s="8" t="str">
        <f>formatIP(Table1[[#This Row],[Address A]])</f>
        <v>010.012.000.002</v>
      </c>
      <c r="P661" s="8" t="str">
        <f>formatIP(Table1[[#This Row],[Address B]])</f>
        <v>010.011.009.028</v>
      </c>
      <c r="Q661" s="8" t="str">
        <f>VLOOKUP(Table1[[#This Row],[Address A]],IP_Master[],4,FALSE)</f>
        <v>PPPCFC2</v>
      </c>
      <c r="R661" s="8" t="str">
        <f>VLOOKUP(Table1[[#This Row],[Address B]],IP_Master[],4,FALSE)</f>
        <v>EGX100</v>
      </c>
      <c r="S661" s="8" t="str">
        <f>VLOOKUP(Table1[[#This Row],[Address A]],IP_Master[],2,FALSE)</f>
        <v>Fume Control</v>
      </c>
      <c r="T661" s="8" t="str">
        <f>VLOOKUP(Table1[[#This Row],[Address B]],IP_Master[],2,FALSE)</f>
        <v>Miscellaneous</v>
      </c>
      <c r="U661" s="9" t="str">
        <f>VLOOKUP(Table1[[#This Row],[Address A]],IP_Master[],3,FALSE)</f>
        <v>iFIX Nodes &amp; Ethernet Switches</v>
      </c>
      <c r="V661" s="9" t="str">
        <f>VLOOKUP(Table1[[#This Row],[Address B]],IP_Master[],3,FALSE)</f>
        <v>iFIX Nodes &amp; Ethernet Switches</v>
      </c>
      <c r="W661" s="9" t="str">
        <f>VLOOKUP(Table1[[#This Row],[Port B]],traffic_types[],2,FALSE)</f>
        <v>Modbus</v>
      </c>
    </row>
    <row r="662" spans="1:23" x14ac:dyDescent="0.6">
      <c r="A662" t="s">
        <v>97</v>
      </c>
      <c r="B662">
        <v>2570</v>
      </c>
      <c r="C662" t="s">
        <v>87</v>
      </c>
      <c r="D662">
        <v>502</v>
      </c>
      <c r="E662">
        <v>2</v>
      </c>
      <c r="F662" s="13">
        <v>124</v>
      </c>
      <c r="G662">
        <v>2</v>
      </c>
      <c r="H662">
        <v>124</v>
      </c>
      <c r="I662">
        <v>0</v>
      </c>
      <c r="J662">
        <v>0</v>
      </c>
      <c r="K662">
        <v>167.015322</v>
      </c>
      <c r="L662">
        <v>2.94914600000001</v>
      </c>
      <c r="M662">
        <v>336.36856228887802</v>
      </c>
      <c r="N662">
        <v>0</v>
      </c>
      <c r="O662" s="8" t="str">
        <f>formatIP(Table1[[#This Row],[Address A]])</f>
        <v>010.012.000.002</v>
      </c>
      <c r="P662" s="8" t="str">
        <f>formatIP(Table1[[#This Row],[Address B]])</f>
        <v>010.011.009.028</v>
      </c>
      <c r="Q662" s="8" t="str">
        <f>VLOOKUP(Table1[[#This Row],[Address A]],IP_Master[],4,FALSE)</f>
        <v>PPPCFC2</v>
      </c>
      <c r="R662" s="8" t="str">
        <f>VLOOKUP(Table1[[#This Row],[Address B]],IP_Master[],4,FALSE)</f>
        <v>EGX100</v>
      </c>
      <c r="S662" s="8" t="str">
        <f>VLOOKUP(Table1[[#This Row],[Address A]],IP_Master[],2,FALSE)</f>
        <v>Fume Control</v>
      </c>
      <c r="T662" s="8" t="str">
        <f>VLOOKUP(Table1[[#This Row],[Address B]],IP_Master[],2,FALSE)</f>
        <v>Miscellaneous</v>
      </c>
      <c r="U662" s="9" t="str">
        <f>VLOOKUP(Table1[[#This Row],[Address A]],IP_Master[],3,FALSE)</f>
        <v>iFIX Nodes &amp; Ethernet Switches</v>
      </c>
      <c r="V662" s="9" t="str">
        <f>VLOOKUP(Table1[[#This Row],[Address B]],IP_Master[],3,FALSE)</f>
        <v>iFIX Nodes &amp; Ethernet Switches</v>
      </c>
      <c r="W662" s="9" t="str">
        <f>VLOOKUP(Table1[[#This Row],[Port B]],traffic_types[],2,FALSE)</f>
        <v>Modbus</v>
      </c>
    </row>
    <row r="663" spans="1:23" x14ac:dyDescent="0.6">
      <c r="A663" t="s">
        <v>97</v>
      </c>
      <c r="B663">
        <v>2571</v>
      </c>
      <c r="C663" t="s">
        <v>87</v>
      </c>
      <c r="D663">
        <v>502</v>
      </c>
      <c r="E663">
        <v>1</v>
      </c>
      <c r="F663" s="13">
        <v>62</v>
      </c>
      <c r="G663">
        <v>1</v>
      </c>
      <c r="H663">
        <v>62</v>
      </c>
      <c r="I663">
        <v>0</v>
      </c>
      <c r="J663">
        <v>0</v>
      </c>
      <c r="K663">
        <v>167.80169699999999</v>
      </c>
      <c r="L663">
        <v>0</v>
      </c>
      <c r="M663">
        <v>0</v>
      </c>
      <c r="N663">
        <v>0</v>
      </c>
      <c r="O663" s="8" t="str">
        <f>formatIP(Table1[[#This Row],[Address A]])</f>
        <v>010.012.000.002</v>
      </c>
      <c r="P663" s="8" t="str">
        <f>formatIP(Table1[[#This Row],[Address B]])</f>
        <v>010.011.009.028</v>
      </c>
      <c r="Q663" s="8" t="str">
        <f>VLOOKUP(Table1[[#This Row],[Address A]],IP_Master[],4,FALSE)</f>
        <v>PPPCFC2</v>
      </c>
      <c r="R663" s="8" t="str">
        <f>VLOOKUP(Table1[[#This Row],[Address B]],IP_Master[],4,FALSE)</f>
        <v>EGX100</v>
      </c>
      <c r="S663" s="8" t="str">
        <f>VLOOKUP(Table1[[#This Row],[Address A]],IP_Master[],2,FALSE)</f>
        <v>Fume Control</v>
      </c>
      <c r="T663" s="8" t="str">
        <f>VLOOKUP(Table1[[#This Row],[Address B]],IP_Master[],2,FALSE)</f>
        <v>Miscellaneous</v>
      </c>
      <c r="U663" s="9" t="str">
        <f>VLOOKUP(Table1[[#This Row],[Address A]],IP_Master[],3,FALSE)</f>
        <v>iFIX Nodes &amp; Ethernet Switches</v>
      </c>
      <c r="V663" s="9" t="str">
        <f>VLOOKUP(Table1[[#This Row],[Address B]],IP_Master[],3,FALSE)</f>
        <v>iFIX Nodes &amp; Ethernet Switches</v>
      </c>
      <c r="W663" s="9" t="str">
        <f>VLOOKUP(Table1[[#This Row],[Port B]],traffic_types[],2,FALSE)</f>
        <v>Modbus</v>
      </c>
    </row>
    <row r="664" spans="1:23" x14ac:dyDescent="0.6">
      <c r="A664" t="s">
        <v>97</v>
      </c>
      <c r="B664">
        <v>2572</v>
      </c>
      <c r="C664" t="s">
        <v>87</v>
      </c>
      <c r="D664">
        <v>502</v>
      </c>
      <c r="E664">
        <v>1</v>
      </c>
      <c r="F664" s="13">
        <v>62</v>
      </c>
      <c r="G664">
        <v>1</v>
      </c>
      <c r="H664">
        <v>62</v>
      </c>
      <c r="I664">
        <v>0</v>
      </c>
      <c r="J664">
        <v>0</v>
      </c>
      <c r="K664">
        <v>167.942432</v>
      </c>
      <c r="L664">
        <v>0</v>
      </c>
      <c r="M664">
        <v>0</v>
      </c>
      <c r="N664">
        <v>0</v>
      </c>
      <c r="O664" s="8" t="str">
        <f>formatIP(Table1[[#This Row],[Address A]])</f>
        <v>010.012.000.002</v>
      </c>
      <c r="P664" s="8" t="str">
        <f>formatIP(Table1[[#This Row],[Address B]])</f>
        <v>010.011.009.028</v>
      </c>
      <c r="Q664" s="8" t="str">
        <f>VLOOKUP(Table1[[#This Row],[Address A]],IP_Master[],4,FALSE)</f>
        <v>PPPCFC2</v>
      </c>
      <c r="R664" s="8" t="str">
        <f>VLOOKUP(Table1[[#This Row],[Address B]],IP_Master[],4,FALSE)</f>
        <v>EGX100</v>
      </c>
      <c r="S664" s="8" t="str">
        <f>VLOOKUP(Table1[[#This Row],[Address A]],IP_Master[],2,FALSE)</f>
        <v>Fume Control</v>
      </c>
      <c r="T664" s="8" t="str">
        <f>VLOOKUP(Table1[[#This Row],[Address B]],IP_Master[],2,FALSE)</f>
        <v>Miscellaneous</v>
      </c>
      <c r="U664" s="9" t="str">
        <f>VLOOKUP(Table1[[#This Row],[Address A]],IP_Master[],3,FALSE)</f>
        <v>iFIX Nodes &amp; Ethernet Switches</v>
      </c>
      <c r="V664" s="9" t="str">
        <f>VLOOKUP(Table1[[#This Row],[Address B]],IP_Master[],3,FALSE)</f>
        <v>iFIX Nodes &amp; Ethernet Switches</v>
      </c>
      <c r="W664" s="9" t="str">
        <f>VLOOKUP(Table1[[#This Row],[Port B]],traffic_types[],2,FALSE)</f>
        <v>Modbus</v>
      </c>
    </row>
    <row r="665" spans="1:23" x14ac:dyDescent="0.6">
      <c r="A665" t="s">
        <v>97</v>
      </c>
      <c r="B665">
        <v>2573</v>
      </c>
      <c r="C665" t="s">
        <v>87</v>
      </c>
      <c r="D665">
        <v>502</v>
      </c>
      <c r="E665">
        <v>1</v>
      </c>
      <c r="F665" s="13">
        <v>62</v>
      </c>
      <c r="G665">
        <v>1</v>
      </c>
      <c r="H665">
        <v>62</v>
      </c>
      <c r="I665">
        <v>0</v>
      </c>
      <c r="J665">
        <v>0</v>
      </c>
      <c r="K665">
        <v>168.45793699999999</v>
      </c>
      <c r="L665">
        <v>0</v>
      </c>
      <c r="M665">
        <v>0</v>
      </c>
      <c r="N665">
        <v>0</v>
      </c>
      <c r="O665" s="8" t="str">
        <f>formatIP(Table1[[#This Row],[Address A]])</f>
        <v>010.012.000.002</v>
      </c>
      <c r="P665" s="8" t="str">
        <f>formatIP(Table1[[#This Row],[Address B]])</f>
        <v>010.011.009.028</v>
      </c>
      <c r="Q665" s="8" t="str">
        <f>VLOOKUP(Table1[[#This Row],[Address A]],IP_Master[],4,FALSE)</f>
        <v>PPPCFC2</v>
      </c>
      <c r="R665" s="8" t="str">
        <f>VLOOKUP(Table1[[#This Row],[Address B]],IP_Master[],4,FALSE)</f>
        <v>EGX100</v>
      </c>
      <c r="S665" s="8" t="str">
        <f>VLOOKUP(Table1[[#This Row],[Address A]],IP_Master[],2,FALSE)</f>
        <v>Fume Control</v>
      </c>
      <c r="T665" s="8" t="str">
        <f>VLOOKUP(Table1[[#This Row],[Address B]],IP_Master[],2,FALSE)</f>
        <v>Miscellaneous</v>
      </c>
      <c r="U665" s="9" t="str">
        <f>VLOOKUP(Table1[[#This Row],[Address A]],IP_Master[],3,FALSE)</f>
        <v>iFIX Nodes &amp; Ethernet Switches</v>
      </c>
      <c r="V665" s="9" t="str">
        <f>VLOOKUP(Table1[[#This Row],[Address B]],IP_Master[],3,FALSE)</f>
        <v>iFIX Nodes &amp; Ethernet Switches</v>
      </c>
      <c r="W665" s="9" t="str">
        <f>VLOOKUP(Table1[[#This Row],[Port B]],traffic_types[],2,FALSE)</f>
        <v>Modbus</v>
      </c>
    </row>
    <row r="666" spans="1:23" x14ac:dyDescent="0.6">
      <c r="A666" t="s">
        <v>97</v>
      </c>
      <c r="B666">
        <v>2574</v>
      </c>
      <c r="C666" t="s">
        <v>87</v>
      </c>
      <c r="D666">
        <v>502</v>
      </c>
      <c r="E666">
        <v>1</v>
      </c>
      <c r="F666" s="13">
        <v>62</v>
      </c>
      <c r="G666">
        <v>1</v>
      </c>
      <c r="H666">
        <v>62</v>
      </c>
      <c r="I666">
        <v>0</v>
      </c>
      <c r="J666">
        <v>0</v>
      </c>
      <c r="K666">
        <v>170.020601</v>
      </c>
      <c r="L666">
        <v>0</v>
      </c>
      <c r="M666">
        <v>0</v>
      </c>
      <c r="N666">
        <v>0</v>
      </c>
      <c r="O666" s="8" t="str">
        <f>formatIP(Table1[[#This Row],[Address A]])</f>
        <v>010.012.000.002</v>
      </c>
      <c r="P666" s="8" t="str">
        <f>formatIP(Table1[[#This Row],[Address B]])</f>
        <v>010.011.009.028</v>
      </c>
      <c r="Q666" s="8" t="str">
        <f>VLOOKUP(Table1[[#This Row],[Address A]],IP_Master[],4,FALSE)</f>
        <v>PPPCFC2</v>
      </c>
      <c r="R666" s="8" t="str">
        <f>VLOOKUP(Table1[[#This Row],[Address B]],IP_Master[],4,FALSE)</f>
        <v>EGX100</v>
      </c>
      <c r="S666" s="8" t="str">
        <f>VLOOKUP(Table1[[#This Row],[Address A]],IP_Master[],2,FALSE)</f>
        <v>Fume Control</v>
      </c>
      <c r="T666" s="8" t="str">
        <f>VLOOKUP(Table1[[#This Row],[Address B]],IP_Master[],2,FALSE)</f>
        <v>Miscellaneous</v>
      </c>
      <c r="U666" s="9" t="str">
        <f>VLOOKUP(Table1[[#This Row],[Address A]],IP_Master[],3,FALSE)</f>
        <v>iFIX Nodes &amp; Ethernet Switches</v>
      </c>
      <c r="V666" s="9" t="str">
        <f>VLOOKUP(Table1[[#This Row],[Address B]],IP_Master[],3,FALSE)</f>
        <v>iFIX Nodes &amp; Ethernet Switches</v>
      </c>
      <c r="W666" s="9" t="str">
        <f>VLOOKUP(Table1[[#This Row],[Port B]],traffic_types[],2,FALSE)</f>
        <v>Modbus</v>
      </c>
    </row>
    <row r="667" spans="1:23" x14ac:dyDescent="0.6">
      <c r="A667" t="s">
        <v>97</v>
      </c>
      <c r="B667">
        <v>2580</v>
      </c>
      <c r="C667" t="s">
        <v>87</v>
      </c>
      <c r="D667">
        <v>502</v>
      </c>
      <c r="E667">
        <v>2</v>
      </c>
      <c r="F667" s="13">
        <v>124</v>
      </c>
      <c r="G667">
        <v>2</v>
      </c>
      <c r="H667">
        <v>124</v>
      </c>
      <c r="I667">
        <v>0</v>
      </c>
      <c r="J667">
        <v>0</v>
      </c>
      <c r="K667">
        <v>196.65332100000001</v>
      </c>
      <c r="L667">
        <v>2.8835220000000001</v>
      </c>
      <c r="M667">
        <v>344.023732088744</v>
      </c>
      <c r="N667">
        <v>0</v>
      </c>
      <c r="O667" s="8" t="str">
        <f>formatIP(Table1[[#This Row],[Address A]])</f>
        <v>010.012.000.002</v>
      </c>
      <c r="P667" s="8" t="str">
        <f>formatIP(Table1[[#This Row],[Address B]])</f>
        <v>010.011.009.028</v>
      </c>
      <c r="Q667" s="8" t="str">
        <f>VLOOKUP(Table1[[#This Row],[Address A]],IP_Master[],4,FALSE)</f>
        <v>PPPCFC2</v>
      </c>
      <c r="R667" s="8" t="str">
        <f>VLOOKUP(Table1[[#This Row],[Address B]],IP_Master[],4,FALSE)</f>
        <v>EGX100</v>
      </c>
      <c r="S667" s="8" t="str">
        <f>VLOOKUP(Table1[[#This Row],[Address A]],IP_Master[],2,FALSE)</f>
        <v>Fume Control</v>
      </c>
      <c r="T667" s="8" t="str">
        <f>VLOOKUP(Table1[[#This Row],[Address B]],IP_Master[],2,FALSE)</f>
        <v>Miscellaneous</v>
      </c>
      <c r="U667" s="9" t="str">
        <f>VLOOKUP(Table1[[#This Row],[Address A]],IP_Master[],3,FALSE)</f>
        <v>iFIX Nodes &amp; Ethernet Switches</v>
      </c>
      <c r="V667" s="9" t="str">
        <f>VLOOKUP(Table1[[#This Row],[Address B]],IP_Master[],3,FALSE)</f>
        <v>iFIX Nodes &amp; Ethernet Switches</v>
      </c>
      <c r="W667" s="9" t="str">
        <f>VLOOKUP(Table1[[#This Row],[Port B]],traffic_types[],2,FALSE)</f>
        <v>Modbus</v>
      </c>
    </row>
    <row r="668" spans="1:23" x14ac:dyDescent="0.6">
      <c r="A668" t="s">
        <v>97</v>
      </c>
      <c r="B668">
        <v>2581</v>
      </c>
      <c r="C668" t="s">
        <v>87</v>
      </c>
      <c r="D668">
        <v>502</v>
      </c>
      <c r="E668">
        <v>2</v>
      </c>
      <c r="F668" s="13">
        <v>124</v>
      </c>
      <c r="G668">
        <v>2</v>
      </c>
      <c r="H668">
        <v>124</v>
      </c>
      <c r="I668">
        <v>0</v>
      </c>
      <c r="J668">
        <v>0</v>
      </c>
      <c r="K668">
        <v>197.80939499999999</v>
      </c>
      <c r="L668">
        <v>2.9346169999999998</v>
      </c>
      <c r="M668">
        <v>338.03388994202601</v>
      </c>
      <c r="N668">
        <v>0</v>
      </c>
      <c r="O668" s="8" t="str">
        <f>formatIP(Table1[[#This Row],[Address A]])</f>
        <v>010.012.000.002</v>
      </c>
      <c r="P668" s="8" t="str">
        <f>formatIP(Table1[[#This Row],[Address B]])</f>
        <v>010.011.009.028</v>
      </c>
      <c r="Q668" s="8" t="str">
        <f>VLOOKUP(Table1[[#This Row],[Address A]],IP_Master[],4,FALSE)</f>
        <v>PPPCFC2</v>
      </c>
      <c r="R668" s="8" t="str">
        <f>VLOOKUP(Table1[[#This Row],[Address B]],IP_Master[],4,FALSE)</f>
        <v>EGX100</v>
      </c>
      <c r="S668" s="8" t="str">
        <f>VLOOKUP(Table1[[#This Row],[Address A]],IP_Master[],2,FALSE)</f>
        <v>Fume Control</v>
      </c>
      <c r="T668" s="8" t="str">
        <f>VLOOKUP(Table1[[#This Row],[Address B]],IP_Master[],2,FALSE)</f>
        <v>Miscellaneous</v>
      </c>
      <c r="U668" s="9" t="str">
        <f>VLOOKUP(Table1[[#This Row],[Address A]],IP_Master[],3,FALSE)</f>
        <v>iFIX Nodes &amp; Ethernet Switches</v>
      </c>
      <c r="V668" s="9" t="str">
        <f>VLOOKUP(Table1[[#This Row],[Address B]],IP_Master[],3,FALSE)</f>
        <v>iFIX Nodes &amp; Ethernet Switches</v>
      </c>
      <c r="W668" s="9" t="str">
        <f>VLOOKUP(Table1[[#This Row],[Port B]],traffic_types[],2,FALSE)</f>
        <v>Modbus</v>
      </c>
    </row>
    <row r="669" spans="1:23" x14ac:dyDescent="0.6">
      <c r="A669" t="s">
        <v>97</v>
      </c>
      <c r="B669">
        <v>2582</v>
      </c>
      <c r="C669" t="s">
        <v>87</v>
      </c>
      <c r="D669">
        <v>502</v>
      </c>
      <c r="E669">
        <v>2</v>
      </c>
      <c r="F669" s="13">
        <v>124</v>
      </c>
      <c r="G669">
        <v>2</v>
      </c>
      <c r="H669">
        <v>124</v>
      </c>
      <c r="I669">
        <v>0</v>
      </c>
      <c r="J669">
        <v>0</v>
      </c>
      <c r="K669">
        <v>197.95099200000001</v>
      </c>
      <c r="L669">
        <v>2.9941179999999901</v>
      </c>
      <c r="M669">
        <v>331.31626742833902</v>
      </c>
      <c r="N669">
        <v>0</v>
      </c>
      <c r="O669" s="8" t="str">
        <f>formatIP(Table1[[#This Row],[Address A]])</f>
        <v>010.012.000.002</v>
      </c>
      <c r="P669" s="8" t="str">
        <f>formatIP(Table1[[#This Row],[Address B]])</f>
        <v>010.011.009.028</v>
      </c>
      <c r="Q669" s="8" t="str">
        <f>VLOOKUP(Table1[[#This Row],[Address A]],IP_Master[],4,FALSE)</f>
        <v>PPPCFC2</v>
      </c>
      <c r="R669" s="8" t="str">
        <f>VLOOKUP(Table1[[#This Row],[Address B]],IP_Master[],4,FALSE)</f>
        <v>EGX100</v>
      </c>
      <c r="S669" s="8" t="str">
        <f>VLOOKUP(Table1[[#This Row],[Address A]],IP_Master[],2,FALSE)</f>
        <v>Fume Control</v>
      </c>
      <c r="T669" s="8" t="str">
        <f>VLOOKUP(Table1[[#This Row],[Address B]],IP_Master[],2,FALSE)</f>
        <v>Miscellaneous</v>
      </c>
      <c r="U669" s="9" t="str">
        <f>VLOOKUP(Table1[[#This Row],[Address A]],IP_Master[],3,FALSE)</f>
        <v>iFIX Nodes &amp; Ethernet Switches</v>
      </c>
      <c r="V669" s="9" t="str">
        <f>VLOOKUP(Table1[[#This Row],[Address B]],IP_Master[],3,FALSE)</f>
        <v>iFIX Nodes &amp; Ethernet Switches</v>
      </c>
      <c r="W669" s="9" t="str">
        <f>VLOOKUP(Table1[[#This Row],[Port B]],traffic_types[],2,FALSE)</f>
        <v>Modbus</v>
      </c>
    </row>
    <row r="670" spans="1:23" x14ac:dyDescent="0.6">
      <c r="A670" t="s">
        <v>97</v>
      </c>
      <c r="B670">
        <v>2583</v>
      </c>
      <c r="C670" t="s">
        <v>87</v>
      </c>
      <c r="D670">
        <v>502</v>
      </c>
      <c r="E670">
        <v>2</v>
      </c>
      <c r="F670" s="13">
        <v>124</v>
      </c>
      <c r="G670">
        <v>2</v>
      </c>
      <c r="H670">
        <v>124</v>
      </c>
      <c r="I670">
        <v>0</v>
      </c>
      <c r="J670">
        <v>0</v>
      </c>
      <c r="K670">
        <v>198.45985400000001</v>
      </c>
      <c r="L670">
        <v>2.9882369999999998</v>
      </c>
      <c r="M670">
        <v>331.968314427537</v>
      </c>
      <c r="N670">
        <v>0</v>
      </c>
      <c r="O670" s="8" t="str">
        <f>formatIP(Table1[[#This Row],[Address A]])</f>
        <v>010.012.000.002</v>
      </c>
      <c r="P670" s="8" t="str">
        <f>formatIP(Table1[[#This Row],[Address B]])</f>
        <v>010.011.009.028</v>
      </c>
      <c r="Q670" s="8" t="str">
        <f>VLOOKUP(Table1[[#This Row],[Address A]],IP_Master[],4,FALSE)</f>
        <v>PPPCFC2</v>
      </c>
      <c r="R670" s="8" t="str">
        <f>VLOOKUP(Table1[[#This Row],[Address B]],IP_Master[],4,FALSE)</f>
        <v>EGX100</v>
      </c>
      <c r="S670" s="8" t="str">
        <f>VLOOKUP(Table1[[#This Row],[Address A]],IP_Master[],2,FALSE)</f>
        <v>Fume Control</v>
      </c>
      <c r="T670" s="8" t="str">
        <f>VLOOKUP(Table1[[#This Row],[Address B]],IP_Master[],2,FALSE)</f>
        <v>Miscellaneous</v>
      </c>
      <c r="U670" s="9" t="str">
        <f>VLOOKUP(Table1[[#This Row],[Address A]],IP_Master[],3,FALSE)</f>
        <v>iFIX Nodes &amp; Ethernet Switches</v>
      </c>
      <c r="V670" s="9" t="str">
        <f>VLOOKUP(Table1[[#This Row],[Address B]],IP_Master[],3,FALSE)</f>
        <v>iFIX Nodes &amp; Ethernet Switches</v>
      </c>
      <c r="W670" s="9" t="str">
        <f>VLOOKUP(Table1[[#This Row],[Port B]],traffic_types[],2,FALSE)</f>
        <v>Modbus</v>
      </c>
    </row>
    <row r="671" spans="1:23" x14ac:dyDescent="0.6">
      <c r="A671" t="s">
        <v>97</v>
      </c>
      <c r="B671">
        <v>2584</v>
      </c>
      <c r="C671" t="s">
        <v>87</v>
      </c>
      <c r="D671">
        <v>502</v>
      </c>
      <c r="E671">
        <v>1</v>
      </c>
      <c r="F671" s="13">
        <v>62</v>
      </c>
      <c r="G671">
        <v>1</v>
      </c>
      <c r="H671">
        <v>62</v>
      </c>
      <c r="I671">
        <v>0</v>
      </c>
      <c r="J671">
        <v>0</v>
      </c>
      <c r="K671">
        <v>199.66138799999999</v>
      </c>
      <c r="L671">
        <v>0</v>
      </c>
      <c r="M671">
        <v>0</v>
      </c>
      <c r="N671">
        <v>0</v>
      </c>
      <c r="O671" s="8" t="str">
        <f>formatIP(Table1[[#This Row],[Address A]])</f>
        <v>010.012.000.002</v>
      </c>
      <c r="P671" s="8" t="str">
        <f>formatIP(Table1[[#This Row],[Address B]])</f>
        <v>010.011.009.028</v>
      </c>
      <c r="Q671" s="8" t="str">
        <f>VLOOKUP(Table1[[#This Row],[Address A]],IP_Master[],4,FALSE)</f>
        <v>PPPCFC2</v>
      </c>
      <c r="R671" s="8" t="str">
        <f>VLOOKUP(Table1[[#This Row],[Address B]],IP_Master[],4,FALSE)</f>
        <v>EGX100</v>
      </c>
      <c r="S671" s="8" t="str">
        <f>VLOOKUP(Table1[[#This Row],[Address A]],IP_Master[],2,FALSE)</f>
        <v>Fume Control</v>
      </c>
      <c r="T671" s="8" t="str">
        <f>VLOOKUP(Table1[[#This Row],[Address B]],IP_Master[],2,FALSE)</f>
        <v>Miscellaneous</v>
      </c>
      <c r="U671" s="9" t="str">
        <f>VLOOKUP(Table1[[#This Row],[Address A]],IP_Master[],3,FALSE)</f>
        <v>iFIX Nodes &amp; Ethernet Switches</v>
      </c>
      <c r="V671" s="9" t="str">
        <f>VLOOKUP(Table1[[#This Row],[Address B]],IP_Master[],3,FALSE)</f>
        <v>iFIX Nodes &amp; Ethernet Switches</v>
      </c>
      <c r="W671" s="9" t="str">
        <f>VLOOKUP(Table1[[#This Row],[Port B]],traffic_types[],2,FALSE)</f>
        <v>Modbus</v>
      </c>
    </row>
    <row r="672" spans="1:23" x14ac:dyDescent="0.6">
      <c r="A672" t="s">
        <v>97</v>
      </c>
      <c r="B672">
        <v>2585</v>
      </c>
      <c r="C672" t="s">
        <v>87</v>
      </c>
      <c r="D672">
        <v>502</v>
      </c>
      <c r="E672">
        <v>2</v>
      </c>
      <c r="F672" s="13">
        <v>124</v>
      </c>
      <c r="G672">
        <v>2</v>
      </c>
      <c r="H672">
        <v>124</v>
      </c>
      <c r="I672">
        <v>0</v>
      </c>
      <c r="J672">
        <v>0</v>
      </c>
      <c r="K672">
        <v>200.03142399999999</v>
      </c>
      <c r="L672">
        <v>2.9254400000000098</v>
      </c>
      <c r="M672">
        <v>339.09429008969499</v>
      </c>
      <c r="N672">
        <v>0</v>
      </c>
      <c r="O672" s="8" t="str">
        <f>formatIP(Table1[[#This Row],[Address A]])</f>
        <v>010.012.000.002</v>
      </c>
      <c r="P672" s="8" t="str">
        <f>formatIP(Table1[[#This Row],[Address B]])</f>
        <v>010.011.009.028</v>
      </c>
      <c r="Q672" s="8" t="str">
        <f>VLOOKUP(Table1[[#This Row],[Address A]],IP_Master[],4,FALSE)</f>
        <v>PPPCFC2</v>
      </c>
      <c r="R672" s="8" t="str">
        <f>VLOOKUP(Table1[[#This Row],[Address B]],IP_Master[],4,FALSE)</f>
        <v>EGX100</v>
      </c>
      <c r="S672" s="8" t="str">
        <f>VLOOKUP(Table1[[#This Row],[Address A]],IP_Master[],2,FALSE)</f>
        <v>Fume Control</v>
      </c>
      <c r="T672" s="8" t="str">
        <f>VLOOKUP(Table1[[#This Row],[Address B]],IP_Master[],2,FALSE)</f>
        <v>Miscellaneous</v>
      </c>
      <c r="U672" s="9" t="str">
        <f>VLOOKUP(Table1[[#This Row],[Address A]],IP_Master[],3,FALSE)</f>
        <v>iFIX Nodes &amp; Ethernet Switches</v>
      </c>
      <c r="V672" s="9" t="str">
        <f>VLOOKUP(Table1[[#This Row],[Address B]],IP_Master[],3,FALSE)</f>
        <v>iFIX Nodes &amp; Ethernet Switches</v>
      </c>
      <c r="W672" s="9" t="str">
        <f>VLOOKUP(Table1[[#This Row],[Port B]],traffic_types[],2,FALSE)</f>
        <v>Modbus</v>
      </c>
    </row>
    <row r="673" spans="1:23" x14ac:dyDescent="0.6">
      <c r="A673" t="s">
        <v>97</v>
      </c>
      <c r="B673">
        <v>2586</v>
      </c>
      <c r="C673" t="s">
        <v>87</v>
      </c>
      <c r="D673">
        <v>502</v>
      </c>
      <c r="E673">
        <v>1</v>
      </c>
      <c r="F673" s="13">
        <v>62</v>
      </c>
      <c r="G673">
        <v>1</v>
      </c>
      <c r="H673">
        <v>62</v>
      </c>
      <c r="I673">
        <v>0</v>
      </c>
      <c r="J673">
        <v>0</v>
      </c>
      <c r="K673">
        <v>200.817657</v>
      </c>
      <c r="L673">
        <v>0</v>
      </c>
      <c r="M673">
        <v>0</v>
      </c>
      <c r="N673">
        <v>0</v>
      </c>
      <c r="O673" s="8" t="str">
        <f>formatIP(Table1[[#This Row],[Address A]])</f>
        <v>010.012.000.002</v>
      </c>
      <c r="P673" s="8" t="str">
        <f>formatIP(Table1[[#This Row],[Address B]])</f>
        <v>010.011.009.028</v>
      </c>
      <c r="Q673" s="8" t="str">
        <f>VLOOKUP(Table1[[#This Row],[Address A]],IP_Master[],4,FALSE)</f>
        <v>PPPCFC2</v>
      </c>
      <c r="R673" s="8" t="str">
        <f>VLOOKUP(Table1[[#This Row],[Address B]],IP_Master[],4,FALSE)</f>
        <v>EGX100</v>
      </c>
      <c r="S673" s="8" t="str">
        <f>VLOOKUP(Table1[[#This Row],[Address A]],IP_Master[],2,FALSE)</f>
        <v>Fume Control</v>
      </c>
      <c r="T673" s="8" t="str">
        <f>VLOOKUP(Table1[[#This Row],[Address B]],IP_Master[],2,FALSE)</f>
        <v>Miscellaneous</v>
      </c>
      <c r="U673" s="9" t="str">
        <f>VLOOKUP(Table1[[#This Row],[Address A]],IP_Master[],3,FALSE)</f>
        <v>iFIX Nodes &amp; Ethernet Switches</v>
      </c>
      <c r="V673" s="9" t="str">
        <f>VLOOKUP(Table1[[#This Row],[Address B]],IP_Master[],3,FALSE)</f>
        <v>iFIX Nodes &amp; Ethernet Switches</v>
      </c>
      <c r="W673" s="9" t="str">
        <f>VLOOKUP(Table1[[#This Row],[Port B]],traffic_types[],2,FALSE)</f>
        <v>Modbus</v>
      </c>
    </row>
    <row r="674" spans="1:23" x14ac:dyDescent="0.6">
      <c r="A674" t="s">
        <v>97</v>
      </c>
      <c r="B674">
        <v>2587</v>
      </c>
      <c r="C674" t="s">
        <v>87</v>
      </c>
      <c r="D674">
        <v>502</v>
      </c>
      <c r="E674">
        <v>1</v>
      </c>
      <c r="F674" s="13">
        <v>62</v>
      </c>
      <c r="G674">
        <v>1</v>
      </c>
      <c r="H674">
        <v>62</v>
      </c>
      <c r="I674">
        <v>0</v>
      </c>
      <c r="J674">
        <v>0</v>
      </c>
      <c r="K674">
        <v>200.95862600000001</v>
      </c>
      <c r="L674">
        <v>0</v>
      </c>
      <c r="M674">
        <v>0</v>
      </c>
      <c r="N674">
        <v>0</v>
      </c>
      <c r="O674" s="8" t="str">
        <f>formatIP(Table1[[#This Row],[Address A]])</f>
        <v>010.012.000.002</v>
      </c>
      <c r="P674" s="8" t="str">
        <f>formatIP(Table1[[#This Row],[Address B]])</f>
        <v>010.011.009.028</v>
      </c>
      <c r="Q674" s="8" t="str">
        <f>VLOOKUP(Table1[[#This Row],[Address A]],IP_Master[],4,FALSE)</f>
        <v>PPPCFC2</v>
      </c>
      <c r="R674" s="8" t="str">
        <f>VLOOKUP(Table1[[#This Row],[Address B]],IP_Master[],4,FALSE)</f>
        <v>EGX100</v>
      </c>
      <c r="S674" s="8" t="str">
        <f>VLOOKUP(Table1[[#This Row],[Address A]],IP_Master[],2,FALSE)</f>
        <v>Fume Control</v>
      </c>
      <c r="T674" s="8" t="str">
        <f>VLOOKUP(Table1[[#This Row],[Address B]],IP_Master[],2,FALSE)</f>
        <v>Miscellaneous</v>
      </c>
      <c r="U674" s="9" t="str">
        <f>VLOOKUP(Table1[[#This Row],[Address A]],IP_Master[],3,FALSE)</f>
        <v>iFIX Nodes &amp; Ethernet Switches</v>
      </c>
      <c r="V674" s="9" t="str">
        <f>VLOOKUP(Table1[[#This Row],[Address B]],IP_Master[],3,FALSE)</f>
        <v>iFIX Nodes &amp; Ethernet Switches</v>
      </c>
      <c r="W674" s="9" t="str">
        <f>VLOOKUP(Table1[[#This Row],[Port B]],traffic_types[],2,FALSE)</f>
        <v>Modbus</v>
      </c>
    </row>
    <row r="675" spans="1:23" x14ac:dyDescent="0.6">
      <c r="A675" t="s">
        <v>97</v>
      </c>
      <c r="B675">
        <v>2588</v>
      </c>
      <c r="C675" t="s">
        <v>87</v>
      </c>
      <c r="D675">
        <v>502</v>
      </c>
      <c r="E675">
        <v>1</v>
      </c>
      <c r="F675" s="13">
        <v>62</v>
      </c>
      <c r="G675">
        <v>1</v>
      </c>
      <c r="H675">
        <v>62</v>
      </c>
      <c r="I675">
        <v>0</v>
      </c>
      <c r="J675">
        <v>0</v>
      </c>
      <c r="K675">
        <v>201.47396000000001</v>
      </c>
      <c r="L675">
        <v>0</v>
      </c>
      <c r="M675">
        <v>0</v>
      </c>
      <c r="N675">
        <v>0</v>
      </c>
      <c r="O675" s="8" t="str">
        <f>formatIP(Table1[[#This Row],[Address A]])</f>
        <v>010.012.000.002</v>
      </c>
      <c r="P675" s="8" t="str">
        <f>formatIP(Table1[[#This Row],[Address B]])</f>
        <v>010.011.009.028</v>
      </c>
      <c r="Q675" s="8" t="str">
        <f>VLOOKUP(Table1[[#This Row],[Address A]],IP_Master[],4,FALSE)</f>
        <v>PPPCFC2</v>
      </c>
      <c r="R675" s="8" t="str">
        <f>VLOOKUP(Table1[[#This Row],[Address B]],IP_Master[],4,FALSE)</f>
        <v>EGX100</v>
      </c>
      <c r="S675" s="8" t="str">
        <f>VLOOKUP(Table1[[#This Row],[Address A]],IP_Master[],2,FALSE)</f>
        <v>Fume Control</v>
      </c>
      <c r="T675" s="8" t="str">
        <f>VLOOKUP(Table1[[#This Row],[Address B]],IP_Master[],2,FALSE)</f>
        <v>Miscellaneous</v>
      </c>
      <c r="U675" s="9" t="str">
        <f>VLOOKUP(Table1[[#This Row],[Address A]],IP_Master[],3,FALSE)</f>
        <v>iFIX Nodes &amp; Ethernet Switches</v>
      </c>
      <c r="V675" s="9" t="str">
        <f>VLOOKUP(Table1[[#This Row],[Address B]],IP_Master[],3,FALSE)</f>
        <v>iFIX Nodes &amp; Ethernet Switches</v>
      </c>
      <c r="W675" s="9" t="str">
        <f>VLOOKUP(Table1[[#This Row],[Port B]],traffic_types[],2,FALSE)</f>
        <v>Modbus</v>
      </c>
    </row>
    <row r="676" spans="1:23" x14ac:dyDescent="0.6">
      <c r="A676" t="s">
        <v>97</v>
      </c>
      <c r="B676">
        <v>2589</v>
      </c>
      <c r="C676" t="s">
        <v>87</v>
      </c>
      <c r="D676">
        <v>502</v>
      </c>
      <c r="E676">
        <v>1</v>
      </c>
      <c r="F676" s="13">
        <v>62</v>
      </c>
      <c r="G676">
        <v>1</v>
      </c>
      <c r="H676">
        <v>62</v>
      </c>
      <c r="I676">
        <v>0</v>
      </c>
      <c r="J676">
        <v>0</v>
      </c>
      <c r="K676">
        <v>203.03640100000001</v>
      </c>
      <c r="L676">
        <v>0</v>
      </c>
      <c r="M676">
        <v>0</v>
      </c>
      <c r="N676">
        <v>0</v>
      </c>
      <c r="O676" s="8" t="str">
        <f>formatIP(Table1[[#This Row],[Address A]])</f>
        <v>010.012.000.002</v>
      </c>
      <c r="P676" s="8" t="str">
        <f>formatIP(Table1[[#This Row],[Address B]])</f>
        <v>010.011.009.028</v>
      </c>
      <c r="Q676" s="8" t="str">
        <f>VLOOKUP(Table1[[#This Row],[Address A]],IP_Master[],4,FALSE)</f>
        <v>PPPCFC2</v>
      </c>
      <c r="R676" s="8" t="str">
        <f>VLOOKUP(Table1[[#This Row],[Address B]],IP_Master[],4,FALSE)</f>
        <v>EGX100</v>
      </c>
      <c r="S676" s="8" t="str">
        <f>VLOOKUP(Table1[[#This Row],[Address A]],IP_Master[],2,FALSE)</f>
        <v>Fume Control</v>
      </c>
      <c r="T676" s="8" t="str">
        <f>VLOOKUP(Table1[[#This Row],[Address B]],IP_Master[],2,FALSE)</f>
        <v>Miscellaneous</v>
      </c>
      <c r="U676" s="9" t="str">
        <f>VLOOKUP(Table1[[#This Row],[Address A]],IP_Master[],3,FALSE)</f>
        <v>iFIX Nodes &amp; Ethernet Switches</v>
      </c>
      <c r="V676" s="9" t="str">
        <f>VLOOKUP(Table1[[#This Row],[Address B]],IP_Master[],3,FALSE)</f>
        <v>iFIX Nodes &amp; Ethernet Switches</v>
      </c>
      <c r="W676" s="9" t="str">
        <f>VLOOKUP(Table1[[#This Row],[Port B]],traffic_types[],2,FALSE)</f>
        <v>Modbus</v>
      </c>
    </row>
    <row r="677" spans="1:23" x14ac:dyDescent="0.6">
      <c r="A677" t="s">
        <v>97</v>
      </c>
      <c r="B677">
        <v>2595</v>
      </c>
      <c r="C677" t="s">
        <v>87</v>
      </c>
      <c r="D677">
        <v>502</v>
      </c>
      <c r="E677">
        <v>2</v>
      </c>
      <c r="F677" s="13">
        <v>124</v>
      </c>
      <c r="G677">
        <v>2</v>
      </c>
      <c r="H677">
        <v>124</v>
      </c>
      <c r="I677">
        <v>0</v>
      </c>
      <c r="J677">
        <v>0</v>
      </c>
      <c r="K677">
        <v>229.67213599999999</v>
      </c>
      <c r="L677">
        <v>2.9578710000000101</v>
      </c>
      <c r="M677">
        <v>335.376356845852</v>
      </c>
      <c r="N677">
        <v>0</v>
      </c>
      <c r="O677" s="8" t="str">
        <f>formatIP(Table1[[#This Row],[Address A]])</f>
        <v>010.012.000.002</v>
      </c>
      <c r="P677" s="8" t="str">
        <f>formatIP(Table1[[#This Row],[Address B]])</f>
        <v>010.011.009.028</v>
      </c>
      <c r="Q677" s="8" t="str">
        <f>VLOOKUP(Table1[[#This Row],[Address A]],IP_Master[],4,FALSE)</f>
        <v>PPPCFC2</v>
      </c>
      <c r="R677" s="8" t="str">
        <f>VLOOKUP(Table1[[#This Row],[Address B]],IP_Master[],4,FALSE)</f>
        <v>EGX100</v>
      </c>
      <c r="S677" s="8" t="str">
        <f>VLOOKUP(Table1[[#This Row],[Address A]],IP_Master[],2,FALSE)</f>
        <v>Fume Control</v>
      </c>
      <c r="T677" s="8" t="str">
        <f>VLOOKUP(Table1[[#This Row],[Address B]],IP_Master[],2,FALSE)</f>
        <v>Miscellaneous</v>
      </c>
      <c r="U677" s="9" t="str">
        <f>VLOOKUP(Table1[[#This Row],[Address A]],IP_Master[],3,FALSE)</f>
        <v>iFIX Nodes &amp; Ethernet Switches</v>
      </c>
      <c r="V677" s="9" t="str">
        <f>VLOOKUP(Table1[[#This Row],[Address B]],IP_Master[],3,FALSE)</f>
        <v>iFIX Nodes &amp; Ethernet Switches</v>
      </c>
      <c r="W677" s="9" t="str">
        <f>VLOOKUP(Table1[[#This Row],[Port B]],traffic_types[],2,FALSE)</f>
        <v>Modbus</v>
      </c>
    </row>
    <row r="678" spans="1:23" x14ac:dyDescent="0.6">
      <c r="A678" t="s">
        <v>97</v>
      </c>
      <c r="B678">
        <v>2596</v>
      </c>
      <c r="C678" t="s">
        <v>87</v>
      </c>
      <c r="D678">
        <v>502</v>
      </c>
      <c r="E678">
        <v>2</v>
      </c>
      <c r="F678" s="13">
        <v>124</v>
      </c>
      <c r="G678">
        <v>2</v>
      </c>
      <c r="H678">
        <v>124</v>
      </c>
      <c r="I678">
        <v>0</v>
      </c>
      <c r="J678">
        <v>0</v>
      </c>
      <c r="K678">
        <v>230.819951</v>
      </c>
      <c r="L678">
        <v>2.9164020000000099</v>
      </c>
      <c r="M678">
        <v>340.14515145717201</v>
      </c>
      <c r="N678">
        <v>0</v>
      </c>
      <c r="O678" s="8" t="str">
        <f>formatIP(Table1[[#This Row],[Address A]])</f>
        <v>010.012.000.002</v>
      </c>
      <c r="P678" s="8" t="str">
        <f>formatIP(Table1[[#This Row],[Address B]])</f>
        <v>010.011.009.028</v>
      </c>
      <c r="Q678" s="8" t="str">
        <f>VLOOKUP(Table1[[#This Row],[Address A]],IP_Master[],4,FALSE)</f>
        <v>PPPCFC2</v>
      </c>
      <c r="R678" s="8" t="str">
        <f>VLOOKUP(Table1[[#This Row],[Address B]],IP_Master[],4,FALSE)</f>
        <v>EGX100</v>
      </c>
      <c r="S678" s="8" t="str">
        <f>VLOOKUP(Table1[[#This Row],[Address A]],IP_Master[],2,FALSE)</f>
        <v>Fume Control</v>
      </c>
      <c r="T678" s="8" t="str">
        <f>VLOOKUP(Table1[[#This Row],[Address B]],IP_Master[],2,FALSE)</f>
        <v>Miscellaneous</v>
      </c>
      <c r="U678" s="9" t="str">
        <f>VLOOKUP(Table1[[#This Row],[Address A]],IP_Master[],3,FALSE)</f>
        <v>iFIX Nodes &amp; Ethernet Switches</v>
      </c>
      <c r="V678" s="9" t="str">
        <f>VLOOKUP(Table1[[#This Row],[Address B]],IP_Master[],3,FALSE)</f>
        <v>iFIX Nodes &amp; Ethernet Switches</v>
      </c>
      <c r="W678" s="9" t="str">
        <f>VLOOKUP(Table1[[#This Row],[Port B]],traffic_types[],2,FALSE)</f>
        <v>Modbus</v>
      </c>
    </row>
    <row r="679" spans="1:23" x14ac:dyDescent="0.6">
      <c r="A679" t="s">
        <v>97</v>
      </c>
      <c r="B679">
        <v>2597</v>
      </c>
      <c r="C679" t="s">
        <v>87</v>
      </c>
      <c r="D679">
        <v>502</v>
      </c>
      <c r="E679">
        <v>2</v>
      </c>
      <c r="F679" s="13">
        <v>124</v>
      </c>
      <c r="G679">
        <v>2</v>
      </c>
      <c r="H679">
        <v>124</v>
      </c>
      <c r="I679">
        <v>0</v>
      </c>
      <c r="J679">
        <v>0</v>
      </c>
      <c r="K679">
        <v>230.962076</v>
      </c>
      <c r="L679">
        <v>2.87486799999999</v>
      </c>
      <c r="M679">
        <v>345.05932098447698</v>
      </c>
      <c r="N679">
        <v>0</v>
      </c>
      <c r="O679" s="8" t="str">
        <f>formatIP(Table1[[#This Row],[Address A]])</f>
        <v>010.012.000.002</v>
      </c>
      <c r="P679" s="8" t="str">
        <f>formatIP(Table1[[#This Row],[Address B]])</f>
        <v>010.011.009.028</v>
      </c>
      <c r="Q679" s="8" t="str">
        <f>VLOOKUP(Table1[[#This Row],[Address A]],IP_Master[],4,FALSE)</f>
        <v>PPPCFC2</v>
      </c>
      <c r="R679" s="8" t="str">
        <f>VLOOKUP(Table1[[#This Row],[Address B]],IP_Master[],4,FALSE)</f>
        <v>EGX100</v>
      </c>
      <c r="S679" s="8" t="str">
        <f>VLOOKUP(Table1[[#This Row],[Address A]],IP_Master[],2,FALSE)</f>
        <v>Fume Control</v>
      </c>
      <c r="T679" s="8" t="str">
        <f>VLOOKUP(Table1[[#This Row],[Address B]],IP_Master[],2,FALSE)</f>
        <v>Miscellaneous</v>
      </c>
      <c r="U679" s="9" t="str">
        <f>VLOOKUP(Table1[[#This Row],[Address A]],IP_Master[],3,FALSE)</f>
        <v>iFIX Nodes &amp; Ethernet Switches</v>
      </c>
      <c r="V679" s="9" t="str">
        <f>VLOOKUP(Table1[[#This Row],[Address B]],IP_Master[],3,FALSE)</f>
        <v>iFIX Nodes &amp; Ethernet Switches</v>
      </c>
      <c r="W679" s="9" t="str">
        <f>VLOOKUP(Table1[[#This Row],[Port B]],traffic_types[],2,FALSE)</f>
        <v>Modbus</v>
      </c>
    </row>
    <row r="680" spans="1:23" x14ac:dyDescent="0.6">
      <c r="A680" t="s">
        <v>97</v>
      </c>
      <c r="B680">
        <v>2598</v>
      </c>
      <c r="C680" t="s">
        <v>87</v>
      </c>
      <c r="D680">
        <v>502</v>
      </c>
      <c r="E680">
        <v>2</v>
      </c>
      <c r="F680" s="13">
        <v>124</v>
      </c>
      <c r="G680">
        <v>2</v>
      </c>
      <c r="H680">
        <v>124</v>
      </c>
      <c r="I680">
        <v>0</v>
      </c>
      <c r="J680">
        <v>0</v>
      </c>
      <c r="K680">
        <v>231.48109199999999</v>
      </c>
      <c r="L680">
        <v>2.9593760000000202</v>
      </c>
      <c r="M680">
        <v>335.20580014164898</v>
      </c>
      <c r="N680">
        <v>0</v>
      </c>
      <c r="O680" s="8" t="str">
        <f>formatIP(Table1[[#This Row],[Address A]])</f>
        <v>010.012.000.002</v>
      </c>
      <c r="P680" s="8" t="str">
        <f>formatIP(Table1[[#This Row],[Address B]])</f>
        <v>010.011.009.028</v>
      </c>
      <c r="Q680" s="8" t="str">
        <f>VLOOKUP(Table1[[#This Row],[Address A]],IP_Master[],4,FALSE)</f>
        <v>PPPCFC2</v>
      </c>
      <c r="R680" s="8" t="str">
        <f>VLOOKUP(Table1[[#This Row],[Address B]],IP_Master[],4,FALSE)</f>
        <v>EGX100</v>
      </c>
      <c r="S680" s="8" t="str">
        <f>VLOOKUP(Table1[[#This Row],[Address A]],IP_Master[],2,FALSE)</f>
        <v>Fume Control</v>
      </c>
      <c r="T680" s="8" t="str">
        <f>VLOOKUP(Table1[[#This Row],[Address B]],IP_Master[],2,FALSE)</f>
        <v>Miscellaneous</v>
      </c>
      <c r="U680" s="9" t="str">
        <f>VLOOKUP(Table1[[#This Row],[Address A]],IP_Master[],3,FALSE)</f>
        <v>iFIX Nodes &amp; Ethernet Switches</v>
      </c>
      <c r="V680" s="9" t="str">
        <f>VLOOKUP(Table1[[#This Row],[Address B]],IP_Master[],3,FALSE)</f>
        <v>iFIX Nodes &amp; Ethernet Switches</v>
      </c>
      <c r="W680" s="9" t="str">
        <f>VLOOKUP(Table1[[#This Row],[Port B]],traffic_types[],2,FALSE)</f>
        <v>Modbus</v>
      </c>
    </row>
    <row r="681" spans="1:23" x14ac:dyDescent="0.6">
      <c r="A681" t="s">
        <v>97</v>
      </c>
      <c r="B681">
        <v>2599</v>
      </c>
      <c r="C681" t="s">
        <v>87</v>
      </c>
      <c r="D681">
        <v>502</v>
      </c>
      <c r="E681">
        <v>1</v>
      </c>
      <c r="F681" s="13">
        <v>62</v>
      </c>
      <c r="G681">
        <v>1</v>
      </c>
      <c r="H681">
        <v>62</v>
      </c>
      <c r="I681">
        <v>0</v>
      </c>
      <c r="J681">
        <v>0</v>
      </c>
      <c r="K681">
        <v>232.67898299999999</v>
      </c>
      <c r="L681">
        <v>0</v>
      </c>
      <c r="M681">
        <v>0</v>
      </c>
      <c r="N681">
        <v>0</v>
      </c>
      <c r="O681" s="8" t="str">
        <f>formatIP(Table1[[#This Row],[Address A]])</f>
        <v>010.012.000.002</v>
      </c>
      <c r="P681" s="8" t="str">
        <f>formatIP(Table1[[#This Row],[Address B]])</f>
        <v>010.011.009.028</v>
      </c>
      <c r="Q681" s="8" t="str">
        <f>VLOOKUP(Table1[[#This Row],[Address A]],IP_Master[],4,FALSE)</f>
        <v>PPPCFC2</v>
      </c>
      <c r="R681" s="8" t="str">
        <f>VLOOKUP(Table1[[#This Row],[Address B]],IP_Master[],4,FALSE)</f>
        <v>EGX100</v>
      </c>
      <c r="S681" s="8" t="str">
        <f>VLOOKUP(Table1[[#This Row],[Address A]],IP_Master[],2,FALSE)</f>
        <v>Fume Control</v>
      </c>
      <c r="T681" s="8" t="str">
        <f>VLOOKUP(Table1[[#This Row],[Address B]],IP_Master[],2,FALSE)</f>
        <v>Miscellaneous</v>
      </c>
      <c r="U681" s="9" t="str">
        <f>VLOOKUP(Table1[[#This Row],[Address A]],IP_Master[],3,FALSE)</f>
        <v>iFIX Nodes &amp; Ethernet Switches</v>
      </c>
      <c r="V681" s="9" t="str">
        <f>VLOOKUP(Table1[[#This Row],[Address B]],IP_Master[],3,FALSE)</f>
        <v>iFIX Nodes &amp; Ethernet Switches</v>
      </c>
      <c r="W681" s="9" t="str">
        <f>VLOOKUP(Table1[[#This Row],[Port B]],traffic_types[],2,FALSE)</f>
        <v>Modbus</v>
      </c>
    </row>
    <row r="682" spans="1:23" x14ac:dyDescent="0.6">
      <c r="A682" t="s">
        <v>97</v>
      </c>
      <c r="B682">
        <v>2600</v>
      </c>
      <c r="C682" t="s">
        <v>87</v>
      </c>
      <c r="D682">
        <v>502</v>
      </c>
      <c r="E682">
        <v>2</v>
      </c>
      <c r="F682" s="13">
        <v>124</v>
      </c>
      <c r="G682">
        <v>2</v>
      </c>
      <c r="H682">
        <v>124</v>
      </c>
      <c r="I682">
        <v>0</v>
      </c>
      <c r="J682">
        <v>0</v>
      </c>
      <c r="K682">
        <v>233.041066</v>
      </c>
      <c r="L682">
        <v>3.0089030000000001</v>
      </c>
      <c r="M682">
        <v>329.68826180172601</v>
      </c>
      <c r="N682">
        <v>0</v>
      </c>
      <c r="O682" s="8" t="str">
        <f>formatIP(Table1[[#This Row],[Address A]])</f>
        <v>010.012.000.002</v>
      </c>
      <c r="P682" s="8" t="str">
        <f>formatIP(Table1[[#This Row],[Address B]])</f>
        <v>010.011.009.028</v>
      </c>
      <c r="Q682" s="8" t="str">
        <f>VLOOKUP(Table1[[#This Row],[Address A]],IP_Master[],4,FALSE)</f>
        <v>PPPCFC2</v>
      </c>
      <c r="R682" s="8" t="str">
        <f>VLOOKUP(Table1[[#This Row],[Address B]],IP_Master[],4,FALSE)</f>
        <v>EGX100</v>
      </c>
      <c r="S682" s="8" t="str">
        <f>VLOOKUP(Table1[[#This Row],[Address A]],IP_Master[],2,FALSE)</f>
        <v>Fume Control</v>
      </c>
      <c r="T682" s="8" t="str">
        <f>VLOOKUP(Table1[[#This Row],[Address B]],IP_Master[],2,FALSE)</f>
        <v>Miscellaneous</v>
      </c>
      <c r="U682" s="9" t="str">
        <f>VLOOKUP(Table1[[#This Row],[Address A]],IP_Master[],3,FALSE)</f>
        <v>iFIX Nodes &amp; Ethernet Switches</v>
      </c>
      <c r="V682" s="9" t="str">
        <f>VLOOKUP(Table1[[#This Row],[Address B]],IP_Master[],3,FALSE)</f>
        <v>iFIX Nodes &amp; Ethernet Switches</v>
      </c>
      <c r="W682" s="9" t="str">
        <f>VLOOKUP(Table1[[#This Row],[Port B]],traffic_types[],2,FALSE)</f>
        <v>Modbus</v>
      </c>
    </row>
    <row r="683" spans="1:23" x14ac:dyDescent="0.6">
      <c r="A683" t="s">
        <v>97</v>
      </c>
      <c r="B683">
        <v>2601</v>
      </c>
      <c r="C683" t="s">
        <v>87</v>
      </c>
      <c r="D683">
        <v>502</v>
      </c>
      <c r="E683">
        <v>1</v>
      </c>
      <c r="F683" s="13">
        <v>62</v>
      </c>
      <c r="G683">
        <v>1</v>
      </c>
      <c r="H683">
        <v>62</v>
      </c>
      <c r="I683">
        <v>0</v>
      </c>
      <c r="J683">
        <v>0</v>
      </c>
      <c r="K683">
        <v>233.83342500000001</v>
      </c>
      <c r="L683">
        <v>0</v>
      </c>
      <c r="M683">
        <v>0</v>
      </c>
      <c r="N683">
        <v>0</v>
      </c>
      <c r="O683" s="8" t="str">
        <f>formatIP(Table1[[#This Row],[Address A]])</f>
        <v>010.012.000.002</v>
      </c>
      <c r="P683" s="8" t="str">
        <f>formatIP(Table1[[#This Row],[Address B]])</f>
        <v>010.011.009.028</v>
      </c>
      <c r="Q683" s="8" t="str">
        <f>VLOOKUP(Table1[[#This Row],[Address A]],IP_Master[],4,FALSE)</f>
        <v>PPPCFC2</v>
      </c>
      <c r="R683" s="8" t="str">
        <f>VLOOKUP(Table1[[#This Row],[Address B]],IP_Master[],4,FALSE)</f>
        <v>EGX100</v>
      </c>
      <c r="S683" s="8" t="str">
        <f>VLOOKUP(Table1[[#This Row],[Address A]],IP_Master[],2,FALSE)</f>
        <v>Fume Control</v>
      </c>
      <c r="T683" s="8" t="str">
        <f>VLOOKUP(Table1[[#This Row],[Address B]],IP_Master[],2,FALSE)</f>
        <v>Miscellaneous</v>
      </c>
      <c r="U683" s="9" t="str">
        <f>VLOOKUP(Table1[[#This Row],[Address A]],IP_Master[],3,FALSE)</f>
        <v>iFIX Nodes &amp; Ethernet Switches</v>
      </c>
      <c r="V683" s="9" t="str">
        <f>VLOOKUP(Table1[[#This Row],[Address B]],IP_Master[],3,FALSE)</f>
        <v>iFIX Nodes &amp; Ethernet Switches</v>
      </c>
      <c r="W683" s="9" t="str">
        <f>VLOOKUP(Table1[[#This Row],[Port B]],traffic_types[],2,FALSE)</f>
        <v>Modbus</v>
      </c>
    </row>
    <row r="684" spans="1:23" x14ac:dyDescent="0.6">
      <c r="A684" t="s">
        <v>97</v>
      </c>
      <c r="B684">
        <v>2602</v>
      </c>
      <c r="C684" t="s">
        <v>87</v>
      </c>
      <c r="D684">
        <v>502</v>
      </c>
      <c r="E684">
        <v>1</v>
      </c>
      <c r="F684" s="13">
        <v>62</v>
      </c>
      <c r="G684">
        <v>1</v>
      </c>
      <c r="H684">
        <v>62</v>
      </c>
      <c r="I684">
        <v>0</v>
      </c>
      <c r="J684">
        <v>0</v>
      </c>
      <c r="K684">
        <v>233.974096</v>
      </c>
      <c r="L684">
        <v>0</v>
      </c>
      <c r="M684">
        <v>0</v>
      </c>
      <c r="N684">
        <v>0</v>
      </c>
      <c r="O684" s="8" t="str">
        <f>formatIP(Table1[[#This Row],[Address A]])</f>
        <v>010.012.000.002</v>
      </c>
      <c r="P684" s="8" t="str">
        <f>formatIP(Table1[[#This Row],[Address B]])</f>
        <v>010.011.009.028</v>
      </c>
      <c r="Q684" s="8" t="str">
        <f>VLOOKUP(Table1[[#This Row],[Address A]],IP_Master[],4,FALSE)</f>
        <v>PPPCFC2</v>
      </c>
      <c r="R684" s="8" t="str">
        <f>VLOOKUP(Table1[[#This Row],[Address B]],IP_Master[],4,FALSE)</f>
        <v>EGX100</v>
      </c>
      <c r="S684" s="8" t="str">
        <f>VLOOKUP(Table1[[#This Row],[Address A]],IP_Master[],2,FALSE)</f>
        <v>Fume Control</v>
      </c>
      <c r="T684" s="8" t="str">
        <f>VLOOKUP(Table1[[#This Row],[Address B]],IP_Master[],2,FALSE)</f>
        <v>Miscellaneous</v>
      </c>
      <c r="U684" s="9" t="str">
        <f>VLOOKUP(Table1[[#This Row],[Address A]],IP_Master[],3,FALSE)</f>
        <v>iFIX Nodes &amp; Ethernet Switches</v>
      </c>
      <c r="V684" s="9" t="str">
        <f>VLOOKUP(Table1[[#This Row],[Address B]],IP_Master[],3,FALSE)</f>
        <v>iFIX Nodes &amp; Ethernet Switches</v>
      </c>
      <c r="W684" s="9" t="str">
        <f>VLOOKUP(Table1[[#This Row],[Port B]],traffic_types[],2,FALSE)</f>
        <v>Modbus</v>
      </c>
    </row>
    <row r="685" spans="1:23" x14ac:dyDescent="0.6">
      <c r="A685" t="s">
        <v>97</v>
      </c>
      <c r="B685">
        <v>2603</v>
      </c>
      <c r="C685" t="s">
        <v>87</v>
      </c>
      <c r="D685">
        <v>502</v>
      </c>
      <c r="E685">
        <v>1</v>
      </c>
      <c r="F685" s="13">
        <v>62</v>
      </c>
      <c r="G685">
        <v>1</v>
      </c>
      <c r="H685">
        <v>62</v>
      </c>
      <c r="I685">
        <v>0</v>
      </c>
      <c r="J685">
        <v>0</v>
      </c>
      <c r="K685">
        <v>234.489654</v>
      </c>
      <c r="L685">
        <v>0</v>
      </c>
      <c r="M685">
        <v>0</v>
      </c>
      <c r="N685">
        <v>0</v>
      </c>
      <c r="O685" s="8" t="str">
        <f>formatIP(Table1[[#This Row],[Address A]])</f>
        <v>010.012.000.002</v>
      </c>
      <c r="P685" s="8" t="str">
        <f>formatIP(Table1[[#This Row],[Address B]])</f>
        <v>010.011.009.028</v>
      </c>
      <c r="Q685" s="8" t="str">
        <f>VLOOKUP(Table1[[#This Row],[Address A]],IP_Master[],4,FALSE)</f>
        <v>PPPCFC2</v>
      </c>
      <c r="R685" s="8" t="str">
        <f>VLOOKUP(Table1[[#This Row],[Address B]],IP_Master[],4,FALSE)</f>
        <v>EGX100</v>
      </c>
      <c r="S685" s="8" t="str">
        <f>VLOOKUP(Table1[[#This Row],[Address A]],IP_Master[],2,FALSE)</f>
        <v>Fume Control</v>
      </c>
      <c r="T685" s="8" t="str">
        <f>VLOOKUP(Table1[[#This Row],[Address B]],IP_Master[],2,FALSE)</f>
        <v>Miscellaneous</v>
      </c>
      <c r="U685" s="9" t="str">
        <f>VLOOKUP(Table1[[#This Row],[Address A]],IP_Master[],3,FALSE)</f>
        <v>iFIX Nodes &amp; Ethernet Switches</v>
      </c>
      <c r="V685" s="9" t="str">
        <f>VLOOKUP(Table1[[#This Row],[Address B]],IP_Master[],3,FALSE)</f>
        <v>iFIX Nodes &amp; Ethernet Switches</v>
      </c>
      <c r="W685" s="9" t="str">
        <f>VLOOKUP(Table1[[#This Row],[Port B]],traffic_types[],2,FALSE)</f>
        <v>Modbus</v>
      </c>
    </row>
    <row r="686" spans="1:23" x14ac:dyDescent="0.6">
      <c r="A686" t="s">
        <v>97</v>
      </c>
      <c r="B686">
        <v>2604</v>
      </c>
      <c r="C686" t="s">
        <v>87</v>
      </c>
      <c r="D686">
        <v>502</v>
      </c>
      <c r="E686">
        <v>1</v>
      </c>
      <c r="F686" s="13">
        <v>62</v>
      </c>
      <c r="G686">
        <v>1</v>
      </c>
      <c r="H686">
        <v>62</v>
      </c>
      <c r="I686">
        <v>0</v>
      </c>
      <c r="J686">
        <v>0</v>
      </c>
      <c r="K686">
        <v>236.052289</v>
      </c>
      <c r="L686">
        <v>0</v>
      </c>
      <c r="M686">
        <v>0</v>
      </c>
      <c r="N686">
        <v>0</v>
      </c>
      <c r="O686" s="8" t="str">
        <f>formatIP(Table1[[#This Row],[Address A]])</f>
        <v>010.012.000.002</v>
      </c>
      <c r="P686" s="8" t="str">
        <f>formatIP(Table1[[#This Row],[Address B]])</f>
        <v>010.011.009.028</v>
      </c>
      <c r="Q686" s="8" t="str">
        <f>VLOOKUP(Table1[[#This Row],[Address A]],IP_Master[],4,FALSE)</f>
        <v>PPPCFC2</v>
      </c>
      <c r="R686" s="8" t="str">
        <f>VLOOKUP(Table1[[#This Row],[Address B]],IP_Master[],4,FALSE)</f>
        <v>EGX100</v>
      </c>
      <c r="S686" s="8" t="str">
        <f>VLOOKUP(Table1[[#This Row],[Address A]],IP_Master[],2,FALSE)</f>
        <v>Fume Control</v>
      </c>
      <c r="T686" s="8" t="str">
        <f>VLOOKUP(Table1[[#This Row],[Address B]],IP_Master[],2,FALSE)</f>
        <v>Miscellaneous</v>
      </c>
      <c r="U686" s="9" t="str">
        <f>VLOOKUP(Table1[[#This Row],[Address A]],IP_Master[],3,FALSE)</f>
        <v>iFIX Nodes &amp; Ethernet Switches</v>
      </c>
      <c r="V686" s="9" t="str">
        <f>VLOOKUP(Table1[[#This Row],[Address B]],IP_Master[],3,FALSE)</f>
        <v>iFIX Nodes &amp; Ethernet Switches</v>
      </c>
      <c r="W686" s="9" t="str">
        <f>VLOOKUP(Table1[[#This Row],[Port B]],traffic_types[],2,FALSE)</f>
        <v>Modbus</v>
      </c>
    </row>
    <row r="687" spans="1:23" x14ac:dyDescent="0.6">
      <c r="A687" t="s">
        <v>97</v>
      </c>
      <c r="B687">
        <v>2610</v>
      </c>
      <c r="C687" t="s">
        <v>87</v>
      </c>
      <c r="D687">
        <v>502</v>
      </c>
      <c r="E687">
        <v>2</v>
      </c>
      <c r="F687" s="13">
        <v>124</v>
      </c>
      <c r="G687">
        <v>2</v>
      </c>
      <c r="H687">
        <v>124</v>
      </c>
      <c r="I687">
        <v>0</v>
      </c>
      <c r="J687">
        <v>0</v>
      </c>
      <c r="K687">
        <v>262.682209</v>
      </c>
      <c r="L687">
        <v>2.9401520000000101</v>
      </c>
      <c r="M687">
        <v>337.39752230496799</v>
      </c>
      <c r="N687">
        <v>0</v>
      </c>
      <c r="O687" s="8" t="str">
        <f>formatIP(Table1[[#This Row],[Address A]])</f>
        <v>010.012.000.002</v>
      </c>
      <c r="P687" s="8" t="str">
        <f>formatIP(Table1[[#This Row],[Address B]])</f>
        <v>010.011.009.028</v>
      </c>
      <c r="Q687" s="8" t="str">
        <f>VLOOKUP(Table1[[#This Row],[Address A]],IP_Master[],4,FALSE)</f>
        <v>PPPCFC2</v>
      </c>
      <c r="R687" s="8" t="str">
        <f>VLOOKUP(Table1[[#This Row],[Address B]],IP_Master[],4,FALSE)</f>
        <v>EGX100</v>
      </c>
      <c r="S687" s="8" t="str">
        <f>VLOOKUP(Table1[[#This Row],[Address A]],IP_Master[],2,FALSE)</f>
        <v>Fume Control</v>
      </c>
      <c r="T687" s="8" t="str">
        <f>VLOOKUP(Table1[[#This Row],[Address B]],IP_Master[],2,FALSE)</f>
        <v>Miscellaneous</v>
      </c>
      <c r="U687" s="9" t="str">
        <f>VLOOKUP(Table1[[#This Row],[Address A]],IP_Master[],3,FALSE)</f>
        <v>iFIX Nodes &amp; Ethernet Switches</v>
      </c>
      <c r="V687" s="9" t="str">
        <f>VLOOKUP(Table1[[#This Row],[Address B]],IP_Master[],3,FALSE)</f>
        <v>iFIX Nodes &amp; Ethernet Switches</v>
      </c>
      <c r="W687" s="9" t="str">
        <f>VLOOKUP(Table1[[#This Row],[Port B]],traffic_types[],2,FALSE)</f>
        <v>Modbus</v>
      </c>
    </row>
    <row r="688" spans="1:23" x14ac:dyDescent="0.6">
      <c r="A688" t="s">
        <v>97</v>
      </c>
      <c r="B688">
        <v>2611</v>
      </c>
      <c r="C688" t="s">
        <v>87</v>
      </c>
      <c r="D688">
        <v>502</v>
      </c>
      <c r="E688">
        <v>2</v>
      </c>
      <c r="F688" s="13">
        <v>124</v>
      </c>
      <c r="G688">
        <v>2</v>
      </c>
      <c r="H688">
        <v>124</v>
      </c>
      <c r="I688">
        <v>0</v>
      </c>
      <c r="J688">
        <v>0</v>
      </c>
      <c r="K688">
        <v>263.844311</v>
      </c>
      <c r="L688">
        <v>2.9850880000000202</v>
      </c>
      <c r="M688">
        <v>332.31851121306801</v>
      </c>
      <c r="N688">
        <v>0</v>
      </c>
      <c r="O688" s="8" t="str">
        <f>formatIP(Table1[[#This Row],[Address A]])</f>
        <v>010.012.000.002</v>
      </c>
      <c r="P688" s="8" t="str">
        <f>formatIP(Table1[[#This Row],[Address B]])</f>
        <v>010.011.009.028</v>
      </c>
      <c r="Q688" s="8" t="str">
        <f>VLOOKUP(Table1[[#This Row],[Address A]],IP_Master[],4,FALSE)</f>
        <v>PPPCFC2</v>
      </c>
      <c r="R688" s="8" t="str">
        <f>VLOOKUP(Table1[[#This Row],[Address B]],IP_Master[],4,FALSE)</f>
        <v>EGX100</v>
      </c>
      <c r="S688" s="8" t="str">
        <f>VLOOKUP(Table1[[#This Row],[Address A]],IP_Master[],2,FALSE)</f>
        <v>Fume Control</v>
      </c>
      <c r="T688" s="8" t="str">
        <f>VLOOKUP(Table1[[#This Row],[Address B]],IP_Master[],2,FALSE)</f>
        <v>Miscellaneous</v>
      </c>
      <c r="U688" s="9" t="str">
        <f>VLOOKUP(Table1[[#This Row],[Address A]],IP_Master[],3,FALSE)</f>
        <v>iFIX Nodes &amp; Ethernet Switches</v>
      </c>
      <c r="V688" s="9" t="str">
        <f>VLOOKUP(Table1[[#This Row],[Address B]],IP_Master[],3,FALSE)</f>
        <v>iFIX Nodes &amp; Ethernet Switches</v>
      </c>
      <c r="W688" s="9" t="str">
        <f>VLOOKUP(Table1[[#This Row],[Port B]],traffic_types[],2,FALSE)</f>
        <v>Modbus</v>
      </c>
    </row>
    <row r="689" spans="1:23" x14ac:dyDescent="0.6">
      <c r="A689" t="s">
        <v>97</v>
      </c>
      <c r="B689">
        <v>2612</v>
      </c>
      <c r="C689" t="s">
        <v>87</v>
      </c>
      <c r="D689">
        <v>502</v>
      </c>
      <c r="E689">
        <v>2</v>
      </c>
      <c r="F689" s="13">
        <v>124</v>
      </c>
      <c r="G689">
        <v>2</v>
      </c>
      <c r="H689">
        <v>124</v>
      </c>
      <c r="I689">
        <v>0</v>
      </c>
      <c r="J689">
        <v>0</v>
      </c>
      <c r="K689">
        <v>263.98589900000002</v>
      </c>
      <c r="L689">
        <v>2.8434959999999601</v>
      </c>
      <c r="M689">
        <v>348.86632511528597</v>
      </c>
      <c r="N689">
        <v>0</v>
      </c>
      <c r="O689" s="8" t="str">
        <f>formatIP(Table1[[#This Row],[Address A]])</f>
        <v>010.012.000.002</v>
      </c>
      <c r="P689" s="8" t="str">
        <f>formatIP(Table1[[#This Row],[Address B]])</f>
        <v>010.011.009.028</v>
      </c>
      <c r="Q689" s="8" t="str">
        <f>VLOOKUP(Table1[[#This Row],[Address A]],IP_Master[],4,FALSE)</f>
        <v>PPPCFC2</v>
      </c>
      <c r="R689" s="8" t="str">
        <f>VLOOKUP(Table1[[#This Row],[Address B]],IP_Master[],4,FALSE)</f>
        <v>EGX100</v>
      </c>
      <c r="S689" s="8" t="str">
        <f>VLOOKUP(Table1[[#This Row],[Address A]],IP_Master[],2,FALSE)</f>
        <v>Fume Control</v>
      </c>
      <c r="T689" s="8" t="str">
        <f>VLOOKUP(Table1[[#This Row],[Address B]],IP_Master[],2,FALSE)</f>
        <v>Miscellaneous</v>
      </c>
      <c r="U689" s="9" t="str">
        <f>VLOOKUP(Table1[[#This Row],[Address A]],IP_Master[],3,FALSE)</f>
        <v>iFIX Nodes &amp; Ethernet Switches</v>
      </c>
      <c r="V689" s="9" t="str">
        <f>VLOOKUP(Table1[[#This Row],[Address B]],IP_Master[],3,FALSE)</f>
        <v>iFIX Nodes &amp; Ethernet Switches</v>
      </c>
      <c r="W689" s="9" t="str">
        <f>VLOOKUP(Table1[[#This Row],[Port B]],traffic_types[],2,FALSE)</f>
        <v>Modbus</v>
      </c>
    </row>
    <row r="690" spans="1:23" x14ac:dyDescent="0.6">
      <c r="A690" t="s">
        <v>97</v>
      </c>
      <c r="B690">
        <v>2613</v>
      </c>
      <c r="C690" t="s">
        <v>87</v>
      </c>
      <c r="D690">
        <v>502</v>
      </c>
      <c r="E690">
        <v>2</v>
      </c>
      <c r="F690" s="13">
        <v>124</v>
      </c>
      <c r="G690">
        <v>2</v>
      </c>
      <c r="H690">
        <v>124</v>
      </c>
      <c r="I690">
        <v>0</v>
      </c>
      <c r="J690">
        <v>0</v>
      </c>
      <c r="K690">
        <v>264.49390299999999</v>
      </c>
      <c r="L690">
        <v>2.8383830000000199</v>
      </c>
      <c r="M690">
        <v>349.494765153255</v>
      </c>
      <c r="N690">
        <v>0</v>
      </c>
      <c r="O690" s="8" t="str">
        <f>formatIP(Table1[[#This Row],[Address A]])</f>
        <v>010.012.000.002</v>
      </c>
      <c r="P690" s="8" t="str">
        <f>formatIP(Table1[[#This Row],[Address B]])</f>
        <v>010.011.009.028</v>
      </c>
      <c r="Q690" s="8" t="str">
        <f>VLOOKUP(Table1[[#This Row],[Address A]],IP_Master[],4,FALSE)</f>
        <v>PPPCFC2</v>
      </c>
      <c r="R690" s="8" t="str">
        <f>VLOOKUP(Table1[[#This Row],[Address B]],IP_Master[],4,FALSE)</f>
        <v>EGX100</v>
      </c>
      <c r="S690" s="8" t="str">
        <f>VLOOKUP(Table1[[#This Row],[Address A]],IP_Master[],2,FALSE)</f>
        <v>Fume Control</v>
      </c>
      <c r="T690" s="8" t="str">
        <f>VLOOKUP(Table1[[#This Row],[Address B]],IP_Master[],2,FALSE)</f>
        <v>Miscellaneous</v>
      </c>
      <c r="U690" s="9" t="str">
        <f>VLOOKUP(Table1[[#This Row],[Address A]],IP_Master[],3,FALSE)</f>
        <v>iFIX Nodes &amp; Ethernet Switches</v>
      </c>
      <c r="V690" s="9" t="str">
        <f>VLOOKUP(Table1[[#This Row],[Address B]],IP_Master[],3,FALSE)</f>
        <v>iFIX Nodes &amp; Ethernet Switches</v>
      </c>
      <c r="W690" s="9" t="str">
        <f>VLOOKUP(Table1[[#This Row],[Port B]],traffic_types[],2,FALSE)</f>
        <v>Modbus</v>
      </c>
    </row>
    <row r="691" spans="1:23" x14ac:dyDescent="0.6">
      <c r="A691" t="s">
        <v>97</v>
      </c>
      <c r="B691">
        <v>2614</v>
      </c>
      <c r="C691" t="s">
        <v>87</v>
      </c>
      <c r="D691">
        <v>502</v>
      </c>
      <c r="E691">
        <v>1</v>
      </c>
      <c r="F691" s="13">
        <v>62</v>
      </c>
      <c r="G691">
        <v>1</v>
      </c>
      <c r="H691">
        <v>62</v>
      </c>
      <c r="I691">
        <v>0</v>
      </c>
      <c r="J691">
        <v>0</v>
      </c>
      <c r="K691">
        <v>265.69302499999998</v>
      </c>
      <c r="L691">
        <v>0</v>
      </c>
      <c r="M691">
        <v>0</v>
      </c>
      <c r="N691">
        <v>0</v>
      </c>
      <c r="O691" s="8" t="str">
        <f>formatIP(Table1[[#This Row],[Address A]])</f>
        <v>010.012.000.002</v>
      </c>
      <c r="P691" s="8" t="str">
        <f>formatIP(Table1[[#This Row],[Address B]])</f>
        <v>010.011.009.028</v>
      </c>
      <c r="Q691" s="8" t="str">
        <f>VLOOKUP(Table1[[#This Row],[Address A]],IP_Master[],4,FALSE)</f>
        <v>PPPCFC2</v>
      </c>
      <c r="R691" s="8" t="str">
        <f>VLOOKUP(Table1[[#This Row],[Address B]],IP_Master[],4,FALSE)</f>
        <v>EGX100</v>
      </c>
      <c r="S691" s="8" t="str">
        <f>VLOOKUP(Table1[[#This Row],[Address A]],IP_Master[],2,FALSE)</f>
        <v>Fume Control</v>
      </c>
      <c r="T691" s="8" t="str">
        <f>VLOOKUP(Table1[[#This Row],[Address B]],IP_Master[],2,FALSE)</f>
        <v>Miscellaneous</v>
      </c>
      <c r="U691" s="9" t="str">
        <f>VLOOKUP(Table1[[#This Row],[Address A]],IP_Master[],3,FALSE)</f>
        <v>iFIX Nodes &amp; Ethernet Switches</v>
      </c>
      <c r="V691" s="9" t="str">
        <f>VLOOKUP(Table1[[#This Row],[Address B]],IP_Master[],3,FALSE)</f>
        <v>iFIX Nodes &amp; Ethernet Switches</v>
      </c>
      <c r="W691" s="9" t="str">
        <f>VLOOKUP(Table1[[#This Row],[Port B]],traffic_types[],2,FALSE)</f>
        <v>Modbus</v>
      </c>
    </row>
    <row r="692" spans="1:23" x14ac:dyDescent="0.6">
      <c r="A692" t="s">
        <v>97</v>
      </c>
      <c r="B692">
        <v>2615</v>
      </c>
      <c r="C692" t="s">
        <v>87</v>
      </c>
      <c r="D692">
        <v>502</v>
      </c>
      <c r="E692">
        <v>2</v>
      </c>
      <c r="F692" s="13">
        <v>124</v>
      </c>
      <c r="G692">
        <v>2</v>
      </c>
      <c r="H692">
        <v>124</v>
      </c>
      <c r="I692">
        <v>0</v>
      </c>
      <c r="J692">
        <v>0</v>
      </c>
      <c r="K692">
        <v>266.06188400000002</v>
      </c>
      <c r="L692">
        <v>2.9804759999999502</v>
      </c>
      <c r="M692">
        <v>332.83274215260099</v>
      </c>
      <c r="N692">
        <v>0</v>
      </c>
      <c r="O692" s="8" t="str">
        <f>formatIP(Table1[[#This Row],[Address A]])</f>
        <v>010.012.000.002</v>
      </c>
      <c r="P692" s="8" t="str">
        <f>formatIP(Table1[[#This Row],[Address B]])</f>
        <v>010.011.009.028</v>
      </c>
      <c r="Q692" s="8" t="str">
        <f>VLOOKUP(Table1[[#This Row],[Address A]],IP_Master[],4,FALSE)</f>
        <v>PPPCFC2</v>
      </c>
      <c r="R692" s="8" t="str">
        <f>VLOOKUP(Table1[[#This Row],[Address B]],IP_Master[],4,FALSE)</f>
        <v>EGX100</v>
      </c>
      <c r="S692" s="8" t="str">
        <f>VLOOKUP(Table1[[#This Row],[Address A]],IP_Master[],2,FALSE)</f>
        <v>Fume Control</v>
      </c>
      <c r="T692" s="8" t="str">
        <f>VLOOKUP(Table1[[#This Row],[Address B]],IP_Master[],2,FALSE)</f>
        <v>Miscellaneous</v>
      </c>
      <c r="U692" s="9" t="str">
        <f>VLOOKUP(Table1[[#This Row],[Address A]],IP_Master[],3,FALSE)</f>
        <v>iFIX Nodes &amp; Ethernet Switches</v>
      </c>
      <c r="V692" s="9" t="str">
        <f>VLOOKUP(Table1[[#This Row],[Address B]],IP_Master[],3,FALSE)</f>
        <v>iFIX Nodes &amp; Ethernet Switches</v>
      </c>
      <c r="W692" s="9" t="str">
        <f>VLOOKUP(Table1[[#This Row],[Port B]],traffic_types[],2,FALSE)</f>
        <v>Modbus</v>
      </c>
    </row>
    <row r="693" spans="1:23" x14ac:dyDescent="0.6">
      <c r="A693" t="s">
        <v>97</v>
      </c>
      <c r="B693">
        <v>2616</v>
      </c>
      <c r="C693" t="s">
        <v>87</v>
      </c>
      <c r="D693">
        <v>502</v>
      </c>
      <c r="E693">
        <v>1</v>
      </c>
      <c r="F693" s="13">
        <v>62</v>
      </c>
      <c r="G693">
        <v>1</v>
      </c>
      <c r="H693">
        <v>62</v>
      </c>
      <c r="I693">
        <v>0</v>
      </c>
      <c r="J693">
        <v>0</v>
      </c>
      <c r="K693">
        <v>266.84935100000001</v>
      </c>
      <c r="L693">
        <v>0</v>
      </c>
      <c r="M693">
        <v>0</v>
      </c>
      <c r="N693">
        <v>0</v>
      </c>
      <c r="O693" s="8" t="str">
        <f>formatIP(Table1[[#This Row],[Address A]])</f>
        <v>010.012.000.002</v>
      </c>
      <c r="P693" s="8" t="str">
        <f>formatIP(Table1[[#This Row],[Address B]])</f>
        <v>010.011.009.028</v>
      </c>
      <c r="Q693" s="8" t="str">
        <f>VLOOKUP(Table1[[#This Row],[Address A]],IP_Master[],4,FALSE)</f>
        <v>PPPCFC2</v>
      </c>
      <c r="R693" s="8" t="str">
        <f>VLOOKUP(Table1[[#This Row],[Address B]],IP_Master[],4,FALSE)</f>
        <v>EGX100</v>
      </c>
      <c r="S693" s="8" t="str">
        <f>VLOOKUP(Table1[[#This Row],[Address A]],IP_Master[],2,FALSE)</f>
        <v>Fume Control</v>
      </c>
      <c r="T693" s="8" t="str">
        <f>VLOOKUP(Table1[[#This Row],[Address B]],IP_Master[],2,FALSE)</f>
        <v>Miscellaneous</v>
      </c>
      <c r="U693" s="9" t="str">
        <f>VLOOKUP(Table1[[#This Row],[Address A]],IP_Master[],3,FALSE)</f>
        <v>iFIX Nodes &amp; Ethernet Switches</v>
      </c>
      <c r="V693" s="9" t="str">
        <f>VLOOKUP(Table1[[#This Row],[Address B]],IP_Master[],3,FALSE)</f>
        <v>iFIX Nodes &amp; Ethernet Switches</v>
      </c>
      <c r="W693" s="9" t="str">
        <f>VLOOKUP(Table1[[#This Row],[Port B]],traffic_types[],2,FALSE)</f>
        <v>Modbus</v>
      </c>
    </row>
    <row r="694" spans="1:23" x14ac:dyDescent="0.6">
      <c r="A694" t="s">
        <v>97</v>
      </c>
      <c r="B694">
        <v>2617</v>
      </c>
      <c r="C694" t="s">
        <v>87</v>
      </c>
      <c r="D694">
        <v>502</v>
      </c>
      <c r="E694">
        <v>1</v>
      </c>
      <c r="F694" s="13">
        <v>62</v>
      </c>
      <c r="G694">
        <v>1</v>
      </c>
      <c r="H694">
        <v>62</v>
      </c>
      <c r="I694">
        <v>0</v>
      </c>
      <c r="J694">
        <v>0</v>
      </c>
      <c r="K694">
        <v>266.99017400000002</v>
      </c>
      <c r="L694">
        <v>0</v>
      </c>
      <c r="M694">
        <v>0</v>
      </c>
      <c r="N694">
        <v>0</v>
      </c>
      <c r="O694" s="8" t="str">
        <f>formatIP(Table1[[#This Row],[Address A]])</f>
        <v>010.012.000.002</v>
      </c>
      <c r="P694" s="8" t="str">
        <f>formatIP(Table1[[#This Row],[Address B]])</f>
        <v>010.011.009.028</v>
      </c>
      <c r="Q694" s="8" t="str">
        <f>VLOOKUP(Table1[[#This Row],[Address A]],IP_Master[],4,FALSE)</f>
        <v>PPPCFC2</v>
      </c>
      <c r="R694" s="8" t="str">
        <f>VLOOKUP(Table1[[#This Row],[Address B]],IP_Master[],4,FALSE)</f>
        <v>EGX100</v>
      </c>
      <c r="S694" s="8" t="str">
        <f>VLOOKUP(Table1[[#This Row],[Address A]],IP_Master[],2,FALSE)</f>
        <v>Fume Control</v>
      </c>
      <c r="T694" s="8" t="str">
        <f>VLOOKUP(Table1[[#This Row],[Address B]],IP_Master[],2,FALSE)</f>
        <v>Miscellaneous</v>
      </c>
      <c r="U694" s="9" t="str">
        <f>VLOOKUP(Table1[[#This Row],[Address A]],IP_Master[],3,FALSE)</f>
        <v>iFIX Nodes &amp; Ethernet Switches</v>
      </c>
      <c r="V694" s="9" t="str">
        <f>VLOOKUP(Table1[[#This Row],[Address B]],IP_Master[],3,FALSE)</f>
        <v>iFIX Nodes &amp; Ethernet Switches</v>
      </c>
      <c r="W694" s="9" t="str">
        <f>VLOOKUP(Table1[[#This Row],[Port B]],traffic_types[],2,FALSE)</f>
        <v>Modbus</v>
      </c>
    </row>
    <row r="695" spans="1:23" x14ac:dyDescent="0.6">
      <c r="A695" t="s">
        <v>97</v>
      </c>
      <c r="B695">
        <v>2618</v>
      </c>
      <c r="C695" t="s">
        <v>87</v>
      </c>
      <c r="D695">
        <v>502</v>
      </c>
      <c r="E695">
        <v>1</v>
      </c>
      <c r="F695" s="13">
        <v>62</v>
      </c>
      <c r="G695">
        <v>1</v>
      </c>
      <c r="H695">
        <v>62</v>
      </c>
      <c r="I695">
        <v>0</v>
      </c>
      <c r="J695">
        <v>0</v>
      </c>
      <c r="K695">
        <v>267.50559700000002</v>
      </c>
      <c r="L695">
        <v>0</v>
      </c>
      <c r="M695">
        <v>0</v>
      </c>
      <c r="N695">
        <v>0</v>
      </c>
      <c r="O695" s="8" t="str">
        <f>formatIP(Table1[[#This Row],[Address A]])</f>
        <v>010.012.000.002</v>
      </c>
      <c r="P695" s="8" t="str">
        <f>formatIP(Table1[[#This Row],[Address B]])</f>
        <v>010.011.009.028</v>
      </c>
      <c r="Q695" s="8" t="str">
        <f>VLOOKUP(Table1[[#This Row],[Address A]],IP_Master[],4,FALSE)</f>
        <v>PPPCFC2</v>
      </c>
      <c r="R695" s="8" t="str">
        <f>VLOOKUP(Table1[[#This Row],[Address B]],IP_Master[],4,FALSE)</f>
        <v>EGX100</v>
      </c>
      <c r="S695" s="8" t="str">
        <f>VLOOKUP(Table1[[#This Row],[Address A]],IP_Master[],2,FALSE)</f>
        <v>Fume Control</v>
      </c>
      <c r="T695" s="8" t="str">
        <f>VLOOKUP(Table1[[#This Row],[Address B]],IP_Master[],2,FALSE)</f>
        <v>Miscellaneous</v>
      </c>
      <c r="U695" s="9" t="str">
        <f>VLOOKUP(Table1[[#This Row],[Address A]],IP_Master[],3,FALSE)</f>
        <v>iFIX Nodes &amp; Ethernet Switches</v>
      </c>
      <c r="V695" s="9" t="str">
        <f>VLOOKUP(Table1[[#This Row],[Address B]],IP_Master[],3,FALSE)</f>
        <v>iFIX Nodes &amp; Ethernet Switches</v>
      </c>
      <c r="W695" s="9" t="str">
        <f>VLOOKUP(Table1[[#This Row],[Port B]],traffic_types[],2,FALSE)</f>
        <v>Modbus</v>
      </c>
    </row>
    <row r="696" spans="1:23" x14ac:dyDescent="0.6">
      <c r="A696" t="s">
        <v>97</v>
      </c>
      <c r="B696">
        <v>2619</v>
      </c>
      <c r="C696" t="s">
        <v>87</v>
      </c>
      <c r="D696">
        <v>502</v>
      </c>
      <c r="E696">
        <v>1</v>
      </c>
      <c r="F696" s="13">
        <v>62</v>
      </c>
      <c r="G696">
        <v>1</v>
      </c>
      <c r="H696">
        <v>62</v>
      </c>
      <c r="I696">
        <v>0</v>
      </c>
      <c r="J696">
        <v>0</v>
      </c>
      <c r="K696">
        <v>269.06809099999998</v>
      </c>
      <c r="L696">
        <v>0</v>
      </c>
      <c r="M696">
        <v>0</v>
      </c>
      <c r="N696">
        <v>0</v>
      </c>
      <c r="O696" s="8" t="str">
        <f>formatIP(Table1[[#This Row],[Address A]])</f>
        <v>010.012.000.002</v>
      </c>
      <c r="P696" s="8" t="str">
        <f>formatIP(Table1[[#This Row],[Address B]])</f>
        <v>010.011.009.028</v>
      </c>
      <c r="Q696" s="8" t="str">
        <f>VLOOKUP(Table1[[#This Row],[Address A]],IP_Master[],4,FALSE)</f>
        <v>PPPCFC2</v>
      </c>
      <c r="R696" s="8" t="str">
        <f>VLOOKUP(Table1[[#This Row],[Address B]],IP_Master[],4,FALSE)</f>
        <v>EGX100</v>
      </c>
      <c r="S696" s="8" t="str">
        <f>VLOOKUP(Table1[[#This Row],[Address A]],IP_Master[],2,FALSE)</f>
        <v>Fume Control</v>
      </c>
      <c r="T696" s="8" t="str">
        <f>VLOOKUP(Table1[[#This Row],[Address B]],IP_Master[],2,FALSE)</f>
        <v>Miscellaneous</v>
      </c>
      <c r="U696" s="9" t="str">
        <f>VLOOKUP(Table1[[#This Row],[Address A]],IP_Master[],3,FALSE)</f>
        <v>iFIX Nodes &amp; Ethernet Switches</v>
      </c>
      <c r="V696" s="9" t="str">
        <f>VLOOKUP(Table1[[#This Row],[Address B]],IP_Master[],3,FALSE)</f>
        <v>iFIX Nodes &amp; Ethernet Switches</v>
      </c>
      <c r="W696" s="9" t="str">
        <f>VLOOKUP(Table1[[#This Row],[Port B]],traffic_types[],2,FALSE)</f>
        <v>Modbus</v>
      </c>
    </row>
    <row r="697" spans="1:23" x14ac:dyDescent="0.6">
      <c r="A697" t="s">
        <v>97</v>
      </c>
      <c r="B697">
        <v>2625</v>
      </c>
      <c r="C697" t="s">
        <v>87</v>
      </c>
      <c r="D697">
        <v>502</v>
      </c>
      <c r="E697">
        <v>2</v>
      </c>
      <c r="F697" s="13">
        <v>124</v>
      </c>
      <c r="G697">
        <v>2</v>
      </c>
      <c r="H697">
        <v>124</v>
      </c>
      <c r="I697">
        <v>0</v>
      </c>
      <c r="J697">
        <v>0</v>
      </c>
      <c r="K697">
        <v>295.69601899999998</v>
      </c>
      <c r="L697">
        <v>2.9188360000000002</v>
      </c>
      <c r="M697">
        <v>339.861506436127</v>
      </c>
      <c r="N697">
        <v>0</v>
      </c>
      <c r="O697" s="8" t="str">
        <f>formatIP(Table1[[#This Row],[Address A]])</f>
        <v>010.012.000.002</v>
      </c>
      <c r="P697" s="8" t="str">
        <f>formatIP(Table1[[#This Row],[Address B]])</f>
        <v>010.011.009.028</v>
      </c>
      <c r="Q697" s="8" t="str">
        <f>VLOOKUP(Table1[[#This Row],[Address A]],IP_Master[],4,FALSE)</f>
        <v>PPPCFC2</v>
      </c>
      <c r="R697" s="8" t="str">
        <f>VLOOKUP(Table1[[#This Row],[Address B]],IP_Master[],4,FALSE)</f>
        <v>EGX100</v>
      </c>
      <c r="S697" s="8" t="str">
        <f>VLOOKUP(Table1[[#This Row],[Address A]],IP_Master[],2,FALSE)</f>
        <v>Fume Control</v>
      </c>
      <c r="T697" s="8" t="str">
        <f>VLOOKUP(Table1[[#This Row],[Address B]],IP_Master[],2,FALSE)</f>
        <v>Miscellaneous</v>
      </c>
      <c r="U697" s="9" t="str">
        <f>VLOOKUP(Table1[[#This Row],[Address A]],IP_Master[],3,FALSE)</f>
        <v>iFIX Nodes &amp; Ethernet Switches</v>
      </c>
      <c r="V697" s="9" t="str">
        <f>VLOOKUP(Table1[[#This Row],[Address B]],IP_Master[],3,FALSE)</f>
        <v>iFIX Nodes &amp; Ethernet Switches</v>
      </c>
      <c r="W697" s="9" t="str">
        <f>VLOOKUP(Table1[[#This Row],[Port B]],traffic_types[],2,FALSE)</f>
        <v>Modbus</v>
      </c>
    </row>
    <row r="698" spans="1:23" x14ac:dyDescent="0.6">
      <c r="A698" t="s">
        <v>97</v>
      </c>
      <c r="B698">
        <v>2626</v>
      </c>
      <c r="C698" t="s">
        <v>87</v>
      </c>
      <c r="D698">
        <v>502</v>
      </c>
      <c r="E698">
        <v>2</v>
      </c>
      <c r="F698" s="13">
        <v>124</v>
      </c>
      <c r="G698">
        <v>2</v>
      </c>
      <c r="H698">
        <v>124</v>
      </c>
      <c r="I698">
        <v>0</v>
      </c>
      <c r="J698">
        <v>0</v>
      </c>
      <c r="K698">
        <v>296.85306300000002</v>
      </c>
      <c r="L698">
        <v>2.8680709999999898</v>
      </c>
      <c r="M698">
        <v>345.877072080853</v>
      </c>
      <c r="N698">
        <v>0</v>
      </c>
      <c r="O698" s="8" t="str">
        <f>formatIP(Table1[[#This Row],[Address A]])</f>
        <v>010.012.000.002</v>
      </c>
      <c r="P698" s="8" t="str">
        <f>formatIP(Table1[[#This Row],[Address B]])</f>
        <v>010.011.009.028</v>
      </c>
      <c r="Q698" s="8" t="str">
        <f>VLOOKUP(Table1[[#This Row],[Address A]],IP_Master[],4,FALSE)</f>
        <v>PPPCFC2</v>
      </c>
      <c r="R698" s="8" t="str">
        <f>VLOOKUP(Table1[[#This Row],[Address B]],IP_Master[],4,FALSE)</f>
        <v>EGX100</v>
      </c>
      <c r="S698" s="8" t="str">
        <f>VLOOKUP(Table1[[#This Row],[Address A]],IP_Master[],2,FALSE)</f>
        <v>Fume Control</v>
      </c>
      <c r="T698" s="8" t="str">
        <f>VLOOKUP(Table1[[#This Row],[Address B]],IP_Master[],2,FALSE)</f>
        <v>Miscellaneous</v>
      </c>
      <c r="U698" s="9" t="str">
        <f>VLOOKUP(Table1[[#This Row],[Address A]],IP_Master[],3,FALSE)</f>
        <v>iFIX Nodes &amp; Ethernet Switches</v>
      </c>
      <c r="V698" s="9" t="str">
        <f>VLOOKUP(Table1[[#This Row],[Address B]],IP_Master[],3,FALSE)</f>
        <v>iFIX Nodes &amp; Ethernet Switches</v>
      </c>
      <c r="W698" s="9" t="str">
        <f>VLOOKUP(Table1[[#This Row],[Port B]],traffic_types[],2,FALSE)</f>
        <v>Modbus</v>
      </c>
    </row>
    <row r="699" spans="1:23" x14ac:dyDescent="0.6">
      <c r="A699" t="s">
        <v>97</v>
      </c>
      <c r="B699">
        <v>2627</v>
      </c>
      <c r="C699" t="s">
        <v>87</v>
      </c>
      <c r="D699">
        <v>502</v>
      </c>
      <c r="E699">
        <v>2</v>
      </c>
      <c r="F699" s="13">
        <v>124</v>
      </c>
      <c r="G699">
        <v>2</v>
      </c>
      <c r="H699">
        <v>124</v>
      </c>
      <c r="I699">
        <v>0</v>
      </c>
      <c r="J699">
        <v>0</v>
      </c>
      <c r="K699">
        <v>296.99509499999999</v>
      </c>
      <c r="L699">
        <v>2.8266770000000201</v>
      </c>
      <c r="M699">
        <v>350.942113301235</v>
      </c>
      <c r="N699">
        <v>0</v>
      </c>
      <c r="O699" s="8" t="str">
        <f>formatIP(Table1[[#This Row],[Address A]])</f>
        <v>010.012.000.002</v>
      </c>
      <c r="P699" s="8" t="str">
        <f>formatIP(Table1[[#This Row],[Address B]])</f>
        <v>010.011.009.028</v>
      </c>
      <c r="Q699" s="8" t="str">
        <f>VLOOKUP(Table1[[#This Row],[Address A]],IP_Master[],4,FALSE)</f>
        <v>PPPCFC2</v>
      </c>
      <c r="R699" s="8" t="str">
        <f>VLOOKUP(Table1[[#This Row],[Address B]],IP_Master[],4,FALSE)</f>
        <v>EGX100</v>
      </c>
      <c r="S699" s="8" t="str">
        <f>VLOOKUP(Table1[[#This Row],[Address A]],IP_Master[],2,FALSE)</f>
        <v>Fume Control</v>
      </c>
      <c r="T699" s="8" t="str">
        <f>VLOOKUP(Table1[[#This Row],[Address B]],IP_Master[],2,FALSE)</f>
        <v>Miscellaneous</v>
      </c>
      <c r="U699" s="9" t="str">
        <f>VLOOKUP(Table1[[#This Row],[Address A]],IP_Master[],3,FALSE)</f>
        <v>iFIX Nodes &amp; Ethernet Switches</v>
      </c>
      <c r="V699" s="9" t="str">
        <f>VLOOKUP(Table1[[#This Row],[Address B]],IP_Master[],3,FALSE)</f>
        <v>iFIX Nodes &amp; Ethernet Switches</v>
      </c>
      <c r="W699" s="9" t="str">
        <f>VLOOKUP(Table1[[#This Row],[Port B]],traffic_types[],2,FALSE)</f>
        <v>Modbus</v>
      </c>
    </row>
    <row r="700" spans="1:23" x14ac:dyDescent="0.6">
      <c r="A700" t="s">
        <v>97</v>
      </c>
      <c r="B700">
        <v>2628</v>
      </c>
      <c r="C700" t="s">
        <v>87</v>
      </c>
      <c r="D700">
        <v>502</v>
      </c>
      <c r="E700">
        <v>2</v>
      </c>
      <c r="F700" s="13">
        <v>124</v>
      </c>
      <c r="G700">
        <v>2</v>
      </c>
      <c r="H700">
        <v>124</v>
      </c>
      <c r="I700">
        <v>0</v>
      </c>
      <c r="J700">
        <v>0</v>
      </c>
      <c r="K700">
        <v>297.51631900000001</v>
      </c>
      <c r="L700">
        <v>2.9090289999999799</v>
      </c>
      <c r="M700">
        <v>341.00725706069198</v>
      </c>
      <c r="N700">
        <v>0</v>
      </c>
      <c r="O700" s="8" t="str">
        <f>formatIP(Table1[[#This Row],[Address A]])</f>
        <v>010.012.000.002</v>
      </c>
      <c r="P700" s="8" t="str">
        <f>formatIP(Table1[[#This Row],[Address B]])</f>
        <v>010.011.009.028</v>
      </c>
      <c r="Q700" s="8" t="str">
        <f>VLOOKUP(Table1[[#This Row],[Address A]],IP_Master[],4,FALSE)</f>
        <v>PPPCFC2</v>
      </c>
      <c r="R700" s="8" t="str">
        <f>VLOOKUP(Table1[[#This Row],[Address B]],IP_Master[],4,FALSE)</f>
        <v>EGX100</v>
      </c>
      <c r="S700" s="8" t="str">
        <f>VLOOKUP(Table1[[#This Row],[Address A]],IP_Master[],2,FALSE)</f>
        <v>Fume Control</v>
      </c>
      <c r="T700" s="8" t="str">
        <f>VLOOKUP(Table1[[#This Row],[Address B]],IP_Master[],2,FALSE)</f>
        <v>Miscellaneous</v>
      </c>
      <c r="U700" s="9" t="str">
        <f>VLOOKUP(Table1[[#This Row],[Address A]],IP_Master[],3,FALSE)</f>
        <v>iFIX Nodes &amp; Ethernet Switches</v>
      </c>
      <c r="V700" s="9" t="str">
        <f>VLOOKUP(Table1[[#This Row],[Address B]],IP_Master[],3,FALSE)</f>
        <v>iFIX Nodes &amp; Ethernet Switches</v>
      </c>
      <c r="W700" s="9" t="str">
        <f>VLOOKUP(Table1[[#This Row],[Port B]],traffic_types[],2,FALSE)</f>
        <v>Modbus</v>
      </c>
    </row>
    <row r="701" spans="1:23" x14ac:dyDescent="0.6">
      <c r="A701" t="s">
        <v>97</v>
      </c>
      <c r="B701">
        <v>2629</v>
      </c>
      <c r="C701" t="s">
        <v>87</v>
      </c>
      <c r="D701">
        <v>502</v>
      </c>
      <c r="E701">
        <v>1</v>
      </c>
      <c r="F701" s="13">
        <v>62</v>
      </c>
      <c r="G701">
        <v>1</v>
      </c>
      <c r="H701">
        <v>62</v>
      </c>
      <c r="I701">
        <v>0</v>
      </c>
      <c r="J701">
        <v>0</v>
      </c>
      <c r="K701">
        <v>298.70885900000002</v>
      </c>
      <c r="L701">
        <v>0</v>
      </c>
      <c r="M701">
        <v>0</v>
      </c>
      <c r="N701">
        <v>0</v>
      </c>
      <c r="O701" s="8" t="str">
        <f>formatIP(Table1[[#This Row],[Address A]])</f>
        <v>010.012.000.002</v>
      </c>
      <c r="P701" s="8" t="str">
        <f>formatIP(Table1[[#This Row],[Address B]])</f>
        <v>010.011.009.028</v>
      </c>
      <c r="Q701" s="8" t="str">
        <f>VLOOKUP(Table1[[#This Row],[Address A]],IP_Master[],4,FALSE)</f>
        <v>PPPCFC2</v>
      </c>
      <c r="R701" s="8" t="str">
        <f>VLOOKUP(Table1[[#This Row],[Address B]],IP_Master[],4,FALSE)</f>
        <v>EGX100</v>
      </c>
      <c r="S701" s="8" t="str">
        <f>VLOOKUP(Table1[[#This Row],[Address A]],IP_Master[],2,FALSE)</f>
        <v>Fume Control</v>
      </c>
      <c r="T701" s="8" t="str">
        <f>VLOOKUP(Table1[[#This Row],[Address B]],IP_Master[],2,FALSE)</f>
        <v>Miscellaneous</v>
      </c>
      <c r="U701" s="9" t="str">
        <f>VLOOKUP(Table1[[#This Row],[Address A]],IP_Master[],3,FALSE)</f>
        <v>iFIX Nodes &amp; Ethernet Switches</v>
      </c>
      <c r="V701" s="9" t="str">
        <f>VLOOKUP(Table1[[#This Row],[Address B]],IP_Master[],3,FALSE)</f>
        <v>iFIX Nodes &amp; Ethernet Switches</v>
      </c>
      <c r="W701" s="9" t="str">
        <f>VLOOKUP(Table1[[#This Row],[Port B]],traffic_types[],2,FALSE)</f>
        <v>Modbus</v>
      </c>
    </row>
    <row r="702" spans="1:23" x14ac:dyDescent="0.6">
      <c r="A702" t="s">
        <v>97</v>
      </c>
      <c r="B702">
        <v>2630</v>
      </c>
      <c r="C702" t="s">
        <v>87</v>
      </c>
      <c r="D702">
        <v>502</v>
      </c>
      <c r="E702">
        <v>2</v>
      </c>
      <c r="F702" s="13">
        <v>124</v>
      </c>
      <c r="G702">
        <v>2</v>
      </c>
      <c r="H702">
        <v>124</v>
      </c>
      <c r="I702">
        <v>0</v>
      </c>
      <c r="J702">
        <v>0</v>
      </c>
      <c r="K702">
        <v>299.07048300000002</v>
      </c>
      <c r="L702">
        <v>2.8637059999999801</v>
      </c>
      <c r="M702">
        <v>346.40427474049602</v>
      </c>
      <c r="N702">
        <v>0</v>
      </c>
      <c r="O702" s="8" t="str">
        <f>formatIP(Table1[[#This Row],[Address A]])</f>
        <v>010.012.000.002</v>
      </c>
      <c r="P702" s="8" t="str">
        <f>formatIP(Table1[[#This Row],[Address B]])</f>
        <v>010.011.009.028</v>
      </c>
      <c r="Q702" s="8" t="str">
        <f>VLOOKUP(Table1[[#This Row],[Address A]],IP_Master[],4,FALSE)</f>
        <v>PPPCFC2</v>
      </c>
      <c r="R702" s="8" t="str">
        <f>VLOOKUP(Table1[[#This Row],[Address B]],IP_Master[],4,FALSE)</f>
        <v>EGX100</v>
      </c>
      <c r="S702" s="8" t="str">
        <f>VLOOKUP(Table1[[#This Row],[Address A]],IP_Master[],2,FALSE)</f>
        <v>Fume Control</v>
      </c>
      <c r="T702" s="8" t="str">
        <f>VLOOKUP(Table1[[#This Row],[Address B]],IP_Master[],2,FALSE)</f>
        <v>Miscellaneous</v>
      </c>
      <c r="U702" s="9" t="str">
        <f>VLOOKUP(Table1[[#This Row],[Address A]],IP_Master[],3,FALSE)</f>
        <v>iFIX Nodes &amp; Ethernet Switches</v>
      </c>
      <c r="V702" s="9" t="str">
        <f>VLOOKUP(Table1[[#This Row],[Address B]],IP_Master[],3,FALSE)</f>
        <v>iFIX Nodes &amp; Ethernet Switches</v>
      </c>
      <c r="W702" s="9" t="str">
        <f>VLOOKUP(Table1[[#This Row],[Port B]],traffic_types[],2,FALSE)</f>
        <v>Modbus</v>
      </c>
    </row>
    <row r="703" spans="1:23" x14ac:dyDescent="0.6">
      <c r="A703" t="s">
        <v>97</v>
      </c>
      <c r="B703">
        <v>2631</v>
      </c>
      <c r="C703" t="s">
        <v>87</v>
      </c>
      <c r="D703">
        <v>502</v>
      </c>
      <c r="E703">
        <v>1</v>
      </c>
      <c r="F703" s="13">
        <v>62</v>
      </c>
      <c r="G703">
        <v>1</v>
      </c>
      <c r="H703">
        <v>62</v>
      </c>
      <c r="I703">
        <v>0</v>
      </c>
      <c r="J703">
        <v>0</v>
      </c>
      <c r="K703">
        <v>299.86523199999999</v>
      </c>
      <c r="L703">
        <v>0</v>
      </c>
      <c r="M703">
        <v>0</v>
      </c>
      <c r="N703">
        <v>0</v>
      </c>
      <c r="O703" s="8" t="str">
        <f>formatIP(Table1[[#This Row],[Address A]])</f>
        <v>010.012.000.002</v>
      </c>
      <c r="P703" s="8" t="str">
        <f>formatIP(Table1[[#This Row],[Address B]])</f>
        <v>010.011.009.028</v>
      </c>
      <c r="Q703" s="8" t="str">
        <f>VLOOKUP(Table1[[#This Row],[Address A]],IP_Master[],4,FALSE)</f>
        <v>PPPCFC2</v>
      </c>
      <c r="R703" s="8" t="str">
        <f>VLOOKUP(Table1[[#This Row],[Address B]],IP_Master[],4,FALSE)</f>
        <v>EGX100</v>
      </c>
      <c r="S703" s="8" t="str">
        <f>VLOOKUP(Table1[[#This Row],[Address A]],IP_Master[],2,FALSE)</f>
        <v>Fume Control</v>
      </c>
      <c r="T703" s="8" t="str">
        <f>VLOOKUP(Table1[[#This Row],[Address B]],IP_Master[],2,FALSE)</f>
        <v>Miscellaneous</v>
      </c>
      <c r="U703" s="9" t="str">
        <f>VLOOKUP(Table1[[#This Row],[Address A]],IP_Master[],3,FALSE)</f>
        <v>iFIX Nodes &amp; Ethernet Switches</v>
      </c>
      <c r="V703" s="9" t="str">
        <f>VLOOKUP(Table1[[#This Row],[Address B]],IP_Master[],3,FALSE)</f>
        <v>iFIX Nodes &amp; Ethernet Switches</v>
      </c>
      <c r="W703" s="9" t="str">
        <f>VLOOKUP(Table1[[#This Row],[Port B]],traffic_types[],2,FALSE)</f>
        <v>Modbus</v>
      </c>
    </row>
    <row r="704" spans="1:23" x14ac:dyDescent="0.6">
      <c r="A704" t="s">
        <v>97</v>
      </c>
      <c r="B704">
        <v>2632</v>
      </c>
      <c r="C704" t="s">
        <v>87</v>
      </c>
      <c r="D704">
        <v>502</v>
      </c>
      <c r="E704">
        <v>1</v>
      </c>
      <c r="F704" s="13">
        <v>62</v>
      </c>
      <c r="G704">
        <v>1</v>
      </c>
      <c r="H704">
        <v>62</v>
      </c>
      <c r="I704">
        <v>0</v>
      </c>
      <c r="J704">
        <v>0</v>
      </c>
      <c r="K704">
        <v>300.00584400000002</v>
      </c>
      <c r="L704">
        <v>0</v>
      </c>
      <c r="M704">
        <v>0</v>
      </c>
      <c r="N704">
        <v>0</v>
      </c>
      <c r="O704" s="8" t="str">
        <f>formatIP(Table1[[#This Row],[Address A]])</f>
        <v>010.012.000.002</v>
      </c>
      <c r="P704" s="8" t="str">
        <f>formatIP(Table1[[#This Row],[Address B]])</f>
        <v>010.011.009.028</v>
      </c>
      <c r="Q704" s="8" t="str">
        <f>VLOOKUP(Table1[[#This Row],[Address A]],IP_Master[],4,FALSE)</f>
        <v>PPPCFC2</v>
      </c>
      <c r="R704" s="8" t="str">
        <f>VLOOKUP(Table1[[#This Row],[Address B]],IP_Master[],4,FALSE)</f>
        <v>EGX100</v>
      </c>
      <c r="S704" s="8" t="str">
        <f>VLOOKUP(Table1[[#This Row],[Address A]],IP_Master[],2,FALSE)</f>
        <v>Fume Control</v>
      </c>
      <c r="T704" s="8" t="str">
        <f>VLOOKUP(Table1[[#This Row],[Address B]],IP_Master[],2,FALSE)</f>
        <v>Miscellaneous</v>
      </c>
      <c r="U704" s="9" t="str">
        <f>VLOOKUP(Table1[[#This Row],[Address A]],IP_Master[],3,FALSE)</f>
        <v>iFIX Nodes &amp; Ethernet Switches</v>
      </c>
      <c r="V704" s="9" t="str">
        <f>VLOOKUP(Table1[[#This Row],[Address B]],IP_Master[],3,FALSE)</f>
        <v>iFIX Nodes &amp; Ethernet Switches</v>
      </c>
      <c r="W704" s="9" t="str">
        <f>VLOOKUP(Table1[[#This Row],[Port B]],traffic_types[],2,FALSE)</f>
        <v>Modbus</v>
      </c>
    </row>
    <row r="705" spans="1:23" x14ac:dyDescent="0.6">
      <c r="A705" t="s">
        <v>97</v>
      </c>
      <c r="B705">
        <v>2633</v>
      </c>
      <c r="C705" t="s">
        <v>87</v>
      </c>
      <c r="D705">
        <v>502</v>
      </c>
      <c r="E705">
        <v>1</v>
      </c>
      <c r="F705" s="13">
        <v>62</v>
      </c>
      <c r="G705">
        <v>1</v>
      </c>
      <c r="H705">
        <v>62</v>
      </c>
      <c r="I705">
        <v>0</v>
      </c>
      <c r="J705">
        <v>0</v>
      </c>
      <c r="K705">
        <v>300.52142600000002</v>
      </c>
      <c r="L705">
        <v>0</v>
      </c>
      <c r="M705">
        <v>0</v>
      </c>
      <c r="N705">
        <v>0</v>
      </c>
      <c r="O705" s="8" t="str">
        <f>formatIP(Table1[[#This Row],[Address A]])</f>
        <v>010.012.000.002</v>
      </c>
      <c r="P705" s="8" t="str">
        <f>formatIP(Table1[[#This Row],[Address B]])</f>
        <v>010.011.009.028</v>
      </c>
      <c r="Q705" s="8" t="str">
        <f>VLOOKUP(Table1[[#This Row],[Address A]],IP_Master[],4,FALSE)</f>
        <v>PPPCFC2</v>
      </c>
      <c r="R705" s="8" t="str">
        <f>VLOOKUP(Table1[[#This Row],[Address B]],IP_Master[],4,FALSE)</f>
        <v>EGX100</v>
      </c>
      <c r="S705" s="8" t="str">
        <f>VLOOKUP(Table1[[#This Row],[Address A]],IP_Master[],2,FALSE)</f>
        <v>Fume Control</v>
      </c>
      <c r="T705" s="8" t="str">
        <f>VLOOKUP(Table1[[#This Row],[Address B]],IP_Master[],2,FALSE)</f>
        <v>Miscellaneous</v>
      </c>
      <c r="U705" s="9" t="str">
        <f>VLOOKUP(Table1[[#This Row],[Address A]],IP_Master[],3,FALSE)</f>
        <v>iFIX Nodes &amp; Ethernet Switches</v>
      </c>
      <c r="V705" s="9" t="str">
        <f>VLOOKUP(Table1[[#This Row],[Address B]],IP_Master[],3,FALSE)</f>
        <v>iFIX Nodes &amp; Ethernet Switches</v>
      </c>
      <c r="W705" s="9" t="str">
        <f>VLOOKUP(Table1[[#This Row],[Port B]],traffic_types[],2,FALSE)</f>
        <v>Modbus</v>
      </c>
    </row>
    <row r="706" spans="1:23" x14ac:dyDescent="0.6">
      <c r="A706" t="s">
        <v>97</v>
      </c>
      <c r="B706">
        <v>2634</v>
      </c>
      <c r="C706" t="s">
        <v>87</v>
      </c>
      <c r="D706">
        <v>502</v>
      </c>
      <c r="E706">
        <v>1</v>
      </c>
      <c r="F706" s="13">
        <v>62</v>
      </c>
      <c r="G706">
        <v>1</v>
      </c>
      <c r="H706">
        <v>62</v>
      </c>
      <c r="I706">
        <v>0</v>
      </c>
      <c r="J706">
        <v>0</v>
      </c>
      <c r="K706">
        <v>302.08390900000001</v>
      </c>
      <c r="L706">
        <v>0</v>
      </c>
      <c r="M706">
        <v>0</v>
      </c>
      <c r="N706">
        <v>0</v>
      </c>
      <c r="O706" s="8" t="str">
        <f>formatIP(Table1[[#This Row],[Address A]])</f>
        <v>010.012.000.002</v>
      </c>
      <c r="P706" s="8" t="str">
        <f>formatIP(Table1[[#This Row],[Address B]])</f>
        <v>010.011.009.028</v>
      </c>
      <c r="Q706" s="8" t="str">
        <f>VLOOKUP(Table1[[#This Row],[Address A]],IP_Master[],4,FALSE)</f>
        <v>PPPCFC2</v>
      </c>
      <c r="R706" s="8" t="str">
        <f>VLOOKUP(Table1[[#This Row],[Address B]],IP_Master[],4,FALSE)</f>
        <v>EGX100</v>
      </c>
      <c r="S706" s="8" t="str">
        <f>VLOOKUP(Table1[[#This Row],[Address A]],IP_Master[],2,FALSE)</f>
        <v>Fume Control</v>
      </c>
      <c r="T706" s="8" t="str">
        <f>VLOOKUP(Table1[[#This Row],[Address B]],IP_Master[],2,FALSE)</f>
        <v>Miscellaneous</v>
      </c>
      <c r="U706" s="9" t="str">
        <f>VLOOKUP(Table1[[#This Row],[Address A]],IP_Master[],3,FALSE)</f>
        <v>iFIX Nodes &amp; Ethernet Switches</v>
      </c>
      <c r="V706" s="9" t="str">
        <f>VLOOKUP(Table1[[#This Row],[Address B]],IP_Master[],3,FALSE)</f>
        <v>iFIX Nodes &amp; Ethernet Switches</v>
      </c>
      <c r="W706" s="9" t="str">
        <f>VLOOKUP(Table1[[#This Row],[Port B]],traffic_types[],2,FALSE)</f>
        <v>Modbus</v>
      </c>
    </row>
    <row r="707" spans="1:23" x14ac:dyDescent="0.6">
      <c r="A707" t="s">
        <v>97</v>
      </c>
      <c r="B707">
        <v>2640</v>
      </c>
      <c r="C707" t="s">
        <v>87</v>
      </c>
      <c r="D707">
        <v>502</v>
      </c>
      <c r="E707">
        <v>1</v>
      </c>
      <c r="F707" s="13">
        <v>62</v>
      </c>
      <c r="G707">
        <v>1</v>
      </c>
      <c r="H707">
        <v>62</v>
      </c>
      <c r="I707">
        <v>0</v>
      </c>
      <c r="J707">
        <v>0</v>
      </c>
      <c r="K707">
        <v>328.71789699999999</v>
      </c>
      <c r="L707">
        <v>0</v>
      </c>
      <c r="M707">
        <v>0</v>
      </c>
      <c r="N707">
        <v>0</v>
      </c>
      <c r="O707" s="8" t="str">
        <f>formatIP(Table1[[#This Row],[Address A]])</f>
        <v>010.012.000.002</v>
      </c>
      <c r="P707" s="8" t="str">
        <f>formatIP(Table1[[#This Row],[Address B]])</f>
        <v>010.011.009.028</v>
      </c>
      <c r="Q707" s="8" t="str">
        <f>VLOOKUP(Table1[[#This Row],[Address A]],IP_Master[],4,FALSE)</f>
        <v>PPPCFC2</v>
      </c>
      <c r="R707" s="8" t="str">
        <f>VLOOKUP(Table1[[#This Row],[Address B]],IP_Master[],4,FALSE)</f>
        <v>EGX100</v>
      </c>
      <c r="S707" s="8" t="str">
        <f>VLOOKUP(Table1[[#This Row],[Address A]],IP_Master[],2,FALSE)</f>
        <v>Fume Control</v>
      </c>
      <c r="T707" s="8" t="str">
        <f>VLOOKUP(Table1[[#This Row],[Address B]],IP_Master[],2,FALSE)</f>
        <v>Miscellaneous</v>
      </c>
      <c r="U707" s="9" t="str">
        <f>VLOOKUP(Table1[[#This Row],[Address A]],IP_Master[],3,FALSE)</f>
        <v>iFIX Nodes &amp; Ethernet Switches</v>
      </c>
      <c r="V707" s="9" t="str">
        <f>VLOOKUP(Table1[[#This Row],[Address B]],IP_Master[],3,FALSE)</f>
        <v>iFIX Nodes &amp; Ethernet Switches</v>
      </c>
      <c r="W707" s="9" t="str">
        <f>VLOOKUP(Table1[[#This Row],[Port B]],traffic_types[],2,FALSE)</f>
        <v>Modbus</v>
      </c>
    </row>
    <row r="708" spans="1:23" x14ac:dyDescent="0.6">
      <c r="A708" t="s">
        <v>97</v>
      </c>
      <c r="B708">
        <v>2641</v>
      </c>
      <c r="C708" t="s">
        <v>87</v>
      </c>
      <c r="D708">
        <v>502</v>
      </c>
      <c r="E708">
        <v>1</v>
      </c>
      <c r="F708" s="13">
        <v>62</v>
      </c>
      <c r="G708">
        <v>1</v>
      </c>
      <c r="H708">
        <v>62</v>
      </c>
      <c r="I708">
        <v>0</v>
      </c>
      <c r="J708">
        <v>0</v>
      </c>
      <c r="K708">
        <v>329.87015400000001</v>
      </c>
      <c r="L708">
        <v>0</v>
      </c>
      <c r="M708">
        <v>0</v>
      </c>
      <c r="N708">
        <v>0</v>
      </c>
      <c r="O708" s="8" t="str">
        <f>formatIP(Table1[[#This Row],[Address A]])</f>
        <v>010.012.000.002</v>
      </c>
      <c r="P708" s="8" t="str">
        <f>formatIP(Table1[[#This Row],[Address B]])</f>
        <v>010.011.009.028</v>
      </c>
      <c r="Q708" s="8" t="str">
        <f>VLOOKUP(Table1[[#This Row],[Address A]],IP_Master[],4,FALSE)</f>
        <v>PPPCFC2</v>
      </c>
      <c r="R708" s="8" t="str">
        <f>VLOOKUP(Table1[[#This Row],[Address B]],IP_Master[],4,FALSE)</f>
        <v>EGX100</v>
      </c>
      <c r="S708" s="8" t="str">
        <f>VLOOKUP(Table1[[#This Row],[Address A]],IP_Master[],2,FALSE)</f>
        <v>Fume Control</v>
      </c>
      <c r="T708" s="8" t="str">
        <f>VLOOKUP(Table1[[#This Row],[Address B]],IP_Master[],2,FALSE)</f>
        <v>Miscellaneous</v>
      </c>
      <c r="U708" s="9" t="str">
        <f>VLOOKUP(Table1[[#This Row],[Address A]],IP_Master[],3,FALSE)</f>
        <v>iFIX Nodes &amp; Ethernet Switches</v>
      </c>
      <c r="V708" s="9" t="str">
        <f>VLOOKUP(Table1[[#This Row],[Address B]],IP_Master[],3,FALSE)</f>
        <v>iFIX Nodes &amp; Ethernet Switches</v>
      </c>
      <c r="W708" s="9" t="str">
        <f>VLOOKUP(Table1[[#This Row],[Port B]],traffic_types[],2,FALSE)</f>
        <v>Modbus</v>
      </c>
    </row>
    <row r="709" spans="1:23" x14ac:dyDescent="0.6">
      <c r="A709" t="s">
        <v>97</v>
      </c>
      <c r="B709">
        <v>2642</v>
      </c>
      <c r="C709" t="s">
        <v>87</v>
      </c>
      <c r="D709">
        <v>502</v>
      </c>
      <c r="E709">
        <v>2</v>
      </c>
      <c r="F709" s="13">
        <v>124</v>
      </c>
      <c r="G709">
        <v>2</v>
      </c>
      <c r="H709">
        <v>124</v>
      </c>
      <c r="I709">
        <v>0</v>
      </c>
      <c r="J709">
        <v>0</v>
      </c>
      <c r="K709">
        <v>330.011796</v>
      </c>
      <c r="L709">
        <v>3.0035780000000001</v>
      </c>
      <c r="M709">
        <v>330.27276135329203</v>
      </c>
      <c r="N709">
        <v>0</v>
      </c>
      <c r="O709" s="8" t="str">
        <f>formatIP(Table1[[#This Row],[Address A]])</f>
        <v>010.012.000.002</v>
      </c>
      <c r="P709" s="8" t="str">
        <f>formatIP(Table1[[#This Row],[Address B]])</f>
        <v>010.011.009.028</v>
      </c>
      <c r="Q709" s="8" t="str">
        <f>VLOOKUP(Table1[[#This Row],[Address A]],IP_Master[],4,FALSE)</f>
        <v>PPPCFC2</v>
      </c>
      <c r="R709" s="8" t="str">
        <f>VLOOKUP(Table1[[#This Row],[Address B]],IP_Master[],4,FALSE)</f>
        <v>EGX100</v>
      </c>
      <c r="S709" s="8" t="str">
        <f>VLOOKUP(Table1[[#This Row],[Address A]],IP_Master[],2,FALSE)</f>
        <v>Fume Control</v>
      </c>
      <c r="T709" s="8" t="str">
        <f>VLOOKUP(Table1[[#This Row],[Address B]],IP_Master[],2,FALSE)</f>
        <v>Miscellaneous</v>
      </c>
      <c r="U709" s="9" t="str">
        <f>VLOOKUP(Table1[[#This Row],[Address A]],IP_Master[],3,FALSE)</f>
        <v>iFIX Nodes &amp; Ethernet Switches</v>
      </c>
      <c r="V709" s="9" t="str">
        <f>VLOOKUP(Table1[[#This Row],[Address B]],IP_Master[],3,FALSE)</f>
        <v>iFIX Nodes &amp; Ethernet Switches</v>
      </c>
      <c r="W709" s="9" t="str">
        <f>VLOOKUP(Table1[[#This Row],[Port B]],traffic_types[],2,FALSE)</f>
        <v>Modbus</v>
      </c>
    </row>
    <row r="710" spans="1:23" x14ac:dyDescent="0.6">
      <c r="A710" t="s">
        <v>97</v>
      </c>
      <c r="B710">
        <v>2643</v>
      </c>
      <c r="C710" t="s">
        <v>87</v>
      </c>
      <c r="D710">
        <v>502</v>
      </c>
      <c r="E710">
        <v>2</v>
      </c>
      <c r="F710" s="13">
        <v>124</v>
      </c>
      <c r="G710">
        <v>2</v>
      </c>
      <c r="H710">
        <v>124</v>
      </c>
      <c r="I710">
        <v>0</v>
      </c>
      <c r="J710">
        <v>0</v>
      </c>
      <c r="K710">
        <v>330.53144600000002</v>
      </c>
      <c r="L710">
        <v>2.9869049999999802</v>
      </c>
      <c r="M710">
        <v>332.11635455429899</v>
      </c>
      <c r="N710">
        <v>0</v>
      </c>
      <c r="O710" s="8" t="str">
        <f>formatIP(Table1[[#This Row],[Address A]])</f>
        <v>010.012.000.002</v>
      </c>
      <c r="P710" s="8" t="str">
        <f>formatIP(Table1[[#This Row],[Address B]])</f>
        <v>010.011.009.028</v>
      </c>
      <c r="Q710" s="8" t="str">
        <f>VLOOKUP(Table1[[#This Row],[Address A]],IP_Master[],4,FALSE)</f>
        <v>PPPCFC2</v>
      </c>
      <c r="R710" s="8" t="str">
        <f>VLOOKUP(Table1[[#This Row],[Address B]],IP_Master[],4,FALSE)</f>
        <v>EGX100</v>
      </c>
      <c r="S710" s="8" t="str">
        <f>VLOOKUP(Table1[[#This Row],[Address A]],IP_Master[],2,FALSE)</f>
        <v>Fume Control</v>
      </c>
      <c r="T710" s="8" t="str">
        <f>VLOOKUP(Table1[[#This Row],[Address B]],IP_Master[],2,FALSE)</f>
        <v>Miscellaneous</v>
      </c>
      <c r="U710" s="9" t="str">
        <f>VLOOKUP(Table1[[#This Row],[Address A]],IP_Master[],3,FALSE)</f>
        <v>iFIX Nodes &amp; Ethernet Switches</v>
      </c>
      <c r="V710" s="9" t="str">
        <f>VLOOKUP(Table1[[#This Row],[Address B]],IP_Master[],3,FALSE)</f>
        <v>iFIX Nodes &amp; Ethernet Switches</v>
      </c>
      <c r="W710" s="9" t="str">
        <f>VLOOKUP(Table1[[#This Row],[Port B]],traffic_types[],2,FALSE)</f>
        <v>Modbus</v>
      </c>
    </row>
    <row r="711" spans="1:23" x14ac:dyDescent="0.6">
      <c r="A711" t="s">
        <v>97</v>
      </c>
      <c r="B711">
        <v>2644</v>
      </c>
      <c r="C711" t="s">
        <v>87</v>
      </c>
      <c r="D711">
        <v>502</v>
      </c>
      <c r="E711">
        <v>1</v>
      </c>
      <c r="F711" s="13">
        <v>62</v>
      </c>
      <c r="G711">
        <v>1</v>
      </c>
      <c r="H711">
        <v>62</v>
      </c>
      <c r="I711">
        <v>0</v>
      </c>
      <c r="J711">
        <v>0</v>
      </c>
      <c r="K711">
        <v>331.72471100000001</v>
      </c>
      <c r="L711">
        <v>0</v>
      </c>
      <c r="M711">
        <v>0</v>
      </c>
      <c r="N711">
        <v>0</v>
      </c>
      <c r="O711" s="8" t="str">
        <f>formatIP(Table1[[#This Row],[Address A]])</f>
        <v>010.012.000.002</v>
      </c>
      <c r="P711" s="8" t="str">
        <f>formatIP(Table1[[#This Row],[Address B]])</f>
        <v>010.011.009.028</v>
      </c>
      <c r="Q711" s="8" t="str">
        <f>VLOOKUP(Table1[[#This Row],[Address A]],IP_Master[],4,FALSE)</f>
        <v>PPPCFC2</v>
      </c>
      <c r="R711" s="8" t="str">
        <f>VLOOKUP(Table1[[#This Row],[Address B]],IP_Master[],4,FALSE)</f>
        <v>EGX100</v>
      </c>
      <c r="S711" s="8" t="str">
        <f>VLOOKUP(Table1[[#This Row],[Address A]],IP_Master[],2,FALSE)</f>
        <v>Fume Control</v>
      </c>
      <c r="T711" s="8" t="str">
        <f>VLOOKUP(Table1[[#This Row],[Address B]],IP_Master[],2,FALSE)</f>
        <v>Miscellaneous</v>
      </c>
      <c r="U711" s="9" t="str">
        <f>VLOOKUP(Table1[[#This Row],[Address A]],IP_Master[],3,FALSE)</f>
        <v>iFIX Nodes &amp; Ethernet Switches</v>
      </c>
      <c r="V711" s="9" t="str">
        <f>VLOOKUP(Table1[[#This Row],[Address B]],IP_Master[],3,FALSE)</f>
        <v>iFIX Nodes &amp; Ethernet Switches</v>
      </c>
      <c r="W711" s="9" t="str">
        <f>VLOOKUP(Table1[[#This Row],[Port B]],traffic_types[],2,FALSE)</f>
        <v>Modbus</v>
      </c>
    </row>
    <row r="712" spans="1:23" x14ac:dyDescent="0.6">
      <c r="A712" t="s">
        <v>97</v>
      </c>
      <c r="B712">
        <v>2645</v>
      </c>
      <c r="C712" t="s">
        <v>87</v>
      </c>
      <c r="D712">
        <v>502</v>
      </c>
      <c r="E712">
        <v>2</v>
      </c>
      <c r="F712" s="13">
        <v>124</v>
      </c>
      <c r="G712">
        <v>2</v>
      </c>
      <c r="H712">
        <v>124</v>
      </c>
      <c r="I712">
        <v>0</v>
      </c>
      <c r="J712">
        <v>0</v>
      </c>
      <c r="K712">
        <v>332.08573000000001</v>
      </c>
      <c r="L712">
        <v>2.8408430000000102</v>
      </c>
      <c r="M712">
        <v>349.19212360556298</v>
      </c>
      <c r="N712">
        <v>0</v>
      </c>
      <c r="O712" s="8" t="str">
        <f>formatIP(Table1[[#This Row],[Address A]])</f>
        <v>010.012.000.002</v>
      </c>
      <c r="P712" s="8" t="str">
        <f>formatIP(Table1[[#This Row],[Address B]])</f>
        <v>010.011.009.028</v>
      </c>
      <c r="Q712" s="8" t="str">
        <f>VLOOKUP(Table1[[#This Row],[Address A]],IP_Master[],4,FALSE)</f>
        <v>PPPCFC2</v>
      </c>
      <c r="R712" s="8" t="str">
        <f>VLOOKUP(Table1[[#This Row],[Address B]],IP_Master[],4,FALSE)</f>
        <v>EGX100</v>
      </c>
      <c r="S712" s="8" t="str">
        <f>VLOOKUP(Table1[[#This Row],[Address A]],IP_Master[],2,FALSE)</f>
        <v>Fume Control</v>
      </c>
      <c r="T712" s="8" t="str">
        <f>VLOOKUP(Table1[[#This Row],[Address B]],IP_Master[],2,FALSE)</f>
        <v>Miscellaneous</v>
      </c>
      <c r="U712" s="9" t="str">
        <f>VLOOKUP(Table1[[#This Row],[Address A]],IP_Master[],3,FALSE)</f>
        <v>iFIX Nodes &amp; Ethernet Switches</v>
      </c>
      <c r="V712" s="9" t="str">
        <f>VLOOKUP(Table1[[#This Row],[Address B]],IP_Master[],3,FALSE)</f>
        <v>iFIX Nodes &amp; Ethernet Switches</v>
      </c>
      <c r="W712" s="9" t="str">
        <f>VLOOKUP(Table1[[#This Row],[Port B]],traffic_types[],2,FALSE)</f>
        <v>Modbus</v>
      </c>
    </row>
    <row r="713" spans="1:23" x14ac:dyDescent="0.6">
      <c r="A713" t="s">
        <v>97</v>
      </c>
      <c r="B713">
        <v>2646</v>
      </c>
      <c r="C713" t="s">
        <v>87</v>
      </c>
      <c r="D713">
        <v>502</v>
      </c>
      <c r="E713">
        <v>1</v>
      </c>
      <c r="F713" s="13">
        <v>62</v>
      </c>
      <c r="G713">
        <v>1</v>
      </c>
      <c r="H713">
        <v>62</v>
      </c>
      <c r="I713">
        <v>0</v>
      </c>
      <c r="J713">
        <v>0</v>
      </c>
      <c r="K713">
        <v>332.881055</v>
      </c>
      <c r="L713">
        <v>0</v>
      </c>
      <c r="M713">
        <v>0</v>
      </c>
      <c r="N713">
        <v>0</v>
      </c>
      <c r="O713" s="8" t="str">
        <f>formatIP(Table1[[#This Row],[Address A]])</f>
        <v>010.012.000.002</v>
      </c>
      <c r="P713" s="8" t="str">
        <f>formatIP(Table1[[#This Row],[Address B]])</f>
        <v>010.011.009.028</v>
      </c>
      <c r="Q713" s="8" t="str">
        <f>VLOOKUP(Table1[[#This Row],[Address A]],IP_Master[],4,FALSE)</f>
        <v>PPPCFC2</v>
      </c>
      <c r="R713" s="8" t="str">
        <f>VLOOKUP(Table1[[#This Row],[Address B]],IP_Master[],4,FALSE)</f>
        <v>EGX100</v>
      </c>
      <c r="S713" s="8" t="str">
        <f>VLOOKUP(Table1[[#This Row],[Address A]],IP_Master[],2,FALSE)</f>
        <v>Fume Control</v>
      </c>
      <c r="T713" s="8" t="str">
        <f>VLOOKUP(Table1[[#This Row],[Address B]],IP_Master[],2,FALSE)</f>
        <v>Miscellaneous</v>
      </c>
      <c r="U713" s="9" t="str">
        <f>VLOOKUP(Table1[[#This Row],[Address A]],IP_Master[],3,FALSE)</f>
        <v>iFIX Nodes &amp; Ethernet Switches</v>
      </c>
      <c r="V713" s="9" t="str">
        <f>VLOOKUP(Table1[[#This Row],[Address B]],IP_Master[],3,FALSE)</f>
        <v>iFIX Nodes &amp; Ethernet Switches</v>
      </c>
      <c r="W713" s="9" t="str">
        <f>VLOOKUP(Table1[[#This Row],[Port B]],traffic_types[],2,FALSE)</f>
        <v>Modbus</v>
      </c>
    </row>
    <row r="714" spans="1:23" x14ac:dyDescent="0.6">
      <c r="A714" t="s">
        <v>97</v>
      </c>
      <c r="B714">
        <v>2647</v>
      </c>
      <c r="C714" t="s">
        <v>87</v>
      </c>
      <c r="D714">
        <v>502</v>
      </c>
      <c r="E714">
        <v>1</v>
      </c>
      <c r="F714" s="13">
        <v>62</v>
      </c>
      <c r="G714">
        <v>1</v>
      </c>
      <c r="H714">
        <v>62</v>
      </c>
      <c r="I714">
        <v>0</v>
      </c>
      <c r="J714">
        <v>0</v>
      </c>
      <c r="K714">
        <v>333.02167800000001</v>
      </c>
      <c r="L714">
        <v>0</v>
      </c>
      <c r="M714">
        <v>0</v>
      </c>
      <c r="N714">
        <v>0</v>
      </c>
      <c r="O714" s="8" t="str">
        <f>formatIP(Table1[[#This Row],[Address A]])</f>
        <v>010.012.000.002</v>
      </c>
      <c r="P714" s="8" t="str">
        <f>formatIP(Table1[[#This Row],[Address B]])</f>
        <v>010.011.009.028</v>
      </c>
      <c r="Q714" s="8" t="str">
        <f>VLOOKUP(Table1[[#This Row],[Address A]],IP_Master[],4,FALSE)</f>
        <v>PPPCFC2</v>
      </c>
      <c r="R714" s="8" t="str">
        <f>VLOOKUP(Table1[[#This Row],[Address B]],IP_Master[],4,FALSE)</f>
        <v>EGX100</v>
      </c>
      <c r="S714" s="8" t="str">
        <f>VLOOKUP(Table1[[#This Row],[Address A]],IP_Master[],2,FALSE)</f>
        <v>Fume Control</v>
      </c>
      <c r="T714" s="8" t="str">
        <f>VLOOKUP(Table1[[#This Row],[Address B]],IP_Master[],2,FALSE)</f>
        <v>Miscellaneous</v>
      </c>
      <c r="U714" s="9" t="str">
        <f>VLOOKUP(Table1[[#This Row],[Address A]],IP_Master[],3,FALSE)</f>
        <v>iFIX Nodes &amp; Ethernet Switches</v>
      </c>
      <c r="V714" s="9" t="str">
        <f>VLOOKUP(Table1[[#This Row],[Address B]],IP_Master[],3,FALSE)</f>
        <v>iFIX Nodes &amp; Ethernet Switches</v>
      </c>
      <c r="W714" s="9" t="str">
        <f>VLOOKUP(Table1[[#This Row],[Port B]],traffic_types[],2,FALSE)</f>
        <v>Modbus</v>
      </c>
    </row>
    <row r="715" spans="1:23" x14ac:dyDescent="0.6">
      <c r="A715" t="s">
        <v>97</v>
      </c>
      <c r="B715">
        <v>2648</v>
      </c>
      <c r="C715" t="s">
        <v>87</v>
      </c>
      <c r="D715">
        <v>502</v>
      </c>
      <c r="E715">
        <v>1</v>
      </c>
      <c r="F715" s="13">
        <v>62</v>
      </c>
      <c r="G715">
        <v>1</v>
      </c>
      <c r="H715">
        <v>62</v>
      </c>
      <c r="I715">
        <v>0</v>
      </c>
      <c r="J715">
        <v>0</v>
      </c>
      <c r="K715">
        <v>333.53740499999998</v>
      </c>
      <c r="L715">
        <v>0</v>
      </c>
      <c r="M715">
        <v>0</v>
      </c>
      <c r="N715">
        <v>0</v>
      </c>
      <c r="O715" s="8" t="str">
        <f>formatIP(Table1[[#This Row],[Address A]])</f>
        <v>010.012.000.002</v>
      </c>
      <c r="P715" s="8" t="str">
        <f>formatIP(Table1[[#This Row],[Address B]])</f>
        <v>010.011.009.028</v>
      </c>
      <c r="Q715" s="8" t="str">
        <f>VLOOKUP(Table1[[#This Row],[Address A]],IP_Master[],4,FALSE)</f>
        <v>PPPCFC2</v>
      </c>
      <c r="R715" s="8" t="str">
        <f>VLOOKUP(Table1[[#This Row],[Address B]],IP_Master[],4,FALSE)</f>
        <v>EGX100</v>
      </c>
      <c r="S715" s="8" t="str">
        <f>VLOOKUP(Table1[[#This Row],[Address A]],IP_Master[],2,FALSE)</f>
        <v>Fume Control</v>
      </c>
      <c r="T715" s="8" t="str">
        <f>VLOOKUP(Table1[[#This Row],[Address B]],IP_Master[],2,FALSE)</f>
        <v>Miscellaneous</v>
      </c>
      <c r="U715" s="9" t="str">
        <f>VLOOKUP(Table1[[#This Row],[Address A]],IP_Master[],3,FALSE)</f>
        <v>iFIX Nodes &amp; Ethernet Switches</v>
      </c>
      <c r="V715" s="9" t="str">
        <f>VLOOKUP(Table1[[#This Row],[Address B]],IP_Master[],3,FALSE)</f>
        <v>iFIX Nodes &amp; Ethernet Switches</v>
      </c>
      <c r="W715" s="9" t="str">
        <f>VLOOKUP(Table1[[#This Row],[Port B]],traffic_types[],2,FALSE)</f>
        <v>Modbus</v>
      </c>
    </row>
    <row r="716" spans="1:23" x14ac:dyDescent="0.6">
      <c r="A716" t="s">
        <v>97</v>
      </c>
      <c r="B716">
        <v>2649</v>
      </c>
      <c r="C716" t="s">
        <v>87</v>
      </c>
      <c r="D716">
        <v>502</v>
      </c>
      <c r="E716">
        <v>1</v>
      </c>
      <c r="F716" s="13">
        <v>62</v>
      </c>
      <c r="G716">
        <v>1</v>
      </c>
      <c r="H716">
        <v>62</v>
      </c>
      <c r="I716">
        <v>0</v>
      </c>
      <c r="J716">
        <v>0</v>
      </c>
      <c r="K716">
        <v>335.09983</v>
      </c>
      <c r="L716">
        <v>0</v>
      </c>
      <c r="M716">
        <v>0</v>
      </c>
      <c r="N716">
        <v>0</v>
      </c>
      <c r="O716" s="8" t="str">
        <f>formatIP(Table1[[#This Row],[Address A]])</f>
        <v>010.012.000.002</v>
      </c>
      <c r="P716" s="8" t="str">
        <f>formatIP(Table1[[#This Row],[Address B]])</f>
        <v>010.011.009.028</v>
      </c>
      <c r="Q716" s="8" t="str">
        <f>VLOOKUP(Table1[[#This Row],[Address A]],IP_Master[],4,FALSE)</f>
        <v>PPPCFC2</v>
      </c>
      <c r="R716" s="8" t="str">
        <f>VLOOKUP(Table1[[#This Row],[Address B]],IP_Master[],4,FALSE)</f>
        <v>EGX100</v>
      </c>
      <c r="S716" s="8" t="str">
        <f>VLOOKUP(Table1[[#This Row],[Address A]],IP_Master[],2,FALSE)</f>
        <v>Fume Control</v>
      </c>
      <c r="T716" s="8" t="str">
        <f>VLOOKUP(Table1[[#This Row],[Address B]],IP_Master[],2,FALSE)</f>
        <v>Miscellaneous</v>
      </c>
      <c r="U716" s="9" t="str">
        <f>VLOOKUP(Table1[[#This Row],[Address A]],IP_Master[],3,FALSE)</f>
        <v>iFIX Nodes &amp; Ethernet Switches</v>
      </c>
      <c r="V716" s="9" t="str">
        <f>VLOOKUP(Table1[[#This Row],[Address B]],IP_Master[],3,FALSE)</f>
        <v>iFIX Nodes &amp; Ethernet Switches</v>
      </c>
      <c r="W716" s="9" t="str">
        <f>VLOOKUP(Table1[[#This Row],[Port B]],traffic_types[],2,FALSE)</f>
        <v>Modbus</v>
      </c>
    </row>
    <row r="717" spans="1:23" x14ac:dyDescent="0.6">
      <c r="A717" t="s">
        <v>97</v>
      </c>
      <c r="B717">
        <v>2655</v>
      </c>
      <c r="C717" t="s">
        <v>87</v>
      </c>
      <c r="D717">
        <v>502</v>
      </c>
      <c r="E717">
        <v>2</v>
      </c>
      <c r="F717" s="13">
        <v>124</v>
      </c>
      <c r="G717">
        <v>2</v>
      </c>
      <c r="H717">
        <v>124</v>
      </c>
      <c r="I717">
        <v>0</v>
      </c>
      <c r="J717">
        <v>0</v>
      </c>
      <c r="K717">
        <v>361.72863699999999</v>
      </c>
      <c r="L717">
        <v>2.9715719999999801</v>
      </c>
      <c r="M717">
        <v>333.830040126911</v>
      </c>
      <c r="N717">
        <v>0</v>
      </c>
      <c r="O717" s="8" t="str">
        <f>formatIP(Table1[[#This Row],[Address A]])</f>
        <v>010.012.000.002</v>
      </c>
      <c r="P717" s="8" t="str">
        <f>formatIP(Table1[[#This Row],[Address B]])</f>
        <v>010.011.009.028</v>
      </c>
      <c r="Q717" s="8" t="str">
        <f>VLOOKUP(Table1[[#This Row],[Address A]],IP_Master[],4,FALSE)</f>
        <v>PPPCFC2</v>
      </c>
      <c r="R717" s="8" t="str">
        <f>VLOOKUP(Table1[[#This Row],[Address B]],IP_Master[],4,FALSE)</f>
        <v>EGX100</v>
      </c>
      <c r="S717" s="8" t="str">
        <f>VLOOKUP(Table1[[#This Row],[Address A]],IP_Master[],2,FALSE)</f>
        <v>Fume Control</v>
      </c>
      <c r="T717" s="8" t="str">
        <f>VLOOKUP(Table1[[#This Row],[Address B]],IP_Master[],2,FALSE)</f>
        <v>Miscellaneous</v>
      </c>
      <c r="U717" s="9" t="str">
        <f>VLOOKUP(Table1[[#This Row],[Address A]],IP_Master[],3,FALSE)</f>
        <v>iFIX Nodes &amp; Ethernet Switches</v>
      </c>
      <c r="V717" s="9" t="str">
        <f>VLOOKUP(Table1[[#This Row],[Address B]],IP_Master[],3,FALSE)</f>
        <v>iFIX Nodes &amp; Ethernet Switches</v>
      </c>
      <c r="W717" s="9" t="str">
        <f>VLOOKUP(Table1[[#This Row],[Port B]],traffic_types[],2,FALSE)</f>
        <v>Modbus</v>
      </c>
    </row>
    <row r="718" spans="1:23" x14ac:dyDescent="0.6">
      <c r="A718" t="s">
        <v>97</v>
      </c>
      <c r="B718">
        <v>2656</v>
      </c>
      <c r="C718" t="s">
        <v>87</v>
      </c>
      <c r="D718">
        <v>502</v>
      </c>
      <c r="E718">
        <v>2</v>
      </c>
      <c r="F718" s="13">
        <v>124</v>
      </c>
      <c r="G718">
        <v>2</v>
      </c>
      <c r="H718">
        <v>124</v>
      </c>
      <c r="I718">
        <v>0</v>
      </c>
      <c r="J718">
        <v>0</v>
      </c>
      <c r="K718">
        <v>362.88330000000002</v>
      </c>
      <c r="L718">
        <v>2.9233759999999598</v>
      </c>
      <c r="M718">
        <v>339.33370185703501</v>
      </c>
      <c r="N718">
        <v>0</v>
      </c>
      <c r="O718" s="8" t="str">
        <f>formatIP(Table1[[#This Row],[Address A]])</f>
        <v>010.012.000.002</v>
      </c>
      <c r="P718" s="8" t="str">
        <f>formatIP(Table1[[#This Row],[Address B]])</f>
        <v>010.011.009.028</v>
      </c>
      <c r="Q718" s="8" t="str">
        <f>VLOOKUP(Table1[[#This Row],[Address A]],IP_Master[],4,FALSE)</f>
        <v>PPPCFC2</v>
      </c>
      <c r="R718" s="8" t="str">
        <f>VLOOKUP(Table1[[#This Row],[Address B]],IP_Master[],4,FALSE)</f>
        <v>EGX100</v>
      </c>
      <c r="S718" s="8" t="str">
        <f>VLOOKUP(Table1[[#This Row],[Address A]],IP_Master[],2,FALSE)</f>
        <v>Fume Control</v>
      </c>
      <c r="T718" s="8" t="str">
        <f>VLOOKUP(Table1[[#This Row],[Address B]],IP_Master[],2,FALSE)</f>
        <v>Miscellaneous</v>
      </c>
      <c r="U718" s="9" t="str">
        <f>VLOOKUP(Table1[[#This Row],[Address A]],IP_Master[],3,FALSE)</f>
        <v>iFIX Nodes &amp; Ethernet Switches</v>
      </c>
      <c r="V718" s="9" t="str">
        <f>VLOOKUP(Table1[[#This Row],[Address B]],IP_Master[],3,FALSE)</f>
        <v>iFIX Nodes &amp; Ethernet Switches</v>
      </c>
      <c r="W718" s="9" t="str">
        <f>VLOOKUP(Table1[[#This Row],[Port B]],traffic_types[],2,FALSE)</f>
        <v>Modbus</v>
      </c>
    </row>
    <row r="719" spans="1:23" x14ac:dyDescent="0.6">
      <c r="A719" t="s">
        <v>97</v>
      </c>
      <c r="B719">
        <v>2657</v>
      </c>
      <c r="C719" t="s">
        <v>87</v>
      </c>
      <c r="D719">
        <v>502</v>
      </c>
      <c r="E719">
        <v>2</v>
      </c>
      <c r="F719" s="13">
        <v>124</v>
      </c>
      <c r="G719">
        <v>2</v>
      </c>
      <c r="H719">
        <v>124</v>
      </c>
      <c r="I719">
        <v>0</v>
      </c>
      <c r="J719">
        <v>0</v>
      </c>
      <c r="K719">
        <v>363.02666299999999</v>
      </c>
      <c r="L719">
        <v>2.9811770000000002</v>
      </c>
      <c r="M719">
        <v>332.754479187247</v>
      </c>
      <c r="N719">
        <v>0</v>
      </c>
      <c r="O719" s="8" t="str">
        <f>formatIP(Table1[[#This Row],[Address A]])</f>
        <v>010.012.000.002</v>
      </c>
      <c r="P719" s="8" t="str">
        <f>formatIP(Table1[[#This Row],[Address B]])</f>
        <v>010.011.009.028</v>
      </c>
      <c r="Q719" s="8" t="str">
        <f>VLOOKUP(Table1[[#This Row],[Address A]],IP_Master[],4,FALSE)</f>
        <v>PPPCFC2</v>
      </c>
      <c r="R719" s="8" t="str">
        <f>VLOOKUP(Table1[[#This Row],[Address B]],IP_Master[],4,FALSE)</f>
        <v>EGX100</v>
      </c>
      <c r="S719" s="8" t="str">
        <f>VLOOKUP(Table1[[#This Row],[Address A]],IP_Master[],2,FALSE)</f>
        <v>Fume Control</v>
      </c>
      <c r="T719" s="8" t="str">
        <f>VLOOKUP(Table1[[#This Row],[Address B]],IP_Master[],2,FALSE)</f>
        <v>Miscellaneous</v>
      </c>
      <c r="U719" s="9" t="str">
        <f>VLOOKUP(Table1[[#This Row],[Address A]],IP_Master[],3,FALSE)</f>
        <v>iFIX Nodes &amp; Ethernet Switches</v>
      </c>
      <c r="V719" s="9" t="str">
        <f>VLOOKUP(Table1[[#This Row],[Address B]],IP_Master[],3,FALSE)</f>
        <v>iFIX Nodes &amp; Ethernet Switches</v>
      </c>
      <c r="W719" s="9" t="str">
        <f>VLOOKUP(Table1[[#This Row],[Port B]],traffic_types[],2,FALSE)</f>
        <v>Modbus</v>
      </c>
    </row>
    <row r="720" spans="1:23" x14ac:dyDescent="0.6">
      <c r="A720" t="s">
        <v>97</v>
      </c>
      <c r="B720">
        <v>2658</v>
      </c>
      <c r="C720" t="s">
        <v>87</v>
      </c>
      <c r="D720">
        <v>502</v>
      </c>
      <c r="E720">
        <v>2</v>
      </c>
      <c r="F720" s="13">
        <v>124</v>
      </c>
      <c r="G720">
        <v>2</v>
      </c>
      <c r="H720">
        <v>124</v>
      </c>
      <c r="I720">
        <v>0</v>
      </c>
      <c r="J720">
        <v>0</v>
      </c>
      <c r="K720">
        <v>363.54601500000001</v>
      </c>
      <c r="L720">
        <v>2.9647549999999701</v>
      </c>
      <c r="M720">
        <v>334.597631170201</v>
      </c>
      <c r="N720">
        <v>0</v>
      </c>
      <c r="O720" s="8" t="str">
        <f>formatIP(Table1[[#This Row],[Address A]])</f>
        <v>010.012.000.002</v>
      </c>
      <c r="P720" s="8" t="str">
        <f>formatIP(Table1[[#This Row],[Address B]])</f>
        <v>010.011.009.028</v>
      </c>
      <c r="Q720" s="8" t="str">
        <f>VLOOKUP(Table1[[#This Row],[Address A]],IP_Master[],4,FALSE)</f>
        <v>PPPCFC2</v>
      </c>
      <c r="R720" s="8" t="str">
        <f>VLOOKUP(Table1[[#This Row],[Address B]],IP_Master[],4,FALSE)</f>
        <v>EGX100</v>
      </c>
      <c r="S720" s="8" t="str">
        <f>VLOOKUP(Table1[[#This Row],[Address A]],IP_Master[],2,FALSE)</f>
        <v>Fume Control</v>
      </c>
      <c r="T720" s="8" t="str">
        <f>VLOOKUP(Table1[[#This Row],[Address B]],IP_Master[],2,FALSE)</f>
        <v>Miscellaneous</v>
      </c>
      <c r="U720" s="9" t="str">
        <f>VLOOKUP(Table1[[#This Row],[Address A]],IP_Master[],3,FALSE)</f>
        <v>iFIX Nodes &amp; Ethernet Switches</v>
      </c>
      <c r="V720" s="9" t="str">
        <f>VLOOKUP(Table1[[#This Row],[Address B]],IP_Master[],3,FALSE)</f>
        <v>iFIX Nodes &amp; Ethernet Switches</v>
      </c>
      <c r="W720" s="9" t="str">
        <f>VLOOKUP(Table1[[#This Row],[Port B]],traffic_types[],2,FALSE)</f>
        <v>Modbus</v>
      </c>
    </row>
    <row r="721" spans="1:23" x14ac:dyDescent="0.6">
      <c r="A721" t="s">
        <v>97</v>
      </c>
      <c r="B721">
        <v>2659</v>
      </c>
      <c r="C721" t="s">
        <v>87</v>
      </c>
      <c r="D721">
        <v>502</v>
      </c>
      <c r="E721">
        <v>1</v>
      </c>
      <c r="F721" s="13">
        <v>62</v>
      </c>
      <c r="G721">
        <v>1</v>
      </c>
      <c r="H721">
        <v>62</v>
      </c>
      <c r="I721">
        <v>0</v>
      </c>
      <c r="J721">
        <v>0</v>
      </c>
      <c r="K721">
        <v>364.74058100000002</v>
      </c>
      <c r="L721">
        <v>0</v>
      </c>
      <c r="M721">
        <v>0</v>
      </c>
      <c r="N721">
        <v>0</v>
      </c>
      <c r="O721" s="8" t="str">
        <f>formatIP(Table1[[#This Row],[Address A]])</f>
        <v>010.012.000.002</v>
      </c>
      <c r="P721" s="8" t="str">
        <f>formatIP(Table1[[#This Row],[Address B]])</f>
        <v>010.011.009.028</v>
      </c>
      <c r="Q721" s="8" t="str">
        <f>VLOOKUP(Table1[[#This Row],[Address A]],IP_Master[],4,FALSE)</f>
        <v>PPPCFC2</v>
      </c>
      <c r="R721" s="8" t="str">
        <f>VLOOKUP(Table1[[#This Row],[Address B]],IP_Master[],4,FALSE)</f>
        <v>EGX100</v>
      </c>
      <c r="S721" s="8" t="str">
        <f>VLOOKUP(Table1[[#This Row],[Address A]],IP_Master[],2,FALSE)</f>
        <v>Fume Control</v>
      </c>
      <c r="T721" s="8" t="str">
        <f>VLOOKUP(Table1[[#This Row],[Address B]],IP_Master[],2,FALSE)</f>
        <v>Miscellaneous</v>
      </c>
      <c r="U721" s="9" t="str">
        <f>VLOOKUP(Table1[[#This Row],[Address A]],IP_Master[],3,FALSE)</f>
        <v>iFIX Nodes &amp; Ethernet Switches</v>
      </c>
      <c r="V721" s="9" t="str">
        <f>VLOOKUP(Table1[[#This Row],[Address B]],IP_Master[],3,FALSE)</f>
        <v>iFIX Nodes &amp; Ethernet Switches</v>
      </c>
      <c r="W721" s="9" t="str">
        <f>VLOOKUP(Table1[[#This Row],[Port B]],traffic_types[],2,FALSE)</f>
        <v>Modbus</v>
      </c>
    </row>
    <row r="722" spans="1:23" x14ac:dyDescent="0.6">
      <c r="A722" t="s">
        <v>97</v>
      </c>
      <c r="B722">
        <v>2660</v>
      </c>
      <c r="C722" t="s">
        <v>87</v>
      </c>
      <c r="D722">
        <v>502</v>
      </c>
      <c r="E722">
        <v>1</v>
      </c>
      <c r="F722" s="13">
        <v>62</v>
      </c>
      <c r="G722">
        <v>1</v>
      </c>
      <c r="H722">
        <v>62</v>
      </c>
      <c r="I722">
        <v>0</v>
      </c>
      <c r="J722">
        <v>0</v>
      </c>
      <c r="K722">
        <v>365.11040600000001</v>
      </c>
      <c r="L722">
        <v>0</v>
      </c>
      <c r="M722">
        <v>0</v>
      </c>
      <c r="N722">
        <v>0</v>
      </c>
      <c r="O722" s="8" t="str">
        <f>formatIP(Table1[[#This Row],[Address A]])</f>
        <v>010.012.000.002</v>
      </c>
      <c r="P722" s="8" t="str">
        <f>formatIP(Table1[[#This Row],[Address B]])</f>
        <v>010.011.009.028</v>
      </c>
      <c r="Q722" s="8" t="str">
        <f>VLOOKUP(Table1[[#This Row],[Address A]],IP_Master[],4,FALSE)</f>
        <v>PPPCFC2</v>
      </c>
      <c r="R722" s="8" t="str">
        <f>VLOOKUP(Table1[[#This Row],[Address B]],IP_Master[],4,FALSE)</f>
        <v>EGX100</v>
      </c>
      <c r="S722" s="8" t="str">
        <f>VLOOKUP(Table1[[#This Row],[Address A]],IP_Master[],2,FALSE)</f>
        <v>Fume Control</v>
      </c>
      <c r="T722" s="8" t="str">
        <f>VLOOKUP(Table1[[#This Row],[Address B]],IP_Master[],2,FALSE)</f>
        <v>Miscellaneous</v>
      </c>
      <c r="U722" s="9" t="str">
        <f>VLOOKUP(Table1[[#This Row],[Address A]],IP_Master[],3,FALSE)</f>
        <v>iFIX Nodes &amp; Ethernet Switches</v>
      </c>
      <c r="V722" s="9" t="str">
        <f>VLOOKUP(Table1[[#This Row],[Address B]],IP_Master[],3,FALSE)</f>
        <v>iFIX Nodes &amp; Ethernet Switches</v>
      </c>
      <c r="W722" s="9" t="str">
        <f>VLOOKUP(Table1[[#This Row],[Port B]],traffic_types[],2,FALSE)</f>
        <v>Modbus</v>
      </c>
    </row>
    <row r="723" spans="1:23" x14ac:dyDescent="0.6">
      <c r="A723" t="s">
        <v>97</v>
      </c>
      <c r="B723">
        <v>2661</v>
      </c>
      <c r="C723" t="s">
        <v>87</v>
      </c>
      <c r="D723">
        <v>502</v>
      </c>
      <c r="E723">
        <v>1</v>
      </c>
      <c r="F723" s="13">
        <v>62</v>
      </c>
      <c r="G723">
        <v>1</v>
      </c>
      <c r="H723">
        <v>62</v>
      </c>
      <c r="I723">
        <v>0</v>
      </c>
      <c r="J723">
        <v>0</v>
      </c>
      <c r="K723">
        <v>365.89694600000001</v>
      </c>
      <c r="L723">
        <v>0</v>
      </c>
      <c r="M723">
        <v>0</v>
      </c>
      <c r="N723">
        <v>0</v>
      </c>
      <c r="O723" s="8" t="str">
        <f>formatIP(Table1[[#This Row],[Address A]])</f>
        <v>010.012.000.002</v>
      </c>
      <c r="P723" s="8" t="str">
        <f>formatIP(Table1[[#This Row],[Address B]])</f>
        <v>010.011.009.028</v>
      </c>
      <c r="Q723" s="8" t="str">
        <f>VLOOKUP(Table1[[#This Row],[Address A]],IP_Master[],4,FALSE)</f>
        <v>PPPCFC2</v>
      </c>
      <c r="R723" s="8" t="str">
        <f>VLOOKUP(Table1[[#This Row],[Address B]],IP_Master[],4,FALSE)</f>
        <v>EGX100</v>
      </c>
      <c r="S723" s="8" t="str">
        <f>VLOOKUP(Table1[[#This Row],[Address A]],IP_Master[],2,FALSE)</f>
        <v>Fume Control</v>
      </c>
      <c r="T723" s="8" t="str">
        <f>VLOOKUP(Table1[[#This Row],[Address B]],IP_Master[],2,FALSE)</f>
        <v>Miscellaneous</v>
      </c>
      <c r="U723" s="9" t="str">
        <f>VLOOKUP(Table1[[#This Row],[Address A]],IP_Master[],3,FALSE)</f>
        <v>iFIX Nodes &amp; Ethernet Switches</v>
      </c>
      <c r="V723" s="9" t="str">
        <f>VLOOKUP(Table1[[#This Row],[Address B]],IP_Master[],3,FALSE)</f>
        <v>iFIX Nodes &amp; Ethernet Switches</v>
      </c>
      <c r="W723" s="9" t="str">
        <f>VLOOKUP(Table1[[#This Row],[Port B]],traffic_types[],2,FALSE)</f>
        <v>Modbus</v>
      </c>
    </row>
    <row r="724" spans="1:23" x14ac:dyDescent="0.6">
      <c r="A724" t="s">
        <v>97</v>
      </c>
      <c r="B724">
        <v>2662</v>
      </c>
      <c r="C724" t="s">
        <v>87</v>
      </c>
      <c r="D724">
        <v>502</v>
      </c>
      <c r="E724">
        <v>1</v>
      </c>
      <c r="F724" s="13">
        <v>62</v>
      </c>
      <c r="G724">
        <v>1</v>
      </c>
      <c r="H724">
        <v>62</v>
      </c>
      <c r="I724">
        <v>0</v>
      </c>
      <c r="J724">
        <v>0</v>
      </c>
      <c r="K724">
        <v>366.03751599999998</v>
      </c>
      <c r="L724">
        <v>0</v>
      </c>
      <c r="M724">
        <v>0</v>
      </c>
      <c r="N724">
        <v>0</v>
      </c>
      <c r="O724" s="8" t="str">
        <f>formatIP(Table1[[#This Row],[Address A]])</f>
        <v>010.012.000.002</v>
      </c>
      <c r="P724" s="8" t="str">
        <f>formatIP(Table1[[#This Row],[Address B]])</f>
        <v>010.011.009.028</v>
      </c>
      <c r="Q724" s="8" t="str">
        <f>VLOOKUP(Table1[[#This Row],[Address A]],IP_Master[],4,FALSE)</f>
        <v>PPPCFC2</v>
      </c>
      <c r="R724" s="8" t="str">
        <f>VLOOKUP(Table1[[#This Row],[Address B]],IP_Master[],4,FALSE)</f>
        <v>EGX100</v>
      </c>
      <c r="S724" s="8" t="str">
        <f>VLOOKUP(Table1[[#This Row],[Address A]],IP_Master[],2,FALSE)</f>
        <v>Fume Control</v>
      </c>
      <c r="T724" s="8" t="str">
        <f>VLOOKUP(Table1[[#This Row],[Address B]],IP_Master[],2,FALSE)</f>
        <v>Miscellaneous</v>
      </c>
      <c r="U724" s="9" t="str">
        <f>VLOOKUP(Table1[[#This Row],[Address A]],IP_Master[],3,FALSE)</f>
        <v>iFIX Nodes &amp; Ethernet Switches</v>
      </c>
      <c r="V724" s="9" t="str">
        <f>VLOOKUP(Table1[[#This Row],[Address B]],IP_Master[],3,FALSE)</f>
        <v>iFIX Nodes &amp; Ethernet Switches</v>
      </c>
      <c r="W724" s="9" t="str">
        <f>VLOOKUP(Table1[[#This Row],[Port B]],traffic_types[],2,FALSE)</f>
        <v>Modbus</v>
      </c>
    </row>
    <row r="725" spans="1:23" x14ac:dyDescent="0.6">
      <c r="A725" t="s">
        <v>97</v>
      </c>
      <c r="B725">
        <v>2663</v>
      </c>
      <c r="C725" t="s">
        <v>87</v>
      </c>
      <c r="D725">
        <v>502</v>
      </c>
      <c r="E725">
        <v>1</v>
      </c>
      <c r="F725" s="13">
        <v>62</v>
      </c>
      <c r="G725">
        <v>1</v>
      </c>
      <c r="H725">
        <v>62</v>
      </c>
      <c r="I725">
        <v>0</v>
      </c>
      <c r="J725">
        <v>0</v>
      </c>
      <c r="K725">
        <v>366.553269</v>
      </c>
      <c r="L725">
        <v>0</v>
      </c>
      <c r="M725">
        <v>0</v>
      </c>
      <c r="N725">
        <v>0</v>
      </c>
      <c r="O725" s="8" t="str">
        <f>formatIP(Table1[[#This Row],[Address A]])</f>
        <v>010.012.000.002</v>
      </c>
      <c r="P725" s="8" t="str">
        <f>formatIP(Table1[[#This Row],[Address B]])</f>
        <v>010.011.009.028</v>
      </c>
      <c r="Q725" s="8" t="str">
        <f>VLOOKUP(Table1[[#This Row],[Address A]],IP_Master[],4,FALSE)</f>
        <v>PPPCFC2</v>
      </c>
      <c r="R725" s="8" t="str">
        <f>VLOOKUP(Table1[[#This Row],[Address B]],IP_Master[],4,FALSE)</f>
        <v>EGX100</v>
      </c>
      <c r="S725" s="8" t="str">
        <f>VLOOKUP(Table1[[#This Row],[Address A]],IP_Master[],2,FALSE)</f>
        <v>Fume Control</v>
      </c>
      <c r="T725" s="8" t="str">
        <f>VLOOKUP(Table1[[#This Row],[Address B]],IP_Master[],2,FALSE)</f>
        <v>Miscellaneous</v>
      </c>
      <c r="U725" s="9" t="str">
        <f>VLOOKUP(Table1[[#This Row],[Address A]],IP_Master[],3,FALSE)</f>
        <v>iFIX Nodes &amp; Ethernet Switches</v>
      </c>
      <c r="V725" s="9" t="str">
        <f>VLOOKUP(Table1[[#This Row],[Address B]],IP_Master[],3,FALSE)</f>
        <v>iFIX Nodes &amp; Ethernet Switches</v>
      </c>
      <c r="W725" s="9" t="str">
        <f>VLOOKUP(Table1[[#This Row],[Port B]],traffic_types[],2,FALSE)</f>
        <v>Modbus</v>
      </c>
    </row>
    <row r="726" spans="1:23" x14ac:dyDescent="0.6">
      <c r="A726" t="s">
        <v>97</v>
      </c>
      <c r="B726">
        <v>2664</v>
      </c>
      <c r="C726" t="s">
        <v>87</v>
      </c>
      <c r="D726">
        <v>502</v>
      </c>
      <c r="E726">
        <v>1</v>
      </c>
      <c r="F726" s="13">
        <v>62</v>
      </c>
      <c r="G726">
        <v>1</v>
      </c>
      <c r="H726">
        <v>62</v>
      </c>
      <c r="I726">
        <v>0</v>
      </c>
      <c r="J726">
        <v>0</v>
      </c>
      <c r="K726">
        <v>368.11562400000003</v>
      </c>
      <c r="L726">
        <v>0</v>
      </c>
      <c r="M726">
        <v>0</v>
      </c>
      <c r="N726">
        <v>0</v>
      </c>
      <c r="O726" s="8" t="str">
        <f>formatIP(Table1[[#This Row],[Address A]])</f>
        <v>010.012.000.002</v>
      </c>
      <c r="P726" s="8" t="str">
        <f>formatIP(Table1[[#This Row],[Address B]])</f>
        <v>010.011.009.028</v>
      </c>
      <c r="Q726" s="8" t="str">
        <f>VLOOKUP(Table1[[#This Row],[Address A]],IP_Master[],4,FALSE)</f>
        <v>PPPCFC2</v>
      </c>
      <c r="R726" s="8" t="str">
        <f>VLOOKUP(Table1[[#This Row],[Address B]],IP_Master[],4,FALSE)</f>
        <v>EGX100</v>
      </c>
      <c r="S726" s="8" t="str">
        <f>VLOOKUP(Table1[[#This Row],[Address A]],IP_Master[],2,FALSE)</f>
        <v>Fume Control</v>
      </c>
      <c r="T726" s="8" t="str">
        <f>VLOOKUP(Table1[[#This Row],[Address B]],IP_Master[],2,FALSE)</f>
        <v>Miscellaneous</v>
      </c>
      <c r="U726" s="9" t="str">
        <f>VLOOKUP(Table1[[#This Row],[Address A]],IP_Master[],3,FALSE)</f>
        <v>iFIX Nodes &amp; Ethernet Switches</v>
      </c>
      <c r="V726" s="9" t="str">
        <f>VLOOKUP(Table1[[#This Row],[Address B]],IP_Master[],3,FALSE)</f>
        <v>iFIX Nodes &amp; Ethernet Switches</v>
      </c>
      <c r="W726" s="9" t="str">
        <f>VLOOKUP(Table1[[#This Row],[Port B]],traffic_types[],2,FALSE)</f>
        <v>Modbus</v>
      </c>
    </row>
    <row r="727" spans="1:23" x14ac:dyDescent="0.6">
      <c r="A727" t="s">
        <v>97</v>
      </c>
      <c r="B727">
        <v>2670</v>
      </c>
      <c r="C727" t="s">
        <v>87</v>
      </c>
      <c r="D727">
        <v>502</v>
      </c>
      <c r="E727">
        <v>2</v>
      </c>
      <c r="F727" s="13">
        <v>124</v>
      </c>
      <c r="G727">
        <v>2</v>
      </c>
      <c r="H727">
        <v>124</v>
      </c>
      <c r="I727">
        <v>0</v>
      </c>
      <c r="J727">
        <v>0</v>
      </c>
      <c r="K727">
        <v>394.749257</v>
      </c>
      <c r="L727">
        <v>2.9432980000000302</v>
      </c>
      <c r="M727">
        <v>337.03688855154701</v>
      </c>
      <c r="N727">
        <v>0</v>
      </c>
      <c r="O727" s="8" t="str">
        <f>formatIP(Table1[[#This Row],[Address A]])</f>
        <v>010.012.000.002</v>
      </c>
      <c r="P727" s="8" t="str">
        <f>formatIP(Table1[[#This Row],[Address B]])</f>
        <v>010.011.009.028</v>
      </c>
      <c r="Q727" s="8" t="str">
        <f>VLOOKUP(Table1[[#This Row],[Address A]],IP_Master[],4,FALSE)</f>
        <v>PPPCFC2</v>
      </c>
      <c r="R727" s="8" t="str">
        <f>VLOOKUP(Table1[[#This Row],[Address B]],IP_Master[],4,FALSE)</f>
        <v>EGX100</v>
      </c>
      <c r="S727" s="8" t="str">
        <f>VLOOKUP(Table1[[#This Row],[Address A]],IP_Master[],2,FALSE)</f>
        <v>Fume Control</v>
      </c>
      <c r="T727" s="8" t="str">
        <f>VLOOKUP(Table1[[#This Row],[Address B]],IP_Master[],2,FALSE)</f>
        <v>Miscellaneous</v>
      </c>
      <c r="U727" s="9" t="str">
        <f>VLOOKUP(Table1[[#This Row],[Address A]],IP_Master[],3,FALSE)</f>
        <v>iFIX Nodes &amp; Ethernet Switches</v>
      </c>
      <c r="V727" s="9" t="str">
        <f>VLOOKUP(Table1[[#This Row],[Address B]],IP_Master[],3,FALSE)</f>
        <v>iFIX Nodes &amp; Ethernet Switches</v>
      </c>
      <c r="W727" s="9" t="str">
        <f>VLOOKUP(Table1[[#This Row],[Port B]],traffic_types[],2,FALSE)</f>
        <v>Modbus</v>
      </c>
    </row>
    <row r="728" spans="1:23" x14ac:dyDescent="0.6">
      <c r="A728" t="s">
        <v>97</v>
      </c>
      <c r="B728">
        <v>2671</v>
      </c>
      <c r="C728" t="s">
        <v>87</v>
      </c>
      <c r="D728">
        <v>502</v>
      </c>
      <c r="E728">
        <v>2</v>
      </c>
      <c r="F728" s="13">
        <v>124</v>
      </c>
      <c r="G728">
        <v>2</v>
      </c>
      <c r="H728">
        <v>124</v>
      </c>
      <c r="I728">
        <v>0</v>
      </c>
      <c r="J728">
        <v>0</v>
      </c>
      <c r="K728">
        <v>395.90350899999999</v>
      </c>
      <c r="L728">
        <v>2.9962360000000099</v>
      </c>
      <c r="M728">
        <v>331.08206429667001</v>
      </c>
      <c r="N728">
        <v>0</v>
      </c>
      <c r="O728" s="8" t="str">
        <f>formatIP(Table1[[#This Row],[Address A]])</f>
        <v>010.012.000.002</v>
      </c>
      <c r="P728" s="8" t="str">
        <f>formatIP(Table1[[#This Row],[Address B]])</f>
        <v>010.011.009.028</v>
      </c>
      <c r="Q728" s="8" t="str">
        <f>VLOOKUP(Table1[[#This Row],[Address A]],IP_Master[],4,FALSE)</f>
        <v>PPPCFC2</v>
      </c>
      <c r="R728" s="8" t="str">
        <f>VLOOKUP(Table1[[#This Row],[Address B]],IP_Master[],4,FALSE)</f>
        <v>EGX100</v>
      </c>
      <c r="S728" s="8" t="str">
        <f>VLOOKUP(Table1[[#This Row],[Address A]],IP_Master[],2,FALSE)</f>
        <v>Fume Control</v>
      </c>
      <c r="T728" s="8" t="str">
        <f>VLOOKUP(Table1[[#This Row],[Address B]],IP_Master[],2,FALSE)</f>
        <v>Miscellaneous</v>
      </c>
      <c r="U728" s="9" t="str">
        <f>VLOOKUP(Table1[[#This Row],[Address A]],IP_Master[],3,FALSE)</f>
        <v>iFIX Nodes &amp; Ethernet Switches</v>
      </c>
      <c r="V728" s="9" t="str">
        <f>VLOOKUP(Table1[[#This Row],[Address B]],IP_Master[],3,FALSE)</f>
        <v>iFIX Nodes &amp; Ethernet Switches</v>
      </c>
      <c r="W728" s="9" t="str">
        <f>VLOOKUP(Table1[[#This Row],[Port B]],traffic_types[],2,FALSE)</f>
        <v>Modbus</v>
      </c>
    </row>
    <row r="729" spans="1:23" x14ac:dyDescent="0.6">
      <c r="A729" t="s">
        <v>97</v>
      </c>
      <c r="B729">
        <v>2672</v>
      </c>
      <c r="C729" t="s">
        <v>87</v>
      </c>
      <c r="D729">
        <v>502</v>
      </c>
      <c r="E729">
        <v>1</v>
      </c>
      <c r="F729" s="13">
        <v>62</v>
      </c>
      <c r="G729">
        <v>1</v>
      </c>
      <c r="H729">
        <v>62</v>
      </c>
      <c r="I729">
        <v>0</v>
      </c>
      <c r="J729">
        <v>0</v>
      </c>
      <c r="K729">
        <v>396.04615699999999</v>
      </c>
      <c r="L729">
        <v>0</v>
      </c>
      <c r="M729">
        <v>0</v>
      </c>
      <c r="N729">
        <v>0</v>
      </c>
      <c r="O729" s="8" t="str">
        <f>formatIP(Table1[[#This Row],[Address A]])</f>
        <v>010.012.000.002</v>
      </c>
      <c r="P729" s="8" t="str">
        <f>formatIP(Table1[[#This Row],[Address B]])</f>
        <v>010.011.009.028</v>
      </c>
      <c r="Q729" s="8" t="str">
        <f>VLOOKUP(Table1[[#This Row],[Address A]],IP_Master[],4,FALSE)</f>
        <v>PPPCFC2</v>
      </c>
      <c r="R729" s="8" t="str">
        <f>VLOOKUP(Table1[[#This Row],[Address B]],IP_Master[],4,FALSE)</f>
        <v>EGX100</v>
      </c>
      <c r="S729" s="8" t="str">
        <f>VLOOKUP(Table1[[#This Row],[Address A]],IP_Master[],2,FALSE)</f>
        <v>Fume Control</v>
      </c>
      <c r="T729" s="8" t="str">
        <f>VLOOKUP(Table1[[#This Row],[Address B]],IP_Master[],2,FALSE)</f>
        <v>Miscellaneous</v>
      </c>
      <c r="U729" s="9" t="str">
        <f>VLOOKUP(Table1[[#This Row],[Address A]],IP_Master[],3,FALSE)</f>
        <v>iFIX Nodes &amp; Ethernet Switches</v>
      </c>
      <c r="V729" s="9" t="str">
        <f>VLOOKUP(Table1[[#This Row],[Address B]],IP_Master[],3,FALSE)</f>
        <v>iFIX Nodes &amp; Ethernet Switches</v>
      </c>
      <c r="W729" s="9" t="str">
        <f>VLOOKUP(Table1[[#This Row],[Port B]],traffic_types[],2,FALSE)</f>
        <v>Modbus</v>
      </c>
    </row>
    <row r="730" spans="1:23" x14ac:dyDescent="0.6">
      <c r="A730" t="s">
        <v>97</v>
      </c>
      <c r="B730">
        <v>2673</v>
      </c>
      <c r="C730" t="s">
        <v>87</v>
      </c>
      <c r="D730">
        <v>502</v>
      </c>
      <c r="E730">
        <v>1</v>
      </c>
      <c r="F730" s="13">
        <v>62</v>
      </c>
      <c r="G730">
        <v>1</v>
      </c>
      <c r="H730">
        <v>62</v>
      </c>
      <c r="I730">
        <v>0</v>
      </c>
      <c r="J730">
        <v>0</v>
      </c>
      <c r="K730">
        <v>396.55514899999997</v>
      </c>
      <c r="L730">
        <v>0</v>
      </c>
      <c r="M730">
        <v>0</v>
      </c>
      <c r="N730">
        <v>0</v>
      </c>
      <c r="O730" s="8" t="str">
        <f>formatIP(Table1[[#This Row],[Address A]])</f>
        <v>010.012.000.002</v>
      </c>
      <c r="P730" s="8" t="str">
        <f>formatIP(Table1[[#This Row],[Address B]])</f>
        <v>010.011.009.028</v>
      </c>
      <c r="Q730" s="8" t="str">
        <f>VLOOKUP(Table1[[#This Row],[Address A]],IP_Master[],4,FALSE)</f>
        <v>PPPCFC2</v>
      </c>
      <c r="R730" s="8" t="str">
        <f>VLOOKUP(Table1[[#This Row],[Address B]],IP_Master[],4,FALSE)</f>
        <v>EGX100</v>
      </c>
      <c r="S730" s="8" t="str">
        <f>VLOOKUP(Table1[[#This Row],[Address A]],IP_Master[],2,FALSE)</f>
        <v>Fume Control</v>
      </c>
      <c r="T730" s="8" t="str">
        <f>VLOOKUP(Table1[[#This Row],[Address B]],IP_Master[],2,FALSE)</f>
        <v>Miscellaneous</v>
      </c>
      <c r="U730" s="9" t="str">
        <f>VLOOKUP(Table1[[#This Row],[Address A]],IP_Master[],3,FALSE)</f>
        <v>iFIX Nodes &amp; Ethernet Switches</v>
      </c>
      <c r="V730" s="9" t="str">
        <f>VLOOKUP(Table1[[#This Row],[Address B]],IP_Master[],3,FALSE)</f>
        <v>iFIX Nodes &amp; Ethernet Switches</v>
      </c>
      <c r="W730" s="9" t="str">
        <f>VLOOKUP(Table1[[#This Row],[Port B]],traffic_types[],2,FALSE)</f>
        <v>Modbus</v>
      </c>
    </row>
    <row r="731" spans="1:23" x14ac:dyDescent="0.6">
      <c r="A731" t="s">
        <v>97</v>
      </c>
      <c r="B731">
        <v>2674</v>
      </c>
      <c r="C731" t="s">
        <v>87</v>
      </c>
      <c r="D731">
        <v>502</v>
      </c>
      <c r="E731">
        <v>1</v>
      </c>
      <c r="F731" s="13">
        <v>62</v>
      </c>
      <c r="G731">
        <v>1</v>
      </c>
      <c r="H731">
        <v>62</v>
      </c>
      <c r="I731">
        <v>0</v>
      </c>
      <c r="J731">
        <v>0</v>
      </c>
      <c r="K731">
        <v>397.756462</v>
      </c>
      <c r="L731">
        <v>0</v>
      </c>
      <c r="M731">
        <v>0</v>
      </c>
      <c r="N731">
        <v>0</v>
      </c>
      <c r="O731" s="8" t="str">
        <f>formatIP(Table1[[#This Row],[Address A]])</f>
        <v>010.012.000.002</v>
      </c>
      <c r="P731" s="8" t="str">
        <f>formatIP(Table1[[#This Row],[Address B]])</f>
        <v>010.011.009.028</v>
      </c>
      <c r="Q731" s="8" t="str">
        <f>VLOOKUP(Table1[[#This Row],[Address A]],IP_Master[],4,FALSE)</f>
        <v>PPPCFC2</v>
      </c>
      <c r="R731" s="8" t="str">
        <f>VLOOKUP(Table1[[#This Row],[Address B]],IP_Master[],4,FALSE)</f>
        <v>EGX100</v>
      </c>
      <c r="S731" s="8" t="str">
        <f>VLOOKUP(Table1[[#This Row],[Address A]],IP_Master[],2,FALSE)</f>
        <v>Fume Control</v>
      </c>
      <c r="T731" s="8" t="str">
        <f>VLOOKUP(Table1[[#This Row],[Address B]],IP_Master[],2,FALSE)</f>
        <v>Miscellaneous</v>
      </c>
      <c r="U731" s="9" t="str">
        <f>VLOOKUP(Table1[[#This Row],[Address A]],IP_Master[],3,FALSE)</f>
        <v>iFIX Nodes &amp; Ethernet Switches</v>
      </c>
      <c r="V731" s="9" t="str">
        <f>VLOOKUP(Table1[[#This Row],[Address B]],IP_Master[],3,FALSE)</f>
        <v>iFIX Nodes &amp; Ethernet Switches</v>
      </c>
      <c r="W731" s="9" t="str">
        <f>VLOOKUP(Table1[[#This Row],[Port B]],traffic_types[],2,FALSE)</f>
        <v>Modbus</v>
      </c>
    </row>
    <row r="732" spans="1:23" x14ac:dyDescent="0.6">
      <c r="A732" t="s">
        <v>97</v>
      </c>
      <c r="B732">
        <v>2675</v>
      </c>
      <c r="C732" t="s">
        <v>87</v>
      </c>
      <c r="D732">
        <v>502</v>
      </c>
      <c r="E732">
        <v>2</v>
      </c>
      <c r="F732" s="13">
        <v>124</v>
      </c>
      <c r="G732">
        <v>2</v>
      </c>
      <c r="H732">
        <v>124</v>
      </c>
      <c r="I732">
        <v>0</v>
      </c>
      <c r="J732">
        <v>0</v>
      </c>
      <c r="K732">
        <v>398.12349699999999</v>
      </c>
      <c r="L732">
        <v>2.98897700000003</v>
      </c>
      <c r="M732">
        <v>331.886126925697</v>
      </c>
      <c r="N732">
        <v>0</v>
      </c>
      <c r="O732" s="8" t="str">
        <f>formatIP(Table1[[#This Row],[Address A]])</f>
        <v>010.012.000.002</v>
      </c>
      <c r="P732" s="8" t="str">
        <f>formatIP(Table1[[#This Row],[Address B]])</f>
        <v>010.011.009.028</v>
      </c>
      <c r="Q732" s="8" t="str">
        <f>VLOOKUP(Table1[[#This Row],[Address A]],IP_Master[],4,FALSE)</f>
        <v>PPPCFC2</v>
      </c>
      <c r="R732" s="8" t="str">
        <f>VLOOKUP(Table1[[#This Row],[Address B]],IP_Master[],4,FALSE)</f>
        <v>EGX100</v>
      </c>
      <c r="S732" s="8" t="str">
        <f>VLOOKUP(Table1[[#This Row],[Address A]],IP_Master[],2,FALSE)</f>
        <v>Fume Control</v>
      </c>
      <c r="T732" s="8" t="str">
        <f>VLOOKUP(Table1[[#This Row],[Address B]],IP_Master[],2,FALSE)</f>
        <v>Miscellaneous</v>
      </c>
      <c r="U732" s="9" t="str">
        <f>VLOOKUP(Table1[[#This Row],[Address A]],IP_Master[],3,FALSE)</f>
        <v>iFIX Nodes &amp; Ethernet Switches</v>
      </c>
      <c r="V732" s="9" t="str">
        <f>VLOOKUP(Table1[[#This Row],[Address B]],IP_Master[],3,FALSE)</f>
        <v>iFIX Nodes &amp; Ethernet Switches</v>
      </c>
      <c r="W732" s="9" t="str">
        <f>VLOOKUP(Table1[[#This Row],[Port B]],traffic_types[],2,FALSE)</f>
        <v>Modbus</v>
      </c>
    </row>
    <row r="733" spans="1:23" x14ac:dyDescent="0.6">
      <c r="A733" t="s">
        <v>97</v>
      </c>
      <c r="B733">
        <v>2677</v>
      </c>
      <c r="C733" t="s">
        <v>87</v>
      </c>
      <c r="D733">
        <v>502</v>
      </c>
      <c r="E733">
        <v>1</v>
      </c>
      <c r="F733" s="13">
        <v>62</v>
      </c>
      <c r="G733">
        <v>1</v>
      </c>
      <c r="H733">
        <v>62</v>
      </c>
      <c r="I733">
        <v>0</v>
      </c>
      <c r="J733">
        <v>0</v>
      </c>
      <c r="K733">
        <v>398.912645</v>
      </c>
      <c r="L733">
        <v>0</v>
      </c>
      <c r="M733">
        <v>0</v>
      </c>
      <c r="N733">
        <v>0</v>
      </c>
      <c r="O733" s="8" t="str">
        <f>formatIP(Table1[[#This Row],[Address A]])</f>
        <v>010.012.000.002</v>
      </c>
      <c r="P733" s="8" t="str">
        <f>formatIP(Table1[[#This Row],[Address B]])</f>
        <v>010.011.009.028</v>
      </c>
      <c r="Q733" s="8" t="str">
        <f>VLOOKUP(Table1[[#This Row],[Address A]],IP_Master[],4,FALSE)</f>
        <v>PPPCFC2</v>
      </c>
      <c r="R733" s="8" t="str">
        <f>VLOOKUP(Table1[[#This Row],[Address B]],IP_Master[],4,FALSE)</f>
        <v>EGX100</v>
      </c>
      <c r="S733" s="8" t="str">
        <f>VLOOKUP(Table1[[#This Row],[Address A]],IP_Master[],2,FALSE)</f>
        <v>Fume Control</v>
      </c>
      <c r="T733" s="8" t="str">
        <f>VLOOKUP(Table1[[#This Row],[Address B]],IP_Master[],2,FALSE)</f>
        <v>Miscellaneous</v>
      </c>
      <c r="U733" s="9" t="str">
        <f>VLOOKUP(Table1[[#This Row],[Address A]],IP_Master[],3,FALSE)</f>
        <v>iFIX Nodes &amp; Ethernet Switches</v>
      </c>
      <c r="V733" s="9" t="str">
        <f>VLOOKUP(Table1[[#This Row],[Address B]],IP_Master[],3,FALSE)</f>
        <v>iFIX Nodes &amp; Ethernet Switches</v>
      </c>
      <c r="W733" s="9" t="str">
        <f>VLOOKUP(Table1[[#This Row],[Port B]],traffic_types[],2,FALSE)</f>
        <v>Modbus</v>
      </c>
    </row>
    <row r="734" spans="1:23" x14ac:dyDescent="0.6">
      <c r="A734" t="s">
        <v>97</v>
      </c>
      <c r="B734">
        <v>2678</v>
      </c>
      <c r="C734" t="s">
        <v>87</v>
      </c>
      <c r="D734">
        <v>502</v>
      </c>
      <c r="E734">
        <v>1</v>
      </c>
      <c r="F734" s="13">
        <v>62</v>
      </c>
      <c r="G734">
        <v>1</v>
      </c>
      <c r="H734">
        <v>62</v>
      </c>
      <c r="I734">
        <v>0</v>
      </c>
      <c r="J734">
        <v>0</v>
      </c>
      <c r="K734">
        <v>399.05338499999999</v>
      </c>
      <c r="L734">
        <v>0</v>
      </c>
      <c r="M734">
        <v>0</v>
      </c>
      <c r="N734">
        <v>0</v>
      </c>
      <c r="O734" s="8" t="str">
        <f>formatIP(Table1[[#This Row],[Address A]])</f>
        <v>010.012.000.002</v>
      </c>
      <c r="P734" s="8" t="str">
        <f>formatIP(Table1[[#This Row],[Address B]])</f>
        <v>010.011.009.028</v>
      </c>
      <c r="Q734" s="8" t="str">
        <f>VLOOKUP(Table1[[#This Row],[Address A]],IP_Master[],4,FALSE)</f>
        <v>PPPCFC2</v>
      </c>
      <c r="R734" s="8" t="str">
        <f>VLOOKUP(Table1[[#This Row],[Address B]],IP_Master[],4,FALSE)</f>
        <v>EGX100</v>
      </c>
      <c r="S734" s="8" t="str">
        <f>VLOOKUP(Table1[[#This Row],[Address A]],IP_Master[],2,FALSE)</f>
        <v>Fume Control</v>
      </c>
      <c r="T734" s="8" t="str">
        <f>VLOOKUP(Table1[[#This Row],[Address B]],IP_Master[],2,FALSE)</f>
        <v>Miscellaneous</v>
      </c>
      <c r="U734" s="9" t="str">
        <f>VLOOKUP(Table1[[#This Row],[Address A]],IP_Master[],3,FALSE)</f>
        <v>iFIX Nodes &amp; Ethernet Switches</v>
      </c>
      <c r="V734" s="9" t="str">
        <f>VLOOKUP(Table1[[#This Row],[Address B]],IP_Master[],3,FALSE)</f>
        <v>iFIX Nodes &amp; Ethernet Switches</v>
      </c>
      <c r="W734" s="9" t="str">
        <f>VLOOKUP(Table1[[#This Row],[Port B]],traffic_types[],2,FALSE)</f>
        <v>Modbus</v>
      </c>
    </row>
    <row r="735" spans="1:23" x14ac:dyDescent="0.6">
      <c r="A735" t="s">
        <v>97</v>
      </c>
      <c r="B735">
        <v>2679</v>
      </c>
      <c r="C735" t="s">
        <v>87</v>
      </c>
      <c r="D735">
        <v>502</v>
      </c>
      <c r="E735">
        <v>1</v>
      </c>
      <c r="F735" s="13">
        <v>62</v>
      </c>
      <c r="G735">
        <v>1</v>
      </c>
      <c r="H735">
        <v>62</v>
      </c>
      <c r="I735">
        <v>0</v>
      </c>
      <c r="J735">
        <v>0</v>
      </c>
      <c r="K735">
        <v>399.56896499999999</v>
      </c>
      <c r="L735">
        <v>0</v>
      </c>
      <c r="M735">
        <v>0</v>
      </c>
      <c r="N735">
        <v>0</v>
      </c>
      <c r="O735" s="8" t="str">
        <f>formatIP(Table1[[#This Row],[Address A]])</f>
        <v>010.012.000.002</v>
      </c>
      <c r="P735" s="8" t="str">
        <f>formatIP(Table1[[#This Row],[Address B]])</f>
        <v>010.011.009.028</v>
      </c>
      <c r="Q735" s="8" t="str">
        <f>VLOOKUP(Table1[[#This Row],[Address A]],IP_Master[],4,FALSE)</f>
        <v>PPPCFC2</v>
      </c>
      <c r="R735" s="8" t="str">
        <f>VLOOKUP(Table1[[#This Row],[Address B]],IP_Master[],4,FALSE)</f>
        <v>EGX100</v>
      </c>
      <c r="S735" s="8" t="str">
        <f>VLOOKUP(Table1[[#This Row],[Address A]],IP_Master[],2,FALSE)</f>
        <v>Fume Control</v>
      </c>
      <c r="T735" s="8" t="str">
        <f>VLOOKUP(Table1[[#This Row],[Address B]],IP_Master[],2,FALSE)</f>
        <v>Miscellaneous</v>
      </c>
      <c r="U735" s="9" t="str">
        <f>VLOOKUP(Table1[[#This Row],[Address A]],IP_Master[],3,FALSE)</f>
        <v>iFIX Nodes &amp; Ethernet Switches</v>
      </c>
      <c r="V735" s="9" t="str">
        <f>VLOOKUP(Table1[[#This Row],[Address B]],IP_Master[],3,FALSE)</f>
        <v>iFIX Nodes &amp; Ethernet Switches</v>
      </c>
      <c r="W735" s="9" t="str">
        <f>VLOOKUP(Table1[[#This Row],[Port B]],traffic_types[],2,FALSE)</f>
        <v>Modbus</v>
      </c>
    </row>
    <row r="736" spans="1:23" x14ac:dyDescent="0.6">
      <c r="A736" t="s">
        <v>97</v>
      </c>
      <c r="B736">
        <v>2680</v>
      </c>
      <c r="C736" t="s">
        <v>87</v>
      </c>
      <c r="D736">
        <v>502</v>
      </c>
      <c r="E736">
        <v>1</v>
      </c>
      <c r="F736" s="13">
        <v>62</v>
      </c>
      <c r="G736">
        <v>1</v>
      </c>
      <c r="H736">
        <v>62</v>
      </c>
      <c r="I736">
        <v>0</v>
      </c>
      <c r="J736">
        <v>0</v>
      </c>
      <c r="K736">
        <v>401.13151399999998</v>
      </c>
      <c r="L736">
        <v>0</v>
      </c>
      <c r="M736">
        <v>0</v>
      </c>
      <c r="N736">
        <v>0</v>
      </c>
      <c r="O736" s="8" t="str">
        <f>formatIP(Table1[[#This Row],[Address A]])</f>
        <v>010.012.000.002</v>
      </c>
      <c r="P736" s="8" t="str">
        <f>formatIP(Table1[[#This Row],[Address B]])</f>
        <v>010.011.009.028</v>
      </c>
      <c r="Q736" s="8" t="str">
        <f>VLOOKUP(Table1[[#This Row],[Address A]],IP_Master[],4,FALSE)</f>
        <v>PPPCFC2</v>
      </c>
      <c r="R736" s="8" t="str">
        <f>VLOOKUP(Table1[[#This Row],[Address B]],IP_Master[],4,FALSE)</f>
        <v>EGX100</v>
      </c>
      <c r="S736" s="8" t="str">
        <f>VLOOKUP(Table1[[#This Row],[Address A]],IP_Master[],2,FALSE)</f>
        <v>Fume Control</v>
      </c>
      <c r="T736" s="8" t="str">
        <f>VLOOKUP(Table1[[#This Row],[Address B]],IP_Master[],2,FALSE)</f>
        <v>Miscellaneous</v>
      </c>
      <c r="U736" s="9" t="str">
        <f>VLOOKUP(Table1[[#This Row],[Address A]],IP_Master[],3,FALSE)</f>
        <v>iFIX Nodes &amp; Ethernet Switches</v>
      </c>
      <c r="V736" s="9" t="str">
        <f>VLOOKUP(Table1[[#This Row],[Address B]],IP_Master[],3,FALSE)</f>
        <v>iFIX Nodes &amp; Ethernet Switches</v>
      </c>
      <c r="W736" s="9" t="str">
        <f>VLOOKUP(Table1[[#This Row],[Port B]],traffic_types[],2,FALSE)</f>
        <v>Modbus</v>
      </c>
    </row>
    <row r="737" spans="1:23" x14ac:dyDescent="0.6">
      <c r="A737" t="s">
        <v>97</v>
      </c>
      <c r="B737">
        <v>2685</v>
      </c>
      <c r="C737" t="s">
        <v>87</v>
      </c>
      <c r="D737">
        <v>502</v>
      </c>
      <c r="E737">
        <v>2</v>
      </c>
      <c r="F737" s="13">
        <v>124</v>
      </c>
      <c r="G737">
        <v>2</v>
      </c>
      <c r="H737">
        <v>124</v>
      </c>
      <c r="I737">
        <v>0</v>
      </c>
      <c r="J737">
        <v>0</v>
      </c>
      <c r="K737">
        <v>427.76225699999998</v>
      </c>
      <c r="L737">
        <v>2.9227380000000398</v>
      </c>
      <c r="M737">
        <v>339.40777449090098</v>
      </c>
      <c r="N737">
        <v>0</v>
      </c>
      <c r="O737" s="8" t="str">
        <f>formatIP(Table1[[#This Row],[Address A]])</f>
        <v>010.012.000.002</v>
      </c>
      <c r="P737" s="8" t="str">
        <f>formatIP(Table1[[#This Row],[Address B]])</f>
        <v>010.011.009.028</v>
      </c>
      <c r="Q737" s="8" t="str">
        <f>VLOOKUP(Table1[[#This Row],[Address A]],IP_Master[],4,FALSE)</f>
        <v>PPPCFC2</v>
      </c>
      <c r="R737" s="8" t="str">
        <f>VLOOKUP(Table1[[#This Row],[Address B]],IP_Master[],4,FALSE)</f>
        <v>EGX100</v>
      </c>
      <c r="S737" s="8" t="str">
        <f>VLOOKUP(Table1[[#This Row],[Address A]],IP_Master[],2,FALSE)</f>
        <v>Fume Control</v>
      </c>
      <c r="T737" s="8" t="str">
        <f>VLOOKUP(Table1[[#This Row],[Address B]],IP_Master[],2,FALSE)</f>
        <v>Miscellaneous</v>
      </c>
      <c r="U737" s="9" t="str">
        <f>VLOOKUP(Table1[[#This Row],[Address A]],IP_Master[],3,FALSE)</f>
        <v>iFIX Nodes &amp; Ethernet Switches</v>
      </c>
      <c r="V737" s="9" t="str">
        <f>VLOOKUP(Table1[[#This Row],[Address B]],IP_Master[],3,FALSE)</f>
        <v>iFIX Nodes &amp; Ethernet Switches</v>
      </c>
      <c r="W737" s="9" t="str">
        <f>VLOOKUP(Table1[[#This Row],[Port B]],traffic_types[],2,FALSE)</f>
        <v>Modbus</v>
      </c>
    </row>
    <row r="738" spans="1:23" x14ac:dyDescent="0.6">
      <c r="A738" t="s">
        <v>97</v>
      </c>
      <c r="B738">
        <v>2687</v>
      </c>
      <c r="C738" t="s">
        <v>87</v>
      </c>
      <c r="D738">
        <v>502</v>
      </c>
      <c r="E738">
        <v>2</v>
      </c>
      <c r="F738" s="13">
        <v>124</v>
      </c>
      <c r="G738">
        <v>2</v>
      </c>
      <c r="H738">
        <v>124</v>
      </c>
      <c r="I738">
        <v>0</v>
      </c>
      <c r="J738">
        <v>0</v>
      </c>
      <c r="K738">
        <v>428.91569600000003</v>
      </c>
      <c r="L738">
        <v>2.9762779999999802</v>
      </c>
      <c r="M738">
        <v>333.30219824895602</v>
      </c>
      <c r="N738">
        <v>0</v>
      </c>
      <c r="O738" s="8" t="str">
        <f>formatIP(Table1[[#This Row],[Address A]])</f>
        <v>010.012.000.002</v>
      </c>
      <c r="P738" s="8" t="str">
        <f>formatIP(Table1[[#This Row],[Address B]])</f>
        <v>010.011.009.028</v>
      </c>
      <c r="Q738" s="8" t="str">
        <f>VLOOKUP(Table1[[#This Row],[Address A]],IP_Master[],4,FALSE)</f>
        <v>PPPCFC2</v>
      </c>
      <c r="R738" s="8" t="str">
        <f>VLOOKUP(Table1[[#This Row],[Address B]],IP_Master[],4,FALSE)</f>
        <v>EGX100</v>
      </c>
      <c r="S738" s="8" t="str">
        <f>VLOOKUP(Table1[[#This Row],[Address A]],IP_Master[],2,FALSE)</f>
        <v>Fume Control</v>
      </c>
      <c r="T738" s="8" t="str">
        <f>VLOOKUP(Table1[[#This Row],[Address B]],IP_Master[],2,FALSE)</f>
        <v>Miscellaneous</v>
      </c>
      <c r="U738" s="9" t="str">
        <f>VLOOKUP(Table1[[#This Row],[Address A]],IP_Master[],3,FALSE)</f>
        <v>iFIX Nodes &amp; Ethernet Switches</v>
      </c>
      <c r="V738" s="9" t="str">
        <f>VLOOKUP(Table1[[#This Row],[Address B]],IP_Master[],3,FALSE)</f>
        <v>iFIX Nodes &amp; Ethernet Switches</v>
      </c>
      <c r="W738" s="9" t="str">
        <f>VLOOKUP(Table1[[#This Row],[Port B]],traffic_types[],2,FALSE)</f>
        <v>Modbus</v>
      </c>
    </row>
    <row r="739" spans="1:23" x14ac:dyDescent="0.6">
      <c r="A739" t="s">
        <v>97</v>
      </c>
      <c r="B739">
        <v>2688</v>
      </c>
      <c r="C739" t="s">
        <v>87</v>
      </c>
      <c r="D739">
        <v>502</v>
      </c>
      <c r="E739">
        <v>1</v>
      </c>
      <c r="F739" s="13">
        <v>62</v>
      </c>
      <c r="G739">
        <v>1</v>
      </c>
      <c r="H739">
        <v>62</v>
      </c>
      <c r="I739">
        <v>0</v>
      </c>
      <c r="J739">
        <v>0</v>
      </c>
      <c r="K739">
        <v>429.05717499999997</v>
      </c>
      <c r="L739">
        <v>0</v>
      </c>
      <c r="M739">
        <v>0</v>
      </c>
      <c r="N739">
        <v>0</v>
      </c>
      <c r="O739" s="8" t="str">
        <f>formatIP(Table1[[#This Row],[Address A]])</f>
        <v>010.012.000.002</v>
      </c>
      <c r="P739" s="8" t="str">
        <f>formatIP(Table1[[#This Row],[Address B]])</f>
        <v>010.011.009.028</v>
      </c>
      <c r="Q739" s="8" t="str">
        <f>VLOOKUP(Table1[[#This Row],[Address A]],IP_Master[],4,FALSE)</f>
        <v>PPPCFC2</v>
      </c>
      <c r="R739" s="8" t="str">
        <f>VLOOKUP(Table1[[#This Row],[Address B]],IP_Master[],4,FALSE)</f>
        <v>EGX100</v>
      </c>
      <c r="S739" s="8" t="str">
        <f>VLOOKUP(Table1[[#This Row],[Address A]],IP_Master[],2,FALSE)</f>
        <v>Fume Control</v>
      </c>
      <c r="T739" s="8" t="str">
        <f>VLOOKUP(Table1[[#This Row],[Address B]],IP_Master[],2,FALSE)</f>
        <v>Miscellaneous</v>
      </c>
      <c r="U739" s="9" t="str">
        <f>VLOOKUP(Table1[[#This Row],[Address A]],IP_Master[],3,FALSE)</f>
        <v>iFIX Nodes &amp; Ethernet Switches</v>
      </c>
      <c r="V739" s="9" t="str">
        <f>VLOOKUP(Table1[[#This Row],[Address B]],IP_Master[],3,FALSE)</f>
        <v>iFIX Nodes &amp; Ethernet Switches</v>
      </c>
      <c r="W739" s="9" t="str">
        <f>VLOOKUP(Table1[[#This Row],[Port B]],traffic_types[],2,FALSE)</f>
        <v>Modbus</v>
      </c>
    </row>
    <row r="740" spans="1:23" x14ac:dyDescent="0.6">
      <c r="A740" t="s">
        <v>97</v>
      </c>
      <c r="B740">
        <v>2689</v>
      </c>
      <c r="C740" t="s">
        <v>87</v>
      </c>
      <c r="D740">
        <v>502</v>
      </c>
      <c r="E740">
        <v>1</v>
      </c>
      <c r="F740" s="13">
        <v>62</v>
      </c>
      <c r="G740">
        <v>1</v>
      </c>
      <c r="H740">
        <v>62</v>
      </c>
      <c r="I740">
        <v>0</v>
      </c>
      <c r="J740">
        <v>0</v>
      </c>
      <c r="K740">
        <v>429.57500499999998</v>
      </c>
      <c r="L740">
        <v>0</v>
      </c>
      <c r="M740">
        <v>0</v>
      </c>
      <c r="N740">
        <v>0</v>
      </c>
      <c r="O740" s="8" t="str">
        <f>formatIP(Table1[[#This Row],[Address A]])</f>
        <v>010.012.000.002</v>
      </c>
      <c r="P740" s="8" t="str">
        <f>formatIP(Table1[[#This Row],[Address B]])</f>
        <v>010.011.009.028</v>
      </c>
      <c r="Q740" s="8" t="str">
        <f>VLOOKUP(Table1[[#This Row],[Address A]],IP_Master[],4,FALSE)</f>
        <v>PPPCFC2</v>
      </c>
      <c r="R740" s="8" t="str">
        <f>VLOOKUP(Table1[[#This Row],[Address B]],IP_Master[],4,FALSE)</f>
        <v>EGX100</v>
      </c>
      <c r="S740" s="8" t="str">
        <f>VLOOKUP(Table1[[#This Row],[Address A]],IP_Master[],2,FALSE)</f>
        <v>Fume Control</v>
      </c>
      <c r="T740" s="8" t="str">
        <f>VLOOKUP(Table1[[#This Row],[Address B]],IP_Master[],2,FALSE)</f>
        <v>Miscellaneous</v>
      </c>
      <c r="U740" s="9" t="str">
        <f>VLOOKUP(Table1[[#This Row],[Address A]],IP_Master[],3,FALSE)</f>
        <v>iFIX Nodes &amp; Ethernet Switches</v>
      </c>
      <c r="V740" s="9" t="str">
        <f>VLOOKUP(Table1[[#This Row],[Address B]],IP_Master[],3,FALSE)</f>
        <v>iFIX Nodes &amp; Ethernet Switches</v>
      </c>
      <c r="W740" s="9" t="str">
        <f>VLOOKUP(Table1[[#This Row],[Port B]],traffic_types[],2,FALSE)</f>
        <v>Modbus</v>
      </c>
    </row>
    <row r="741" spans="1:23" x14ac:dyDescent="0.6">
      <c r="A741" t="s">
        <v>97</v>
      </c>
      <c r="B741">
        <v>2690</v>
      </c>
      <c r="C741" t="s">
        <v>87</v>
      </c>
      <c r="D741">
        <v>502</v>
      </c>
      <c r="E741">
        <v>1</v>
      </c>
      <c r="F741" s="13">
        <v>62</v>
      </c>
      <c r="G741">
        <v>1</v>
      </c>
      <c r="H741">
        <v>62</v>
      </c>
      <c r="I741">
        <v>0</v>
      </c>
      <c r="J741">
        <v>0</v>
      </c>
      <c r="K741">
        <v>430.77243299999998</v>
      </c>
      <c r="L741">
        <v>0</v>
      </c>
      <c r="M741">
        <v>0</v>
      </c>
      <c r="N741">
        <v>0</v>
      </c>
      <c r="O741" s="8" t="str">
        <f>formatIP(Table1[[#This Row],[Address A]])</f>
        <v>010.012.000.002</v>
      </c>
      <c r="P741" s="8" t="str">
        <f>formatIP(Table1[[#This Row],[Address B]])</f>
        <v>010.011.009.028</v>
      </c>
      <c r="Q741" s="8" t="str">
        <f>VLOOKUP(Table1[[#This Row],[Address A]],IP_Master[],4,FALSE)</f>
        <v>PPPCFC2</v>
      </c>
      <c r="R741" s="8" t="str">
        <f>VLOOKUP(Table1[[#This Row],[Address B]],IP_Master[],4,FALSE)</f>
        <v>EGX100</v>
      </c>
      <c r="S741" s="8" t="str">
        <f>VLOOKUP(Table1[[#This Row],[Address A]],IP_Master[],2,FALSE)</f>
        <v>Fume Control</v>
      </c>
      <c r="T741" s="8" t="str">
        <f>VLOOKUP(Table1[[#This Row],[Address B]],IP_Master[],2,FALSE)</f>
        <v>Miscellaneous</v>
      </c>
      <c r="U741" s="9" t="str">
        <f>VLOOKUP(Table1[[#This Row],[Address A]],IP_Master[],3,FALSE)</f>
        <v>iFIX Nodes &amp; Ethernet Switches</v>
      </c>
      <c r="V741" s="9" t="str">
        <f>VLOOKUP(Table1[[#This Row],[Address B]],IP_Master[],3,FALSE)</f>
        <v>iFIX Nodes &amp; Ethernet Switches</v>
      </c>
      <c r="W741" s="9" t="str">
        <f>VLOOKUP(Table1[[#This Row],[Port B]],traffic_types[],2,FALSE)</f>
        <v>Modbus</v>
      </c>
    </row>
    <row r="742" spans="1:23" x14ac:dyDescent="0.6">
      <c r="A742" t="s">
        <v>97</v>
      </c>
      <c r="B742">
        <v>2691</v>
      </c>
      <c r="C742" t="s">
        <v>87</v>
      </c>
      <c r="D742">
        <v>502</v>
      </c>
      <c r="E742">
        <v>2</v>
      </c>
      <c r="F742" s="13">
        <v>124</v>
      </c>
      <c r="G742">
        <v>2</v>
      </c>
      <c r="H742">
        <v>124</v>
      </c>
      <c r="I742">
        <v>0</v>
      </c>
      <c r="J742">
        <v>0</v>
      </c>
      <c r="K742">
        <v>431.143101</v>
      </c>
      <c r="L742">
        <v>2.96175699999998</v>
      </c>
      <c r="M742">
        <v>334.93632327027802</v>
      </c>
      <c r="N742">
        <v>0</v>
      </c>
      <c r="O742" s="8" t="str">
        <f>formatIP(Table1[[#This Row],[Address A]])</f>
        <v>010.012.000.002</v>
      </c>
      <c r="P742" s="8" t="str">
        <f>formatIP(Table1[[#This Row],[Address B]])</f>
        <v>010.011.009.028</v>
      </c>
      <c r="Q742" s="8" t="str">
        <f>VLOOKUP(Table1[[#This Row],[Address A]],IP_Master[],4,FALSE)</f>
        <v>PPPCFC2</v>
      </c>
      <c r="R742" s="8" t="str">
        <f>VLOOKUP(Table1[[#This Row],[Address B]],IP_Master[],4,FALSE)</f>
        <v>EGX100</v>
      </c>
      <c r="S742" s="8" t="str">
        <f>VLOOKUP(Table1[[#This Row],[Address A]],IP_Master[],2,FALSE)</f>
        <v>Fume Control</v>
      </c>
      <c r="T742" s="8" t="str">
        <f>VLOOKUP(Table1[[#This Row],[Address B]],IP_Master[],2,FALSE)</f>
        <v>Miscellaneous</v>
      </c>
      <c r="U742" s="9" t="str">
        <f>VLOOKUP(Table1[[#This Row],[Address A]],IP_Master[],3,FALSE)</f>
        <v>iFIX Nodes &amp; Ethernet Switches</v>
      </c>
      <c r="V742" s="9" t="str">
        <f>VLOOKUP(Table1[[#This Row],[Address B]],IP_Master[],3,FALSE)</f>
        <v>iFIX Nodes &amp; Ethernet Switches</v>
      </c>
      <c r="W742" s="9" t="str">
        <f>VLOOKUP(Table1[[#This Row],[Port B]],traffic_types[],2,FALSE)</f>
        <v>Modbus</v>
      </c>
    </row>
    <row r="743" spans="1:23" x14ac:dyDescent="0.6">
      <c r="A743" t="s">
        <v>97</v>
      </c>
      <c r="B743">
        <v>2692</v>
      </c>
      <c r="C743" t="s">
        <v>87</v>
      </c>
      <c r="D743">
        <v>502</v>
      </c>
      <c r="E743">
        <v>1</v>
      </c>
      <c r="F743" s="13">
        <v>62</v>
      </c>
      <c r="G743">
        <v>1</v>
      </c>
      <c r="H743">
        <v>62</v>
      </c>
      <c r="I743">
        <v>0</v>
      </c>
      <c r="J743">
        <v>0</v>
      </c>
      <c r="K743">
        <v>431.92856</v>
      </c>
      <c r="L743">
        <v>0</v>
      </c>
      <c r="M743">
        <v>0</v>
      </c>
      <c r="N743">
        <v>0</v>
      </c>
      <c r="O743" s="8" t="str">
        <f>formatIP(Table1[[#This Row],[Address A]])</f>
        <v>010.012.000.002</v>
      </c>
      <c r="P743" s="8" t="str">
        <f>formatIP(Table1[[#This Row],[Address B]])</f>
        <v>010.011.009.028</v>
      </c>
      <c r="Q743" s="8" t="str">
        <f>VLOOKUP(Table1[[#This Row],[Address A]],IP_Master[],4,FALSE)</f>
        <v>PPPCFC2</v>
      </c>
      <c r="R743" s="8" t="str">
        <f>VLOOKUP(Table1[[#This Row],[Address B]],IP_Master[],4,FALSE)</f>
        <v>EGX100</v>
      </c>
      <c r="S743" s="8" t="str">
        <f>VLOOKUP(Table1[[#This Row],[Address A]],IP_Master[],2,FALSE)</f>
        <v>Fume Control</v>
      </c>
      <c r="T743" s="8" t="str">
        <f>VLOOKUP(Table1[[#This Row],[Address B]],IP_Master[],2,FALSE)</f>
        <v>Miscellaneous</v>
      </c>
      <c r="U743" s="9" t="str">
        <f>VLOOKUP(Table1[[#This Row],[Address A]],IP_Master[],3,FALSE)</f>
        <v>iFIX Nodes &amp; Ethernet Switches</v>
      </c>
      <c r="V743" s="9" t="str">
        <f>VLOOKUP(Table1[[#This Row],[Address B]],IP_Master[],3,FALSE)</f>
        <v>iFIX Nodes &amp; Ethernet Switches</v>
      </c>
      <c r="W743" s="9" t="str">
        <f>VLOOKUP(Table1[[#This Row],[Port B]],traffic_types[],2,FALSE)</f>
        <v>Modbus</v>
      </c>
    </row>
    <row r="744" spans="1:23" x14ac:dyDescent="0.6">
      <c r="A744" t="s">
        <v>97</v>
      </c>
      <c r="B744">
        <v>2693</v>
      </c>
      <c r="C744" t="s">
        <v>87</v>
      </c>
      <c r="D744">
        <v>502</v>
      </c>
      <c r="E744">
        <v>1</v>
      </c>
      <c r="F744" s="13">
        <v>62</v>
      </c>
      <c r="G744">
        <v>1</v>
      </c>
      <c r="H744">
        <v>62</v>
      </c>
      <c r="I744">
        <v>0</v>
      </c>
      <c r="J744">
        <v>0</v>
      </c>
      <c r="K744">
        <v>432.06923599999999</v>
      </c>
      <c r="L744">
        <v>0</v>
      </c>
      <c r="M744">
        <v>0</v>
      </c>
      <c r="N744">
        <v>0</v>
      </c>
      <c r="O744" s="8" t="str">
        <f>formatIP(Table1[[#This Row],[Address A]])</f>
        <v>010.012.000.002</v>
      </c>
      <c r="P744" s="8" t="str">
        <f>formatIP(Table1[[#This Row],[Address B]])</f>
        <v>010.011.009.028</v>
      </c>
      <c r="Q744" s="8" t="str">
        <f>VLOOKUP(Table1[[#This Row],[Address A]],IP_Master[],4,FALSE)</f>
        <v>PPPCFC2</v>
      </c>
      <c r="R744" s="8" t="str">
        <f>VLOOKUP(Table1[[#This Row],[Address B]],IP_Master[],4,FALSE)</f>
        <v>EGX100</v>
      </c>
      <c r="S744" s="8" t="str">
        <f>VLOOKUP(Table1[[#This Row],[Address A]],IP_Master[],2,FALSE)</f>
        <v>Fume Control</v>
      </c>
      <c r="T744" s="8" t="str">
        <f>VLOOKUP(Table1[[#This Row],[Address B]],IP_Master[],2,FALSE)</f>
        <v>Miscellaneous</v>
      </c>
      <c r="U744" s="9" t="str">
        <f>VLOOKUP(Table1[[#This Row],[Address A]],IP_Master[],3,FALSE)</f>
        <v>iFIX Nodes &amp; Ethernet Switches</v>
      </c>
      <c r="V744" s="9" t="str">
        <f>VLOOKUP(Table1[[#This Row],[Address B]],IP_Master[],3,FALSE)</f>
        <v>iFIX Nodes &amp; Ethernet Switches</v>
      </c>
      <c r="W744" s="9" t="str">
        <f>VLOOKUP(Table1[[#This Row],[Port B]],traffic_types[],2,FALSE)</f>
        <v>Modbus</v>
      </c>
    </row>
    <row r="745" spans="1:23" x14ac:dyDescent="0.6">
      <c r="A745" t="s">
        <v>97</v>
      </c>
      <c r="B745">
        <v>2694</v>
      </c>
      <c r="C745" t="s">
        <v>87</v>
      </c>
      <c r="D745">
        <v>502</v>
      </c>
      <c r="E745">
        <v>1</v>
      </c>
      <c r="F745" s="13">
        <v>62</v>
      </c>
      <c r="G745">
        <v>1</v>
      </c>
      <c r="H745">
        <v>62</v>
      </c>
      <c r="I745">
        <v>0</v>
      </c>
      <c r="J745">
        <v>0</v>
      </c>
      <c r="K745">
        <v>432.58500900000001</v>
      </c>
      <c r="L745">
        <v>0</v>
      </c>
      <c r="M745">
        <v>0</v>
      </c>
      <c r="N745">
        <v>0</v>
      </c>
      <c r="O745" s="8" t="str">
        <f>formatIP(Table1[[#This Row],[Address A]])</f>
        <v>010.012.000.002</v>
      </c>
      <c r="P745" s="8" t="str">
        <f>formatIP(Table1[[#This Row],[Address B]])</f>
        <v>010.011.009.028</v>
      </c>
      <c r="Q745" s="8" t="str">
        <f>VLOOKUP(Table1[[#This Row],[Address A]],IP_Master[],4,FALSE)</f>
        <v>PPPCFC2</v>
      </c>
      <c r="R745" s="8" t="str">
        <f>VLOOKUP(Table1[[#This Row],[Address B]],IP_Master[],4,FALSE)</f>
        <v>EGX100</v>
      </c>
      <c r="S745" s="8" t="str">
        <f>VLOOKUP(Table1[[#This Row],[Address A]],IP_Master[],2,FALSE)</f>
        <v>Fume Control</v>
      </c>
      <c r="T745" s="8" t="str">
        <f>VLOOKUP(Table1[[#This Row],[Address B]],IP_Master[],2,FALSE)</f>
        <v>Miscellaneous</v>
      </c>
      <c r="U745" s="9" t="str">
        <f>VLOOKUP(Table1[[#This Row],[Address A]],IP_Master[],3,FALSE)</f>
        <v>iFIX Nodes &amp; Ethernet Switches</v>
      </c>
      <c r="V745" s="9" t="str">
        <f>VLOOKUP(Table1[[#This Row],[Address B]],IP_Master[],3,FALSE)</f>
        <v>iFIX Nodes &amp; Ethernet Switches</v>
      </c>
      <c r="W745" s="9" t="str">
        <f>VLOOKUP(Table1[[#This Row],[Port B]],traffic_types[],2,FALSE)</f>
        <v>Modbus</v>
      </c>
    </row>
    <row r="746" spans="1:23" x14ac:dyDescent="0.6">
      <c r="A746" t="s">
        <v>97</v>
      </c>
      <c r="B746">
        <v>2695</v>
      </c>
      <c r="C746" t="s">
        <v>87</v>
      </c>
      <c r="D746">
        <v>502</v>
      </c>
      <c r="E746">
        <v>1</v>
      </c>
      <c r="F746" s="13">
        <v>62</v>
      </c>
      <c r="G746">
        <v>1</v>
      </c>
      <c r="H746">
        <v>62</v>
      </c>
      <c r="I746">
        <v>0</v>
      </c>
      <c r="J746">
        <v>0</v>
      </c>
      <c r="K746">
        <v>434.14749699999999</v>
      </c>
      <c r="L746">
        <v>0</v>
      </c>
      <c r="M746">
        <v>0</v>
      </c>
      <c r="N746">
        <v>0</v>
      </c>
      <c r="O746" s="8" t="str">
        <f>formatIP(Table1[[#This Row],[Address A]])</f>
        <v>010.012.000.002</v>
      </c>
      <c r="P746" s="8" t="str">
        <f>formatIP(Table1[[#This Row],[Address B]])</f>
        <v>010.011.009.028</v>
      </c>
      <c r="Q746" s="8" t="str">
        <f>VLOOKUP(Table1[[#This Row],[Address A]],IP_Master[],4,FALSE)</f>
        <v>PPPCFC2</v>
      </c>
      <c r="R746" s="8" t="str">
        <f>VLOOKUP(Table1[[#This Row],[Address B]],IP_Master[],4,FALSE)</f>
        <v>EGX100</v>
      </c>
      <c r="S746" s="8" t="str">
        <f>VLOOKUP(Table1[[#This Row],[Address A]],IP_Master[],2,FALSE)</f>
        <v>Fume Control</v>
      </c>
      <c r="T746" s="8" t="str">
        <f>VLOOKUP(Table1[[#This Row],[Address B]],IP_Master[],2,FALSE)</f>
        <v>Miscellaneous</v>
      </c>
      <c r="U746" s="9" t="str">
        <f>VLOOKUP(Table1[[#This Row],[Address A]],IP_Master[],3,FALSE)</f>
        <v>iFIX Nodes &amp; Ethernet Switches</v>
      </c>
      <c r="V746" s="9" t="str">
        <f>VLOOKUP(Table1[[#This Row],[Address B]],IP_Master[],3,FALSE)</f>
        <v>iFIX Nodes &amp; Ethernet Switches</v>
      </c>
      <c r="W746" s="9" t="str">
        <f>VLOOKUP(Table1[[#This Row],[Port B]],traffic_types[],2,FALSE)</f>
        <v>Modbus</v>
      </c>
    </row>
    <row r="747" spans="1:23" x14ac:dyDescent="0.6">
      <c r="A747" t="s">
        <v>97</v>
      </c>
      <c r="B747">
        <v>2701</v>
      </c>
      <c r="C747" t="s">
        <v>87</v>
      </c>
      <c r="D747">
        <v>502</v>
      </c>
      <c r="E747">
        <v>2</v>
      </c>
      <c r="F747" s="13">
        <v>124</v>
      </c>
      <c r="G747">
        <v>2</v>
      </c>
      <c r="H747">
        <v>124</v>
      </c>
      <c r="I747">
        <v>0</v>
      </c>
      <c r="J747">
        <v>0</v>
      </c>
      <c r="K747">
        <v>460.78007400000001</v>
      </c>
      <c r="L747">
        <v>2.9979279999999999</v>
      </c>
      <c r="M747">
        <v>330.89520495488898</v>
      </c>
      <c r="N747">
        <v>0</v>
      </c>
      <c r="O747" s="8" t="str">
        <f>formatIP(Table1[[#This Row],[Address A]])</f>
        <v>010.012.000.002</v>
      </c>
      <c r="P747" s="8" t="str">
        <f>formatIP(Table1[[#This Row],[Address B]])</f>
        <v>010.011.009.028</v>
      </c>
      <c r="Q747" s="8" t="str">
        <f>VLOOKUP(Table1[[#This Row],[Address A]],IP_Master[],4,FALSE)</f>
        <v>PPPCFC2</v>
      </c>
      <c r="R747" s="8" t="str">
        <f>VLOOKUP(Table1[[#This Row],[Address B]],IP_Master[],4,FALSE)</f>
        <v>EGX100</v>
      </c>
      <c r="S747" s="8" t="str">
        <f>VLOOKUP(Table1[[#This Row],[Address A]],IP_Master[],2,FALSE)</f>
        <v>Fume Control</v>
      </c>
      <c r="T747" s="8" t="str">
        <f>VLOOKUP(Table1[[#This Row],[Address B]],IP_Master[],2,FALSE)</f>
        <v>Miscellaneous</v>
      </c>
      <c r="U747" s="9" t="str">
        <f>VLOOKUP(Table1[[#This Row],[Address A]],IP_Master[],3,FALSE)</f>
        <v>iFIX Nodes &amp; Ethernet Switches</v>
      </c>
      <c r="V747" s="9" t="str">
        <f>VLOOKUP(Table1[[#This Row],[Address B]],IP_Master[],3,FALSE)</f>
        <v>iFIX Nodes &amp; Ethernet Switches</v>
      </c>
      <c r="W747" s="9" t="str">
        <f>VLOOKUP(Table1[[#This Row],[Port B]],traffic_types[],2,FALSE)</f>
        <v>Modbus</v>
      </c>
    </row>
    <row r="748" spans="1:23" x14ac:dyDescent="0.6">
      <c r="A748" t="s">
        <v>97</v>
      </c>
      <c r="B748">
        <v>2702</v>
      </c>
      <c r="C748" t="s">
        <v>87</v>
      </c>
      <c r="D748">
        <v>502</v>
      </c>
      <c r="E748">
        <v>1</v>
      </c>
      <c r="F748" s="13">
        <v>62</v>
      </c>
      <c r="G748">
        <v>1</v>
      </c>
      <c r="H748">
        <v>62</v>
      </c>
      <c r="I748">
        <v>0</v>
      </c>
      <c r="J748">
        <v>0</v>
      </c>
      <c r="K748">
        <v>461.93368600000002</v>
      </c>
      <c r="L748">
        <v>0</v>
      </c>
      <c r="M748">
        <v>0</v>
      </c>
      <c r="N748">
        <v>0</v>
      </c>
      <c r="O748" s="8" t="str">
        <f>formatIP(Table1[[#This Row],[Address A]])</f>
        <v>010.012.000.002</v>
      </c>
      <c r="P748" s="8" t="str">
        <f>formatIP(Table1[[#This Row],[Address B]])</f>
        <v>010.011.009.028</v>
      </c>
      <c r="Q748" s="8" t="str">
        <f>VLOOKUP(Table1[[#This Row],[Address A]],IP_Master[],4,FALSE)</f>
        <v>PPPCFC2</v>
      </c>
      <c r="R748" s="8" t="str">
        <f>VLOOKUP(Table1[[#This Row],[Address B]],IP_Master[],4,FALSE)</f>
        <v>EGX100</v>
      </c>
      <c r="S748" s="8" t="str">
        <f>VLOOKUP(Table1[[#This Row],[Address A]],IP_Master[],2,FALSE)</f>
        <v>Fume Control</v>
      </c>
      <c r="T748" s="8" t="str">
        <f>VLOOKUP(Table1[[#This Row],[Address B]],IP_Master[],2,FALSE)</f>
        <v>Miscellaneous</v>
      </c>
      <c r="U748" s="9" t="str">
        <f>VLOOKUP(Table1[[#This Row],[Address A]],IP_Master[],3,FALSE)</f>
        <v>iFIX Nodes &amp; Ethernet Switches</v>
      </c>
      <c r="V748" s="9" t="str">
        <f>VLOOKUP(Table1[[#This Row],[Address B]],IP_Master[],3,FALSE)</f>
        <v>iFIX Nodes &amp; Ethernet Switches</v>
      </c>
      <c r="W748" s="9" t="str">
        <f>VLOOKUP(Table1[[#This Row],[Port B]],traffic_types[],2,FALSE)</f>
        <v>Modbus</v>
      </c>
    </row>
    <row r="749" spans="1:23" x14ac:dyDescent="0.6">
      <c r="A749" t="s">
        <v>97</v>
      </c>
      <c r="B749">
        <v>2703</v>
      </c>
      <c r="C749" t="s">
        <v>87</v>
      </c>
      <c r="D749">
        <v>502</v>
      </c>
      <c r="E749">
        <v>1</v>
      </c>
      <c r="F749" s="13">
        <v>62</v>
      </c>
      <c r="G749">
        <v>1</v>
      </c>
      <c r="H749">
        <v>62</v>
      </c>
      <c r="I749">
        <v>0</v>
      </c>
      <c r="J749">
        <v>0</v>
      </c>
      <c r="K749">
        <v>462.07486899999998</v>
      </c>
      <c r="L749">
        <v>0</v>
      </c>
      <c r="M749">
        <v>0</v>
      </c>
      <c r="N749">
        <v>0</v>
      </c>
      <c r="O749" s="8" t="str">
        <f>formatIP(Table1[[#This Row],[Address A]])</f>
        <v>010.012.000.002</v>
      </c>
      <c r="P749" s="8" t="str">
        <f>formatIP(Table1[[#This Row],[Address B]])</f>
        <v>010.011.009.028</v>
      </c>
      <c r="Q749" s="8" t="str">
        <f>VLOOKUP(Table1[[#This Row],[Address A]],IP_Master[],4,FALSE)</f>
        <v>PPPCFC2</v>
      </c>
      <c r="R749" s="8" t="str">
        <f>VLOOKUP(Table1[[#This Row],[Address B]],IP_Master[],4,FALSE)</f>
        <v>EGX100</v>
      </c>
      <c r="S749" s="8" t="str">
        <f>VLOOKUP(Table1[[#This Row],[Address A]],IP_Master[],2,FALSE)</f>
        <v>Fume Control</v>
      </c>
      <c r="T749" s="8" t="str">
        <f>VLOOKUP(Table1[[#This Row],[Address B]],IP_Master[],2,FALSE)</f>
        <v>Miscellaneous</v>
      </c>
      <c r="U749" s="9" t="str">
        <f>VLOOKUP(Table1[[#This Row],[Address A]],IP_Master[],3,FALSE)</f>
        <v>iFIX Nodes &amp; Ethernet Switches</v>
      </c>
      <c r="V749" s="9" t="str">
        <f>VLOOKUP(Table1[[#This Row],[Address B]],IP_Master[],3,FALSE)</f>
        <v>iFIX Nodes &amp; Ethernet Switches</v>
      </c>
      <c r="W749" s="9" t="str">
        <f>VLOOKUP(Table1[[#This Row],[Port B]],traffic_types[],2,FALSE)</f>
        <v>Modbus</v>
      </c>
    </row>
    <row r="750" spans="1:23" x14ac:dyDescent="0.6">
      <c r="A750" t="s">
        <v>97</v>
      </c>
      <c r="B750">
        <v>2704</v>
      </c>
      <c r="C750" t="s">
        <v>87</v>
      </c>
      <c r="D750">
        <v>502</v>
      </c>
      <c r="E750">
        <v>2</v>
      </c>
      <c r="F750" s="13">
        <v>124</v>
      </c>
      <c r="G750">
        <v>2</v>
      </c>
      <c r="H750">
        <v>124</v>
      </c>
      <c r="I750">
        <v>0</v>
      </c>
      <c r="J750">
        <v>0</v>
      </c>
      <c r="K750">
        <v>462.59452700000003</v>
      </c>
      <c r="L750">
        <v>2.99417599999998</v>
      </c>
      <c r="M750">
        <v>331.30984952120599</v>
      </c>
      <c r="N750">
        <v>0</v>
      </c>
      <c r="O750" s="8" t="str">
        <f>formatIP(Table1[[#This Row],[Address A]])</f>
        <v>010.012.000.002</v>
      </c>
      <c r="P750" s="8" t="str">
        <f>formatIP(Table1[[#This Row],[Address B]])</f>
        <v>010.011.009.028</v>
      </c>
      <c r="Q750" s="8" t="str">
        <f>VLOOKUP(Table1[[#This Row],[Address A]],IP_Master[],4,FALSE)</f>
        <v>PPPCFC2</v>
      </c>
      <c r="R750" s="8" t="str">
        <f>VLOOKUP(Table1[[#This Row],[Address B]],IP_Master[],4,FALSE)</f>
        <v>EGX100</v>
      </c>
      <c r="S750" s="8" t="str">
        <f>VLOOKUP(Table1[[#This Row],[Address A]],IP_Master[],2,FALSE)</f>
        <v>Fume Control</v>
      </c>
      <c r="T750" s="8" t="str">
        <f>VLOOKUP(Table1[[#This Row],[Address B]],IP_Master[],2,FALSE)</f>
        <v>Miscellaneous</v>
      </c>
      <c r="U750" s="9" t="str">
        <f>VLOOKUP(Table1[[#This Row],[Address A]],IP_Master[],3,FALSE)</f>
        <v>iFIX Nodes &amp; Ethernet Switches</v>
      </c>
      <c r="V750" s="9" t="str">
        <f>VLOOKUP(Table1[[#This Row],[Address B]],IP_Master[],3,FALSE)</f>
        <v>iFIX Nodes &amp; Ethernet Switches</v>
      </c>
      <c r="W750" s="9" t="str">
        <f>VLOOKUP(Table1[[#This Row],[Port B]],traffic_types[],2,FALSE)</f>
        <v>Modbus</v>
      </c>
    </row>
    <row r="751" spans="1:23" x14ac:dyDescent="0.6">
      <c r="A751" t="s">
        <v>97</v>
      </c>
      <c r="B751">
        <v>2705</v>
      </c>
      <c r="C751" t="s">
        <v>87</v>
      </c>
      <c r="D751">
        <v>502</v>
      </c>
      <c r="E751">
        <v>1</v>
      </c>
      <c r="F751" s="13">
        <v>62</v>
      </c>
      <c r="G751">
        <v>1</v>
      </c>
      <c r="H751">
        <v>62</v>
      </c>
      <c r="I751">
        <v>0</v>
      </c>
      <c r="J751">
        <v>0</v>
      </c>
      <c r="K751">
        <v>463.788319</v>
      </c>
      <c r="L751">
        <v>0</v>
      </c>
      <c r="M751">
        <v>0</v>
      </c>
      <c r="N751">
        <v>0</v>
      </c>
      <c r="O751" s="8" t="str">
        <f>formatIP(Table1[[#This Row],[Address A]])</f>
        <v>010.012.000.002</v>
      </c>
      <c r="P751" s="8" t="str">
        <f>formatIP(Table1[[#This Row],[Address B]])</f>
        <v>010.011.009.028</v>
      </c>
      <c r="Q751" s="8" t="str">
        <f>VLOOKUP(Table1[[#This Row],[Address A]],IP_Master[],4,FALSE)</f>
        <v>PPPCFC2</v>
      </c>
      <c r="R751" s="8" t="str">
        <f>VLOOKUP(Table1[[#This Row],[Address B]],IP_Master[],4,FALSE)</f>
        <v>EGX100</v>
      </c>
      <c r="S751" s="8" t="str">
        <f>VLOOKUP(Table1[[#This Row],[Address A]],IP_Master[],2,FALSE)</f>
        <v>Fume Control</v>
      </c>
      <c r="T751" s="8" t="str">
        <f>VLOOKUP(Table1[[#This Row],[Address B]],IP_Master[],2,FALSE)</f>
        <v>Miscellaneous</v>
      </c>
      <c r="U751" s="9" t="str">
        <f>VLOOKUP(Table1[[#This Row],[Address A]],IP_Master[],3,FALSE)</f>
        <v>iFIX Nodes &amp; Ethernet Switches</v>
      </c>
      <c r="V751" s="9" t="str">
        <f>VLOOKUP(Table1[[#This Row],[Address B]],IP_Master[],3,FALSE)</f>
        <v>iFIX Nodes &amp; Ethernet Switches</v>
      </c>
      <c r="W751" s="9" t="str">
        <f>VLOOKUP(Table1[[#This Row],[Port B]],traffic_types[],2,FALSE)</f>
        <v>Modbus</v>
      </c>
    </row>
    <row r="752" spans="1:23" x14ac:dyDescent="0.6">
      <c r="A752" t="s">
        <v>97</v>
      </c>
      <c r="B752">
        <v>2706</v>
      </c>
      <c r="C752" t="s">
        <v>87</v>
      </c>
      <c r="D752">
        <v>502</v>
      </c>
      <c r="E752">
        <v>2</v>
      </c>
      <c r="F752" s="13">
        <v>124</v>
      </c>
      <c r="G752">
        <v>2</v>
      </c>
      <c r="H752">
        <v>124</v>
      </c>
      <c r="I752">
        <v>0</v>
      </c>
      <c r="J752">
        <v>0</v>
      </c>
      <c r="K752">
        <v>464.15708100000001</v>
      </c>
      <c r="L752">
        <v>2.94015000000002</v>
      </c>
      <c r="M752">
        <v>337.39775181538198</v>
      </c>
      <c r="N752">
        <v>0</v>
      </c>
      <c r="O752" s="8" t="str">
        <f>formatIP(Table1[[#This Row],[Address A]])</f>
        <v>010.012.000.002</v>
      </c>
      <c r="P752" s="8" t="str">
        <f>formatIP(Table1[[#This Row],[Address B]])</f>
        <v>010.011.009.028</v>
      </c>
      <c r="Q752" s="8" t="str">
        <f>VLOOKUP(Table1[[#This Row],[Address A]],IP_Master[],4,FALSE)</f>
        <v>PPPCFC2</v>
      </c>
      <c r="R752" s="8" t="str">
        <f>VLOOKUP(Table1[[#This Row],[Address B]],IP_Master[],4,FALSE)</f>
        <v>EGX100</v>
      </c>
      <c r="S752" s="8" t="str">
        <f>VLOOKUP(Table1[[#This Row],[Address A]],IP_Master[],2,FALSE)</f>
        <v>Fume Control</v>
      </c>
      <c r="T752" s="8" t="str">
        <f>VLOOKUP(Table1[[#This Row],[Address B]],IP_Master[],2,FALSE)</f>
        <v>Miscellaneous</v>
      </c>
      <c r="U752" s="9" t="str">
        <f>VLOOKUP(Table1[[#This Row],[Address A]],IP_Master[],3,FALSE)</f>
        <v>iFIX Nodes &amp; Ethernet Switches</v>
      </c>
      <c r="V752" s="9" t="str">
        <f>VLOOKUP(Table1[[#This Row],[Address B]],IP_Master[],3,FALSE)</f>
        <v>iFIX Nodes &amp; Ethernet Switches</v>
      </c>
      <c r="W752" s="9" t="str">
        <f>VLOOKUP(Table1[[#This Row],[Port B]],traffic_types[],2,FALSE)</f>
        <v>Modbus</v>
      </c>
    </row>
    <row r="753" spans="1:23" x14ac:dyDescent="0.6">
      <c r="A753" t="s">
        <v>97</v>
      </c>
      <c r="B753">
        <v>2707</v>
      </c>
      <c r="C753" t="s">
        <v>87</v>
      </c>
      <c r="D753">
        <v>502</v>
      </c>
      <c r="E753">
        <v>1</v>
      </c>
      <c r="F753" s="13">
        <v>62</v>
      </c>
      <c r="G753">
        <v>1</v>
      </c>
      <c r="H753">
        <v>62</v>
      </c>
      <c r="I753">
        <v>0</v>
      </c>
      <c r="J753">
        <v>0</v>
      </c>
      <c r="K753">
        <v>464.94433099999998</v>
      </c>
      <c r="L753">
        <v>0</v>
      </c>
      <c r="M753">
        <v>0</v>
      </c>
      <c r="N753">
        <v>0</v>
      </c>
      <c r="O753" s="8" t="str">
        <f>formatIP(Table1[[#This Row],[Address A]])</f>
        <v>010.012.000.002</v>
      </c>
      <c r="P753" s="8" t="str">
        <f>formatIP(Table1[[#This Row],[Address B]])</f>
        <v>010.011.009.028</v>
      </c>
      <c r="Q753" s="8" t="str">
        <f>VLOOKUP(Table1[[#This Row],[Address A]],IP_Master[],4,FALSE)</f>
        <v>PPPCFC2</v>
      </c>
      <c r="R753" s="8" t="str">
        <f>VLOOKUP(Table1[[#This Row],[Address B]],IP_Master[],4,FALSE)</f>
        <v>EGX100</v>
      </c>
      <c r="S753" s="8" t="str">
        <f>VLOOKUP(Table1[[#This Row],[Address A]],IP_Master[],2,FALSE)</f>
        <v>Fume Control</v>
      </c>
      <c r="T753" s="8" t="str">
        <f>VLOOKUP(Table1[[#This Row],[Address B]],IP_Master[],2,FALSE)</f>
        <v>Miscellaneous</v>
      </c>
      <c r="U753" s="9" t="str">
        <f>VLOOKUP(Table1[[#This Row],[Address A]],IP_Master[],3,FALSE)</f>
        <v>iFIX Nodes &amp; Ethernet Switches</v>
      </c>
      <c r="V753" s="9" t="str">
        <f>VLOOKUP(Table1[[#This Row],[Address B]],IP_Master[],3,FALSE)</f>
        <v>iFIX Nodes &amp; Ethernet Switches</v>
      </c>
      <c r="W753" s="9" t="str">
        <f>VLOOKUP(Table1[[#This Row],[Port B]],traffic_types[],2,FALSE)</f>
        <v>Modbus</v>
      </c>
    </row>
    <row r="754" spans="1:23" x14ac:dyDescent="0.6">
      <c r="A754" t="s">
        <v>97</v>
      </c>
      <c r="B754">
        <v>2708</v>
      </c>
      <c r="C754" t="s">
        <v>87</v>
      </c>
      <c r="D754">
        <v>502</v>
      </c>
      <c r="E754">
        <v>1</v>
      </c>
      <c r="F754" s="13">
        <v>62</v>
      </c>
      <c r="G754">
        <v>1</v>
      </c>
      <c r="H754">
        <v>62</v>
      </c>
      <c r="I754">
        <v>0</v>
      </c>
      <c r="J754">
        <v>0</v>
      </c>
      <c r="K754">
        <v>465.085104</v>
      </c>
      <c r="L754">
        <v>0</v>
      </c>
      <c r="M754">
        <v>0</v>
      </c>
      <c r="N754">
        <v>0</v>
      </c>
      <c r="O754" s="8" t="str">
        <f>formatIP(Table1[[#This Row],[Address A]])</f>
        <v>010.012.000.002</v>
      </c>
      <c r="P754" s="8" t="str">
        <f>formatIP(Table1[[#This Row],[Address B]])</f>
        <v>010.011.009.028</v>
      </c>
      <c r="Q754" s="8" t="str">
        <f>VLOOKUP(Table1[[#This Row],[Address A]],IP_Master[],4,FALSE)</f>
        <v>PPPCFC2</v>
      </c>
      <c r="R754" s="8" t="str">
        <f>VLOOKUP(Table1[[#This Row],[Address B]],IP_Master[],4,FALSE)</f>
        <v>EGX100</v>
      </c>
      <c r="S754" s="8" t="str">
        <f>VLOOKUP(Table1[[#This Row],[Address A]],IP_Master[],2,FALSE)</f>
        <v>Fume Control</v>
      </c>
      <c r="T754" s="8" t="str">
        <f>VLOOKUP(Table1[[#This Row],[Address B]],IP_Master[],2,FALSE)</f>
        <v>Miscellaneous</v>
      </c>
      <c r="U754" s="9" t="str">
        <f>VLOOKUP(Table1[[#This Row],[Address A]],IP_Master[],3,FALSE)</f>
        <v>iFIX Nodes &amp; Ethernet Switches</v>
      </c>
      <c r="V754" s="9" t="str">
        <f>VLOOKUP(Table1[[#This Row],[Address B]],IP_Master[],3,FALSE)</f>
        <v>iFIX Nodes &amp; Ethernet Switches</v>
      </c>
      <c r="W754" s="9" t="str">
        <f>VLOOKUP(Table1[[#This Row],[Port B]],traffic_types[],2,FALSE)</f>
        <v>Modbus</v>
      </c>
    </row>
    <row r="755" spans="1:23" x14ac:dyDescent="0.6">
      <c r="A755" t="s">
        <v>97</v>
      </c>
      <c r="B755">
        <v>2709</v>
      </c>
      <c r="C755" t="s">
        <v>87</v>
      </c>
      <c r="D755">
        <v>502</v>
      </c>
      <c r="E755">
        <v>1</v>
      </c>
      <c r="F755" s="13">
        <v>62</v>
      </c>
      <c r="G755">
        <v>1</v>
      </c>
      <c r="H755">
        <v>62</v>
      </c>
      <c r="I755">
        <v>0</v>
      </c>
      <c r="J755">
        <v>0</v>
      </c>
      <c r="K755">
        <v>465.60076900000001</v>
      </c>
      <c r="L755">
        <v>0</v>
      </c>
      <c r="M755">
        <v>0</v>
      </c>
      <c r="N755">
        <v>0</v>
      </c>
      <c r="O755" s="8" t="str">
        <f>formatIP(Table1[[#This Row],[Address A]])</f>
        <v>010.012.000.002</v>
      </c>
      <c r="P755" s="8" t="str">
        <f>formatIP(Table1[[#This Row],[Address B]])</f>
        <v>010.011.009.028</v>
      </c>
      <c r="Q755" s="8" t="str">
        <f>VLOOKUP(Table1[[#This Row],[Address A]],IP_Master[],4,FALSE)</f>
        <v>PPPCFC2</v>
      </c>
      <c r="R755" s="8" t="str">
        <f>VLOOKUP(Table1[[#This Row],[Address B]],IP_Master[],4,FALSE)</f>
        <v>EGX100</v>
      </c>
      <c r="S755" s="8" t="str">
        <f>VLOOKUP(Table1[[#This Row],[Address A]],IP_Master[],2,FALSE)</f>
        <v>Fume Control</v>
      </c>
      <c r="T755" s="8" t="str">
        <f>VLOOKUP(Table1[[#This Row],[Address B]],IP_Master[],2,FALSE)</f>
        <v>Miscellaneous</v>
      </c>
      <c r="U755" s="9" t="str">
        <f>VLOOKUP(Table1[[#This Row],[Address A]],IP_Master[],3,FALSE)</f>
        <v>iFIX Nodes &amp; Ethernet Switches</v>
      </c>
      <c r="V755" s="9" t="str">
        <f>VLOOKUP(Table1[[#This Row],[Address B]],IP_Master[],3,FALSE)</f>
        <v>iFIX Nodes &amp; Ethernet Switches</v>
      </c>
      <c r="W755" s="9" t="str">
        <f>VLOOKUP(Table1[[#This Row],[Port B]],traffic_types[],2,FALSE)</f>
        <v>Modbus</v>
      </c>
    </row>
    <row r="756" spans="1:23" x14ac:dyDescent="0.6">
      <c r="A756" t="s">
        <v>97</v>
      </c>
      <c r="B756">
        <v>2710</v>
      </c>
      <c r="C756" t="s">
        <v>87</v>
      </c>
      <c r="D756">
        <v>502</v>
      </c>
      <c r="E756">
        <v>1</v>
      </c>
      <c r="F756" s="13">
        <v>62</v>
      </c>
      <c r="G756">
        <v>1</v>
      </c>
      <c r="H756">
        <v>62</v>
      </c>
      <c r="I756">
        <v>0</v>
      </c>
      <c r="J756">
        <v>0</v>
      </c>
      <c r="K756">
        <v>467.163115</v>
      </c>
      <c r="L756">
        <v>0</v>
      </c>
      <c r="M756">
        <v>0</v>
      </c>
      <c r="N756">
        <v>0</v>
      </c>
      <c r="O756" s="8" t="str">
        <f>formatIP(Table1[[#This Row],[Address A]])</f>
        <v>010.012.000.002</v>
      </c>
      <c r="P756" s="8" t="str">
        <f>formatIP(Table1[[#This Row],[Address B]])</f>
        <v>010.011.009.028</v>
      </c>
      <c r="Q756" s="8" t="str">
        <f>VLOOKUP(Table1[[#This Row],[Address A]],IP_Master[],4,FALSE)</f>
        <v>PPPCFC2</v>
      </c>
      <c r="R756" s="8" t="str">
        <f>VLOOKUP(Table1[[#This Row],[Address B]],IP_Master[],4,FALSE)</f>
        <v>EGX100</v>
      </c>
      <c r="S756" s="8" t="str">
        <f>VLOOKUP(Table1[[#This Row],[Address A]],IP_Master[],2,FALSE)</f>
        <v>Fume Control</v>
      </c>
      <c r="T756" s="8" t="str">
        <f>VLOOKUP(Table1[[#This Row],[Address B]],IP_Master[],2,FALSE)</f>
        <v>Miscellaneous</v>
      </c>
      <c r="U756" s="9" t="str">
        <f>VLOOKUP(Table1[[#This Row],[Address A]],IP_Master[],3,FALSE)</f>
        <v>iFIX Nodes &amp; Ethernet Switches</v>
      </c>
      <c r="V756" s="9" t="str">
        <f>VLOOKUP(Table1[[#This Row],[Address B]],IP_Master[],3,FALSE)</f>
        <v>iFIX Nodes &amp; Ethernet Switches</v>
      </c>
      <c r="W756" s="9" t="str">
        <f>VLOOKUP(Table1[[#This Row],[Port B]],traffic_types[],2,FALSE)</f>
        <v>Modbus</v>
      </c>
    </row>
    <row r="757" spans="1:23" x14ac:dyDescent="0.6">
      <c r="A757" t="s">
        <v>97</v>
      </c>
      <c r="B757">
        <v>2716</v>
      </c>
      <c r="C757" t="s">
        <v>87</v>
      </c>
      <c r="D757">
        <v>502</v>
      </c>
      <c r="E757">
        <v>2</v>
      </c>
      <c r="F757" s="13">
        <v>124</v>
      </c>
      <c r="G757">
        <v>2</v>
      </c>
      <c r="H757">
        <v>124</v>
      </c>
      <c r="I757">
        <v>0</v>
      </c>
      <c r="J757">
        <v>0</v>
      </c>
      <c r="K757">
        <v>493.79599300000001</v>
      </c>
      <c r="L757">
        <v>2.9743599999999901</v>
      </c>
      <c r="M757">
        <v>333.51712637340597</v>
      </c>
      <c r="N757">
        <v>0</v>
      </c>
      <c r="O757" s="8" t="str">
        <f>formatIP(Table1[[#This Row],[Address A]])</f>
        <v>010.012.000.002</v>
      </c>
      <c r="P757" s="8" t="str">
        <f>formatIP(Table1[[#This Row],[Address B]])</f>
        <v>010.011.009.028</v>
      </c>
      <c r="Q757" s="8" t="str">
        <f>VLOOKUP(Table1[[#This Row],[Address A]],IP_Master[],4,FALSE)</f>
        <v>PPPCFC2</v>
      </c>
      <c r="R757" s="8" t="str">
        <f>VLOOKUP(Table1[[#This Row],[Address B]],IP_Master[],4,FALSE)</f>
        <v>EGX100</v>
      </c>
      <c r="S757" s="8" t="str">
        <f>VLOOKUP(Table1[[#This Row],[Address A]],IP_Master[],2,FALSE)</f>
        <v>Fume Control</v>
      </c>
      <c r="T757" s="8" t="str">
        <f>VLOOKUP(Table1[[#This Row],[Address B]],IP_Master[],2,FALSE)</f>
        <v>Miscellaneous</v>
      </c>
      <c r="U757" s="9" t="str">
        <f>VLOOKUP(Table1[[#This Row],[Address A]],IP_Master[],3,FALSE)</f>
        <v>iFIX Nodes &amp; Ethernet Switches</v>
      </c>
      <c r="V757" s="9" t="str">
        <f>VLOOKUP(Table1[[#This Row],[Address B]],IP_Master[],3,FALSE)</f>
        <v>iFIX Nodes &amp; Ethernet Switches</v>
      </c>
      <c r="W757" s="9" t="str">
        <f>VLOOKUP(Table1[[#This Row],[Port B]],traffic_types[],2,FALSE)</f>
        <v>Modbus</v>
      </c>
    </row>
    <row r="758" spans="1:23" x14ac:dyDescent="0.6">
      <c r="A758" t="s">
        <v>97</v>
      </c>
      <c r="B758">
        <v>2717</v>
      </c>
      <c r="C758" t="s">
        <v>87</v>
      </c>
      <c r="D758">
        <v>502</v>
      </c>
      <c r="E758">
        <v>2</v>
      </c>
      <c r="F758" s="13">
        <v>124</v>
      </c>
      <c r="G758">
        <v>2</v>
      </c>
      <c r="H758">
        <v>124</v>
      </c>
      <c r="I758">
        <v>0</v>
      </c>
      <c r="J758">
        <v>0</v>
      </c>
      <c r="K758">
        <v>494.95139</v>
      </c>
      <c r="L758">
        <v>2.92536200000001</v>
      </c>
      <c r="M758">
        <v>339.10333148512802</v>
      </c>
      <c r="N758">
        <v>0</v>
      </c>
      <c r="O758" s="8" t="str">
        <f>formatIP(Table1[[#This Row],[Address A]])</f>
        <v>010.012.000.002</v>
      </c>
      <c r="P758" s="8" t="str">
        <f>formatIP(Table1[[#This Row],[Address B]])</f>
        <v>010.011.009.028</v>
      </c>
      <c r="Q758" s="8" t="str">
        <f>VLOOKUP(Table1[[#This Row],[Address A]],IP_Master[],4,FALSE)</f>
        <v>PPPCFC2</v>
      </c>
      <c r="R758" s="8" t="str">
        <f>VLOOKUP(Table1[[#This Row],[Address B]],IP_Master[],4,FALSE)</f>
        <v>EGX100</v>
      </c>
      <c r="S758" s="8" t="str">
        <f>VLOOKUP(Table1[[#This Row],[Address A]],IP_Master[],2,FALSE)</f>
        <v>Fume Control</v>
      </c>
      <c r="T758" s="8" t="str">
        <f>VLOOKUP(Table1[[#This Row],[Address B]],IP_Master[],2,FALSE)</f>
        <v>Miscellaneous</v>
      </c>
      <c r="U758" s="9" t="str">
        <f>VLOOKUP(Table1[[#This Row],[Address A]],IP_Master[],3,FALSE)</f>
        <v>iFIX Nodes &amp; Ethernet Switches</v>
      </c>
      <c r="V758" s="9" t="str">
        <f>VLOOKUP(Table1[[#This Row],[Address B]],IP_Master[],3,FALSE)</f>
        <v>iFIX Nodes &amp; Ethernet Switches</v>
      </c>
      <c r="W758" s="9" t="str">
        <f>VLOOKUP(Table1[[#This Row],[Port B]],traffic_types[],2,FALSE)</f>
        <v>Modbus</v>
      </c>
    </row>
    <row r="759" spans="1:23" x14ac:dyDescent="0.6">
      <c r="A759" t="s">
        <v>97</v>
      </c>
      <c r="B759">
        <v>2718</v>
      </c>
      <c r="C759" t="s">
        <v>87</v>
      </c>
      <c r="D759">
        <v>502</v>
      </c>
      <c r="E759">
        <v>2</v>
      </c>
      <c r="F759" s="13">
        <v>124</v>
      </c>
      <c r="G759">
        <v>2</v>
      </c>
      <c r="H759">
        <v>124</v>
      </c>
      <c r="I759">
        <v>0</v>
      </c>
      <c r="J759">
        <v>0</v>
      </c>
      <c r="K759">
        <v>495.09454799999997</v>
      </c>
      <c r="L759">
        <v>2.9833780000000201</v>
      </c>
      <c r="M759">
        <v>332.50898813358401</v>
      </c>
      <c r="N759">
        <v>0</v>
      </c>
      <c r="O759" s="8" t="str">
        <f>formatIP(Table1[[#This Row],[Address A]])</f>
        <v>010.012.000.002</v>
      </c>
      <c r="P759" s="8" t="str">
        <f>formatIP(Table1[[#This Row],[Address B]])</f>
        <v>010.011.009.028</v>
      </c>
      <c r="Q759" s="8" t="str">
        <f>VLOOKUP(Table1[[#This Row],[Address A]],IP_Master[],4,FALSE)</f>
        <v>PPPCFC2</v>
      </c>
      <c r="R759" s="8" t="str">
        <f>VLOOKUP(Table1[[#This Row],[Address B]],IP_Master[],4,FALSE)</f>
        <v>EGX100</v>
      </c>
      <c r="S759" s="8" t="str">
        <f>VLOOKUP(Table1[[#This Row],[Address A]],IP_Master[],2,FALSE)</f>
        <v>Fume Control</v>
      </c>
      <c r="T759" s="8" t="str">
        <f>VLOOKUP(Table1[[#This Row],[Address B]],IP_Master[],2,FALSE)</f>
        <v>Miscellaneous</v>
      </c>
      <c r="U759" s="9" t="str">
        <f>VLOOKUP(Table1[[#This Row],[Address A]],IP_Master[],3,FALSE)</f>
        <v>iFIX Nodes &amp; Ethernet Switches</v>
      </c>
      <c r="V759" s="9" t="str">
        <f>VLOOKUP(Table1[[#This Row],[Address B]],IP_Master[],3,FALSE)</f>
        <v>iFIX Nodes &amp; Ethernet Switches</v>
      </c>
      <c r="W759" s="9" t="str">
        <f>VLOOKUP(Table1[[#This Row],[Port B]],traffic_types[],2,FALSE)</f>
        <v>Modbus</v>
      </c>
    </row>
    <row r="760" spans="1:23" x14ac:dyDescent="0.6">
      <c r="A760" t="s">
        <v>97</v>
      </c>
      <c r="B760">
        <v>2719</v>
      </c>
      <c r="C760" t="s">
        <v>87</v>
      </c>
      <c r="D760">
        <v>502</v>
      </c>
      <c r="E760">
        <v>2</v>
      </c>
      <c r="F760" s="13">
        <v>124</v>
      </c>
      <c r="G760">
        <v>2</v>
      </c>
      <c r="H760">
        <v>124</v>
      </c>
      <c r="I760">
        <v>0</v>
      </c>
      <c r="J760">
        <v>0</v>
      </c>
      <c r="K760">
        <v>495.60399799999999</v>
      </c>
      <c r="L760">
        <v>2.9807789999999801</v>
      </c>
      <c r="M760">
        <v>332.79890927841501</v>
      </c>
      <c r="N760">
        <v>0</v>
      </c>
      <c r="O760" s="8" t="str">
        <f>formatIP(Table1[[#This Row],[Address A]])</f>
        <v>010.012.000.002</v>
      </c>
      <c r="P760" s="8" t="str">
        <f>formatIP(Table1[[#This Row],[Address B]])</f>
        <v>010.011.009.028</v>
      </c>
      <c r="Q760" s="8" t="str">
        <f>VLOOKUP(Table1[[#This Row],[Address A]],IP_Master[],4,FALSE)</f>
        <v>PPPCFC2</v>
      </c>
      <c r="R760" s="8" t="str">
        <f>VLOOKUP(Table1[[#This Row],[Address B]],IP_Master[],4,FALSE)</f>
        <v>EGX100</v>
      </c>
      <c r="S760" s="8" t="str">
        <f>VLOOKUP(Table1[[#This Row],[Address A]],IP_Master[],2,FALSE)</f>
        <v>Fume Control</v>
      </c>
      <c r="T760" s="8" t="str">
        <f>VLOOKUP(Table1[[#This Row],[Address B]],IP_Master[],2,FALSE)</f>
        <v>Miscellaneous</v>
      </c>
      <c r="U760" s="9" t="str">
        <f>VLOOKUP(Table1[[#This Row],[Address A]],IP_Master[],3,FALSE)</f>
        <v>iFIX Nodes &amp; Ethernet Switches</v>
      </c>
      <c r="V760" s="9" t="str">
        <f>VLOOKUP(Table1[[#This Row],[Address B]],IP_Master[],3,FALSE)</f>
        <v>iFIX Nodes &amp; Ethernet Switches</v>
      </c>
      <c r="W760" s="9" t="str">
        <f>VLOOKUP(Table1[[#This Row],[Port B]],traffic_types[],2,FALSE)</f>
        <v>Modbus</v>
      </c>
    </row>
    <row r="761" spans="1:23" x14ac:dyDescent="0.6">
      <c r="A761" t="s">
        <v>97</v>
      </c>
      <c r="B761">
        <v>2720</v>
      </c>
      <c r="C761" t="s">
        <v>87</v>
      </c>
      <c r="D761">
        <v>502</v>
      </c>
      <c r="E761">
        <v>1</v>
      </c>
      <c r="F761" s="13">
        <v>62</v>
      </c>
      <c r="G761">
        <v>1</v>
      </c>
      <c r="H761">
        <v>62</v>
      </c>
      <c r="I761">
        <v>0</v>
      </c>
      <c r="J761">
        <v>0</v>
      </c>
      <c r="K761">
        <v>496.80392599999999</v>
      </c>
      <c r="L761">
        <v>0</v>
      </c>
      <c r="M761">
        <v>0</v>
      </c>
      <c r="N761">
        <v>0</v>
      </c>
      <c r="O761" s="8" t="str">
        <f>formatIP(Table1[[#This Row],[Address A]])</f>
        <v>010.012.000.002</v>
      </c>
      <c r="P761" s="8" t="str">
        <f>formatIP(Table1[[#This Row],[Address B]])</f>
        <v>010.011.009.028</v>
      </c>
      <c r="Q761" s="8" t="str">
        <f>VLOOKUP(Table1[[#This Row],[Address A]],IP_Master[],4,FALSE)</f>
        <v>PPPCFC2</v>
      </c>
      <c r="R761" s="8" t="str">
        <f>VLOOKUP(Table1[[#This Row],[Address B]],IP_Master[],4,FALSE)</f>
        <v>EGX100</v>
      </c>
      <c r="S761" s="8" t="str">
        <f>VLOOKUP(Table1[[#This Row],[Address A]],IP_Master[],2,FALSE)</f>
        <v>Fume Control</v>
      </c>
      <c r="T761" s="8" t="str">
        <f>VLOOKUP(Table1[[#This Row],[Address B]],IP_Master[],2,FALSE)</f>
        <v>Miscellaneous</v>
      </c>
      <c r="U761" s="9" t="str">
        <f>VLOOKUP(Table1[[#This Row],[Address A]],IP_Master[],3,FALSE)</f>
        <v>iFIX Nodes &amp; Ethernet Switches</v>
      </c>
      <c r="V761" s="9" t="str">
        <f>VLOOKUP(Table1[[#This Row],[Address B]],IP_Master[],3,FALSE)</f>
        <v>iFIX Nodes &amp; Ethernet Switches</v>
      </c>
      <c r="W761" s="9" t="str">
        <f>VLOOKUP(Table1[[#This Row],[Port B]],traffic_types[],2,FALSE)</f>
        <v>Modbus</v>
      </c>
    </row>
    <row r="762" spans="1:23" x14ac:dyDescent="0.6">
      <c r="A762" t="s">
        <v>97</v>
      </c>
      <c r="B762">
        <v>2721</v>
      </c>
      <c r="C762" t="s">
        <v>87</v>
      </c>
      <c r="D762">
        <v>502</v>
      </c>
      <c r="E762">
        <v>1</v>
      </c>
      <c r="F762" s="13">
        <v>62</v>
      </c>
      <c r="G762">
        <v>1</v>
      </c>
      <c r="H762">
        <v>62</v>
      </c>
      <c r="I762">
        <v>0</v>
      </c>
      <c r="J762">
        <v>0</v>
      </c>
      <c r="K762">
        <v>497.17384800000002</v>
      </c>
      <c r="L762">
        <v>0</v>
      </c>
      <c r="M762">
        <v>0</v>
      </c>
      <c r="N762">
        <v>0</v>
      </c>
      <c r="O762" s="8" t="str">
        <f>formatIP(Table1[[#This Row],[Address A]])</f>
        <v>010.012.000.002</v>
      </c>
      <c r="P762" s="8" t="str">
        <f>formatIP(Table1[[#This Row],[Address B]])</f>
        <v>010.011.009.028</v>
      </c>
      <c r="Q762" s="8" t="str">
        <f>VLOOKUP(Table1[[#This Row],[Address A]],IP_Master[],4,FALSE)</f>
        <v>PPPCFC2</v>
      </c>
      <c r="R762" s="8" t="str">
        <f>VLOOKUP(Table1[[#This Row],[Address B]],IP_Master[],4,FALSE)</f>
        <v>EGX100</v>
      </c>
      <c r="S762" s="8" t="str">
        <f>VLOOKUP(Table1[[#This Row],[Address A]],IP_Master[],2,FALSE)</f>
        <v>Fume Control</v>
      </c>
      <c r="T762" s="8" t="str">
        <f>VLOOKUP(Table1[[#This Row],[Address B]],IP_Master[],2,FALSE)</f>
        <v>Miscellaneous</v>
      </c>
      <c r="U762" s="9" t="str">
        <f>VLOOKUP(Table1[[#This Row],[Address A]],IP_Master[],3,FALSE)</f>
        <v>iFIX Nodes &amp; Ethernet Switches</v>
      </c>
      <c r="V762" s="9" t="str">
        <f>VLOOKUP(Table1[[#This Row],[Address B]],IP_Master[],3,FALSE)</f>
        <v>iFIX Nodes &amp; Ethernet Switches</v>
      </c>
      <c r="W762" s="9" t="str">
        <f>VLOOKUP(Table1[[#This Row],[Port B]],traffic_types[],2,FALSE)</f>
        <v>Modbus</v>
      </c>
    </row>
    <row r="763" spans="1:23" x14ac:dyDescent="0.6">
      <c r="A763" t="s">
        <v>97</v>
      </c>
      <c r="B763">
        <v>2722</v>
      </c>
      <c r="C763" t="s">
        <v>87</v>
      </c>
      <c r="D763">
        <v>502</v>
      </c>
      <c r="E763">
        <v>1</v>
      </c>
      <c r="F763" s="13">
        <v>62</v>
      </c>
      <c r="G763">
        <v>1</v>
      </c>
      <c r="H763">
        <v>62</v>
      </c>
      <c r="I763">
        <v>0</v>
      </c>
      <c r="J763">
        <v>0</v>
      </c>
      <c r="K763">
        <v>497.96035499999999</v>
      </c>
      <c r="L763">
        <v>0</v>
      </c>
      <c r="M763">
        <v>0</v>
      </c>
      <c r="N763">
        <v>0</v>
      </c>
      <c r="O763" s="8" t="str">
        <f>formatIP(Table1[[#This Row],[Address A]])</f>
        <v>010.012.000.002</v>
      </c>
      <c r="P763" s="8" t="str">
        <f>formatIP(Table1[[#This Row],[Address B]])</f>
        <v>010.011.009.028</v>
      </c>
      <c r="Q763" s="8" t="str">
        <f>VLOOKUP(Table1[[#This Row],[Address A]],IP_Master[],4,FALSE)</f>
        <v>PPPCFC2</v>
      </c>
      <c r="R763" s="8" t="str">
        <f>VLOOKUP(Table1[[#This Row],[Address B]],IP_Master[],4,FALSE)</f>
        <v>EGX100</v>
      </c>
      <c r="S763" s="8" t="str">
        <f>VLOOKUP(Table1[[#This Row],[Address A]],IP_Master[],2,FALSE)</f>
        <v>Fume Control</v>
      </c>
      <c r="T763" s="8" t="str">
        <f>VLOOKUP(Table1[[#This Row],[Address B]],IP_Master[],2,FALSE)</f>
        <v>Miscellaneous</v>
      </c>
      <c r="U763" s="9" t="str">
        <f>VLOOKUP(Table1[[#This Row],[Address A]],IP_Master[],3,FALSE)</f>
        <v>iFIX Nodes &amp; Ethernet Switches</v>
      </c>
      <c r="V763" s="9" t="str">
        <f>VLOOKUP(Table1[[#This Row],[Address B]],IP_Master[],3,FALSE)</f>
        <v>iFIX Nodes &amp; Ethernet Switches</v>
      </c>
      <c r="W763" s="9" t="str">
        <f>VLOOKUP(Table1[[#This Row],[Port B]],traffic_types[],2,FALSE)</f>
        <v>Modbus</v>
      </c>
    </row>
    <row r="764" spans="1:23" x14ac:dyDescent="0.6">
      <c r="A764" t="s">
        <v>97</v>
      </c>
      <c r="B764">
        <v>2723</v>
      </c>
      <c r="C764" t="s">
        <v>87</v>
      </c>
      <c r="D764">
        <v>502</v>
      </c>
      <c r="E764">
        <v>1</v>
      </c>
      <c r="F764" s="13">
        <v>62</v>
      </c>
      <c r="G764">
        <v>1</v>
      </c>
      <c r="H764">
        <v>62</v>
      </c>
      <c r="I764">
        <v>0</v>
      </c>
      <c r="J764">
        <v>0</v>
      </c>
      <c r="K764">
        <v>498.10078700000003</v>
      </c>
      <c r="L764">
        <v>0</v>
      </c>
      <c r="M764">
        <v>0</v>
      </c>
      <c r="N764">
        <v>0</v>
      </c>
      <c r="O764" s="8" t="str">
        <f>formatIP(Table1[[#This Row],[Address A]])</f>
        <v>010.012.000.002</v>
      </c>
      <c r="P764" s="8" t="str">
        <f>formatIP(Table1[[#This Row],[Address B]])</f>
        <v>010.011.009.028</v>
      </c>
      <c r="Q764" s="8" t="str">
        <f>VLOOKUP(Table1[[#This Row],[Address A]],IP_Master[],4,FALSE)</f>
        <v>PPPCFC2</v>
      </c>
      <c r="R764" s="8" t="str">
        <f>VLOOKUP(Table1[[#This Row],[Address B]],IP_Master[],4,FALSE)</f>
        <v>EGX100</v>
      </c>
      <c r="S764" s="8" t="str">
        <f>VLOOKUP(Table1[[#This Row],[Address A]],IP_Master[],2,FALSE)</f>
        <v>Fume Control</v>
      </c>
      <c r="T764" s="8" t="str">
        <f>VLOOKUP(Table1[[#This Row],[Address B]],IP_Master[],2,FALSE)</f>
        <v>Miscellaneous</v>
      </c>
      <c r="U764" s="9" t="str">
        <f>VLOOKUP(Table1[[#This Row],[Address A]],IP_Master[],3,FALSE)</f>
        <v>iFIX Nodes &amp; Ethernet Switches</v>
      </c>
      <c r="V764" s="9" t="str">
        <f>VLOOKUP(Table1[[#This Row],[Address B]],IP_Master[],3,FALSE)</f>
        <v>iFIX Nodes &amp; Ethernet Switches</v>
      </c>
      <c r="W764" s="9" t="str">
        <f>VLOOKUP(Table1[[#This Row],[Port B]],traffic_types[],2,FALSE)</f>
        <v>Modbus</v>
      </c>
    </row>
    <row r="765" spans="1:23" x14ac:dyDescent="0.6">
      <c r="A765" t="s">
        <v>97</v>
      </c>
      <c r="B765">
        <v>2724</v>
      </c>
      <c r="C765" t="s">
        <v>87</v>
      </c>
      <c r="D765">
        <v>502</v>
      </c>
      <c r="E765">
        <v>1</v>
      </c>
      <c r="F765" s="13">
        <v>62</v>
      </c>
      <c r="G765">
        <v>1</v>
      </c>
      <c r="H765">
        <v>62</v>
      </c>
      <c r="I765">
        <v>0</v>
      </c>
      <c r="J765">
        <v>0</v>
      </c>
      <c r="K765">
        <v>498.61637899999999</v>
      </c>
      <c r="L765">
        <v>0</v>
      </c>
      <c r="M765">
        <v>0</v>
      </c>
      <c r="N765">
        <v>0</v>
      </c>
      <c r="O765" s="8" t="str">
        <f>formatIP(Table1[[#This Row],[Address A]])</f>
        <v>010.012.000.002</v>
      </c>
      <c r="P765" s="8" t="str">
        <f>formatIP(Table1[[#This Row],[Address B]])</f>
        <v>010.011.009.028</v>
      </c>
      <c r="Q765" s="8" t="str">
        <f>VLOOKUP(Table1[[#This Row],[Address A]],IP_Master[],4,FALSE)</f>
        <v>PPPCFC2</v>
      </c>
      <c r="R765" s="8" t="str">
        <f>VLOOKUP(Table1[[#This Row],[Address B]],IP_Master[],4,FALSE)</f>
        <v>EGX100</v>
      </c>
      <c r="S765" s="8" t="str">
        <f>VLOOKUP(Table1[[#This Row],[Address A]],IP_Master[],2,FALSE)</f>
        <v>Fume Control</v>
      </c>
      <c r="T765" s="8" t="str">
        <f>VLOOKUP(Table1[[#This Row],[Address B]],IP_Master[],2,FALSE)</f>
        <v>Miscellaneous</v>
      </c>
      <c r="U765" s="9" t="str">
        <f>VLOOKUP(Table1[[#This Row],[Address A]],IP_Master[],3,FALSE)</f>
        <v>iFIX Nodes &amp; Ethernet Switches</v>
      </c>
      <c r="V765" s="9" t="str">
        <f>VLOOKUP(Table1[[#This Row],[Address B]],IP_Master[],3,FALSE)</f>
        <v>iFIX Nodes &amp; Ethernet Switches</v>
      </c>
      <c r="W765" s="9" t="str">
        <f>VLOOKUP(Table1[[#This Row],[Port B]],traffic_types[],2,FALSE)</f>
        <v>Modbus</v>
      </c>
    </row>
    <row r="766" spans="1:23" x14ac:dyDescent="0.6">
      <c r="A766" t="s">
        <v>97</v>
      </c>
      <c r="B766">
        <v>2725</v>
      </c>
      <c r="C766" t="s">
        <v>87</v>
      </c>
      <c r="D766">
        <v>502</v>
      </c>
      <c r="E766">
        <v>1</v>
      </c>
      <c r="F766" s="13">
        <v>62</v>
      </c>
      <c r="G766">
        <v>1</v>
      </c>
      <c r="H766">
        <v>62</v>
      </c>
      <c r="I766">
        <v>0</v>
      </c>
      <c r="J766">
        <v>0</v>
      </c>
      <c r="K766">
        <v>500.17888199999999</v>
      </c>
      <c r="L766">
        <v>0</v>
      </c>
      <c r="M766">
        <v>0</v>
      </c>
      <c r="N766">
        <v>0</v>
      </c>
      <c r="O766" s="8" t="str">
        <f>formatIP(Table1[[#This Row],[Address A]])</f>
        <v>010.012.000.002</v>
      </c>
      <c r="P766" s="8" t="str">
        <f>formatIP(Table1[[#This Row],[Address B]])</f>
        <v>010.011.009.028</v>
      </c>
      <c r="Q766" s="8" t="str">
        <f>VLOOKUP(Table1[[#This Row],[Address A]],IP_Master[],4,FALSE)</f>
        <v>PPPCFC2</v>
      </c>
      <c r="R766" s="8" t="str">
        <f>VLOOKUP(Table1[[#This Row],[Address B]],IP_Master[],4,FALSE)</f>
        <v>EGX100</v>
      </c>
      <c r="S766" s="8" t="str">
        <f>VLOOKUP(Table1[[#This Row],[Address A]],IP_Master[],2,FALSE)</f>
        <v>Fume Control</v>
      </c>
      <c r="T766" s="8" t="str">
        <f>VLOOKUP(Table1[[#This Row],[Address B]],IP_Master[],2,FALSE)</f>
        <v>Miscellaneous</v>
      </c>
      <c r="U766" s="9" t="str">
        <f>VLOOKUP(Table1[[#This Row],[Address A]],IP_Master[],3,FALSE)</f>
        <v>iFIX Nodes &amp; Ethernet Switches</v>
      </c>
      <c r="V766" s="9" t="str">
        <f>VLOOKUP(Table1[[#This Row],[Address B]],IP_Master[],3,FALSE)</f>
        <v>iFIX Nodes &amp; Ethernet Switches</v>
      </c>
      <c r="W766" s="9" t="str">
        <f>VLOOKUP(Table1[[#This Row],[Port B]],traffic_types[],2,FALSE)</f>
        <v>Modbus</v>
      </c>
    </row>
    <row r="767" spans="1:23" x14ac:dyDescent="0.6">
      <c r="A767" t="s">
        <v>97</v>
      </c>
      <c r="B767">
        <v>2731</v>
      </c>
      <c r="C767" t="s">
        <v>87</v>
      </c>
      <c r="D767">
        <v>502</v>
      </c>
      <c r="E767">
        <v>2</v>
      </c>
      <c r="F767" s="13">
        <v>124</v>
      </c>
      <c r="G767">
        <v>2</v>
      </c>
      <c r="H767">
        <v>124</v>
      </c>
      <c r="I767">
        <v>0</v>
      </c>
      <c r="J767">
        <v>0</v>
      </c>
      <c r="K767">
        <v>526.81379100000004</v>
      </c>
      <c r="L767">
        <v>2.9489209999999302</v>
      </c>
      <c r="M767">
        <v>336.39422690537498</v>
      </c>
      <c r="N767">
        <v>0</v>
      </c>
      <c r="O767" s="8" t="str">
        <f>formatIP(Table1[[#This Row],[Address A]])</f>
        <v>010.012.000.002</v>
      </c>
      <c r="P767" s="8" t="str">
        <f>formatIP(Table1[[#This Row],[Address B]])</f>
        <v>010.011.009.028</v>
      </c>
      <c r="Q767" s="8" t="str">
        <f>VLOOKUP(Table1[[#This Row],[Address A]],IP_Master[],4,FALSE)</f>
        <v>PPPCFC2</v>
      </c>
      <c r="R767" s="8" t="str">
        <f>VLOOKUP(Table1[[#This Row],[Address B]],IP_Master[],4,FALSE)</f>
        <v>EGX100</v>
      </c>
      <c r="S767" s="8" t="str">
        <f>VLOOKUP(Table1[[#This Row],[Address A]],IP_Master[],2,FALSE)</f>
        <v>Fume Control</v>
      </c>
      <c r="T767" s="8" t="str">
        <f>VLOOKUP(Table1[[#This Row],[Address B]],IP_Master[],2,FALSE)</f>
        <v>Miscellaneous</v>
      </c>
      <c r="U767" s="9" t="str">
        <f>VLOOKUP(Table1[[#This Row],[Address A]],IP_Master[],3,FALSE)</f>
        <v>iFIX Nodes &amp; Ethernet Switches</v>
      </c>
      <c r="V767" s="9" t="str">
        <f>VLOOKUP(Table1[[#This Row],[Address B]],IP_Master[],3,FALSE)</f>
        <v>iFIX Nodes &amp; Ethernet Switches</v>
      </c>
      <c r="W767" s="9" t="str">
        <f>VLOOKUP(Table1[[#This Row],[Port B]],traffic_types[],2,FALSE)</f>
        <v>Modbus</v>
      </c>
    </row>
    <row r="768" spans="1:23" x14ac:dyDescent="0.6">
      <c r="A768" t="s">
        <v>97</v>
      </c>
      <c r="B768">
        <v>2732</v>
      </c>
      <c r="C768" t="s">
        <v>87</v>
      </c>
      <c r="D768">
        <v>502</v>
      </c>
      <c r="E768">
        <v>2</v>
      </c>
      <c r="F768" s="13">
        <v>124</v>
      </c>
      <c r="G768">
        <v>2</v>
      </c>
      <c r="H768">
        <v>124</v>
      </c>
      <c r="I768">
        <v>0</v>
      </c>
      <c r="J768">
        <v>0</v>
      </c>
      <c r="K768">
        <v>527.96530600000006</v>
      </c>
      <c r="L768">
        <v>3.0043529999999201</v>
      </c>
      <c r="M768">
        <v>330.18756451056998</v>
      </c>
      <c r="N768">
        <v>0</v>
      </c>
      <c r="O768" s="8" t="str">
        <f>formatIP(Table1[[#This Row],[Address A]])</f>
        <v>010.012.000.002</v>
      </c>
      <c r="P768" s="8" t="str">
        <f>formatIP(Table1[[#This Row],[Address B]])</f>
        <v>010.011.009.028</v>
      </c>
      <c r="Q768" s="8" t="str">
        <f>VLOOKUP(Table1[[#This Row],[Address A]],IP_Master[],4,FALSE)</f>
        <v>PPPCFC2</v>
      </c>
      <c r="R768" s="8" t="str">
        <f>VLOOKUP(Table1[[#This Row],[Address B]],IP_Master[],4,FALSE)</f>
        <v>EGX100</v>
      </c>
      <c r="S768" s="8" t="str">
        <f>VLOOKUP(Table1[[#This Row],[Address A]],IP_Master[],2,FALSE)</f>
        <v>Fume Control</v>
      </c>
      <c r="T768" s="8" t="str">
        <f>VLOOKUP(Table1[[#This Row],[Address B]],IP_Master[],2,FALSE)</f>
        <v>Miscellaneous</v>
      </c>
      <c r="U768" s="9" t="str">
        <f>VLOOKUP(Table1[[#This Row],[Address A]],IP_Master[],3,FALSE)</f>
        <v>iFIX Nodes &amp; Ethernet Switches</v>
      </c>
      <c r="V768" s="9" t="str">
        <f>VLOOKUP(Table1[[#This Row],[Address B]],IP_Master[],3,FALSE)</f>
        <v>iFIX Nodes &amp; Ethernet Switches</v>
      </c>
      <c r="W768" s="9" t="str">
        <f>VLOOKUP(Table1[[#This Row],[Port B]],traffic_types[],2,FALSE)</f>
        <v>Modbus</v>
      </c>
    </row>
    <row r="769" spans="1:23" x14ac:dyDescent="0.6">
      <c r="A769" t="s">
        <v>97</v>
      </c>
      <c r="B769">
        <v>2733</v>
      </c>
      <c r="C769" t="s">
        <v>87</v>
      </c>
      <c r="D769">
        <v>502</v>
      </c>
      <c r="E769">
        <v>1</v>
      </c>
      <c r="F769" s="13">
        <v>62</v>
      </c>
      <c r="G769">
        <v>1</v>
      </c>
      <c r="H769">
        <v>62</v>
      </c>
      <c r="I769">
        <v>0</v>
      </c>
      <c r="J769">
        <v>0</v>
      </c>
      <c r="K769">
        <v>528.10664499999996</v>
      </c>
      <c r="L769">
        <v>0</v>
      </c>
      <c r="M769">
        <v>0</v>
      </c>
      <c r="N769">
        <v>0</v>
      </c>
      <c r="O769" s="8" t="str">
        <f>formatIP(Table1[[#This Row],[Address A]])</f>
        <v>010.012.000.002</v>
      </c>
      <c r="P769" s="8" t="str">
        <f>formatIP(Table1[[#This Row],[Address B]])</f>
        <v>010.011.009.028</v>
      </c>
      <c r="Q769" s="8" t="str">
        <f>VLOOKUP(Table1[[#This Row],[Address A]],IP_Master[],4,FALSE)</f>
        <v>PPPCFC2</v>
      </c>
      <c r="R769" s="8" t="str">
        <f>VLOOKUP(Table1[[#This Row],[Address B]],IP_Master[],4,FALSE)</f>
        <v>EGX100</v>
      </c>
      <c r="S769" s="8" t="str">
        <f>VLOOKUP(Table1[[#This Row],[Address A]],IP_Master[],2,FALSE)</f>
        <v>Fume Control</v>
      </c>
      <c r="T769" s="8" t="str">
        <f>VLOOKUP(Table1[[#This Row],[Address B]],IP_Master[],2,FALSE)</f>
        <v>Miscellaneous</v>
      </c>
      <c r="U769" s="9" t="str">
        <f>VLOOKUP(Table1[[#This Row],[Address A]],IP_Master[],3,FALSE)</f>
        <v>iFIX Nodes &amp; Ethernet Switches</v>
      </c>
      <c r="V769" s="9" t="str">
        <f>VLOOKUP(Table1[[#This Row],[Address B]],IP_Master[],3,FALSE)</f>
        <v>iFIX Nodes &amp; Ethernet Switches</v>
      </c>
      <c r="W769" s="9" t="str">
        <f>VLOOKUP(Table1[[#This Row],[Port B]],traffic_types[],2,FALSE)</f>
        <v>Modbus</v>
      </c>
    </row>
    <row r="770" spans="1:23" x14ac:dyDescent="0.6">
      <c r="A770" t="s">
        <v>97</v>
      </c>
      <c r="B770">
        <v>2734</v>
      </c>
      <c r="C770" t="s">
        <v>87</v>
      </c>
      <c r="D770">
        <v>502</v>
      </c>
      <c r="E770">
        <v>1</v>
      </c>
      <c r="F770" s="13">
        <v>62</v>
      </c>
      <c r="G770">
        <v>1</v>
      </c>
      <c r="H770">
        <v>62</v>
      </c>
      <c r="I770">
        <v>0</v>
      </c>
      <c r="J770">
        <v>0</v>
      </c>
      <c r="K770">
        <v>528.62623900000006</v>
      </c>
      <c r="L770">
        <v>0</v>
      </c>
      <c r="M770">
        <v>0</v>
      </c>
      <c r="N770">
        <v>0</v>
      </c>
      <c r="O770" s="8" t="str">
        <f>formatIP(Table1[[#This Row],[Address A]])</f>
        <v>010.012.000.002</v>
      </c>
      <c r="P770" s="8" t="str">
        <f>formatIP(Table1[[#This Row],[Address B]])</f>
        <v>010.011.009.028</v>
      </c>
      <c r="Q770" s="8" t="str">
        <f>VLOOKUP(Table1[[#This Row],[Address A]],IP_Master[],4,FALSE)</f>
        <v>PPPCFC2</v>
      </c>
      <c r="R770" s="8" t="str">
        <f>VLOOKUP(Table1[[#This Row],[Address B]],IP_Master[],4,FALSE)</f>
        <v>EGX100</v>
      </c>
      <c r="S770" s="8" t="str">
        <f>VLOOKUP(Table1[[#This Row],[Address A]],IP_Master[],2,FALSE)</f>
        <v>Fume Control</v>
      </c>
      <c r="T770" s="8" t="str">
        <f>VLOOKUP(Table1[[#This Row],[Address B]],IP_Master[],2,FALSE)</f>
        <v>Miscellaneous</v>
      </c>
      <c r="U770" s="9" t="str">
        <f>VLOOKUP(Table1[[#This Row],[Address A]],IP_Master[],3,FALSE)</f>
        <v>iFIX Nodes &amp; Ethernet Switches</v>
      </c>
      <c r="V770" s="9" t="str">
        <f>VLOOKUP(Table1[[#This Row],[Address B]],IP_Master[],3,FALSE)</f>
        <v>iFIX Nodes &amp; Ethernet Switches</v>
      </c>
      <c r="W770" s="9" t="str">
        <f>VLOOKUP(Table1[[#This Row],[Port B]],traffic_types[],2,FALSE)</f>
        <v>Modbus</v>
      </c>
    </row>
    <row r="771" spans="1:23" x14ac:dyDescent="0.6">
      <c r="A771" t="s">
        <v>97</v>
      </c>
      <c r="B771">
        <v>2735</v>
      </c>
      <c r="C771" t="s">
        <v>87</v>
      </c>
      <c r="D771">
        <v>502</v>
      </c>
      <c r="E771">
        <v>1</v>
      </c>
      <c r="F771" s="13">
        <v>62</v>
      </c>
      <c r="G771">
        <v>1</v>
      </c>
      <c r="H771">
        <v>62</v>
      </c>
      <c r="I771">
        <v>0</v>
      </c>
      <c r="J771">
        <v>0</v>
      </c>
      <c r="K771">
        <v>529.81969500000002</v>
      </c>
      <c r="L771">
        <v>0</v>
      </c>
      <c r="M771">
        <v>0</v>
      </c>
      <c r="N771">
        <v>0</v>
      </c>
      <c r="O771" s="8" t="str">
        <f>formatIP(Table1[[#This Row],[Address A]])</f>
        <v>010.012.000.002</v>
      </c>
      <c r="P771" s="8" t="str">
        <f>formatIP(Table1[[#This Row],[Address B]])</f>
        <v>010.011.009.028</v>
      </c>
      <c r="Q771" s="8" t="str">
        <f>VLOOKUP(Table1[[#This Row],[Address A]],IP_Master[],4,FALSE)</f>
        <v>PPPCFC2</v>
      </c>
      <c r="R771" s="8" t="str">
        <f>VLOOKUP(Table1[[#This Row],[Address B]],IP_Master[],4,FALSE)</f>
        <v>EGX100</v>
      </c>
      <c r="S771" s="8" t="str">
        <f>VLOOKUP(Table1[[#This Row],[Address A]],IP_Master[],2,FALSE)</f>
        <v>Fume Control</v>
      </c>
      <c r="T771" s="8" t="str">
        <f>VLOOKUP(Table1[[#This Row],[Address B]],IP_Master[],2,FALSE)</f>
        <v>Miscellaneous</v>
      </c>
      <c r="U771" s="9" t="str">
        <f>VLOOKUP(Table1[[#This Row],[Address A]],IP_Master[],3,FALSE)</f>
        <v>iFIX Nodes &amp; Ethernet Switches</v>
      </c>
      <c r="V771" s="9" t="str">
        <f>VLOOKUP(Table1[[#This Row],[Address B]],IP_Master[],3,FALSE)</f>
        <v>iFIX Nodes &amp; Ethernet Switches</v>
      </c>
      <c r="W771" s="9" t="str">
        <f>VLOOKUP(Table1[[#This Row],[Port B]],traffic_types[],2,FALSE)</f>
        <v>Modbus</v>
      </c>
    </row>
    <row r="772" spans="1:23" x14ac:dyDescent="0.6">
      <c r="A772" t="s">
        <v>97</v>
      </c>
      <c r="B772">
        <v>2736</v>
      </c>
      <c r="C772" t="s">
        <v>87</v>
      </c>
      <c r="D772">
        <v>502</v>
      </c>
      <c r="E772">
        <v>2</v>
      </c>
      <c r="F772" s="13">
        <v>124</v>
      </c>
      <c r="G772">
        <v>2</v>
      </c>
      <c r="H772">
        <v>124</v>
      </c>
      <c r="I772">
        <v>0</v>
      </c>
      <c r="J772">
        <v>0</v>
      </c>
      <c r="K772">
        <v>530.18769699999996</v>
      </c>
      <c r="L772">
        <v>2.9949080000000099</v>
      </c>
      <c r="M772">
        <v>331.22887247287599</v>
      </c>
      <c r="N772">
        <v>0</v>
      </c>
      <c r="O772" s="8" t="str">
        <f>formatIP(Table1[[#This Row],[Address A]])</f>
        <v>010.012.000.002</v>
      </c>
      <c r="P772" s="8" t="str">
        <f>formatIP(Table1[[#This Row],[Address B]])</f>
        <v>010.011.009.028</v>
      </c>
      <c r="Q772" s="8" t="str">
        <f>VLOOKUP(Table1[[#This Row],[Address A]],IP_Master[],4,FALSE)</f>
        <v>PPPCFC2</v>
      </c>
      <c r="R772" s="8" t="str">
        <f>VLOOKUP(Table1[[#This Row],[Address B]],IP_Master[],4,FALSE)</f>
        <v>EGX100</v>
      </c>
      <c r="S772" s="8" t="str">
        <f>VLOOKUP(Table1[[#This Row],[Address A]],IP_Master[],2,FALSE)</f>
        <v>Fume Control</v>
      </c>
      <c r="T772" s="8" t="str">
        <f>VLOOKUP(Table1[[#This Row],[Address B]],IP_Master[],2,FALSE)</f>
        <v>Miscellaneous</v>
      </c>
      <c r="U772" s="9" t="str">
        <f>VLOOKUP(Table1[[#This Row],[Address A]],IP_Master[],3,FALSE)</f>
        <v>iFIX Nodes &amp; Ethernet Switches</v>
      </c>
      <c r="V772" s="9" t="str">
        <f>VLOOKUP(Table1[[#This Row],[Address B]],IP_Master[],3,FALSE)</f>
        <v>iFIX Nodes &amp; Ethernet Switches</v>
      </c>
      <c r="W772" s="9" t="str">
        <f>VLOOKUP(Table1[[#This Row],[Port B]],traffic_types[],2,FALSE)</f>
        <v>Modbus</v>
      </c>
    </row>
    <row r="773" spans="1:23" x14ac:dyDescent="0.6">
      <c r="A773" t="s">
        <v>97</v>
      </c>
      <c r="B773">
        <v>2737</v>
      </c>
      <c r="C773" t="s">
        <v>87</v>
      </c>
      <c r="D773">
        <v>502</v>
      </c>
      <c r="E773">
        <v>1</v>
      </c>
      <c r="F773" s="13">
        <v>62</v>
      </c>
      <c r="G773">
        <v>1</v>
      </c>
      <c r="H773">
        <v>62</v>
      </c>
      <c r="I773">
        <v>0</v>
      </c>
      <c r="J773">
        <v>0</v>
      </c>
      <c r="K773">
        <v>530.97605699999997</v>
      </c>
      <c r="L773">
        <v>0</v>
      </c>
      <c r="M773">
        <v>0</v>
      </c>
      <c r="N773">
        <v>0</v>
      </c>
      <c r="O773" s="8" t="str">
        <f>formatIP(Table1[[#This Row],[Address A]])</f>
        <v>010.012.000.002</v>
      </c>
      <c r="P773" s="8" t="str">
        <f>formatIP(Table1[[#This Row],[Address B]])</f>
        <v>010.011.009.028</v>
      </c>
      <c r="Q773" s="8" t="str">
        <f>VLOOKUP(Table1[[#This Row],[Address A]],IP_Master[],4,FALSE)</f>
        <v>PPPCFC2</v>
      </c>
      <c r="R773" s="8" t="str">
        <f>VLOOKUP(Table1[[#This Row],[Address B]],IP_Master[],4,FALSE)</f>
        <v>EGX100</v>
      </c>
      <c r="S773" s="8" t="str">
        <f>VLOOKUP(Table1[[#This Row],[Address A]],IP_Master[],2,FALSE)</f>
        <v>Fume Control</v>
      </c>
      <c r="T773" s="8" t="str">
        <f>VLOOKUP(Table1[[#This Row],[Address B]],IP_Master[],2,FALSE)</f>
        <v>Miscellaneous</v>
      </c>
      <c r="U773" s="9" t="str">
        <f>VLOOKUP(Table1[[#This Row],[Address A]],IP_Master[],3,FALSE)</f>
        <v>iFIX Nodes &amp; Ethernet Switches</v>
      </c>
      <c r="V773" s="9" t="str">
        <f>VLOOKUP(Table1[[#This Row],[Address B]],IP_Master[],3,FALSE)</f>
        <v>iFIX Nodes &amp; Ethernet Switches</v>
      </c>
      <c r="W773" s="9" t="str">
        <f>VLOOKUP(Table1[[#This Row],[Port B]],traffic_types[],2,FALSE)</f>
        <v>Modbus</v>
      </c>
    </row>
    <row r="774" spans="1:23" x14ac:dyDescent="0.6">
      <c r="A774" t="s">
        <v>97</v>
      </c>
      <c r="B774">
        <v>2738</v>
      </c>
      <c r="C774" t="s">
        <v>87</v>
      </c>
      <c r="D774">
        <v>502</v>
      </c>
      <c r="E774">
        <v>1</v>
      </c>
      <c r="F774" s="13">
        <v>62</v>
      </c>
      <c r="G774">
        <v>1</v>
      </c>
      <c r="H774">
        <v>62</v>
      </c>
      <c r="I774">
        <v>0</v>
      </c>
      <c r="J774">
        <v>0</v>
      </c>
      <c r="K774">
        <v>531.11660099999995</v>
      </c>
      <c r="L774">
        <v>0</v>
      </c>
      <c r="M774">
        <v>0</v>
      </c>
      <c r="N774">
        <v>0</v>
      </c>
      <c r="O774" s="8" t="str">
        <f>formatIP(Table1[[#This Row],[Address A]])</f>
        <v>010.012.000.002</v>
      </c>
      <c r="P774" s="8" t="str">
        <f>formatIP(Table1[[#This Row],[Address B]])</f>
        <v>010.011.009.028</v>
      </c>
      <c r="Q774" s="8" t="str">
        <f>VLOOKUP(Table1[[#This Row],[Address A]],IP_Master[],4,FALSE)</f>
        <v>PPPCFC2</v>
      </c>
      <c r="R774" s="8" t="str">
        <f>VLOOKUP(Table1[[#This Row],[Address B]],IP_Master[],4,FALSE)</f>
        <v>EGX100</v>
      </c>
      <c r="S774" s="8" t="str">
        <f>VLOOKUP(Table1[[#This Row],[Address A]],IP_Master[],2,FALSE)</f>
        <v>Fume Control</v>
      </c>
      <c r="T774" s="8" t="str">
        <f>VLOOKUP(Table1[[#This Row],[Address B]],IP_Master[],2,FALSE)</f>
        <v>Miscellaneous</v>
      </c>
      <c r="U774" s="9" t="str">
        <f>VLOOKUP(Table1[[#This Row],[Address A]],IP_Master[],3,FALSE)</f>
        <v>iFIX Nodes &amp; Ethernet Switches</v>
      </c>
      <c r="V774" s="9" t="str">
        <f>VLOOKUP(Table1[[#This Row],[Address B]],IP_Master[],3,FALSE)</f>
        <v>iFIX Nodes &amp; Ethernet Switches</v>
      </c>
      <c r="W774" s="9" t="str">
        <f>VLOOKUP(Table1[[#This Row],[Port B]],traffic_types[],2,FALSE)</f>
        <v>Modbus</v>
      </c>
    </row>
    <row r="775" spans="1:23" x14ac:dyDescent="0.6">
      <c r="A775" t="s">
        <v>97</v>
      </c>
      <c r="B775">
        <v>2739</v>
      </c>
      <c r="C775" t="s">
        <v>87</v>
      </c>
      <c r="D775">
        <v>502</v>
      </c>
      <c r="E775">
        <v>1</v>
      </c>
      <c r="F775" s="13">
        <v>62</v>
      </c>
      <c r="G775">
        <v>1</v>
      </c>
      <c r="H775">
        <v>62</v>
      </c>
      <c r="I775">
        <v>0</v>
      </c>
      <c r="J775">
        <v>0</v>
      </c>
      <c r="K775">
        <v>531.63231299999995</v>
      </c>
      <c r="L775">
        <v>0</v>
      </c>
      <c r="M775">
        <v>0</v>
      </c>
      <c r="N775">
        <v>0</v>
      </c>
      <c r="O775" s="8" t="str">
        <f>formatIP(Table1[[#This Row],[Address A]])</f>
        <v>010.012.000.002</v>
      </c>
      <c r="P775" s="8" t="str">
        <f>formatIP(Table1[[#This Row],[Address B]])</f>
        <v>010.011.009.028</v>
      </c>
      <c r="Q775" s="8" t="str">
        <f>VLOOKUP(Table1[[#This Row],[Address A]],IP_Master[],4,FALSE)</f>
        <v>PPPCFC2</v>
      </c>
      <c r="R775" s="8" t="str">
        <f>VLOOKUP(Table1[[#This Row],[Address B]],IP_Master[],4,FALSE)</f>
        <v>EGX100</v>
      </c>
      <c r="S775" s="8" t="str">
        <f>VLOOKUP(Table1[[#This Row],[Address A]],IP_Master[],2,FALSE)</f>
        <v>Fume Control</v>
      </c>
      <c r="T775" s="8" t="str">
        <f>VLOOKUP(Table1[[#This Row],[Address B]],IP_Master[],2,FALSE)</f>
        <v>Miscellaneous</v>
      </c>
      <c r="U775" s="9" t="str">
        <f>VLOOKUP(Table1[[#This Row],[Address A]],IP_Master[],3,FALSE)</f>
        <v>iFIX Nodes &amp; Ethernet Switches</v>
      </c>
      <c r="V775" s="9" t="str">
        <f>VLOOKUP(Table1[[#This Row],[Address B]],IP_Master[],3,FALSE)</f>
        <v>iFIX Nodes &amp; Ethernet Switches</v>
      </c>
      <c r="W775" s="9" t="str">
        <f>VLOOKUP(Table1[[#This Row],[Port B]],traffic_types[],2,FALSE)</f>
        <v>Modbus</v>
      </c>
    </row>
    <row r="776" spans="1:23" x14ac:dyDescent="0.6">
      <c r="A776" t="s">
        <v>97</v>
      </c>
      <c r="B776">
        <v>2740</v>
      </c>
      <c r="C776" t="s">
        <v>87</v>
      </c>
      <c r="D776">
        <v>502</v>
      </c>
      <c r="E776">
        <v>1</v>
      </c>
      <c r="F776" s="13">
        <v>62</v>
      </c>
      <c r="G776">
        <v>1</v>
      </c>
      <c r="H776">
        <v>62</v>
      </c>
      <c r="I776">
        <v>0</v>
      </c>
      <c r="J776">
        <v>0</v>
      </c>
      <c r="K776">
        <v>533.19553499999995</v>
      </c>
      <c r="L776">
        <v>0</v>
      </c>
      <c r="M776">
        <v>0</v>
      </c>
      <c r="N776">
        <v>0</v>
      </c>
      <c r="O776" s="8" t="str">
        <f>formatIP(Table1[[#This Row],[Address A]])</f>
        <v>010.012.000.002</v>
      </c>
      <c r="P776" s="8" t="str">
        <f>formatIP(Table1[[#This Row],[Address B]])</f>
        <v>010.011.009.028</v>
      </c>
      <c r="Q776" s="8" t="str">
        <f>VLOOKUP(Table1[[#This Row],[Address A]],IP_Master[],4,FALSE)</f>
        <v>PPPCFC2</v>
      </c>
      <c r="R776" s="8" t="str">
        <f>VLOOKUP(Table1[[#This Row],[Address B]],IP_Master[],4,FALSE)</f>
        <v>EGX100</v>
      </c>
      <c r="S776" s="8" t="str">
        <f>VLOOKUP(Table1[[#This Row],[Address A]],IP_Master[],2,FALSE)</f>
        <v>Fume Control</v>
      </c>
      <c r="T776" s="8" t="str">
        <f>VLOOKUP(Table1[[#This Row],[Address B]],IP_Master[],2,FALSE)</f>
        <v>Miscellaneous</v>
      </c>
      <c r="U776" s="9" t="str">
        <f>VLOOKUP(Table1[[#This Row],[Address A]],IP_Master[],3,FALSE)</f>
        <v>iFIX Nodes &amp; Ethernet Switches</v>
      </c>
      <c r="V776" s="9" t="str">
        <f>VLOOKUP(Table1[[#This Row],[Address B]],IP_Master[],3,FALSE)</f>
        <v>iFIX Nodes &amp; Ethernet Switches</v>
      </c>
      <c r="W776" s="9" t="str">
        <f>VLOOKUP(Table1[[#This Row],[Port B]],traffic_types[],2,FALSE)</f>
        <v>Modbus</v>
      </c>
    </row>
    <row r="777" spans="1:23" x14ac:dyDescent="0.6">
      <c r="A777" t="s">
        <v>97</v>
      </c>
      <c r="B777">
        <v>2746</v>
      </c>
      <c r="C777" t="s">
        <v>87</v>
      </c>
      <c r="D777">
        <v>502</v>
      </c>
      <c r="E777">
        <v>2</v>
      </c>
      <c r="F777" s="13">
        <v>124</v>
      </c>
      <c r="G777">
        <v>2</v>
      </c>
      <c r="H777">
        <v>124</v>
      </c>
      <c r="I777">
        <v>0</v>
      </c>
      <c r="J777">
        <v>0</v>
      </c>
      <c r="K777">
        <v>559.82152799999994</v>
      </c>
      <c r="L777">
        <v>2.93349300000011</v>
      </c>
      <c r="M777">
        <v>338.16341133248397</v>
      </c>
      <c r="N777">
        <v>0</v>
      </c>
      <c r="O777" s="8" t="str">
        <f>formatIP(Table1[[#This Row],[Address A]])</f>
        <v>010.012.000.002</v>
      </c>
      <c r="P777" s="8" t="str">
        <f>formatIP(Table1[[#This Row],[Address B]])</f>
        <v>010.011.009.028</v>
      </c>
      <c r="Q777" s="8" t="str">
        <f>VLOOKUP(Table1[[#This Row],[Address A]],IP_Master[],4,FALSE)</f>
        <v>PPPCFC2</v>
      </c>
      <c r="R777" s="8" t="str">
        <f>VLOOKUP(Table1[[#This Row],[Address B]],IP_Master[],4,FALSE)</f>
        <v>EGX100</v>
      </c>
      <c r="S777" s="8" t="str">
        <f>VLOOKUP(Table1[[#This Row],[Address A]],IP_Master[],2,FALSE)</f>
        <v>Fume Control</v>
      </c>
      <c r="T777" s="8" t="str">
        <f>VLOOKUP(Table1[[#This Row],[Address B]],IP_Master[],2,FALSE)</f>
        <v>Miscellaneous</v>
      </c>
      <c r="U777" s="9" t="str">
        <f>VLOOKUP(Table1[[#This Row],[Address A]],IP_Master[],3,FALSE)</f>
        <v>iFIX Nodes &amp; Ethernet Switches</v>
      </c>
      <c r="V777" s="9" t="str">
        <f>VLOOKUP(Table1[[#This Row],[Address B]],IP_Master[],3,FALSE)</f>
        <v>iFIX Nodes &amp; Ethernet Switches</v>
      </c>
      <c r="W777" s="9" t="str">
        <f>VLOOKUP(Table1[[#This Row],[Port B]],traffic_types[],2,FALSE)</f>
        <v>Modbus</v>
      </c>
    </row>
    <row r="778" spans="1:23" x14ac:dyDescent="0.6">
      <c r="A778" t="s">
        <v>97</v>
      </c>
      <c r="B778">
        <v>2747</v>
      </c>
      <c r="C778" t="s">
        <v>87</v>
      </c>
      <c r="D778">
        <v>502</v>
      </c>
      <c r="E778">
        <v>2</v>
      </c>
      <c r="F778" s="13">
        <v>124</v>
      </c>
      <c r="G778">
        <v>2</v>
      </c>
      <c r="H778">
        <v>124</v>
      </c>
      <c r="I778">
        <v>0</v>
      </c>
      <c r="J778">
        <v>0</v>
      </c>
      <c r="K778">
        <v>560.98674000000005</v>
      </c>
      <c r="L778">
        <v>2.9752919999999698</v>
      </c>
      <c r="M778">
        <v>333.41265327907701</v>
      </c>
      <c r="N778">
        <v>0</v>
      </c>
      <c r="O778" s="8" t="str">
        <f>formatIP(Table1[[#This Row],[Address A]])</f>
        <v>010.012.000.002</v>
      </c>
      <c r="P778" s="8" t="str">
        <f>formatIP(Table1[[#This Row],[Address B]])</f>
        <v>010.011.009.028</v>
      </c>
      <c r="Q778" s="8" t="str">
        <f>VLOOKUP(Table1[[#This Row],[Address A]],IP_Master[],4,FALSE)</f>
        <v>PPPCFC2</v>
      </c>
      <c r="R778" s="8" t="str">
        <f>VLOOKUP(Table1[[#This Row],[Address B]],IP_Master[],4,FALSE)</f>
        <v>EGX100</v>
      </c>
      <c r="S778" s="8" t="str">
        <f>VLOOKUP(Table1[[#This Row],[Address A]],IP_Master[],2,FALSE)</f>
        <v>Fume Control</v>
      </c>
      <c r="T778" s="8" t="str">
        <f>VLOOKUP(Table1[[#This Row],[Address B]],IP_Master[],2,FALSE)</f>
        <v>Miscellaneous</v>
      </c>
      <c r="U778" s="9" t="str">
        <f>VLOOKUP(Table1[[#This Row],[Address A]],IP_Master[],3,FALSE)</f>
        <v>iFIX Nodes &amp; Ethernet Switches</v>
      </c>
      <c r="V778" s="9" t="str">
        <f>VLOOKUP(Table1[[#This Row],[Address B]],IP_Master[],3,FALSE)</f>
        <v>iFIX Nodes &amp; Ethernet Switches</v>
      </c>
      <c r="W778" s="9" t="str">
        <f>VLOOKUP(Table1[[#This Row],[Port B]],traffic_types[],2,FALSE)</f>
        <v>Modbus</v>
      </c>
    </row>
    <row r="779" spans="1:23" x14ac:dyDescent="0.6">
      <c r="A779" t="s">
        <v>97</v>
      </c>
      <c r="B779">
        <v>2748</v>
      </c>
      <c r="C779" t="s">
        <v>87</v>
      </c>
      <c r="D779">
        <v>502</v>
      </c>
      <c r="E779">
        <v>1</v>
      </c>
      <c r="F779" s="13">
        <v>62</v>
      </c>
      <c r="G779">
        <v>1</v>
      </c>
      <c r="H779">
        <v>62</v>
      </c>
      <c r="I779">
        <v>0</v>
      </c>
      <c r="J779">
        <v>0</v>
      </c>
      <c r="K779">
        <v>561.11937499999999</v>
      </c>
      <c r="L779">
        <v>0</v>
      </c>
      <c r="M779">
        <v>0</v>
      </c>
      <c r="N779">
        <v>0</v>
      </c>
      <c r="O779" s="8" t="str">
        <f>formatIP(Table1[[#This Row],[Address A]])</f>
        <v>010.012.000.002</v>
      </c>
      <c r="P779" s="8" t="str">
        <f>formatIP(Table1[[#This Row],[Address B]])</f>
        <v>010.011.009.028</v>
      </c>
      <c r="Q779" s="8" t="str">
        <f>VLOOKUP(Table1[[#This Row],[Address A]],IP_Master[],4,FALSE)</f>
        <v>PPPCFC2</v>
      </c>
      <c r="R779" s="8" t="str">
        <f>VLOOKUP(Table1[[#This Row],[Address B]],IP_Master[],4,FALSE)</f>
        <v>EGX100</v>
      </c>
      <c r="S779" s="8" t="str">
        <f>VLOOKUP(Table1[[#This Row],[Address A]],IP_Master[],2,FALSE)</f>
        <v>Fume Control</v>
      </c>
      <c r="T779" s="8" t="str">
        <f>VLOOKUP(Table1[[#This Row],[Address B]],IP_Master[],2,FALSE)</f>
        <v>Miscellaneous</v>
      </c>
      <c r="U779" s="9" t="str">
        <f>VLOOKUP(Table1[[#This Row],[Address A]],IP_Master[],3,FALSE)</f>
        <v>iFIX Nodes &amp; Ethernet Switches</v>
      </c>
      <c r="V779" s="9" t="str">
        <f>VLOOKUP(Table1[[#This Row],[Address B]],IP_Master[],3,FALSE)</f>
        <v>iFIX Nodes &amp; Ethernet Switches</v>
      </c>
      <c r="W779" s="9" t="str">
        <f>VLOOKUP(Table1[[#This Row],[Port B]],traffic_types[],2,FALSE)</f>
        <v>Modbus</v>
      </c>
    </row>
    <row r="780" spans="1:23" x14ac:dyDescent="0.6">
      <c r="A780" t="s">
        <v>97</v>
      </c>
      <c r="B780">
        <v>2749</v>
      </c>
      <c r="C780" t="s">
        <v>87</v>
      </c>
      <c r="D780">
        <v>502</v>
      </c>
      <c r="E780">
        <v>2</v>
      </c>
      <c r="F780" s="13">
        <v>124</v>
      </c>
      <c r="G780">
        <v>2</v>
      </c>
      <c r="H780">
        <v>124</v>
      </c>
      <c r="I780">
        <v>0</v>
      </c>
      <c r="J780">
        <v>0</v>
      </c>
      <c r="K780">
        <v>561.64016700000002</v>
      </c>
      <c r="L780">
        <v>2.9254899999999702</v>
      </c>
      <c r="M780">
        <v>339.08849457698102</v>
      </c>
      <c r="N780">
        <v>0</v>
      </c>
      <c r="O780" s="8" t="str">
        <f>formatIP(Table1[[#This Row],[Address A]])</f>
        <v>010.012.000.002</v>
      </c>
      <c r="P780" s="8" t="str">
        <f>formatIP(Table1[[#This Row],[Address B]])</f>
        <v>010.011.009.028</v>
      </c>
      <c r="Q780" s="8" t="str">
        <f>VLOOKUP(Table1[[#This Row],[Address A]],IP_Master[],4,FALSE)</f>
        <v>PPPCFC2</v>
      </c>
      <c r="R780" s="8" t="str">
        <f>VLOOKUP(Table1[[#This Row],[Address B]],IP_Master[],4,FALSE)</f>
        <v>EGX100</v>
      </c>
      <c r="S780" s="8" t="str">
        <f>VLOOKUP(Table1[[#This Row],[Address A]],IP_Master[],2,FALSE)</f>
        <v>Fume Control</v>
      </c>
      <c r="T780" s="8" t="str">
        <f>VLOOKUP(Table1[[#This Row],[Address B]],IP_Master[],2,FALSE)</f>
        <v>Miscellaneous</v>
      </c>
      <c r="U780" s="9" t="str">
        <f>VLOOKUP(Table1[[#This Row],[Address A]],IP_Master[],3,FALSE)</f>
        <v>iFIX Nodes &amp; Ethernet Switches</v>
      </c>
      <c r="V780" s="9" t="str">
        <f>VLOOKUP(Table1[[#This Row],[Address B]],IP_Master[],3,FALSE)</f>
        <v>iFIX Nodes &amp; Ethernet Switches</v>
      </c>
      <c r="W780" s="9" t="str">
        <f>VLOOKUP(Table1[[#This Row],[Port B]],traffic_types[],2,FALSE)</f>
        <v>Modbus</v>
      </c>
    </row>
    <row r="781" spans="1:23" x14ac:dyDescent="0.6">
      <c r="A781" t="s">
        <v>97</v>
      </c>
      <c r="B781">
        <v>2750</v>
      </c>
      <c r="C781" t="s">
        <v>87</v>
      </c>
      <c r="D781">
        <v>502</v>
      </c>
      <c r="E781">
        <v>1</v>
      </c>
      <c r="F781" s="13">
        <v>62</v>
      </c>
      <c r="G781">
        <v>1</v>
      </c>
      <c r="H781">
        <v>62</v>
      </c>
      <c r="I781">
        <v>0</v>
      </c>
      <c r="J781">
        <v>0</v>
      </c>
      <c r="K781">
        <v>562.83554400000003</v>
      </c>
      <c r="L781">
        <v>0</v>
      </c>
      <c r="M781">
        <v>0</v>
      </c>
      <c r="N781">
        <v>0</v>
      </c>
      <c r="O781" s="8" t="str">
        <f>formatIP(Table1[[#This Row],[Address A]])</f>
        <v>010.012.000.002</v>
      </c>
      <c r="P781" s="8" t="str">
        <f>formatIP(Table1[[#This Row],[Address B]])</f>
        <v>010.011.009.028</v>
      </c>
      <c r="Q781" s="8" t="str">
        <f>VLOOKUP(Table1[[#This Row],[Address A]],IP_Master[],4,FALSE)</f>
        <v>PPPCFC2</v>
      </c>
      <c r="R781" s="8" t="str">
        <f>VLOOKUP(Table1[[#This Row],[Address B]],IP_Master[],4,FALSE)</f>
        <v>EGX100</v>
      </c>
      <c r="S781" s="8" t="str">
        <f>VLOOKUP(Table1[[#This Row],[Address A]],IP_Master[],2,FALSE)</f>
        <v>Fume Control</v>
      </c>
      <c r="T781" s="8" t="str">
        <f>VLOOKUP(Table1[[#This Row],[Address B]],IP_Master[],2,FALSE)</f>
        <v>Miscellaneous</v>
      </c>
      <c r="U781" s="9" t="str">
        <f>VLOOKUP(Table1[[#This Row],[Address A]],IP_Master[],3,FALSE)</f>
        <v>iFIX Nodes &amp; Ethernet Switches</v>
      </c>
      <c r="V781" s="9" t="str">
        <f>VLOOKUP(Table1[[#This Row],[Address B]],IP_Master[],3,FALSE)</f>
        <v>iFIX Nodes &amp; Ethernet Switches</v>
      </c>
      <c r="W781" s="9" t="str">
        <f>VLOOKUP(Table1[[#This Row],[Port B]],traffic_types[],2,FALSE)</f>
        <v>Modbus</v>
      </c>
    </row>
    <row r="782" spans="1:23" x14ac:dyDescent="0.6">
      <c r="A782" t="s">
        <v>97</v>
      </c>
      <c r="B782">
        <v>2751</v>
      </c>
      <c r="C782" t="s">
        <v>87</v>
      </c>
      <c r="D782">
        <v>502</v>
      </c>
      <c r="E782">
        <v>1</v>
      </c>
      <c r="F782" s="13">
        <v>62</v>
      </c>
      <c r="G782">
        <v>1</v>
      </c>
      <c r="H782">
        <v>62</v>
      </c>
      <c r="I782">
        <v>0</v>
      </c>
      <c r="J782">
        <v>0</v>
      </c>
      <c r="K782">
        <v>563.20536400000003</v>
      </c>
      <c r="L782">
        <v>0</v>
      </c>
      <c r="M782">
        <v>0</v>
      </c>
      <c r="N782">
        <v>0</v>
      </c>
      <c r="O782" s="8" t="str">
        <f>formatIP(Table1[[#This Row],[Address A]])</f>
        <v>010.012.000.002</v>
      </c>
      <c r="P782" s="8" t="str">
        <f>formatIP(Table1[[#This Row],[Address B]])</f>
        <v>010.011.009.028</v>
      </c>
      <c r="Q782" s="8" t="str">
        <f>VLOOKUP(Table1[[#This Row],[Address A]],IP_Master[],4,FALSE)</f>
        <v>PPPCFC2</v>
      </c>
      <c r="R782" s="8" t="str">
        <f>VLOOKUP(Table1[[#This Row],[Address B]],IP_Master[],4,FALSE)</f>
        <v>EGX100</v>
      </c>
      <c r="S782" s="8" t="str">
        <f>VLOOKUP(Table1[[#This Row],[Address A]],IP_Master[],2,FALSE)</f>
        <v>Fume Control</v>
      </c>
      <c r="T782" s="8" t="str">
        <f>VLOOKUP(Table1[[#This Row],[Address B]],IP_Master[],2,FALSE)</f>
        <v>Miscellaneous</v>
      </c>
      <c r="U782" s="9" t="str">
        <f>VLOOKUP(Table1[[#This Row],[Address A]],IP_Master[],3,FALSE)</f>
        <v>iFIX Nodes &amp; Ethernet Switches</v>
      </c>
      <c r="V782" s="9" t="str">
        <f>VLOOKUP(Table1[[#This Row],[Address B]],IP_Master[],3,FALSE)</f>
        <v>iFIX Nodes &amp; Ethernet Switches</v>
      </c>
      <c r="W782" s="9" t="str">
        <f>VLOOKUP(Table1[[#This Row],[Port B]],traffic_types[],2,FALSE)</f>
        <v>Modbus</v>
      </c>
    </row>
    <row r="783" spans="1:23" x14ac:dyDescent="0.6">
      <c r="A783" t="s">
        <v>97</v>
      </c>
      <c r="B783">
        <v>2752</v>
      </c>
      <c r="C783" t="s">
        <v>87</v>
      </c>
      <c r="D783">
        <v>502</v>
      </c>
      <c r="E783">
        <v>1</v>
      </c>
      <c r="F783" s="13">
        <v>62</v>
      </c>
      <c r="G783">
        <v>1</v>
      </c>
      <c r="H783">
        <v>62</v>
      </c>
      <c r="I783">
        <v>0</v>
      </c>
      <c r="J783">
        <v>0</v>
      </c>
      <c r="K783">
        <v>563.991806</v>
      </c>
      <c r="L783">
        <v>0</v>
      </c>
      <c r="M783">
        <v>0</v>
      </c>
      <c r="N783">
        <v>0</v>
      </c>
      <c r="O783" s="8" t="str">
        <f>formatIP(Table1[[#This Row],[Address A]])</f>
        <v>010.012.000.002</v>
      </c>
      <c r="P783" s="8" t="str">
        <f>formatIP(Table1[[#This Row],[Address B]])</f>
        <v>010.011.009.028</v>
      </c>
      <c r="Q783" s="8" t="str">
        <f>VLOOKUP(Table1[[#This Row],[Address A]],IP_Master[],4,FALSE)</f>
        <v>PPPCFC2</v>
      </c>
      <c r="R783" s="8" t="str">
        <f>VLOOKUP(Table1[[#This Row],[Address B]],IP_Master[],4,FALSE)</f>
        <v>EGX100</v>
      </c>
      <c r="S783" s="8" t="str">
        <f>VLOOKUP(Table1[[#This Row],[Address A]],IP_Master[],2,FALSE)</f>
        <v>Fume Control</v>
      </c>
      <c r="T783" s="8" t="str">
        <f>VLOOKUP(Table1[[#This Row],[Address B]],IP_Master[],2,FALSE)</f>
        <v>Miscellaneous</v>
      </c>
      <c r="U783" s="9" t="str">
        <f>VLOOKUP(Table1[[#This Row],[Address A]],IP_Master[],3,FALSE)</f>
        <v>iFIX Nodes &amp; Ethernet Switches</v>
      </c>
      <c r="V783" s="9" t="str">
        <f>VLOOKUP(Table1[[#This Row],[Address B]],IP_Master[],3,FALSE)</f>
        <v>iFIX Nodes &amp; Ethernet Switches</v>
      </c>
      <c r="W783" s="9" t="str">
        <f>VLOOKUP(Table1[[#This Row],[Port B]],traffic_types[],2,FALSE)</f>
        <v>Modbus</v>
      </c>
    </row>
    <row r="784" spans="1:23" x14ac:dyDescent="0.6">
      <c r="A784" t="s">
        <v>97</v>
      </c>
      <c r="B784">
        <v>2753</v>
      </c>
      <c r="C784" t="s">
        <v>87</v>
      </c>
      <c r="D784">
        <v>502</v>
      </c>
      <c r="E784">
        <v>1</v>
      </c>
      <c r="F784" s="13">
        <v>62</v>
      </c>
      <c r="G784">
        <v>1</v>
      </c>
      <c r="H784">
        <v>62</v>
      </c>
      <c r="I784">
        <v>0</v>
      </c>
      <c r="J784">
        <v>0</v>
      </c>
      <c r="K784">
        <v>564.132428</v>
      </c>
      <c r="L784">
        <v>0</v>
      </c>
      <c r="M784">
        <v>0</v>
      </c>
      <c r="N784">
        <v>0</v>
      </c>
      <c r="O784" s="8" t="str">
        <f>formatIP(Table1[[#This Row],[Address A]])</f>
        <v>010.012.000.002</v>
      </c>
      <c r="P784" s="8" t="str">
        <f>formatIP(Table1[[#This Row],[Address B]])</f>
        <v>010.011.009.028</v>
      </c>
      <c r="Q784" s="8" t="str">
        <f>VLOOKUP(Table1[[#This Row],[Address A]],IP_Master[],4,FALSE)</f>
        <v>PPPCFC2</v>
      </c>
      <c r="R784" s="8" t="str">
        <f>VLOOKUP(Table1[[#This Row],[Address B]],IP_Master[],4,FALSE)</f>
        <v>EGX100</v>
      </c>
      <c r="S784" s="8" t="str">
        <f>VLOOKUP(Table1[[#This Row],[Address A]],IP_Master[],2,FALSE)</f>
        <v>Fume Control</v>
      </c>
      <c r="T784" s="8" t="str">
        <f>VLOOKUP(Table1[[#This Row],[Address B]],IP_Master[],2,FALSE)</f>
        <v>Miscellaneous</v>
      </c>
      <c r="U784" s="9" t="str">
        <f>VLOOKUP(Table1[[#This Row],[Address A]],IP_Master[],3,FALSE)</f>
        <v>iFIX Nodes &amp; Ethernet Switches</v>
      </c>
      <c r="V784" s="9" t="str">
        <f>VLOOKUP(Table1[[#This Row],[Address B]],IP_Master[],3,FALSE)</f>
        <v>iFIX Nodes &amp; Ethernet Switches</v>
      </c>
      <c r="W784" s="9" t="str">
        <f>VLOOKUP(Table1[[#This Row],[Port B]],traffic_types[],2,FALSE)</f>
        <v>Modbus</v>
      </c>
    </row>
    <row r="785" spans="1:23" x14ac:dyDescent="0.6">
      <c r="A785" t="s">
        <v>97</v>
      </c>
      <c r="B785">
        <v>2754</v>
      </c>
      <c r="C785" t="s">
        <v>87</v>
      </c>
      <c r="D785">
        <v>502</v>
      </c>
      <c r="E785">
        <v>1</v>
      </c>
      <c r="F785" s="13">
        <v>62</v>
      </c>
      <c r="G785">
        <v>1</v>
      </c>
      <c r="H785">
        <v>62</v>
      </c>
      <c r="I785">
        <v>0</v>
      </c>
      <c r="J785">
        <v>0</v>
      </c>
      <c r="K785">
        <v>564.64807599999995</v>
      </c>
      <c r="L785">
        <v>0</v>
      </c>
      <c r="M785">
        <v>0</v>
      </c>
      <c r="N785">
        <v>0</v>
      </c>
      <c r="O785" s="8" t="str">
        <f>formatIP(Table1[[#This Row],[Address A]])</f>
        <v>010.012.000.002</v>
      </c>
      <c r="P785" s="8" t="str">
        <f>formatIP(Table1[[#This Row],[Address B]])</f>
        <v>010.011.009.028</v>
      </c>
      <c r="Q785" s="8" t="str">
        <f>VLOOKUP(Table1[[#This Row],[Address A]],IP_Master[],4,FALSE)</f>
        <v>PPPCFC2</v>
      </c>
      <c r="R785" s="8" t="str">
        <f>VLOOKUP(Table1[[#This Row],[Address B]],IP_Master[],4,FALSE)</f>
        <v>EGX100</v>
      </c>
      <c r="S785" s="8" t="str">
        <f>VLOOKUP(Table1[[#This Row],[Address A]],IP_Master[],2,FALSE)</f>
        <v>Fume Control</v>
      </c>
      <c r="T785" s="8" t="str">
        <f>VLOOKUP(Table1[[#This Row],[Address B]],IP_Master[],2,FALSE)</f>
        <v>Miscellaneous</v>
      </c>
      <c r="U785" s="9" t="str">
        <f>VLOOKUP(Table1[[#This Row],[Address A]],IP_Master[],3,FALSE)</f>
        <v>iFIX Nodes &amp; Ethernet Switches</v>
      </c>
      <c r="V785" s="9" t="str">
        <f>VLOOKUP(Table1[[#This Row],[Address B]],IP_Master[],3,FALSE)</f>
        <v>iFIX Nodes &amp; Ethernet Switches</v>
      </c>
      <c r="W785" s="9" t="str">
        <f>VLOOKUP(Table1[[#This Row],[Port B]],traffic_types[],2,FALSE)</f>
        <v>Modbus</v>
      </c>
    </row>
    <row r="786" spans="1:23" x14ac:dyDescent="0.6">
      <c r="A786" t="s">
        <v>97</v>
      </c>
      <c r="B786">
        <v>2755</v>
      </c>
      <c r="C786" t="s">
        <v>87</v>
      </c>
      <c r="D786">
        <v>502</v>
      </c>
      <c r="E786">
        <v>1</v>
      </c>
      <c r="F786" s="13">
        <v>62</v>
      </c>
      <c r="G786">
        <v>1</v>
      </c>
      <c r="H786">
        <v>62</v>
      </c>
      <c r="I786">
        <v>0</v>
      </c>
      <c r="J786">
        <v>0</v>
      </c>
      <c r="K786">
        <v>566.21059000000002</v>
      </c>
      <c r="L786">
        <v>0</v>
      </c>
      <c r="M786">
        <v>0</v>
      </c>
      <c r="N786">
        <v>0</v>
      </c>
      <c r="O786" s="8" t="str">
        <f>formatIP(Table1[[#This Row],[Address A]])</f>
        <v>010.012.000.002</v>
      </c>
      <c r="P786" s="8" t="str">
        <f>formatIP(Table1[[#This Row],[Address B]])</f>
        <v>010.011.009.028</v>
      </c>
      <c r="Q786" s="8" t="str">
        <f>VLOOKUP(Table1[[#This Row],[Address A]],IP_Master[],4,FALSE)</f>
        <v>PPPCFC2</v>
      </c>
      <c r="R786" s="8" t="str">
        <f>VLOOKUP(Table1[[#This Row],[Address B]],IP_Master[],4,FALSE)</f>
        <v>EGX100</v>
      </c>
      <c r="S786" s="8" t="str">
        <f>VLOOKUP(Table1[[#This Row],[Address A]],IP_Master[],2,FALSE)</f>
        <v>Fume Control</v>
      </c>
      <c r="T786" s="8" t="str">
        <f>VLOOKUP(Table1[[#This Row],[Address B]],IP_Master[],2,FALSE)</f>
        <v>Miscellaneous</v>
      </c>
      <c r="U786" s="9" t="str">
        <f>VLOOKUP(Table1[[#This Row],[Address A]],IP_Master[],3,FALSE)</f>
        <v>iFIX Nodes &amp; Ethernet Switches</v>
      </c>
      <c r="V786" s="9" t="str">
        <f>VLOOKUP(Table1[[#This Row],[Address B]],IP_Master[],3,FALSE)</f>
        <v>iFIX Nodes &amp; Ethernet Switches</v>
      </c>
      <c r="W786" s="9" t="str">
        <f>VLOOKUP(Table1[[#This Row],[Port B]],traffic_types[],2,FALSE)</f>
        <v>Modbus</v>
      </c>
    </row>
    <row r="787" spans="1:23" x14ac:dyDescent="0.6">
      <c r="A787" t="s">
        <v>97</v>
      </c>
      <c r="B787">
        <v>2761</v>
      </c>
      <c r="C787" t="s">
        <v>87</v>
      </c>
      <c r="D787">
        <v>502</v>
      </c>
      <c r="E787">
        <v>2</v>
      </c>
      <c r="F787" s="13">
        <v>124</v>
      </c>
      <c r="G787">
        <v>2</v>
      </c>
      <c r="H787">
        <v>124</v>
      </c>
      <c r="I787">
        <v>0</v>
      </c>
      <c r="J787">
        <v>0</v>
      </c>
      <c r="K787">
        <v>592.83752000000004</v>
      </c>
      <c r="L787">
        <v>3.0104259999999399</v>
      </c>
      <c r="M787">
        <v>329.52146971891</v>
      </c>
      <c r="N787">
        <v>0</v>
      </c>
      <c r="O787" s="8" t="str">
        <f>formatIP(Table1[[#This Row],[Address A]])</f>
        <v>010.012.000.002</v>
      </c>
      <c r="P787" s="8" t="str">
        <f>formatIP(Table1[[#This Row],[Address B]])</f>
        <v>010.011.009.028</v>
      </c>
      <c r="Q787" s="8" t="str">
        <f>VLOOKUP(Table1[[#This Row],[Address A]],IP_Master[],4,FALSE)</f>
        <v>PPPCFC2</v>
      </c>
      <c r="R787" s="8" t="str">
        <f>VLOOKUP(Table1[[#This Row],[Address B]],IP_Master[],4,FALSE)</f>
        <v>EGX100</v>
      </c>
      <c r="S787" s="8" t="str">
        <f>VLOOKUP(Table1[[#This Row],[Address A]],IP_Master[],2,FALSE)</f>
        <v>Fume Control</v>
      </c>
      <c r="T787" s="8" t="str">
        <f>VLOOKUP(Table1[[#This Row],[Address B]],IP_Master[],2,FALSE)</f>
        <v>Miscellaneous</v>
      </c>
      <c r="U787" s="9" t="str">
        <f>VLOOKUP(Table1[[#This Row],[Address A]],IP_Master[],3,FALSE)</f>
        <v>iFIX Nodes &amp; Ethernet Switches</v>
      </c>
      <c r="V787" s="9" t="str">
        <f>VLOOKUP(Table1[[#This Row],[Address B]],IP_Master[],3,FALSE)</f>
        <v>iFIX Nodes &amp; Ethernet Switches</v>
      </c>
      <c r="W787" s="9" t="str">
        <f>VLOOKUP(Table1[[#This Row],[Port B]],traffic_types[],2,FALSE)</f>
        <v>Modbus</v>
      </c>
    </row>
    <row r="788" spans="1:23" x14ac:dyDescent="0.6">
      <c r="A788" t="s">
        <v>97</v>
      </c>
      <c r="B788">
        <v>2762</v>
      </c>
      <c r="C788" t="s">
        <v>87</v>
      </c>
      <c r="D788">
        <v>502</v>
      </c>
      <c r="E788">
        <v>2</v>
      </c>
      <c r="F788" s="13">
        <v>124</v>
      </c>
      <c r="G788">
        <v>2</v>
      </c>
      <c r="H788">
        <v>124</v>
      </c>
      <c r="I788">
        <v>0</v>
      </c>
      <c r="J788">
        <v>0</v>
      </c>
      <c r="K788">
        <v>594.00239499999998</v>
      </c>
      <c r="L788">
        <v>2.9521409999999801</v>
      </c>
      <c r="M788">
        <v>336.02731034866099</v>
      </c>
      <c r="N788">
        <v>0</v>
      </c>
      <c r="O788" s="8" t="str">
        <f>formatIP(Table1[[#This Row],[Address A]])</f>
        <v>010.012.000.002</v>
      </c>
      <c r="P788" s="8" t="str">
        <f>formatIP(Table1[[#This Row],[Address B]])</f>
        <v>010.011.009.028</v>
      </c>
      <c r="Q788" s="8" t="str">
        <f>VLOOKUP(Table1[[#This Row],[Address A]],IP_Master[],4,FALSE)</f>
        <v>PPPCFC2</v>
      </c>
      <c r="R788" s="8" t="str">
        <f>VLOOKUP(Table1[[#This Row],[Address B]],IP_Master[],4,FALSE)</f>
        <v>EGX100</v>
      </c>
      <c r="S788" s="8" t="str">
        <f>VLOOKUP(Table1[[#This Row],[Address A]],IP_Master[],2,FALSE)</f>
        <v>Fume Control</v>
      </c>
      <c r="T788" s="8" t="str">
        <f>VLOOKUP(Table1[[#This Row],[Address B]],IP_Master[],2,FALSE)</f>
        <v>Miscellaneous</v>
      </c>
      <c r="U788" s="9" t="str">
        <f>VLOOKUP(Table1[[#This Row],[Address A]],IP_Master[],3,FALSE)</f>
        <v>iFIX Nodes &amp; Ethernet Switches</v>
      </c>
      <c r="V788" s="9" t="str">
        <f>VLOOKUP(Table1[[#This Row],[Address B]],IP_Master[],3,FALSE)</f>
        <v>iFIX Nodes &amp; Ethernet Switches</v>
      </c>
      <c r="W788" s="9" t="str">
        <f>VLOOKUP(Table1[[#This Row],[Port B]],traffic_types[],2,FALSE)</f>
        <v>Modbus</v>
      </c>
    </row>
    <row r="789" spans="1:23" x14ac:dyDescent="0.6">
      <c r="A789" t="s">
        <v>97</v>
      </c>
      <c r="B789">
        <v>2763</v>
      </c>
      <c r="C789" t="s">
        <v>87</v>
      </c>
      <c r="D789">
        <v>502</v>
      </c>
      <c r="E789">
        <v>1</v>
      </c>
      <c r="F789" s="13">
        <v>62</v>
      </c>
      <c r="G789">
        <v>1</v>
      </c>
      <c r="H789">
        <v>62</v>
      </c>
      <c r="I789">
        <v>0</v>
      </c>
      <c r="J789">
        <v>0</v>
      </c>
      <c r="K789">
        <v>594.14490999999998</v>
      </c>
      <c r="L789">
        <v>0</v>
      </c>
      <c r="M789">
        <v>0</v>
      </c>
      <c r="N789">
        <v>0</v>
      </c>
      <c r="O789" s="8" t="str">
        <f>formatIP(Table1[[#This Row],[Address A]])</f>
        <v>010.012.000.002</v>
      </c>
      <c r="P789" s="8" t="str">
        <f>formatIP(Table1[[#This Row],[Address B]])</f>
        <v>010.011.009.028</v>
      </c>
      <c r="Q789" s="8" t="str">
        <f>VLOOKUP(Table1[[#This Row],[Address A]],IP_Master[],4,FALSE)</f>
        <v>PPPCFC2</v>
      </c>
      <c r="R789" s="8" t="str">
        <f>VLOOKUP(Table1[[#This Row],[Address B]],IP_Master[],4,FALSE)</f>
        <v>EGX100</v>
      </c>
      <c r="S789" s="8" t="str">
        <f>VLOOKUP(Table1[[#This Row],[Address A]],IP_Master[],2,FALSE)</f>
        <v>Fume Control</v>
      </c>
      <c r="T789" s="8" t="str">
        <f>VLOOKUP(Table1[[#This Row],[Address B]],IP_Master[],2,FALSE)</f>
        <v>Miscellaneous</v>
      </c>
      <c r="U789" s="9" t="str">
        <f>VLOOKUP(Table1[[#This Row],[Address A]],IP_Master[],3,FALSE)</f>
        <v>iFIX Nodes &amp; Ethernet Switches</v>
      </c>
      <c r="V789" s="9" t="str">
        <f>VLOOKUP(Table1[[#This Row],[Address B]],IP_Master[],3,FALSE)</f>
        <v>iFIX Nodes &amp; Ethernet Switches</v>
      </c>
      <c r="W789" s="9" t="str">
        <f>VLOOKUP(Table1[[#This Row],[Port B]],traffic_types[],2,FALSE)</f>
        <v>Modbus</v>
      </c>
    </row>
    <row r="790" spans="1:23" x14ac:dyDescent="0.6">
      <c r="A790" t="s">
        <v>97</v>
      </c>
      <c r="B790">
        <v>2764</v>
      </c>
      <c r="C790" t="s">
        <v>87</v>
      </c>
      <c r="D790">
        <v>502</v>
      </c>
      <c r="E790">
        <v>1</v>
      </c>
      <c r="F790" s="13">
        <v>62</v>
      </c>
      <c r="G790">
        <v>1</v>
      </c>
      <c r="H790">
        <v>62</v>
      </c>
      <c r="I790">
        <v>0</v>
      </c>
      <c r="J790">
        <v>0</v>
      </c>
      <c r="K790">
        <v>594.65392599999996</v>
      </c>
      <c r="L790">
        <v>0</v>
      </c>
      <c r="M790">
        <v>0</v>
      </c>
      <c r="N790">
        <v>0</v>
      </c>
      <c r="O790" s="8" t="str">
        <f>formatIP(Table1[[#This Row],[Address A]])</f>
        <v>010.012.000.002</v>
      </c>
      <c r="P790" s="8" t="str">
        <f>formatIP(Table1[[#This Row],[Address B]])</f>
        <v>010.011.009.028</v>
      </c>
      <c r="Q790" s="8" t="str">
        <f>VLOOKUP(Table1[[#This Row],[Address A]],IP_Master[],4,FALSE)</f>
        <v>PPPCFC2</v>
      </c>
      <c r="R790" s="8" t="str">
        <f>VLOOKUP(Table1[[#This Row],[Address B]],IP_Master[],4,FALSE)</f>
        <v>EGX100</v>
      </c>
      <c r="S790" s="8" t="str">
        <f>VLOOKUP(Table1[[#This Row],[Address A]],IP_Master[],2,FALSE)</f>
        <v>Fume Control</v>
      </c>
      <c r="T790" s="8" t="str">
        <f>VLOOKUP(Table1[[#This Row],[Address B]],IP_Master[],2,FALSE)</f>
        <v>Miscellaneous</v>
      </c>
      <c r="U790" s="9" t="str">
        <f>VLOOKUP(Table1[[#This Row],[Address A]],IP_Master[],3,FALSE)</f>
        <v>iFIX Nodes &amp; Ethernet Switches</v>
      </c>
      <c r="V790" s="9" t="str">
        <f>VLOOKUP(Table1[[#This Row],[Address B]],IP_Master[],3,FALSE)</f>
        <v>iFIX Nodes &amp; Ethernet Switches</v>
      </c>
      <c r="W790" s="9" t="str">
        <f>VLOOKUP(Table1[[#This Row],[Port B]],traffic_types[],2,FALSE)</f>
        <v>Modbus</v>
      </c>
    </row>
    <row r="791" spans="1:23" x14ac:dyDescent="0.6">
      <c r="A791" t="s">
        <v>97</v>
      </c>
      <c r="B791">
        <v>2765</v>
      </c>
      <c r="C791" t="s">
        <v>87</v>
      </c>
      <c r="D791">
        <v>502</v>
      </c>
      <c r="E791">
        <v>1</v>
      </c>
      <c r="F791" s="13">
        <v>62</v>
      </c>
      <c r="G791">
        <v>1</v>
      </c>
      <c r="H791">
        <v>62</v>
      </c>
      <c r="I791">
        <v>0</v>
      </c>
      <c r="J791">
        <v>0</v>
      </c>
      <c r="K791">
        <v>595.85134800000003</v>
      </c>
      <c r="L791">
        <v>0</v>
      </c>
      <c r="M791">
        <v>0</v>
      </c>
      <c r="N791">
        <v>0</v>
      </c>
      <c r="O791" s="8" t="str">
        <f>formatIP(Table1[[#This Row],[Address A]])</f>
        <v>010.012.000.002</v>
      </c>
      <c r="P791" s="8" t="str">
        <f>formatIP(Table1[[#This Row],[Address B]])</f>
        <v>010.011.009.028</v>
      </c>
      <c r="Q791" s="8" t="str">
        <f>VLOOKUP(Table1[[#This Row],[Address A]],IP_Master[],4,FALSE)</f>
        <v>PPPCFC2</v>
      </c>
      <c r="R791" s="8" t="str">
        <f>VLOOKUP(Table1[[#This Row],[Address B]],IP_Master[],4,FALSE)</f>
        <v>EGX100</v>
      </c>
      <c r="S791" s="8" t="str">
        <f>VLOOKUP(Table1[[#This Row],[Address A]],IP_Master[],2,FALSE)</f>
        <v>Fume Control</v>
      </c>
      <c r="T791" s="8" t="str">
        <f>VLOOKUP(Table1[[#This Row],[Address B]],IP_Master[],2,FALSE)</f>
        <v>Miscellaneous</v>
      </c>
      <c r="U791" s="9" t="str">
        <f>VLOOKUP(Table1[[#This Row],[Address A]],IP_Master[],3,FALSE)</f>
        <v>iFIX Nodes &amp; Ethernet Switches</v>
      </c>
      <c r="V791" s="9" t="str">
        <f>VLOOKUP(Table1[[#This Row],[Address B]],IP_Master[],3,FALSE)</f>
        <v>iFIX Nodes &amp; Ethernet Switches</v>
      </c>
      <c r="W791" s="9" t="str">
        <f>VLOOKUP(Table1[[#This Row],[Port B]],traffic_types[],2,FALSE)</f>
        <v>Modbus</v>
      </c>
    </row>
    <row r="792" spans="1:23" x14ac:dyDescent="0.6">
      <c r="A792" t="s">
        <v>97</v>
      </c>
      <c r="B792">
        <v>2766</v>
      </c>
      <c r="C792" t="s">
        <v>87</v>
      </c>
      <c r="D792">
        <v>502</v>
      </c>
      <c r="E792">
        <v>1</v>
      </c>
      <c r="F792" s="13">
        <v>62</v>
      </c>
      <c r="G792">
        <v>1</v>
      </c>
      <c r="H792">
        <v>62</v>
      </c>
      <c r="I792">
        <v>0</v>
      </c>
      <c r="J792">
        <v>0</v>
      </c>
      <c r="K792">
        <v>596.22114099999999</v>
      </c>
      <c r="L792">
        <v>0</v>
      </c>
      <c r="M792">
        <v>0</v>
      </c>
      <c r="N792">
        <v>0</v>
      </c>
      <c r="O792" s="8" t="str">
        <f>formatIP(Table1[[#This Row],[Address A]])</f>
        <v>010.012.000.002</v>
      </c>
      <c r="P792" s="8" t="str">
        <f>formatIP(Table1[[#This Row],[Address B]])</f>
        <v>010.011.009.028</v>
      </c>
      <c r="Q792" s="8" t="str">
        <f>VLOOKUP(Table1[[#This Row],[Address A]],IP_Master[],4,FALSE)</f>
        <v>PPPCFC2</v>
      </c>
      <c r="R792" s="8" t="str">
        <f>VLOOKUP(Table1[[#This Row],[Address B]],IP_Master[],4,FALSE)</f>
        <v>EGX100</v>
      </c>
      <c r="S792" s="8" t="str">
        <f>VLOOKUP(Table1[[#This Row],[Address A]],IP_Master[],2,FALSE)</f>
        <v>Fume Control</v>
      </c>
      <c r="T792" s="8" t="str">
        <f>VLOOKUP(Table1[[#This Row],[Address B]],IP_Master[],2,FALSE)</f>
        <v>Miscellaneous</v>
      </c>
      <c r="U792" s="9" t="str">
        <f>VLOOKUP(Table1[[#This Row],[Address A]],IP_Master[],3,FALSE)</f>
        <v>iFIX Nodes &amp; Ethernet Switches</v>
      </c>
      <c r="V792" s="9" t="str">
        <f>VLOOKUP(Table1[[#This Row],[Address B]],IP_Master[],3,FALSE)</f>
        <v>iFIX Nodes &amp; Ethernet Switches</v>
      </c>
      <c r="W792" s="9" t="str">
        <f>VLOOKUP(Table1[[#This Row],[Port B]],traffic_types[],2,FALSE)</f>
        <v>Modbus</v>
      </c>
    </row>
    <row r="793" spans="1:23" x14ac:dyDescent="0.6">
      <c r="A793" t="s">
        <v>97</v>
      </c>
      <c r="B793">
        <v>2767</v>
      </c>
      <c r="C793" t="s">
        <v>87</v>
      </c>
      <c r="D793">
        <v>502</v>
      </c>
      <c r="E793">
        <v>1</v>
      </c>
      <c r="F793" s="13">
        <v>62</v>
      </c>
      <c r="G793">
        <v>1</v>
      </c>
      <c r="H793">
        <v>62</v>
      </c>
      <c r="I793">
        <v>0</v>
      </c>
      <c r="J793">
        <v>0</v>
      </c>
      <c r="K793">
        <v>597.00775799999997</v>
      </c>
      <c r="L793">
        <v>0</v>
      </c>
      <c r="M793">
        <v>0</v>
      </c>
      <c r="N793">
        <v>0</v>
      </c>
      <c r="O793" s="8" t="str">
        <f>formatIP(Table1[[#This Row],[Address A]])</f>
        <v>010.012.000.002</v>
      </c>
      <c r="P793" s="8" t="str">
        <f>formatIP(Table1[[#This Row],[Address B]])</f>
        <v>010.011.009.028</v>
      </c>
      <c r="Q793" s="8" t="str">
        <f>VLOOKUP(Table1[[#This Row],[Address A]],IP_Master[],4,FALSE)</f>
        <v>PPPCFC2</v>
      </c>
      <c r="R793" s="8" t="str">
        <f>VLOOKUP(Table1[[#This Row],[Address B]],IP_Master[],4,FALSE)</f>
        <v>EGX100</v>
      </c>
      <c r="S793" s="8" t="str">
        <f>VLOOKUP(Table1[[#This Row],[Address A]],IP_Master[],2,FALSE)</f>
        <v>Fume Control</v>
      </c>
      <c r="T793" s="8" t="str">
        <f>VLOOKUP(Table1[[#This Row],[Address B]],IP_Master[],2,FALSE)</f>
        <v>Miscellaneous</v>
      </c>
      <c r="U793" s="9" t="str">
        <f>VLOOKUP(Table1[[#This Row],[Address A]],IP_Master[],3,FALSE)</f>
        <v>iFIX Nodes &amp; Ethernet Switches</v>
      </c>
      <c r="V793" s="9" t="str">
        <f>VLOOKUP(Table1[[#This Row],[Address B]],IP_Master[],3,FALSE)</f>
        <v>iFIX Nodes &amp; Ethernet Switches</v>
      </c>
      <c r="W793" s="9" t="str">
        <f>VLOOKUP(Table1[[#This Row],[Port B]],traffic_types[],2,FALSE)</f>
        <v>Modbus</v>
      </c>
    </row>
    <row r="794" spans="1:23" x14ac:dyDescent="0.6">
      <c r="A794" t="s">
        <v>97</v>
      </c>
      <c r="B794">
        <v>2768</v>
      </c>
      <c r="C794" t="s">
        <v>87</v>
      </c>
      <c r="D794">
        <v>502</v>
      </c>
      <c r="E794">
        <v>1</v>
      </c>
      <c r="F794" s="13">
        <v>62</v>
      </c>
      <c r="G794">
        <v>1</v>
      </c>
      <c r="H794">
        <v>62</v>
      </c>
      <c r="I794">
        <v>0</v>
      </c>
      <c r="J794">
        <v>0</v>
      </c>
      <c r="K794">
        <v>597.14826100000005</v>
      </c>
      <c r="L794">
        <v>0</v>
      </c>
      <c r="M794">
        <v>0</v>
      </c>
      <c r="N794">
        <v>0</v>
      </c>
      <c r="O794" s="8" t="str">
        <f>formatIP(Table1[[#This Row],[Address A]])</f>
        <v>010.012.000.002</v>
      </c>
      <c r="P794" s="8" t="str">
        <f>formatIP(Table1[[#This Row],[Address B]])</f>
        <v>010.011.009.028</v>
      </c>
      <c r="Q794" s="8" t="str">
        <f>VLOOKUP(Table1[[#This Row],[Address A]],IP_Master[],4,FALSE)</f>
        <v>PPPCFC2</v>
      </c>
      <c r="R794" s="8" t="str">
        <f>VLOOKUP(Table1[[#This Row],[Address B]],IP_Master[],4,FALSE)</f>
        <v>EGX100</v>
      </c>
      <c r="S794" s="8" t="str">
        <f>VLOOKUP(Table1[[#This Row],[Address A]],IP_Master[],2,FALSE)</f>
        <v>Fume Control</v>
      </c>
      <c r="T794" s="8" t="str">
        <f>VLOOKUP(Table1[[#This Row],[Address B]],IP_Master[],2,FALSE)</f>
        <v>Miscellaneous</v>
      </c>
      <c r="U794" s="9" t="str">
        <f>VLOOKUP(Table1[[#This Row],[Address A]],IP_Master[],3,FALSE)</f>
        <v>iFIX Nodes &amp; Ethernet Switches</v>
      </c>
      <c r="V794" s="9" t="str">
        <f>VLOOKUP(Table1[[#This Row],[Address B]],IP_Master[],3,FALSE)</f>
        <v>iFIX Nodes &amp; Ethernet Switches</v>
      </c>
      <c r="W794" s="9" t="str">
        <f>VLOOKUP(Table1[[#This Row],[Port B]],traffic_types[],2,FALSE)</f>
        <v>Modbus</v>
      </c>
    </row>
    <row r="795" spans="1:23" x14ac:dyDescent="0.6">
      <c r="A795" t="s">
        <v>97</v>
      </c>
      <c r="B795">
        <v>2769</v>
      </c>
      <c r="C795" t="s">
        <v>87</v>
      </c>
      <c r="D795">
        <v>502</v>
      </c>
      <c r="E795">
        <v>1</v>
      </c>
      <c r="F795" s="13">
        <v>62</v>
      </c>
      <c r="G795">
        <v>1</v>
      </c>
      <c r="H795">
        <v>62</v>
      </c>
      <c r="I795">
        <v>0</v>
      </c>
      <c r="J795">
        <v>0</v>
      </c>
      <c r="K795">
        <v>597.66404399999999</v>
      </c>
      <c r="L795">
        <v>0</v>
      </c>
      <c r="M795">
        <v>0</v>
      </c>
      <c r="N795">
        <v>0</v>
      </c>
      <c r="O795" s="8" t="str">
        <f>formatIP(Table1[[#This Row],[Address A]])</f>
        <v>010.012.000.002</v>
      </c>
      <c r="P795" s="8" t="str">
        <f>formatIP(Table1[[#This Row],[Address B]])</f>
        <v>010.011.009.028</v>
      </c>
      <c r="Q795" s="8" t="str">
        <f>VLOOKUP(Table1[[#This Row],[Address A]],IP_Master[],4,FALSE)</f>
        <v>PPPCFC2</v>
      </c>
      <c r="R795" s="8" t="str">
        <f>VLOOKUP(Table1[[#This Row],[Address B]],IP_Master[],4,FALSE)</f>
        <v>EGX100</v>
      </c>
      <c r="S795" s="8" t="str">
        <f>VLOOKUP(Table1[[#This Row],[Address A]],IP_Master[],2,FALSE)</f>
        <v>Fume Control</v>
      </c>
      <c r="T795" s="8" t="str">
        <f>VLOOKUP(Table1[[#This Row],[Address B]],IP_Master[],2,FALSE)</f>
        <v>Miscellaneous</v>
      </c>
      <c r="U795" s="9" t="str">
        <f>VLOOKUP(Table1[[#This Row],[Address A]],IP_Master[],3,FALSE)</f>
        <v>iFIX Nodes &amp; Ethernet Switches</v>
      </c>
      <c r="V795" s="9" t="str">
        <f>VLOOKUP(Table1[[#This Row],[Address B]],IP_Master[],3,FALSE)</f>
        <v>iFIX Nodes &amp; Ethernet Switches</v>
      </c>
      <c r="W795" s="9" t="str">
        <f>VLOOKUP(Table1[[#This Row],[Port B]],traffic_types[],2,FALSE)</f>
        <v>Modbus</v>
      </c>
    </row>
    <row r="796" spans="1:23" x14ac:dyDescent="0.6">
      <c r="A796" t="s">
        <v>97</v>
      </c>
      <c r="B796">
        <v>2770</v>
      </c>
      <c r="C796" t="s">
        <v>87</v>
      </c>
      <c r="D796">
        <v>502</v>
      </c>
      <c r="E796">
        <v>1</v>
      </c>
      <c r="F796" s="13">
        <v>62</v>
      </c>
      <c r="G796">
        <v>1</v>
      </c>
      <c r="H796">
        <v>62</v>
      </c>
      <c r="I796">
        <v>0</v>
      </c>
      <c r="J796">
        <v>0</v>
      </c>
      <c r="K796">
        <v>599.22636199999999</v>
      </c>
      <c r="L796">
        <v>0</v>
      </c>
      <c r="M796">
        <v>0</v>
      </c>
      <c r="N796">
        <v>0</v>
      </c>
      <c r="O796" s="8" t="str">
        <f>formatIP(Table1[[#This Row],[Address A]])</f>
        <v>010.012.000.002</v>
      </c>
      <c r="P796" s="8" t="str">
        <f>formatIP(Table1[[#This Row],[Address B]])</f>
        <v>010.011.009.028</v>
      </c>
      <c r="Q796" s="8" t="str">
        <f>VLOOKUP(Table1[[#This Row],[Address A]],IP_Master[],4,FALSE)</f>
        <v>PPPCFC2</v>
      </c>
      <c r="R796" s="8" t="str">
        <f>VLOOKUP(Table1[[#This Row],[Address B]],IP_Master[],4,FALSE)</f>
        <v>EGX100</v>
      </c>
      <c r="S796" s="8" t="str">
        <f>VLOOKUP(Table1[[#This Row],[Address A]],IP_Master[],2,FALSE)</f>
        <v>Fume Control</v>
      </c>
      <c r="T796" s="8" t="str">
        <f>VLOOKUP(Table1[[#This Row],[Address B]],IP_Master[],2,FALSE)</f>
        <v>Miscellaneous</v>
      </c>
      <c r="U796" s="9" t="str">
        <f>VLOOKUP(Table1[[#This Row],[Address A]],IP_Master[],3,FALSE)</f>
        <v>iFIX Nodes &amp; Ethernet Switches</v>
      </c>
      <c r="V796" s="9" t="str">
        <f>VLOOKUP(Table1[[#This Row],[Address B]],IP_Master[],3,FALSE)</f>
        <v>iFIX Nodes &amp; Ethernet Switches</v>
      </c>
      <c r="W796" s="9" t="str">
        <f>VLOOKUP(Table1[[#This Row],[Port B]],traffic_types[],2,FALSE)</f>
        <v>Modbus</v>
      </c>
    </row>
    <row r="797" spans="1:23" x14ac:dyDescent="0.6">
      <c r="A797" t="s">
        <v>97</v>
      </c>
      <c r="B797">
        <v>2776</v>
      </c>
      <c r="C797" t="s">
        <v>87</v>
      </c>
      <c r="D797">
        <v>502</v>
      </c>
      <c r="E797">
        <v>2</v>
      </c>
      <c r="F797" s="13">
        <v>124</v>
      </c>
      <c r="G797">
        <v>2</v>
      </c>
      <c r="H797">
        <v>124</v>
      </c>
      <c r="I797">
        <v>0</v>
      </c>
      <c r="J797">
        <v>0</v>
      </c>
      <c r="K797">
        <v>625.85407999999995</v>
      </c>
      <c r="L797">
        <v>2.8857649999999899</v>
      </c>
      <c r="M797">
        <v>343.75633497530202</v>
      </c>
      <c r="N797">
        <v>0</v>
      </c>
      <c r="O797" s="8" t="str">
        <f>formatIP(Table1[[#This Row],[Address A]])</f>
        <v>010.012.000.002</v>
      </c>
      <c r="P797" s="8" t="str">
        <f>formatIP(Table1[[#This Row],[Address B]])</f>
        <v>010.011.009.028</v>
      </c>
      <c r="Q797" s="8" t="str">
        <f>VLOOKUP(Table1[[#This Row],[Address A]],IP_Master[],4,FALSE)</f>
        <v>PPPCFC2</v>
      </c>
      <c r="R797" s="8" t="str">
        <f>VLOOKUP(Table1[[#This Row],[Address B]],IP_Master[],4,FALSE)</f>
        <v>EGX100</v>
      </c>
      <c r="S797" s="8" t="str">
        <f>VLOOKUP(Table1[[#This Row],[Address A]],IP_Master[],2,FALSE)</f>
        <v>Fume Control</v>
      </c>
      <c r="T797" s="8" t="str">
        <f>VLOOKUP(Table1[[#This Row],[Address B]],IP_Master[],2,FALSE)</f>
        <v>Miscellaneous</v>
      </c>
      <c r="U797" s="9" t="str">
        <f>VLOOKUP(Table1[[#This Row],[Address A]],IP_Master[],3,FALSE)</f>
        <v>iFIX Nodes &amp; Ethernet Switches</v>
      </c>
      <c r="V797" s="9" t="str">
        <f>VLOOKUP(Table1[[#This Row],[Address B]],IP_Master[],3,FALSE)</f>
        <v>iFIX Nodes &amp; Ethernet Switches</v>
      </c>
      <c r="W797" s="9" t="str">
        <f>VLOOKUP(Table1[[#This Row],[Port B]],traffic_types[],2,FALSE)</f>
        <v>Modbus</v>
      </c>
    </row>
    <row r="798" spans="1:23" x14ac:dyDescent="0.6">
      <c r="A798" t="s">
        <v>97</v>
      </c>
      <c r="B798">
        <v>2777</v>
      </c>
      <c r="C798" t="s">
        <v>87</v>
      </c>
      <c r="D798">
        <v>502</v>
      </c>
      <c r="E798">
        <v>2</v>
      </c>
      <c r="F798" s="13">
        <v>124</v>
      </c>
      <c r="G798">
        <v>2</v>
      </c>
      <c r="H798">
        <v>124</v>
      </c>
      <c r="I798">
        <v>0</v>
      </c>
      <c r="J798">
        <v>0</v>
      </c>
      <c r="K798">
        <v>627.01232300000004</v>
      </c>
      <c r="L798">
        <v>2.9345279999999998</v>
      </c>
      <c r="M798">
        <v>338.04414202215798</v>
      </c>
      <c r="N798">
        <v>0</v>
      </c>
      <c r="O798" s="8" t="str">
        <f>formatIP(Table1[[#This Row],[Address A]])</f>
        <v>010.012.000.002</v>
      </c>
      <c r="P798" s="8" t="str">
        <f>formatIP(Table1[[#This Row],[Address B]])</f>
        <v>010.011.009.028</v>
      </c>
      <c r="Q798" s="8" t="str">
        <f>VLOOKUP(Table1[[#This Row],[Address A]],IP_Master[],4,FALSE)</f>
        <v>PPPCFC2</v>
      </c>
      <c r="R798" s="8" t="str">
        <f>VLOOKUP(Table1[[#This Row],[Address B]],IP_Master[],4,FALSE)</f>
        <v>EGX100</v>
      </c>
      <c r="S798" s="8" t="str">
        <f>VLOOKUP(Table1[[#This Row],[Address A]],IP_Master[],2,FALSE)</f>
        <v>Fume Control</v>
      </c>
      <c r="T798" s="8" t="str">
        <f>VLOOKUP(Table1[[#This Row],[Address B]],IP_Master[],2,FALSE)</f>
        <v>Miscellaneous</v>
      </c>
      <c r="U798" s="9" t="str">
        <f>VLOOKUP(Table1[[#This Row],[Address A]],IP_Master[],3,FALSE)</f>
        <v>iFIX Nodes &amp; Ethernet Switches</v>
      </c>
      <c r="V798" s="9" t="str">
        <f>VLOOKUP(Table1[[#This Row],[Address B]],IP_Master[],3,FALSE)</f>
        <v>iFIX Nodes &amp; Ethernet Switches</v>
      </c>
      <c r="W798" s="9" t="str">
        <f>VLOOKUP(Table1[[#This Row],[Port B]],traffic_types[],2,FALSE)</f>
        <v>Modbus</v>
      </c>
    </row>
    <row r="799" spans="1:23" x14ac:dyDescent="0.6">
      <c r="A799" t="s">
        <v>97</v>
      </c>
      <c r="B799">
        <v>2778</v>
      </c>
      <c r="C799" t="s">
        <v>87</v>
      </c>
      <c r="D799">
        <v>502</v>
      </c>
      <c r="E799">
        <v>2</v>
      </c>
      <c r="F799" s="13">
        <v>124</v>
      </c>
      <c r="G799">
        <v>2</v>
      </c>
      <c r="H799">
        <v>124</v>
      </c>
      <c r="I799">
        <v>0</v>
      </c>
      <c r="J799">
        <v>0</v>
      </c>
      <c r="K799">
        <v>627.15381300000001</v>
      </c>
      <c r="L799">
        <v>2.99416799999995</v>
      </c>
      <c r="M799">
        <v>331.31073473499799</v>
      </c>
      <c r="N799">
        <v>0</v>
      </c>
      <c r="O799" s="8" t="str">
        <f>formatIP(Table1[[#This Row],[Address A]])</f>
        <v>010.012.000.002</v>
      </c>
      <c r="P799" s="8" t="str">
        <f>formatIP(Table1[[#This Row],[Address B]])</f>
        <v>010.011.009.028</v>
      </c>
      <c r="Q799" s="8" t="str">
        <f>VLOOKUP(Table1[[#This Row],[Address A]],IP_Master[],4,FALSE)</f>
        <v>PPPCFC2</v>
      </c>
      <c r="R799" s="8" t="str">
        <f>VLOOKUP(Table1[[#This Row],[Address B]],IP_Master[],4,FALSE)</f>
        <v>EGX100</v>
      </c>
      <c r="S799" s="8" t="str">
        <f>VLOOKUP(Table1[[#This Row],[Address A]],IP_Master[],2,FALSE)</f>
        <v>Fume Control</v>
      </c>
      <c r="T799" s="8" t="str">
        <f>VLOOKUP(Table1[[#This Row],[Address B]],IP_Master[],2,FALSE)</f>
        <v>Miscellaneous</v>
      </c>
      <c r="U799" s="9" t="str">
        <f>VLOOKUP(Table1[[#This Row],[Address A]],IP_Master[],3,FALSE)</f>
        <v>iFIX Nodes &amp; Ethernet Switches</v>
      </c>
      <c r="V799" s="9" t="str">
        <f>VLOOKUP(Table1[[#This Row],[Address B]],IP_Master[],3,FALSE)</f>
        <v>iFIX Nodes &amp; Ethernet Switches</v>
      </c>
      <c r="W799" s="9" t="str">
        <f>VLOOKUP(Table1[[#This Row],[Port B]],traffic_types[],2,FALSE)</f>
        <v>Modbus</v>
      </c>
    </row>
    <row r="800" spans="1:23" x14ac:dyDescent="0.6">
      <c r="A800" t="s">
        <v>97</v>
      </c>
      <c r="B800">
        <v>2779</v>
      </c>
      <c r="C800" t="s">
        <v>87</v>
      </c>
      <c r="D800">
        <v>502</v>
      </c>
      <c r="E800">
        <v>2</v>
      </c>
      <c r="F800" s="13">
        <v>124</v>
      </c>
      <c r="G800">
        <v>2</v>
      </c>
      <c r="H800">
        <v>124</v>
      </c>
      <c r="I800">
        <v>0</v>
      </c>
      <c r="J800">
        <v>0</v>
      </c>
      <c r="K800">
        <v>627.67444399999999</v>
      </c>
      <c r="L800">
        <v>2.97655099999997</v>
      </c>
      <c r="M800">
        <v>333.27162880797601</v>
      </c>
      <c r="N800">
        <v>0</v>
      </c>
      <c r="O800" s="8" t="str">
        <f>formatIP(Table1[[#This Row],[Address A]])</f>
        <v>010.012.000.002</v>
      </c>
      <c r="P800" s="8" t="str">
        <f>formatIP(Table1[[#This Row],[Address B]])</f>
        <v>010.011.009.028</v>
      </c>
      <c r="Q800" s="8" t="str">
        <f>VLOOKUP(Table1[[#This Row],[Address A]],IP_Master[],4,FALSE)</f>
        <v>PPPCFC2</v>
      </c>
      <c r="R800" s="8" t="str">
        <f>VLOOKUP(Table1[[#This Row],[Address B]],IP_Master[],4,FALSE)</f>
        <v>EGX100</v>
      </c>
      <c r="S800" s="8" t="str">
        <f>VLOOKUP(Table1[[#This Row],[Address A]],IP_Master[],2,FALSE)</f>
        <v>Fume Control</v>
      </c>
      <c r="T800" s="8" t="str">
        <f>VLOOKUP(Table1[[#This Row],[Address B]],IP_Master[],2,FALSE)</f>
        <v>Miscellaneous</v>
      </c>
      <c r="U800" s="9" t="str">
        <f>VLOOKUP(Table1[[#This Row],[Address A]],IP_Master[],3,FALSE)</f>
        <v>iFIX Nodes &amp; Ethernet Switches</v>
      </c>
      <c r="V800" s="9" t="str">
        <f>VLOOKUP(Table1[[#This Row],[Address B]],IP_Master[],3,FALSE)</f>
        <v>iFIX Nodes &amp; Ethernet Switches</v>
      </c>
      <c r="W800" s="9" t="str">
        <f>VLOOKUP(Table1[[#This Row],[Port B]],traffic_types[],2,FALSE)</f>
        <v>Modbus</v>
      </c>
    </row>
    <row r="801" spans="1:23" x14ac:dyDescent="0.6">
      <c r="A801" t="s">
        <v>97</v>
      </c>
      <c r="B801">
        <v>2780</v>
      </c>
      <c r="C801" t="s">
        <v>87</v>
      </c>
      <c r="D801">
        <v>502</v>
      </c>
      <c r="E801">
        <v>1</v>
      </c>
      <c r="F801" s="13">
        <v>62</v>
      </c>
      <c r="G801">
        <v>1</v>
      </c>
      <c r="H801">
        <v>62</v>
      </c>
      <c r="I801">
        <v>0</v>
      </c>
      <c r="J801">
        <v>0</v>
      </c>
      <c r="K801">
        <v>628.867257</v>
      </c>
      <c r="L801">
        <v>0</v>
      </c>
      <c r="M801">
        <v>0</v>
      </c>
      <c r="N801">
        <v>0</v>
      </c>
      <c r="O801" s="8" t="str">
        <f>formatIP(Table1[[#This Row],[Address A]])</f>
        <v>010.012.000.002</v>
      </c>
      <c r="P801" s="8" t="str">
        <f>formatIP(Table1[[#This Row],[Address B]])</f>
        <v>010.011.009.028</v>
      </c>
      <c r="Q801" s="8" t="str">
        <f>VLOOKUP(Table1[[#This Row],[Address A]],IP_Master[],4,FALSE)</f>
        <v>PPPCFC2</v>
      </c>
      <c r="R801" s="8" t="str">
        <f>VLOOKUP(Table1[[#This Row],[Address B]],IP_Master[],4,FALSE)</f>
        <v>EGX100</v>
      </c>
      <c r="S801" s="8" t="str">
        <f>VLOOKUP(Table1[[#This Row],[Address A]],IP_Master[],2,FALSE)</f>
        <v>Fume Control</v>
      </c>
      <c r="T801" s="8" t="str">
        <f>VLOOKUP(Table1[[#This Row],[Address B]],IP_Master[],2,FALSE)</f>
        <v>Miscellaneous</v>
      </c>
      <c r="U801" s="9" t="str">
        <f>VLOOKUP(Table1[[#This Row],[Address A]],IP_Master[],3,FALSE)</f>
        <v>iFIX Nodes &amp; Ethernet Switches</v>
      </c>
      <c r="V801" s="9" t="str">
        <f>VLOOKUP(Table1[[#This Row],[Address B]],IP_Master[],3,FALSE)</f>
        <v>iFIX Nodes &amp; Ethernet Switches</v>
      </c>
      <c r="W801" s="9" t="str">
        <f>VLOOKUP(Table1[[#This Row],[Port B]],traffic_types[],2,FALSE)</f>
        <v>Modbus</v>
      </c>
    </row>
    <row r="802" spans="1:23" x14ac:dyDescent="0.6">
      <c r="A802" t="s">
        <v>97</v>
      </c>
      <c r="B802">
        <v>2781</v>
      </c>
      <c r="C802" t="s">
        <v>87</v>
      </c>
      <c r="D802">
        <v>502</v>
      </c>
      <c r="E802">
        <v>2</v>
      </c>
      <c r="F802" s="13">
        <v>124</v>
      </c>
      <c r="G802">
        <v>2</v>
      </c>
      <c r="H802">
        <v>124</v>
      </c>
      <c r="I802">
        <v>0</v>
      </c>
      <c r="J802">
        <v>0</v>
      </c>
      <c r="K802">
        <v>629.23737300000005</v>
      </c>
      <c r="L802">
        <v>2.9223059999999399</v>
      </c>
      <c r="M802">
        <v>339.45794862003601</v>
      </c>
      <c r="N802">
        <v>0</v>
      </c>
      <c r="O802" s="8" t="str">
        <f>formatIP(Table1[[#This Row],[Address A]])</f>
        <v>010.012.000.002</v>
      </c>
      <c r="P802" s="8" t="str">
        <f>formatIP(Table1[[#This Row],[Address B]])</f>
        <v>010.011.009.028</v>
      </c>
      <c r="Q802" s="8" t="str">
        <f>VLOOKUP(Table1[[#This Row],[Address A]],IP_Master[],4,FALSE)</f>
        <v>PPPCFC2</v>
      </c>
      <c r="R802" s="8" t="str">
        <f>VLOOKUP(Table1[[#This Row],[Address B]],IP_Master[],4,FALSE)</f>
        <v>EGX100</v>
      </c>
      <c r="S802" s="8" t="str">
        <f>VLOOKUP(Table1[[#This Row],[Address A]],IP_Master[],2,FALSE)</f>
        <v>Fume Control</v>
      </c>
      <c r="T802" s="8" t="str">
        <f>VLOOKUP(Table1[[#This Row],[Address B]],IP_Master[],2,FALSE)</f>
        <v>Miscellaneous</v>
      </c>
      <c r="U802" s="9" t="str">
        <f>VLOOKUP(Table1[[#This Row],[Address A]],IP_Master[],3,FALSE)</f>
        <v>iFIX Nodes &amp; Ethernet Switches</v>
      </c>
      <c r="V802" s="9" t="str">
        <f>VLOOKUP(Table1[[#This Row],[Address B]],IP_Master[],3,FALSE)</f>
        <v>iFIX Nodes &amp; Ethernet Switches</v>
      </c>
      <c r="W802" s="9" t="str">
        <f>VLOOKUP(Table1[[#This Row],[Port B]],traffic_types[],2,FALSE)</f>
        <v>Modbus</v>
      </c>
    </row>
    <row r="803" spans="1:23" x14ac:dyDescent="0.6">
      <c r="A803" t="s">
        <v>97</v>
      </c>
      <c r="B803">
        <v>2782</v>
      </c>
      <c r="C803" t="s">
        <v>87</v>
      </c>
      <c r="D803">
        <v>502</v>
      </c>
      <c r="E803">
        <v>1</v>
      </c>
      <c r="F803" s="13">
        <v>62</v>
      </c>
      <c r="G803">
        <v>1</v>
      </c>
      <c r="H803">
        <v>62</v>
      </c>
      <c r="I803">
        <v>0</v>
      </c>
      <c r="J803">
        <v>0</v>
      </c>
      <c r="K803">
        <v>630.02338799999995</v>
      </c>
      <c r="L803">
        <v>0</v>
      </c>
      <c r="M803">
        <v>0</v>
      </c>
      <c r="N803">
        <v>0</v>
      </c>
      <c r="O803" s="8" t="str">
        <f>formatIP(Table1[[#This Row],[Address A]])</f>
        <v>010.012.000.002</v>
      </c>
      <c r="P803" s="8" t="str">
        <f>formatIP(Table1[[#This Row],[Address B]])</f>
        <v>010.011.009.028</v>
      </c>
      <c r="Q803" s="8" t="str">
        <f>VLOOKUP(Table1[[#This Row],[Address A]],IP_Master[],4,FALSE)</f>
        <v>PPPCFC2</v>
      </c>
      <c r="R803" s="8" t="str">
        <f>VLOOKUP(Table1[[#This Row],[Address B]],IP_Master[],4,FALSE)</f>
        <v>EGX100</v>
      </c>
      <c r="S803" s="8" t="str">
        <f>VLOOKUP(Table1[[#This Row],[Address A]],IP_Master[],2,FALSE)</f>
        <v>Fume Control</v>
      </c>
      <c r="T803" s="8" t="str">
        <f>VLOOKUP(Table1[[#This Row],[Address B]],IP_Master[],2,FALSE)</f>
        <v>Miscellaneous</v>
      </c>
      <c r="U803" s="9" t="str">
        <f>VLOOKUP(Table1[[#This Row],[Address A]],IP_Master[],3,FALSE)</f>
        <v>iFIX Nodes &amp; Ethernet Switches</v>
      </c>
      <c r="V803" s="9" t="str">
        <f>VLOOKUP(Table1[[#This Row],[Address B]],IP_Master[],3,FALSE)</f>
        <v>iFIX Nodes &amp; Ethernet Switches</v>
      </c>
      <c r="W803" s="9" t="str">
        <f>VLOOKUP(Table1[[#This Row],[Port B]],traffic_types[],2,FALSE)</f>
        <v>Modbus</v>
      </c>
    </row>
    <row r="804" spans="1:23" x14ac:dyDescent="0.6">
      <c r="A804" t="s">
        <v>97</v>
      </c>
      <c r="B804">
        <v>2783</v>
      </c>
      <c r="C804" t="s">
        <v>87</v>
      </c>
      <c r="D804">
        <v>502</v>
      </c>
      <c r="E804">
        <v>1</v>
      </c>
      <c r="F804" s="13">
        <v>62</v>
      </c>
      <c r="G804">
        <v>1</v>
      </c>
      <c r="H804">
        <v>62</v>
      </c>
      <c r="I804">
        <v>0</v>
      </c>
      <c r="J804">
        <v>0</v>
      </c>
      <c r="K804">
        <v>630.16399899999999</v>
      </c>
      <c r="L804">
        <v>0</v>
      </c>
      <c r="M804">
        <v>0</v>
      </c>
      <c r="N804">
        <v>0</v>
      </c>
      <c r="O804" s="8" t="str">
        <f>formatIP(Table1[[#This Row],[Address A]])</f>
        <v>010.012.000.002</v>
      </c>
      <c r="P804" s="8" t="str">
        <f>formatIP(Table1[[#This Row],[Address B]])</f>
        <v>010.011.009.028</v>
      </c>
      <c r="Q804" s="8" t="str">
        <f>VLOOKUP(Table1[[#This Row],[Address A]],IP_Master[],4,FALSE)</f>
        <v>PPPCFC2</v>
      </c>
      <c r="R804" s="8" t="str">
        <f>VLOOKUP(Table1[[#This Row],[Address B]],IP_Master[],4,FALSE)</f>
        <v>EGX100</v>
      </c>
      <c r="S804" s="8" t="str">
        <f>VLOOKUP(Table1[[#This Row],[Address A]],IP_Master[],2,FALSE)</f>
        <v>Fume Control</v>
      </c>
      <c r="T804" s="8" t="str">
        <f>VLOOKUP(Table1[[#This Row],[Address B]],IP_Master[],2,FALSE)</f>
        <v>Miscellaneous</v>
      </c>
      <c r="U804" s="9" t="str">
        <f>VLOOKUP(Table1[[#This Row],[Address A]],IP_Master[],3,FALSE)</f>
        <v>iFIX Nodes &amp; Ethernet Switches</v>
      </c>
      <c r="V804" s="9" t="str">
        <f>VLOOKUP(Table1[[#This Row],[Address B]],IP_Master[],3,FALSE)</f>
        <v>iFIX Nodes &amp; Ethernet Switches</v>
      </c>
      <c r="W804" s="9" t="str">
        <f>VLOOKUP(Table1[[#This Row],[Port B]],traffic_types[],2,FALSE)</f>
        <v>Modbus</v>
      </c>
    </row>
    <row r="805" spans="1:23" x14ac:dyDescent="0.6">
      <c r="A805" t="s">
        <v>97</v>
      </c>
      <c r="B805">
        <v>2784</v>
      </c>
      <c r="C805" t="s">
        <v>87</v>
      </c>
      <c r="D805">
        <v>502</v>
      </c>
      <c r="E805">
        <v>1</v>
      </c>
      <c r="F805" s="13">
        <v>62</v>
      </c>
      <c r="G805">
        <v>1</v>
      </c>
      <c r="H805">
        <v>62</v>
      </c>
      <c r="I805">
        <v>0</v>
      </c>
      <c r="J805">
        <v>0</v>
      </c>
      <c r="K805">
        <v>630.67979800000001</v>
      </c>
      <c r="L805">
        <v>0</v>
      </c>
      <c r="M805">
        <v>0</v>
      </c>
      <c r="N805">
        <v>0</v>
      </c>
      <c r="O805" s="8" t="str">
        <f>formatIP(Table1[[#This Row],[Address A]])</f>
        <v>010.012.000.002</v>
      </c>
      <c r="P805" s="8" t="str">
        <f>formatIP(Table1[[#This Row],[Address B]])</f>
        <v>010.011.009.028</v>
      </c>
      <c r="Q805" s="8" t="str">
        <f>VLOOKUP(Table1[[#This Row],[Address A]],IP_Master[],4,FALSE)</f>
        <v>PPPCFC2</v>
      </c>
      <c r="R805" s="8" t="str">
        <f>VLOOKUP(Table1[[#This Row],[Address B]],IP_Master[],4,FALSE)</f>
        <v>EGX100</v>
      </c>
      <c r="S805" s="8" t="str">
        <f>VLOOKUP(Table1[[#This Row],[Address A]],IP_Master[],2,FALSE)</f>
        <v>Fume Control</v>
      </c>
      <c r="T805" s="8" t="str">
        <f>VLOOKUP(Table1[[#This Row],[Address B]],IP_Master[],2,FALSE)</f>
        <v>Miscellaneous</v>
      </c>
      <c r="U805" s="9" t="str">
        <f>VLOOKUP(Table1[[#This Row],[Address A]],IP_Master[],3,FALSE)</f>
        <v>iFIX Nodes &amp; Ethernet Switches</v>
      </c>
      <c r="V805" s="9" t="str">
        <f>VLOOKUP(Table1[[#This Row],[Address B]],IP_Master[],3,FALSE)</f>
        <v>iFIX Nodes &amp; Ethernet Switches</v>
      </c>
      <c r="W805" s="9" t="str">
        <f>VLOOKUP(Table1[[#This Row],[Port B]],traffic_types[],2,FALSE)</f>
        <v>Modbus</v>
      </c>
    </row>
    <row r="806" spans="1:23" x14ac:dyDescent="0.6">
      <c r="A806" t="s">
        <v>97</v>
      </c>
      <c r="B806">
        <v>2785</v>
      </c>
      <c r="C806" t="s">
        <v>87</v>
      </c>
      <c r="D806">
        <v>502</v>
      </c>
      <c r="E806">
        <v>1</v>
      </c>
      <c r="F806" s="13">
        <v>62</v>
      </c>
      <c r="G806">
        <v>1</v>
      </c>
      <c r="H806">
        <v>62</v>
      </c>
      <c r="I806">
        <v>0</v>
      </c>
      <c r="J806">
        <v>0</v>
      </c>
      <c r="K806">
        <v>632.24220100000002</v>
      </c>
      <c r="L806">
        <v>0</v>
      </c>
      <c r="M806">
        <v>0</v>
      </c>
      <c r="N806">
        <v>0</v>
      </c>
      <c r="O806" s="8" t="str">
        <f>formatIP(Table1[[#This Row],[Address A]])</f>
        <v>010.012.000.002</v>
      </c>
      <c r="P806" s="8" t="str">
        <f>formatIP(Table1[[#This Row],[Address B]])</f>
        <v>010.011.009.028</v>
      </c>
      <c r="Q806" s="8" t="str">
        <f>VLOOKUP(Table1[[#This Row],[Address A]],IP_Master[],4,FALSE)</f>
        <v>PPPCFC2</v>
      </c>
      <c r="R806" s="8" t="str">
        <f>VLOOKUP(Table1[[#This Row],[Address B]],IP_Master[],4,FALSE)</f>
        <v>EGX100</v>
      </c>
      <c r="S806" s="8" t="str">
        <f>VLOOKUP(Table1[[#This Row],[Address A]],IP_Master[],2,FALSE)</f>
        <v>Fume Control</v>
      </c>
      <c r="T806" s="8" t="str">
        <f>VLOOKUP(Table1[[#This Row],[Address B]],IP_Master[],2,FALSE)</f>
        <v>Miscellaneous</v>
      </c>
      <c r="U806" s="9" t="str">
        <f>VLOOKUP(Table1[[#This Row],[Address A]],IP_Master[],3,FALSE)</f>
        <v>iFIX Nodes &amp; Ethernet Switches</v>
      </c>
      <c r="V806" s="9" t="str">
        <f>VLOOKUP(Table1[[#This Row],[Address B]],IP_Master[],3,FALSE)</f>
        <v>iFIX Nodes &amp; Ethernet Switches</v>
      </c>
      <c r="W806" s="9" t="str">
        <f>VLOOKUP(Table1[[#This Row],[Port B]],traffic_types[],2,FALSE)</f>
        <v>Modbus</v>
      </c>
    </row>
    <row r="807" spans="1:23" x14ac:dyDescent="0.6">
      <c r="A807" t="s">
        <v>97</v>
      </c>
      <c r="B807">
        <v>2791</v>
      </c>
      <c r="C807" t="s">
        <v>87</v>
      </c>
      <c r="D807">
        <v>502</v>
      </c>
      <c r="E807">
        <v>2</v>
      </c>
      <c r="F807" s="13">
        <v>124</v>
      </c>
      <c r="G807">
        <v>2</v>
      </c>
      <c r="H807">
        <v>124</v>
      </c>
      <c r="I807">
        <v>0</v>
      </c>
      <c r="J807">
        <v>0</v>
      </c>
      <c r="K807">
        <v>658.873152</v>
      </c>
      <c r="L807">
        <v>2.8589580000000301</v>
      </c>
      <c r="M807">
        <v>346.97956388306102</v>
      </c>
      <c r="N807">
        <v>0</v>
      </c>
      <c r="O807" s="8" t="str">
        <f>formatIP(Table1[[#This Row],[Address A]])</f>
        <v>010.012.000.002</v>
      </c>
      <c r="P807" s="8" t="str">
        <f>formatIP(Table1[[#This Row],[Address B]])</f>
        <v>010.011.009.028</v>
      </c>
      <c r="Q807" s="8" t="str">
        <f>VLOOKUP(Table1[[#This Row],[Address A]],IP_Master[],4,FALSE)</f>
        <v>PPPCFC2</v>
      </c>
      <c r="R807" s="8" t="str">
        <f>VLOOKUP(Table1[[#This Row],[Address B]],IP_Master[],4,FALSE)</f>
        <v>EGX100</v>
      </c>
      <c r="S807" s="8" t="str">
        <f>VLOOKUP(Table1[[#This Row],[Address A]],IP_Master[],2,FALSE)</f>
        <v>Fume Control</v>
      </c>
      <c r="T807" s="8" t="str">
        <f>VLOOKUP(Table1[[#This Row],[Address B]],IP_Master[],2,FALSE)</f>
        <v>Miscellaneous</v>
      </c>
      <c r="U807" s="9" t="str">
        <f>VLOOKUP(Table1[[#This Row],[Address A]],IP_Master[],3,FALSE)</f>
        <v>iFIX Nodes &amp; Ethernet Switches</v>
      </c>
      <c r="V807" s="9" t="str">
        <f>VLOOKUP(Table1[[#This Row],[Address B]],IP_Master[],3,FALSE)</f>
        <v>iFIX Nodes &amp; Ethernet Switches</v>
      </c>
      <c r="W807" s="9" t="str">
        <f>VLOOKUP(Table1[[#This Row],[Port B]],traffic_types[],2,FALSE)</f>
        <v>Modbus</v>
      </c>
    </row>
    <row r="808" spans="1:23" x14ac:dyDescent="0.6">
      <c r="A808" t="s">
        <v>97</v>
      </c>
      <c r="B808">
        <v>2792</v>
      </c>
      <c r="C808" t="s">
        <v>87</v>
      </c>
      <c r="D808">
        <v>502</v>
      </c>
      <c r="E808">
        <v>2</v>
      </c>
      <c r="F808" s="13">
        <v>124</v>
      </c>
      <c r="G808">
        <v>2</v>
      </c>
      <c r="H808">
        <v>124</v>
      </c>
      <c r="I808">
        <v>0</v>
      </c>
      <c r="J808">
        <v>0</v>
      </c>
      <c r="K808">
        <v>660.03500099999997</v>
      </c>
      <c r="L808">
        <v>2.9040969999999802</v>
      </c>
      <c r="M808">
        <v>341.58638640513999</v>
      </c>
      <c r="N808">
        <v>0</v>
      </c>
      <c r="O808" s="8" t="str">
        <f>formatIP(Table1[[#This Row],[Address A]])</f>
        <v>010.012.000.002</v>
      </c>
      <c r="P808" s="8" t="str">
        <f>formatIP(Table1[[#This Row],[Address B]])</f>
        <v>010.011.009.028</v>
      </c>
      <c r="Q808" s="8" t="str">
        <f>VLOOKUP(Table1[[#This Row],[Address A]],IP_Master[],4,FALSE)</f>
        <v>PPPCFC2</v>
      </c>
      <c r="R808" s="8" t="str">
        <f>VLOOKUP(Table1[[#This Row],[Address B]],IP_Master[],4,FALSE)</f>
        <v>EGX100</v>
      </c>
      <c r="S808" s="8" t="str">
        <f>VLOOKUP(Table1[[#This Row],[Address A]],IP_Master[],2,FALSE)</f>
        <v>Fume Control</v>
      </c>
      <c r="T808" s="8" t="str">
        <f>VLOOKUP(Table1[[#This Row],[Address B]],IP_Master[],2,FALSE)</f>
        <v>Miscellaneous</v>
      </c>
      <c r="U808" s="9" t="str">
        <f>VLOOKUP(Table1[[#This Row],[Address A]],IP_Master[],3,FALSE)</f>
        <v>iFIX Nodes &amp; Ethernet Switches</v>
      </c>
      <c r="V808" s="9" t="str">
        <f>VLOOKUP(Table1[[#This Row],[Address B]],IP_Master[],3,FALSE)</f>
        <v>iFIX Nodes &amp; Ethernet Switches</v>
      </c>
      <c r="W808" s="9" t="str">
        <f>VLOOKUP(Table1[[#This Row],[Port B]],traffic_types[],2,FALSE)</f>
        <v>Modbus</v>
      </c>
    </row>
    <row r="809" spans="1:23" x14ac:dyDescent="0.6">
      <c r="A809" t="s">
        <v>97</v>
      </c>
      <c r="B809">
        <v>2793</v>
      </c>
      <c r="C809" t="s">
        <v>87</v>
      </c>
      <c r="D809">
        <v>502</v>
      </c>
      <c r="E809">
        <v>2</v>
      </c>
      <c r="F809" s="13">
        <v>124</v>
      </c>
      <c r="G809">
        <v>2</v>
      </c>
      <c r="H809">
        <v>124</v>
      </c>
      <c r="I809">
        <v>0</v>
      </c>
      <c r="J809">
        <v>0</v>
      </c>
      <c r="K809">
        <v>660.16679499999998</v>
      </c>
      <c r="L809">
        <v>2.87296200000003</v>
      </c>
      <c r="M809">
        <v>345.28824258726399</v>
      </c>
      <c r="N809">
        <v>0</v>
      </c>
      <c r="O809" s="8" t="str">
        <f>formatIP(Table1[[#This Row],[Address A]])</f>
        <v>010.012.000.002</v>
      </c>
      <c r="P809" s="8" t="str">
        <f>formatIP(Table1[[#This Row],[Address B]])</f>
        <v>010.011.009.028</v>
      </c>
      <c r="Q809" s="8" t="str">
        <f>VLOOKUP(Table1[[#This Row],[Address A]],IP_Master[],4,FALSE)</f>
        <v>PPPCFC2</v>
      </c>
      <c r="R809" s="8" t="str">
        <f>VLOOKUP(Table1[[#This Row],[Address B]],IP_Master[],4,FALSE)</f>
        <v>EGX100</v>
      </c>
      <c r="S809" s="8" t="str">
        <f>VLOOKUP(Table1[[#This Row],[Address A]],IP_Master[],2,FALSE)</f>
        <v>Fume Control</v>
      </c>
      <c r="T809" s="8" t="str">
        <f>VLOOKUP(Table1[[#This Row],[Address B]],IP_Master[],2,FALSE)</f>
        <v>Miscellaneous</v>
      </c>
      <c r="U809" s="9" t="str">
        <f>VLOOKUP(Table1[[#This Row],[Address A]],IP_Master[],3,FALSE)</f>
        <v>iFIX Nodes &amp; Ethernet Switches</v>
      </c>
      <c r="V809" s="9" t="str">
        <f>VLOOKUP(Table1[[#This Row],[Address B]],IP_Master[],3,FALSE)</f>
        <v>iFIX Nodes &amp; Ethernet Switches</v>
      </c>
      <c r="W809" s="9" t="str">
        <f>VLOOKUP(Table1[[#This Row],[Port B]],traffic_types[],2,FALSE)</f>
        <v>Modbus</v>
      </c>
    </row>
    <row r="810" spans="1:23" x14ac:dyDescent="0.6">
      <c r="A810" t="s">
        <v>97</v>
      </c>
      <c r="B810">
        <v>2794</v>
      </c>
      <c r="C810" t="s">
        <v>87</v>
      </c>
      <c r="D810">
        <v>502</v>
      </c>
      <c r="E810">
        <v>2</v>
      </c>
      <c r="F810" s="13">
        <v>124</v>
      </c>
      <c r="G810">
        <v>2</v>
      </c>
      <c r="H810">
        <v>124</v>
      </c>
      <c r="I810">
        <v>0</v>
      </c>
      <c r="J810">
        <v>0</v>
      </c>
      <c r="K810">
        <v>660.68578500000001</v>
      </c>
      <c r="L810">
        <v>2.9575989999999601</v>
      </c>
      <c r="M810">
        <v>335.40720023235502</v>
      </c>
      <c r="N810">
        <v>0</v>
      </c>
      <c r="O810" s="8" t="str">
        <f>formatIP(Table1[[#This Row],[Address A]])</f>
        <v>010.012.000.002</v>
      </c>
      <c r="P810" s="8" t="str">
        <f>formatIP(Table1[[#This Row],[Address B]])</f>
        <v>010.011.009.028</v>
      </c>
      <c r="Q810" s="8" t="str">
        <f>VLOOKUP(Table1[[#This Row],[Address A]],IP_Master[],4,FALSE)</f>
        <v>PPPCFC2</v>
      </c>
      <c r="R810" s="8" t="str">
        <f>VLOOKUP(Table1[[#This Row],[Address B]],IP_Master[],4,FALSE)</f>
        <v>EGX100</v>
      </c>
      <c r="S810" s="8" t="str">
        <f>VLOOKUP(Table1[[#This Row],[Address A]],IP_Master[],2,FALSE)</f>
        <v>Fume Control</v>
      </c>
      <c r="T810" s="8" t="str">
        <f>VLOOKUP(Table1[[#This Row],[Address B]],IP_Master[],2,FALSE)</f>
        <v>Miscellaneous</v>
      </c>
      <c r="U810" s="9" t="str">
        <f>VLOOKUP(Table1[[#This Row],[Address A]],IP_Master[],3,FALSE)</f>
        <v>iFIX Nodes &amp; Ethernet Switches</v>
      </c>
      <c r="V810" s="9" t="str">
        <f>VLOOKUP(Table1[[#This Row],[Address B]],IP_Master[],3,FALSE)</f>
        <v>iFIX Nodes &amp; Ethernet Switches</v>
      </c>
      <c r="W810" s="9" t="str">
        <f>VLOOKUP(Table1[[#This Row],[Port B]],traffic_types[],2,FALSE)</f>
        <v>Modbus</v>
      </c>
    </row>
    <row r="811" spans="1:23" x14ac:dyDescent="0.6">
      <c r="A811" t="s">
        <v>97</v>
      </c>
      <c r="B811">
        <v>2795</v>
      </c>
      <c r="C811" t="s">
        <v>87</v>
      </c>
      <c r="D811">
        <v>502</v>
      </c>
      <c r="E811">
        <v>1</v>
      </c>
      <c r="F811" s="13">
        <v>62</v>
      </c>
      <c r="G811">
        <v>1</v>
      </c>
      <c r="H811">
        <v>62</v>
      </c>
      <c r="I811">
        <v>0</v>
      </c>
      <c r="J811">
        <v>0</v>
      </c>
      <c r="K811">
        <v>661.88288499999999</v>
      </c>
      <c r="L811">
        <v>0</v>
      </c>
      <c r="M811">
        <v>0</v>
      </c>
      <c r="N811">
        <v>0</v>
      </c>
      <c r="O811" s="8" t="str">
        <f>formatIP(Table1[[#This Row],[Address A]])</f>
        <v>010.012.000.002</v>
      </c>
      <c r="P811" s="8" t="str">
        <f>formatIP(Table1[[#This Row],[Address B]])</f>
        <v>010.011.009.028</v>
      </c>
      <c r="Q811" s="8" t="str">
        <f>VLOOKUP(Table1[[#This Row],[Address A]],IP_Master[],4,FALSE)</f>
        <v>PPPCFC2</v>
      </c>
      <c r="R811" s="8" t="str">
        <f>VLOOKUP(Table1[[#This Row],[Address B]],IP_Master[],4,FALSE)</f>
        <v>EGX100</v>
      </c>
      <c r="S811" s="8" t="str">
        <f>VLOOKUP(Table1[[#This Row],[Address A]],IP_Master[],2,FALSE)</f>
        <v>Fume Control</v>
      </c>
      <c r="T811" s="8" t="str">
        <f>VLOOKUP(Table1[[#This Row],[Address B]],IP_Master[],2,FALSE)</f>
        <v>Miscellaneous</v>
      </c>
      <c r="U811" s="9" t="str">
        <f>VLOOKUP(Table1[[#This Row],[Address A]],IP_Master[],3,FALSE)</f>
        <v>iFIX Nodes &amp; Ethernet Switches</v>
      </c>
      <c r="V811" s="9" t="str">
        <f>VLOOKUP(Table1[[#This Row],[Address B]],IP_Master[],3,FALSE)</f>
        <v>iFIX Nodes &amp; Ethernet Switches</v>
      </c>
      <c r="W811" s="9" t="str">
        <f>VLOOKUP(Table1[[#This Row],[Port B]],traffic_types[],2,FALSE)</f>
        <v>Modbus</v>
      </c>
    </row>
    <row r="812" spans="1:23" x14ac:dyDescent="0.6">
      <c r="A812" t="s">
        <v>97</v>
      </c>
      <c r="B812">
        <v>2796</v>
      </c>
      <c r="C812" t="s">
        <v>87</v>
      </c>
      <c r="D812">
        <v>502</v>
      </c>
      <c r="E812">
        <v>1</v>
      </c>
      <c r="F812" s="13">
        <v>62</v>
      </c>
      <c r="G812">
        <v>1</v>
      </c>
      <c r="H812">
        <v>62</v>
      </c>
      <c r="I812">
        <v>0</v>
      </c>
      <c r="J812">
        <v>0</v>
      </c>
      <c r="K812">
        <v>662.24972200000002</v>
      </c>
      <c r="L812">
        <v>0</v>
      </c>
      <c r="M812">
        <v>0</v>
      </c>
      <c r="N812">
        <v>0</v>
      </c>
      <c r="O812" s="8" t="str">
        <f>formatIP(Table1[[#This Row],[Address A]])</f>
        <v>010.012.000.002</v>
      </c>
      <c r="P812" s="8" t="str">
        <f>formatIP(Table1[[#This Row],[Address B]])</f>
        <v>010.011.009.028</v>
      </c>
      <c r="Q812" s="8" t="str">
        <f>VLOOKUP(Table1[[#This Row],[Address A]],IP_Master[],4,FALSE)</f>
        <v>PPPCFC2</v>
      </c>
      <c r="R812" s="8" t="str">
        <f>VLOOKUP(Table1[[#This Row],[Address B]],IP_Master[],4,FALSE)</f>
        <v>EGX100</v>
      </c>
      <c r="S812" s="8" t="str">
        <f>VLOOKUP(Table1[[#This Row],[Address A]],IP_Master[],2,FALSE)</f>
        <v>Fume Control</v>
      </c>
      <c r="T812" s="8" t="str">
        <f>VLOOKUP(Table1[[#This Row],[Address B]],IP_Master[],2,FALSE)</f>
        <v>Miscellaneous</v>
      </c>
      <c r="U812" s="9" t="str">
        <f>VLOOKUP(Table1[[#This Row],[Address A]],IP_Master[],3,FALSE)</f>
        <v>iFIX Nodes &amp; Ethernet Switches</v>
      </c>
      <c r="V812" s="9" t="str">
        <f>VLOOKUP(Table1[[#This Row],[Address B]],IP_Master[],3,FALSE)</f>
        <v>iFIX Nodes &amp; Ethernet Switches</v>
      </c>
      <c r="W812" s="9" t="str">
        <f>VLOOKUP(Table1[[#This Row],[Port B]],traffic_types[],2,FALSE)</f>
        <v>Modbus</v>
      </c>
    </row>
    <row r="813" spans="1:23" x14ac:dyDescent="0.6">
      <c r="A813" t="s">
        <v>97</v>
      </c>
      <c r="B813">
        <v>2797</v>
      </c>
      <c r="C813" t="s">
        <v>87</v>
      </c>
      <c r="D813">
        <v>502</v>
      </c>
      <c r="E813">
        <v>1</v>
      </c>
      <c r="F813" s="13">
        <v>62</v>
      </c>
      <c r="G813">
        <v>1</v>
      </c>
      <c r="H813">
        <v>62</v>
      </c>
      <c r="I813">
        <v>0</v>
      </c>
      <c r="J813">
        <v>0</v>
      </c>
      <c r="K813">
        <v>663.03921800000001</v>
      </c>
      <c r="L813">
        <v>0</v>
      </c>
      <c r="M813">
        <v>0</v>
      </c>
      <c r="N813">
        <v>0</v>
      </c>
      <c r="O813" s="8" t="str">
        <f>formatIP(Table1[[#This Row],[Address A]])</f>
        <v>010.012.000.002</v>
      </c>
      <c r="P813" s="8" t="str">
        <f>formatIP(Table1[[#This Row],[Address B]])</f>
        <v>010.011.009.028</v>
      </c>
      <c r="Q813" s="8" t="str">
        <f>VLOOKUP(Table1[[#This Row],[Address A]],IP_Master[],4,FALSE)</f>
        <v>PPPCFC2</v>
      </c>
      <c r="R813" s="8" t="str">
        <f>VLOOKUP(Table1[[#This Row],[Address B]],IP_Master[],4,FALSE)</f>
        <v>EGX100</v>
      </c>
      <c r="S813" s="8" t="str">
        <f>VLOOKUP(Table1[[#This Row],[Address A]],IP_Master[],2,FALSE)</f>
        <v>Fume Control</v>
      </c>
      <c r="T813" s="8" t="str">
        <f>VLOOKUP(Table1[[#This Row],[Address B]],IP_Master[],2,FALSE)</f>
        <v>Miscellaneous</v>
      </c>
      <c r="U813" s="9" t="str">
        <f>VLOOKUP(Table1[[#This Row],[Address A]],IP_Master[],3,FALSE)</f>
        <v>iFIX Nodes &amp; Ethernet Switches</v>
      </c>
      <c r="V813" s="9" t="str">
        <f>VLOOKUP(Table1[[#This Row],[Address B]],IP_Master[],3,FALSE)</f>
        <v>iFIX Nodes &amp; Ethernet Switches</v>
      </c>
      <c r="W813" s="9" t="str">
        <f>VLOOKUP(Table1[[#This Row],[Port B]],traffic_types[],2,FALSE)</f>
        <v>Modbus</v>
      </c>
    </row>
    <row r="814" spans="1:23" x14ac:dyDescent="0.6">
      <c r="A814" t="s">
        <v>97</v>
      </c>
      <c r="B814">
        <v>2798</v>
      </c>
      <c r="C814" t="s">
        <v>87</v>
      </c>
      <c r="D814">
        <v>502</v>
      </c>
      <c r="E814">
        <v>1</v>
      </c>
      <c r="F814" s="13">
        <v>62</v>
      </c>
      <c r="G814">
        <v>1</v>
      </c>
      <c r="H814">
        <v>62</v>
      </c>
      <c r="I814">
        <v>0</v>
      </c>
      <c r="J814">
        <v>0</v>
      </c>
      <c r="K814">
        <v>663.18005600000004</v>
      </c>
      <c r="L814">
        <v>0</v>
      </c>
      <c r="M814">
        <v>0</v>
      </c>
      <c r="N814">
        <v>0</v>
      </c>
      <c r="O814" s="8" t="str">
        <f>formatIP(Table1[[#This Row],[Address A]])</f>
        <v>010.012.000.002</v>
      </c>
      <c r="P814" s="8" t="str">
        <f>formatIP(Table1[[#This Row],[Address B]])</f>
        <v>010.011.009.028</v>
      </c>
      <c r="Q814" s="8" t="str">
        <f>VLOOKUP(Table1[[#This Row],[Address A]],IP_Master[],4,FALSE)</f>
        <v>PPPCFC2</v>
      </c>
      <c r="R814" s="8" t="str">
        <f>VLOOKUP(Table1[[#This Row],[Address B]],IP_Master[],4,FALSE)</f>
        <v>EGX100</v>
      </c>
      <c r="S814" s="8" t="str">
        <f>VLOOKUP(Table1[[#This Row],[Address A]],IP_Master[],2,FALSE)</f>
        <v>Fume Control</v>
      </c>
      <c r="T814" s="8" t="str">
        <f>VLOOKUP(Table1[[#This Row],[Address B]],IP_Master[],2,FALSE)</f>
        <v>Miscellaneous</v>
      </c>
      <c r="U814" s="9" t="str">
        <f>VLOOKUP(Table1[[#This Row],[Address A]],IP_Master[],3,FALSE)</f>
        <v>iFIX Nodes &amp; Ethernet Switches</v>
      </c>
      <c r="V814" s="9" t="str">
        <f>VLOOKUP(Table1[[#This Row],[Address B]],IP_Master[],3,FALSE)</f>
        <v>iFIX Nodes &amp; Ethernet Switches</v>
      </c>
      <c r="W814" s="9" t="str">
        <f>VLOOKUP(Table1[[#This Row],[Port B]],traffic_types[],2,FALSE)</f>
        <v>Modbus</v>
      </c>
    </row>
    <row r="815" spans="1:23" x14ac:dyDescent="0.6">
      <c r="A815" t="s">
        <v>97</v>
      </c>
      <c r="B815">
        <v>2799</v>
      </c>
      <c r="C815" t="s">
        <v>87</v>
      </c>
      <c r="D815">
        <v>502</v>
      </c>
      <c r="E815">
        <v>1</v>
      </c>
      <c r="F815" s="13">
        <v>62</v>
      </c>
      <c r="G815">
        <v>1</v>
      </c>
      <c r="H815">
        <v>62</v>
      </c>
      <c r="I815">
        <v>0</v>
      </c>
      <c r="J815">
        <v>0</v>
      </c>
      <c r="K815">
        <v>663.69554100000005</v>
      </c>
      <c r="L815">
        <v>0</v>
      </c>
      <c r="M815">
        <v>0</v>
      </c>
      <c r="N815">
        <v>0</v>
      </c>
      <c r="O815" s="8" t="str">
        <f>formatIP(Table1[[#This Row],[Address A]])</f>
        <v>010.012.000.002</v>
      </c>
      <c r="P815" s="8" t="str">
        <f>formatIP(Table1[[#This Row],[Address B]])</f>
        <v>010.011.009.028</v>
      </c>
      <c r="Q815" s="8" t="str">
        <f>VLOOKUP(Table1[[#This Row],[Address A]],IP_Master[],4,FALSE)</f>
        <v>PPPCFC2</v>
      </c>
      <c r="R815" s="8" t="str">
        <f>VLOOKUP(Table1[[#This Row],[Address B]],IP_Master[],4,FALSE)</f>
        <v>EGX100</v>
      </c>
      <c r="S815" s="8" t="str">
        <f>VLOOKUP(Table1[[#This Row],[Address A]],IP_Master[],2,FALSE)</f>
        <v>Fume Control</v>
      </c>
      <c r="T815" s="8" t="str">
        <f>VLOOKUP(Table1[[#This Row],[Address B]],IP_Master[],2,FALSE)</f>
        <v>Miscellaneous</v>
      </c>
      <c r="U815" s="9" t="str">
        <f>VLOOKUP(Table1[[#This Row],[Address A]],IP_Master[],3,FALSE)</f>
        <v>iFIX Nodes &amp; Ethernet Switches</v>
      </c>
      <c r="V815" s="9" t="str">
        <f>VLOOKUP(Table1[[#This Row],[Address B]],IP_Master[],3,FALSE)</f>
        <v>iFIX Nodes &amp; Ethernet Switches</v>
      </c>
      <c r="W815" s="9" t="str">
        <f>VLOOKUP(Table1[[#This Row],[Port B]],traffic_types[],2,FALSE)</f>
        <v>Modbus</v>
      </c>
    </row>
    <row r="816" spans="1:23" x14ac:dyDescent="0.6">
      <c r="A816" t="s">
        <v>97</v>
      </c>
      <c r="B816">
        <v>2800</v>
      </c>
      <c r="C816" t="s">
        <v>87</v>
      </c>
      <c r="D816">
        <v>502</v>
      </c>
      <c r="E816">
        <v>1</v>
      </c>
      <c r="F816" s="13">
        <v>62</v>
      </c>
      <c r="G816">
        <v>1</v>
      </c>
      <c r="H816">
        <v>62</v>
      </c>
      <c r="I816">
        <v>0</v>
      </c>
      <c r="J816">
        <v>0</v>
      </c>
      <c r="K816">
        <v>665.25807099999997</v>
      </c>
      <c r="L816">
        <v>0</v>
      </c>
      <c r="M816">
        <v>0</v>
      </c>
      <c r="N816">
        <v>0</v>
      </c>
      <c r="O816" s="8" t="str">
        <f>formatIP(Table1[[#This Row],[Address A]])</f>
        <v>010.012.000.002</v>
      </c>
      <c r="P816" s="8" t="str">
        <f>formatIP(Table1[[#This Row],[Address B]])</f>
        <v>010.011.009.028</v>
      </c>
      <c r="Q816" s="8" t="str">
        <f>VLOOKUP(Table1[[#This Row],[Address A]],IP_Master[],4,FALSE)</f>
        <v>PPPCFC2</v>
      </c>
      <c r="R816" s="8" t="str">
        <f>VLOOKUP(Table1[[#This Row],[Address B]],IP_Master[],4,FALSE)</f>
        <v>EGX100</v>
      </c>
      <c r="S816" s="8" t="str">
        <f>VLOOKUP(Table1[[#This Row],[Address A]],IP_Master[],2,FALSE)</f>
        <v>Fume Control</v>
      </c>
      <c r="T816" s="8" t="str">
        <f>VLOOKUP(Table1[[#This Row],[Address B]],IP_Master[],2,FALSE)</f>
        <v>Miscellaneous</v>
      </c>
      <c r="U816" s="9" t="str">
        <f>VLOOKUP(Table1[[#This Row],[Address A]],IP_Master[],3,FALSE)</f>
        <v>iFIX Nodes &amp; Ethernet Switches</v>
      </c>
      <c r="V816" s="9" t="str">
        <f>VLOOKUP(Table1[[#This Row],[Address B]],IP_Master[],3,FALSE)</f>
        <v>iFIX Nodes &amp; Ethernet Switches</v>
      </c>
      <c r="W816" s="9" t="str">
        <f>VLOOKUP(Table1[[#This Row],[Port B]],traffic_types[],2,FALSE)</f>
        <v>Modbus</v>
      </c>
    </row>
    <row r="817" spans="1:23" x14ac:dyDescent="0.6">
      <c r="A817" t="s">
        <v>97</v>
      </c>
      <c r="B817">
        <v>2806</v>
      </c>
      <c r="C817" t="s">
        <v>87</v>
      </c>
      <c r="D817">
        <v>502</v>
      </c>
      <c r="E817">
        <v>2</v>
      </c>
      <c r="F817" s="13">
        <v>124</v>
      </c>
      <c r="G817">
        <v>2</v>
      </c>
      <c r="H817">
        <v>124</v>
      </c>
      <c r="I817">
        <v>0</v>
      </c>
      <c r="J817">
        <v>0</v>
      </c>
      <c r="K817">
        <v>691.89272100000005</v>
      </c>
      <c r="L817">
        <v>2.8316889999999799</v>
      </c>
      <c r="M817">
        <v>350.32095685649301</v>
      </c>
      <c r="N817">
        <v>0</v>
      </c>
      <c r="O817" s="8" t="str">
        <f>formatIP(Table1[[#This Row],[Address A]])</f>
        <v>010.012.000.002</v>
      </c>
      <c r="P817" s="8" t="str">
        <f>formatIP(Table1[[#This Row],[Address B]])</f>
        <v>010.011.009.028</v>
      </c>
      <c r="Q817" s="8" t="str">
        <f>VLOOKUP(Table1[[#This Row],[Address A]],IP_Master[],4,FALSE)</f>
        <v>PPPCFC2</v>
      </c>
      <c r="R817" s="8" t="str">
        <f>VLOOKUP(Table1[[#This Row],[Address B]],IP_Master[],4,FALSE)</f>
        <v>EGX100</v>
      </c>
      <c r="S817" s="8" t="str">
        <f>VLOOKUP(Table1[[#This Row],[Address A]],IP_Master[],2,FALSE)</f>
        <v>Fume Control</v>
      </c>
      <c r="T817" s="8" t="str">
        <f>VLOOKUP(Table1[[#This Row],[Address B]],IP_Master[],2,FALSE)</f>
        <v>Miscellaneous</v>
      </c>
      <c r="U817" s="9" t="str">
        <f>VLOOKUP(Table1[[#This Row],[Address A]],IP_Master[],3,FALSE)</f>
        <v>iFIX Nodes &amp; Ethernet Switches</v>
      </c>
      <c r="V817" s="9" t="str">
        <f>VLOOKUP(Table1[[#This Row],[Address B]],IP_Master[],3,FALSE)</f>
        <v>iFIX Nodes &amp; Ethernet Switches</v>
      </c>
      <c r="W817" s="9" t="str">
        <f>VLOOKUP(Table1[[#This Row],[Port B]],traffic_types[],2,FALSE)</f>
        <v>Modbus</v>
      </c>
    </row>
    <row r="818" spans="1:23" x14ac:dyDescent="0.6">
      <c r="A818" t="s">
        <v>97</v>
      </c>
      <c r="B818">
        <v>2807</v>
      </c>
      <c r="C818" t="s">
        <v>87</v>
      </c>
      <c r="D818">
        <v>502</v>
      </c>
      <c r="E818">
        <v>2</v>
      </c>
      <c r="F818" s="13">
        <v>124</v>
      </c>
      <c r="G818">
        <v>2</v>
      </c>
      <c r="H818">
        <v>124</v>
      </c>
      <c r="I818">
        <v>0</v>
      </c>
      <c r="J818">
        <v>0</v>
      </c>
      <c r="K818">
        <v>693.047999</v>
      </c>
      <c r="L818">
        <v>2.8834769999999699</v>
      </c>
      <c r="M818">
        <v>344.02910097774702</v>
      </c>
      <c r="N818">
        <v>0</v>
      </c>
      <c r="O818" s="8" t="str">
        <f>formatIP(Table1[[#This Row],[Address A]])</f>
        <v>010.012.000.002</v>
      </c>
      <c r="P818" s="8" t="str">
        <f>formatIP(Table1[[#This Row],[Address B]])</f>
        <v>010.011.009.028</v>
      </c>
      <c r="Q818" s="8" t="str">
        <f>VLOOKUP(Table1[[#This Row],[Address A]],IP_Master[],4,FALSE)</f>
        <v>PPPCFC2</v>
      </c>
      <c r="R818" s="8" t="str">
        <f>VLOOKUP(Table1[[#This Row],[Address B]],IP_Master[],4,FALSE)</f>
        <v>EGX100</v>
      </c>
      <c r="S818" s="8" t="str">
        <f>VLOOKUP(Table1[[#This Row],[Address A]],IP_Master[],2,FALSE)</f>
        <v>Fume Control</v>
      </c>
      <c r="T818" s="8" t="str">
        <f>VLOOKUP(Table1[[#This Row],[Address B]],IP_Master[],2,FALSE)</f>
        <v>Miscellaneous</v>
      </c>
      <c r="U818" s="9" t="str">
        <f>VLOOKUP(Table1[[#This Row],[Address A]],IP_Master[],3,FALSE)</f>
        <v>iFIX Nodes &amp; Ethernet Switches</v>
      </c>
      <c r="V818" s="9" t="str">
        <f>VLOOKUP(Table1[[#This Row],[Address B]],IP_Master[],3,FALSE)</f>
        <v>iFIX Nodes &amp; Ethernet Switches</v>
      </c>
      <c r="W818" s="9" t="str">
        <f>VLOOKUP(Table1[[#This Row],[Port B]],traffic_types[],2,FALSE)</f>
        <v>Modbus</v>
      </c>
    </row>
    <row r="819" spans="1:23" x14ac:dyDescent="0.6">
      <c r="A819" t="s">
        <v>97</v>
      </c>
      <c r="B819">
        <v>2808</v>
      </c>
      <c r="C819" t="s">
        <v>87</v>
      </c>
      <c r="D819">
        <v>502</v>
      </c>
      <c r="E819">
        <v>2</v>
      </c>
      <c r="F819" s="13">
        <v>124</v>
      </c>
      <c r="G819">
        <v>2</v>
      </c>
      <c r="H819">
        <v>124</v>
      </c>
      <c r="I819">
        <v>0</v>
      </c>
      <c r="J819">
        <v>0</v>
      </c>
      <c r="K819">
        <v>693.18957499999999</v>
      </c>
      <c r="L819">
        <v>2.8425799999999999</v>
      </c>
      <c r="M819">
        <v>348.97874466154002</v>
      </c>
      <c r="N819">
        <v>0</v>
      </c>
      <c r="O819" s="8" t="str">
        <f>formatIP(Table1[[#This Row],[Address A]])</f>
        <v>010.012.000.002</v>
      </c>
      <c r="P819" s="8" t="str">
        <f>formatIP(Table1[[#This Row],[Address B]])</f>
        <v>010.011.009.028</v>
      </c>
      <c r="Q819" s="8" t="str">
        <f>VLOOKUP(Table1[[#This Row],[Address A]],IP_Master[],4,FALSE)</f>
        <v>PPPCFC2</v>
      </c>
      <c r="R819" s="8" t="str">
        <f>VLOOKUP(Table1[[#This Row],[Address B]],IP_Master[],4,FALSE)</f>
        <v>EGX100</v>
      </c>
      <c r="S819" s="8" t="str">
        <f>VLOOKUP(Table1[[#This Row],[Address A]],IP_Master[],2,FALSE)</f>
        <v>Fume Control</v>
      </c>
      <c r="T819" s="8" t="str">
        <f>VLOOKUP(Table1[[#This Row],[Address B]],IP_Master[],2,FALSE)</f>
        <v>Miscellaneous</v>
      </c>
      <c r="U819" s="9" t="str">
        <f>VLOOKUP(Table1[[#This Row],[Address A]],IP_Master[],3,FALSE)</f>
        <v>iFIX Nodes &amp; Ethernet Switches</v>
      </c>
      <c r="V819" s="9" t="str">
        <f>VLOOKUP(Table1[[#This Row],[Address B]],IP_Master[],3,FALSE)</f>
        <v>iFIX Nodes &amp; Ethernet Switches</v>
      </c>
      <c r="W819" s="9" t="str">
        <f>VLOOKUP(Table1[[#This Row],[Port B]],traffic_types[],2,FALSE)</f>
        <v>Modbus</v>
      </c>
    </row>
    <row r="820" spans="1:23" x14ac:dyDescent="0.6">
      <c r="A820" t="s">
        <v>97</v>
      </c>
      <c r="B820">
        <v>2809</v>
      </c>
      <c r="C820" t="s">
        <v>87</v>
      </c>
      <c r="D820">
        <v>502</v>
      </c>
      <c r="E820">
        <v>2</v>
      </c>
      <c r="F820" s="13">
        <v>124</v>
      </c>
      <c r="G820">
        <v>2</v>
      </c>
      <c r="H820">
        <v>124</v>
      </c>
      <c r="I820">
        <v>0</v>
      </c>
      <c r="J820">
        <v>0</v>
      </c>
      <c r="K820">
        <v>693.69919200000004</v>
      </c>
      <c r="L820">
        <v>2.8358379999999701</v>
      </c>
      <c r="M820">
        <v>349.80841641871302</v>
      </c>
      <c r="N820">
        <v>0</v>
      </c>
      <c r="O820" s="8" t="str">
        <f>formatIP(Table1[[#This Row],[Address A]])</f>
        <v>010.012.000.002</v>
      </c>
      <c r="P820" s="8" t="str">
        <f>formatIP(Table1[[#This Row],[Address B]])</f>
        <v>010.011.009.028</v>
      </c>
      <c r="Q820" s="8" t="str">
        <f>VLOOKUP(Table1[[#This Row],[Address A]],IP_Master[],4,FALSE)</f>
        <v>PPPCFC2</v>
      </c>
      <c r="R820" s="8" t="str">
        <f>VLOOKUP(Table1[[#This Row],[Address B]],IP_Master[],4,FALSE)</f>
        <v>EGX100</v>
      </c>
      <c r="S820" s="8" t="str">
        <f>VLOOKUP(Table1[[#This Row],[Address A]],IP_Master[],2,FALSE)</f>
        <v>Fume Control</v>
      </c>
      <c r="T820" s="8" t="str">
        <f>VLOOKUP(Table1[[#This Row],[Address B]],IP_Master[],2,FALSE)</f>
        <v>Miscellaneous</v>
      </c>
      <c r="U820" s="9" t="str">
        <f>VLOOKUP(Table1[[#This Row],[Address A]],IP_Master[],3,FALSE)</f>
        <v>iFIX Nodes &amp; Ethernet Switches</v>
      </c>
      <c r="V820" s="9" t="str">
        <f>VLOOKUP(Table1[[#This Row],[Address B]],IP_Master[],3,FALSE)</f>
        <v>iFIX Nodes &amp; Ethernet Switches</v>
      </c>
      <c r="W820" s="9" t="str">
        <f>VLOOKUP(Table1[[#This Row],[Port B]],traffic_types[],2,FALSE)</f>
        <v>Modbus</v>
      </c>
    </row>
    <row r="821" spans="1:23" x14ac:dyDescent="0.6">
      <c r="A821" t="s">
        <v>97</v>
      </c>
      <c r="B821">
        <v>2810</v>
      </c>
      <c r="C821" t="s">
        <v>87</v>
      </c>
      <c r="D821">
        <v>502</v>
      </c>
      <c r="E821">
        <v>1</v>
      </c>
      <c r="F821" s="13">
        <v>62</v>
      </c>
      <c r="G821">
        <v>1</v>
      </c>
      <c r="H821">
        <v>62</v>
      </c>
      <c r="I821">
        <v>0</v>
      </c>
      <c r="J821">
        <v>0</v>
      </c>
      <c r="K821">
        <v>694.89867200000003</v>
      </c>
      <c r="L821">
        <v>0</v>
      </c>
      <c r="M821">
        <v>0</v>
      </c>
      <c r="N821">
        <v>0</v>
      </c>
      <c r="O821" s="8" t="str">
        <f>formatIP(Table1[[#This Row],[Address A]])</f>
        <v>010.012.000.002</v>
      </c>
      <c r="P821" s="8" t="str">
        <f>formatIP(Table1[[#This Row],[Address B]])</f>
        <v>010.011.009.028</v>
      </c>
      <c r="Q821" s="8" t="str">
        <f>VLOOKUP(Table1[[#This Row],[Address A]],IP_Master[],4,FALSE)</f>
        <v>PPPCFC2</v>
      </c>
      <c r="R821" s="8" t="str">
        <f>VLOOKUP(Table1[[#This Row],[Address B]],IP_Master[],4,FALSE)</f>
        <v>EGX100</v>
      </c>
      <c r="S821" s="8" t="str">
        <f>VLOOKUP(Table1[[#This Row],[Address A]],IP_Master[],2,FALSE)</f>
        <v>Fume Control</v>
      </c>
      <c r="T821" s="8" t="str">
        <f>VLOOKUP(Table1[[#This Row],[Address B]],IP_Master[],2,FALSE)</f>
        <v>Miscellaneous</v>
      </c>
      <c r="U821" s="9" t="str">
        <f>VLOOKUP(Table1[[#This Row],[Address A]],IP_Master[],3,FALSE)</f>
        <v>iFIX Nodes &amp; Ethernet Switches</v>
      </c>
      <c r="V821" s="9" t="str">
        <f>VLOOKUP(Table1[[#This Row],[Address B]],IP_Master[],3,FALSE)</f>
        <v>iFIX Nodes &amp; Ethernet Switches</v>
      </c>
      <c r="W821" s="9" t="str">
        <f>VLOOKUP(Table1[[#This Row],[Port B]],traffic_types[],2,FALSE)</f>
        <v>Modbus</v>
      </c>
    </row>
    <row r="822" spans="1:23" x14ac:dyDescent="0.6">
      <c r="A822" t="s">
        <v>97</v>
      </c>
      <c r="B822">
        <v>2811</v>
      </c>
      <c r="C822" t="s">
        <v>87</v>
      </c>
      <c r="D822">
        <v>502</v>
      </c>
      <c r="E822">
        <v>2</v>
      </c>
      <c r="F822" s="13">
        <v>124</v>
      </c>
      <c r="G822">
        <v>2</v>
      </c>
      <c r="H822">
        <v>124</v>
      </c>
      <c r="I822">
        <v>0</v>
      </c>
      <c r="J822">
        <v>0</v>
      </c>
      <c r="K822">
        <v>695.26550599999996</v>
      </c>
      <c r="L822">
        <v>2.9794810000000802</v>
      </c>
      <c r="M822">
        <v>332.94389190599799</v>
      </c>
      <c r="N822">
        <v>0</v>
      </c>
      <c r="O822" s="8" t="str">
        <f>formatIP(Table1[[#This Row],[Address A]])</f>
        <v>010.012.000.002</v>
      </c>
      <c r="P822" s="8" t="str">
        <f>formatIP(Table1[[#This Row],[Address B]])</f>
        <v>010.011.009.028</v>
      </c>
      <c r="Q822" s="8" t="str">
        <f>VLOOKUP(Table1[[#This Row],[Address A]],IP_Master[],4,FALSE)</f>
        <v>PPPCFC2</v>
      </c>
      <c r="R822" s="8" t="str">
        <f>VLOOKUP(Table1[[#This Row],[Address B]],IP_Master[],4,FALSE)</f>
        <v>EGX100</v>
      </c>
      <c r="S822" s="8" t="str">
        <f>VLOOKUP(Table1[[#This Row],[Address A]],IP_Master[],2,FALSE)</f>
        <v>Fume Control</v>
      </c>
      <c r="T822" s="8" t="str">
        <f>VLOOKUP(Table1[[#This Row],[Address B]],IP_Master[],2,FALSE)</f>
        <v>Miscellaneous</v>
      </c>
      <c r="U822" s="9" t="str">
        <f>VLOOKUP(Table1[[#This Row],[Address A]],IP_Master[],3,FALSE)</f>
        <v>iFIX Nodes &amp; Ethernet Switches</v>
      </c>
      <c r="V822" s="9" t="str">
        <f>VLOOKUP(Table1[[#This Row],[Address B]],IP_Master[],3,FALSE)</f>
        <v>iFIX Nodes &amp; Ethernet Switches</v>
      </c>
      <c r="W822" s="9" t="str">
        <f>VLOOKUP(Table1[[#This Row],[Port B]],traffic_types[],2,FALSE)</f>
        <v>Modbus</v>
      </c>
    </row>
    <row r="823" spans="1:23" x14ac:dyDescent="0.6">
      <c r="A823" t="s">
        <v>97</v>
      </c>
      <c r="B823">
        <v>2812</v>
      </c>
      <c r="C823" t="s">
        <v>87</v>
      </c>
      <c r="D823">
        <v>502</v>
      </c>
      <c r="E823">
        <v>1</v>
      </c>
      <c r="F823" s="13">
        <v>62</v>
      </c>
      <c r="G823">
        <v>1</v>
      </c>
      <c r="H823">
        <v>62</v>
      </c>
      <c r="I823">
        <v>0</v>
      </c>
      <c r="J823">
        <v>0</v>
      </c>
      <c r="K823">
        <v>696.05499399999997</v>
      </c>
      <c r="L823">
        <v>0</v>
      </c>
      <c r="M823">
        <v>0</v>
      </c>
      <c r="N823">
        <v>0</v>
      </c>
      <c r="O823" s="8" t="str">
        <f>formatIP(Table1[[#This Row],[Address A]])</f>
        <v>010.012.000.002</v>
      </c>
      <c r="P823" s="8" t="str">
        <f>formatIP(Table1[[#This Row],[Address B]])</f>
        <v>010.011.009.028</v>
      </c>
      <c r="Q823" s="8" t="str">
        <f>VLOOKUP(Table1[[#This Row],[Address A]],IP_Master[],4,FALSE)</f>
        <v>PPPCFC2</v>
      </c>
      <c r="R823" s="8" t="str">
        <f>VLOOKUP(Table1[[#This Row],[Address B]],IP_Master[],4,FALSE)</f>
        <v>EGX100</v>
      </c>
      <c r="S823" s="8" t="str">
        <f>VLOOKUP(Table1[[#This Row],[Address A]],IP_Master[],2,FALSE)</f>
        <v>Fume Control</v>
      </c>
      <c r="T823" s="8" t="str">
        <f>VLOOKUP(Table1[[#This Row],[Address B]],IP_Master[],2,FALSE)</f>
        <v>Miscellaneous</v>
      </c>
      <c r="U823" s="9" t="str">
        <f>VLOOKUP(Table1[[#This Row],[Address A]],IP_Master[],3,FALSE)</f>
        <v>iFIX Nodes &amp; Ethernet Switches</v>
      </c>
      <c r="V823" s="9" t="str">
        <f>VLOOKUP(Table1[[#This Row],[Address B]],IP_Master[],3,FALSE)</f>
        <v>iFIX Nodes &amp; Ethernet Switches</v>
      </c>
      <c r="W823" s="9" t="str">
        <f>VLOOKUP(Table1[[#This Row],[Port B]],traffic_types[],2,FALSE)</f>
        <v>Modbus</v>
      </c>
    </row>
    <row r="824" spans="1:23" x14ac:dyDescent="0.6">
      <c r="A824" t="s">
        <v>97</v>
      </c>
      <c r="B824">
        <v>2813</v>
      </c>
      <c r="C824" t="s">
        <v>87</v>
      </c>
      <c r="D824">
        <v>502</v>
      </c>
      <c r="E824">
        <v>1</v>
      </c>
      <c r="F824" s="13">
        <v>62</v>
      </c>
      <c r="G824">
        <v>1</v>
      </c>
      <c r="H824">
        <v>62</v>
      </c>
      <c r="I824">
        <v>0</v>
      </c>
      <c r="J824">
        <v>0</v>
      </c>
      <c r="K824">
        <v>696.19557099999997</v>
      </c>
      <c r="L824">
        <v>0</v>
      </c>
      <c r="M824">
        <v>0</v>
      </c>
      <c r="N824">
        <v>0</v>
      </c>
      <c r="O824" s="8" t="str">
        <f>formatIP(Table1[[#This Row],[Address A]])</f>
        <v>010.012.000.002</v>
      </c>
      <c r="P824" s="8" t="str">
        <f>formatIP(Table1[[#This Row],[Address B]])</f>
        <v>010.011.009.028</v>
      </c>
      <c r="Q824" s="8" t="str">
        <f>VLOOKUP(Table1[[#This Row],[Address A]],IP_Master[],4,FALSE)</f>
        <v>PPPCFC2</v>
      </c>
      <c r="R824" s="8" t="str">
        <f>VLOOKUP(Table1[[#This Row],[Address B]],IP_Master[],4,FALSE)</f>
        <v>EGX100</v>
      </c>
      <c r="S824" s="8" t="str">
        <f>VLOOKUP(Table1[[#This Row],[Address A]],IP_Master[],2,FALSE)</f>
        <v>Fume Control</v>
      </c>
      <c r="T824" s="8" t="str">
        <f>VLOOKUP(Table1[[#This Row],[Address B]],IP_Master[],2,FALSE)</f>
        <v>Miscellaneous</v>
      </c>
      <c r="U824" s="9" t="str">
        <f>VLOOKUP(Table1[[#This Row],[Address A]],IP_Master[],3,FALSE)</f>
        <v>iFIX Nodes &amp; Ethernet Switches</v>
      </c>
      <c r="V824" s="9" t="str">
        <f>VLOOKUP(Table1[[#This Row],[Address B]],IP_Master[],3,FALSE)</f>
        <v>iFIX Nodes &amp; Ethernet Switches</v>
      </c>
      <c r="W824" s="9" t="str">
        <f>VLOOKUP(Table1[[#This Row],[Port B]],traffic_types[],2,FALSE)</f>
        <v>Modbus</v>
      </c>
    </row>
    <row r="825" spans="1:23" x14ac:dyDescent="0.6">
      <c r="A825" t="s">
        <v>97</v>
      </c>
      <c r="B825">
        <v>2814</v>
      </c>
      <c r="C825" t="s">
        <v>87</v>
      </c>
      <c r="D825">
        <v>502</v>
      </c>
      <c r="E825">
        <v>1</v>
      </c>
      <c r="F825" s="13">
        <v>62</v>
      </c>
      <c r="G825">
        <v>1</v>
      </c>
      <c r="H825">
        <v>62</v>
      </c>
      <c r="I825">
        <v>0</v>
      </c>
      <c r="J825">
        <v>0</v>
      </c>
      <c r="K825">
        <v>696.71131100000002</v>
      </c>
      <c r="L825">
        <v>0</v>
      </c>
      <c r="M825">
        <v>0</v>
      </c>
      <c r="N825">
        <v>0</v>
      </c>
      <c r="O825" s="8" t="str">
        <f>formatIP(Table1[[#This Row],[Address A]])</f>
        <v>010.012.000.002</v>
      </c>
      <c r="P825" s="8" t="str">
        <f>formatIP(Table1[[#This Row],[Address B]])</f>
        <v>010.011.009.028</v>
      </c>
      <c r="Q825" s="8" t="str">
        <f>VLOOKUP(Table1[[#This Row],[Address A]],IP_Master[],4,FALSE)</f>
        <v>PPPCFC2</v>
      </c>
      <c r="R825" s="8" t="str">
        <f>VLOOKUP(Table1[[#This Row],[Address B]],IP_Master[],4,FALSE)</f>
        <v>EGX100</v>
      </c>
      <c r="S825" s="8" t="str">
        <f>VLOOKUP(Table1[[#This Row],[Address A]],IP_Master[],2,FALSE)</f>
        <v>Fume Control</v>
      </c>
      <c r="T825" s="8" t="str">
        <f>VLOOKUP(Table1[[#This Row],[Address B]],IP_Master[],2,FALSE)</f>
        <v>Miscellaneous</v>
      </c>
      <c r="U825" s="9" t="str">
        <f>VLOOKUP(Table1[[#This Row],[Address A]],IP_Master[],3,FALSE)</f>
        <v>iFIX Nodes &amp; Ethernet Switches</v>
      </c>
      <c r="V825" s="9" t="str">
        <f>VLOOKUP(Table1[[#This Row],[Address B]],IP_Master[],3,FALSE)</f>
        <v>iFIX Nodes &amp; Ethernet Switches</v>
      </c>
      <c r="W825" s="9" t="str">
        <f>VLOOKUP(Table1[[#This Row],[Port B]],traffic_types[],2,FALSE)</f>
        <v>Modbus</v>
      </c>
    </row>
    <row r="826" spans="1:23" x14ac:dyDescent="0.6">
      <c r="A826" t="s">
        <v>97</v>
      </c>
      <c r="B826">
        <v>2815</v>
      </c>
      <c r="C826" t="s">
        <v>87</v>
      </c>
      <c r="D826">
        <v>502</v>
      </c>
      <c r="E826">
        <v>1</v>
      </c>
      <c r="F826" s="13">
        <v>62</v>
      </c>
      <c r="G826">
        <v>1</v>
      </c>
      <c r="H826">
        <v>62</v>
      </c>
      <c r="I826">
        <v>0</v>
      </c>
      <c r="J826">
        <v>0</v>
      </c>
      <c r="K826">
        <v>698.27371200000005</v>
      </c>
      <c r="L826">
        <v>0</v>
      </c>
      <c r="M826">
        <v>0</v>
      </c>
      <c r="N826">
        <v>0</v>
      </c>
      <c r="O826" s="8" t="str">
        <f>formatIP(Table1[[#This Row],[Address A]])</f>
        <v>010.012.000.002</v>
      </c>
      <c r="P826" s="8" t="str">
        <f>formatIP(Table1[[#This Row],[Address B]])</f>
        <v>010.011.009.028</v>
      </c>
      <c r="Q826" s="8" t="str">
        <f>VLOOKUP(Table1[[#This Row],[Address A]],IP_Master[],4,FALSE)</f>
        <v>PPPCFC2</v>
      </c>
      <c r="R826" s="8" t="str">
        <f>VLOOKUP(Table1[[#This Row],[Address B]],IP_Master[],4,FALSE)</f>
        <v>EGX100</v>
      </c>
      <c r="S826" s="8" t="str">
        <f>VLOOKUP(Table1[[#This Row],[Address A]],IP_Master[],2,FALSE)</f>
        <v>Fume Control</v>
      </c>
      <c r="T826" s="8" t="str">
        <f>VLOOKUP(Table1[[#This Row],[Address B]],IP_Master[],2,FALSE)</f>
        <v>Miscellaneous</v>
      </c>
      <c r="U826" s="9" t="str">
        <f>VLOOKUP(Table1[[#This Row],[Address A]],IP_Master[],3,FALSE)</f>
        <v>iFIX Nodes &amp; Ethernet Switches</v>
      </c>
      <c r="V826" s="9" t="str">
        <f>VLOOKUP(Table1[[#This Row],[Address B]],IP_Master[],3,FALSE)</f>
        <v>iFIX Nodes &amp; Ethernet Switches</v>
      </c>
      <c r="W826" s="9" t="str">
        <f>VLOOKUP(Table1[[#This Row],[Port B]],traffic_types[],2,FALSE)</f>
        <v>Modbus</v>
      </c>
    </row>
    <row r="827" spans="1:23" x14ac:dyDescent="0.6">
      <c r="A827" t="s">
        <v>97</v>
      </c>
      <c r="B827">
        <v>2821</v>
      </c>
      <c r="C827" t="s">
        <v>87</v>
      </c>
      <c r="D827">
        <v>502</v>
      </c>
      <c r="E827">
        <v>1</v>
      </c>
      <c r="F827" s="13">
        <v>62</v>
      </c>
      <c r="G827">
        <v>1</v>
      </c>
      <c r="H827">
        <v>62</v>
      </c>
      <c r="I827">
        <v>0</v>
      </c>
      <c r="J827">
        <v>0</v>
      </c>
      <c r="K827">
        <v>724.90678000000003</v>
      </c>
      <c r="L827">
        <v>0</v>
      </c>
      <c r="M827">
        <v>0</v>
      </c>
      <c r="N827">
        <v>0</v>
      </c>
      <c r="O827" s="8" t="str">
        <f>formatIP(Table1[[#This Row],[Address A]])</f>
        <v>010.012.000.002</v>
      </c>
      <c r="P827" s="8" t="str">
        <f>formatIP(Table1[[#This Row],[Address B]])</f>
        <v>010.011.009.028</v>
      </c>
      <c r="Q827" s="8" t="str">
        <f>VLOOKUP(Table1[[#This Row],[Address A]],IP_Master[],4,FALSE)</f>
        <v>PPPCFC2</v>
      </c>
      <c r="R827" s="8" t="str">
        <f>VLOOKUP(Table1[[#This Row],[Address B]],IP_Master[],4,FALSE)</f>
        <v>EGX100</v>
      </c>
      <c r="S827" s="8" t="str">
        <f>VLOOKUP(Table1[[#This Row],[Address A]],IP_Master[],2,FALSE)</f>
        <v>Fume Control</v>
      </c>
      <c r="T827" s="8" t="str">
        <f>VLOOKUP(Table1[[#This Row],[Address B]],IP_Master[],2,FALSE)</f>
        <v>Miscellaneous</v>
      </c>
      <c r="U827" s="9" t="str">
        <f>VLOOKUP(Table1[[#This Row],[Address A]],IP_Master[],3,FALSE)</f>
        <v>iFIX Nodes &amp; Ethernet Switches</v>
      </c>
      <c r="V827" s="9" t="str">
        <f>VLOOKUP(Table1[[#This Row],[Address B]],IP_Master[],3,FALSE)</f>
        <v>iFIX Nodes &amp; Ethernet Switches</v>
      </c>
      <c r="W827" s="9" t="str">
        <f>VLOOKUP(Table1[[#This Row],[Port B]],traffic_types[],2,FALSE)</f>
        <v>Modbus</v>
      </c>
    </row>
    <row r="828" spans="1:23" x14ac:dyDescent="0.6">
      <c r="A828" t="s">
        <v>97</v>
      </c>
      <c r="B828">
        <v>2822</v>
      </c>
      <c r="C828" t="s">
        <v>87</v>
      </c>
      <c r="D828">
        <v>502</v>
      </c>
      <c r="E828">
        <v>2</v>
      </c>
      <c r="F828" s="13">
        <v>124</v>
      </c>
      <c r="G828">
        <v>2</v>
      </c>
      <c r="H828">
        <v>124</v>
      </c>
      <c r="I828">
        <v>0</v>
      </c>
      <c r="J828">
        <v>0</v>
      </c>
      <c r="K828">
        <v>726.06293900000003</v>
      </c>
      <c r="L828">
        <v>2.9614879999999202</v>
      </c>
      <c r="M828">
        <v>334.96674644639</v>
      </c>
      <c r="N828">
        <v>0</v>
      </c>
      <c r="O828" s="8" t="str">
        <f>formatIP(Table1[[#This Row],[Address A]])</f>
        <v>010.012.000.002</v>
      </c>
      <c r="P828" s="8" t="str">
        <f>formatIP(Table1[[#This Row],[Address B]])</f>
        <v>010.011.009.028</v>
      </c>
      <c r="Q828" s="8" t="str">
        <f>VLOOKUP(Table1[[#This Row],[Address A]],IP_Master[],4,FALSE)</f>
        <v>PPPCFC2</v>
      </c>
      <c r="R828" s="8" t="str">
        <f>VLOOKUP(Table1[[#This Row],[Address B]],IP_Master[],4,FALSE)</f>
        <v>EGX100</v>
      </c>
      <c r="S828" s="8" t="str">
        <f>VLOOKUP(Table1[[#This Row],[Address A]],IP_Master[],2,FALSE)</f>
        <v>Fume Control</v>
      </c>
      <c r="T828" s="8" t="str">
        <f>VLOOKUP(Table1[[#This Row],[Address B]],IP_Master[],2,FALSE)</f>
        <v>Miscellaneous</v>
      </c>
      <c r="U828" s="9" t="str">
        <f>VLOOKUP(Table1[[#This Row],[Address A]],IP_Master[],3,FALSE)</f>
        <v>iFIX Nodes &amp; Ethernet Switches</v>
      </c>
      <c r="V828" s="9" t="str">
        <f>VLOOKUP(Table1[[#This Row],[Address B]],IP_Master[],3,FALSE)</f>
        <v>iFIX Nodes &amp; Ethernet Switches</v>
      </c>
      <c r="W828" s="9" t="str">
        <f>VLOOKUP(Table1[[#This Row],[Port B]],traffic_types[],2,FALSE)</f>
        <v>Modbus</v>
      </c>
    </row>
    <row r="829" spans="1:23" x14ac:dyDescent="0.6">
      <c r="A829" t="s">
        <v>97</v>
      </c>
      <c r="B829">
        <v>2823</v>
      </c>
      <c r="C829" t="s">
        <v>87</v>
      </c>
      <c r="D829">
        <v>502</v>
      </c>
      <c r="E829">
        <v>2</v>
      </c>
      <c r="F829" s="13">
        <v>124</v>
      </c>
      <c r="G829">
        <v>2</v>
      </c>
      <c r="H829">
        <v>124</v>
      </c>
      <c r="I829">
        <v>0</v>
      </c>
      <c r="J829">
        <v>0</v>
      </c>
      <c r="K829">
        <v>726.20429300000001</v>
      </c>
      <c r="L829">
        <v>2.82013399999994</v>
      </c>
      <c r="M829">
        <v>351.756334982672</v>
      </c>
      <c r="N829">
        <v>0</v>
      </c>
      <c r="O829" s="8" t="str">
        <f>formatIP(Table1[[#This Row],[Address A]])</f>
        <v>010.012.000.002</v>
      </c>
      <c r="P829" s="8" t="str">
        <f>formatIP(Table1[[#This Row],[Address B]])</f>
        <v>010.011.009.028</v>
      </c>
      <c r="Q829" s="8" t="str">
        <f>VLOOKUP(Table1[[#This Row],[Address A]],IP_Master[],4,FALSE)</f>
        <v>PPPCFC2</v>
      </c>
      <c r="R829" s="8" t="str">
        <f>VLOOKUP(Table1[[#This Row],[Address B]],IP_Master[],4,FALSE)</f>
        <v>EGX100</v>
      </c>
      <c r="S829" s="8" t="str">
        <f>VLOOKUP(Table1[[#This Row],[Address A]],IP_Master[],2,FALSE)</f>
        <v>Fume Control</v>
      </c>
      <c r="T829" s="8" t="str">
        <f>VLOOKUP(Table1[[#This Row],[Address B]],IP_Master[],2,FALSE)</f>
        <v>Miscellaneous</v>
      </c>
      <c r="U829" s="9" t="str">
        <f>VLOOKUP(Table1[[#This Row],[Address A]],IP_Master[],3,FALSE)</f>
        <v>iFIX Nodes &amp; Ethernet Switches</v>
      </c>
      <c r="V829" s="9" t="str">
        <f>VLOOKUP(Table1[[#This Row],[Address B]],IP_Master[],3,FALSE)</f>
        <v>iFIX Nodes &amp; Ethernet Switches</v>
      </c>
      <c r="W829" s="9" t="str">
        <f>VLOOKUP(Table1[[#This Row],[Port B]],traffic_types[],2,FALSE)</f>
        <v>Modbus</v>
      </c>
    </row>
    <row r="830" spans="1:23" x14ac:dyDescent="0.6">
      <c r="A830" t="s">
        <v>97</v>
      </c>
      <c r="B830">
        <v>2824</v>
      </c>
      <c r="C830" t="s">
        <v>87</v>
      </c>
      <c r="D830">
        <v>502</v>
      </c>
      <c r="E830">
        <v>2</v>
      </c>
      <c r="F830" s="13">
        <v>124</v>
      </c>
      <c r="G830">
        <v>2</v>
      </c>
      <c r="H830">
        <v>124</v>
      </c>
      <c r="I830">
        <v>0</v>
      </c>
      <c r="J830">
        <v>0</v>
      </c>
      <c r="K830">
        <v>726.71438699999999</v>
      </c>
      <c r="L830">
        <v>2.9135200000000601</v>
      </c>
      <c r="M830">
        <v>340.48161673850802</v>
      </c>
      <c r="N830">
        <v>0</v>
      </c>
      <c r="O830" s="8" t="str">
        <f>formatIP(Table1[[#This Row],[Address A]])</f>
        <v>010.012.000.002</v>
      </c>
      <c r="P830" s="8" t="str">
        <f>formatIP(Table1[[#This Row],[Address B]])</f>
        <v>010.011.009.028</v>
      </c>
      <c r="Q830" s="8" t="str">
        <f>VLOOKUP(Table1[[#This Row],[Address A]],IP_Master[],4,FALSE)</f>
        <v>PPPCFC2</v>
      </c>
      <c r="R830" s="8" t="str">
        <f>VLOOKUP(Table1[[#This Row],[Address B]],IP_Master[],4,FALSE)</f>
        <v>EGX100</v>
      </c>
      <c r="S830" s="8" t="str">
        <f>VLOOKUP(Table1[[#This Row],[Address A]],IP_Master[],2,FALSE)</f>
        <v>Fume Control</v>
      </c>
      <c r="T830" s="8" t="str">
        <f>VLOOKUP(Table1[[#This Row],[Address B]],IP_Master[],2,FALSE)</f>
        <v>Miscellaneous</v>
      </c>
      <c r="U830" s="9" t="str">
        <f>VLOOKUP(Table1[[#This Row],[Address A]],IP_Master[],3,FALSE)</f>
        <v>iFIX Nodes &amp; Ethernet Switches</v>
      </c>
      <c r="V830" s="9" t="str">
        <f>VLOOKUP(Table1[[#This Row],[Address B]],IP_Master[],3,FALSE)</f>
        <v>iFIX Nodes &amp; Ethernet Switches</v>
      </c>
      <c r="W830" s="9" t="str">
        <f>VLOOKUP(Table1[[#This Row],[Port B]],traffic_types[],2,FALSE)</f>
        <v>Modbus</v>
      </c>
    </row>
    <row r="831" spans="1:23" x14ac:dyDescent="0.6">
      <c r="A831" t="s">
        <v>97</v>
      </c>
      <c r="B831">
        <v>2825</v>
      </c>
      <c r="C831" t="s">
        <v>87</v>
      </c>
      <c r="D831">
        <v>502</v>
      </c>
      <c r="E831">
        <v>1</v>
      </c>
      <c r="F831" s="13">
        <v>62</v>
      </c>
      <c r="G831">
        <v>1</v>
      </c>
      <c r="H831">
        <v>62</v>
      </c>
      <c r="I831">
        <v>0</v>
      </c>
      <c r="J831">
        <v>0</v>
      </c>
      <c r="K831">
        <v>727.91442300000006</v>
      </c>
      <c r="L831">
        <v>0</v>
      </c>
      <c r="M831">
        <v>0</v>
      </c>
      <c r="N831">
        <v>0</v>
      </c>
      <c r="O831" s="8" t="str">
        <f>formatIP(Table1[[#This Row],[Address A]])</f>
        <v>010.012.000.002</v>
      </c>
      <c r="P831" s="8" t="str">
        <f>formatIP(Table1[[#This Row],[Address B]])</f>
        <v>010.011.009.028</v>
      </c>
      <c r="Q831" s="8" t="str">
        <f>VLOOKUP(Table1[[#This Row],[Address A]],IP_Master[],4,FALSE)</f>
        <v>PPPCFC2</v>
      </c>
      <c r="R831" s="8" t="str">
        <f>VLOOKUP(Table1[[#This Row],[Address B]],IP_Master[],4,FALSE)</f>
        <v>EGX100</v>
      </c>
      <c r="S831" s="8" t="str">
        <f>VLOOKUP(Table1[[#This Row],[Address A]],IP_Master[],2,FALSE)</f>
        <v>Fume Control</v>
      </c>
      <c r="T831" s="8" t="str">
        <f>VLOOKUP(Table1[[#This Row],[Address B]],IP_Master[],2,FALSE)</f>
        <v>Miscellaneous</v>
      </c>
      <c r="U831" s="9" t="str">
        <f>VLOOKUP(Table1[[#This Row],[Address A]],IP_Master[],3,FALSE)</f>
        <v>iFIX Nodes &amp; Ethernet Switches</v>
      </c>
      <c r="V831" s="9" t="str">
        <f>VLOOKUP(Table1[[#This Row],[Address B]],IP_Master[],3,FALSE)</f>
        <v>iFIX Nodes &amp; Ethernet Switches</v>
      </c>
      <c r="W831" s="9" t="str">
        <f>VLOOKUP(Table1[[#This Row],[Port B]],traffic_types[],2,FALSE)</f>
        <v>Modbus</v>
      </c>
    </row>
    <row r="832" spans="1:23" x14ac:dyDescent="0.6">
      <c r="A832" t="s">
        <v>97</v>
      </c>
      <c r="B832">
        <v>2826</v>
      </c>
      <c r="C832" t="s">
        <v>87</v>
      </c>
      <c r="D832">
        <v>502</v>
      </c>
      <c r="E832">
        <v>2</v>
      </c>
      <c r="F832" s="13">
        <v>124</v>
      </c>
      <c r="G832">
        <v>2</v>
      </c>
      <c r="H832">
        <v>124</v>
      </c>
      <c r="I832">
        <v>0</v>
      </c>
      <c r="J832">
        <v>0</v>
      </c>
      <c r="K832">
        <v>728.28223800000001</v>
      </c>
      <c r="L832">
        <v>2.8544990000000299</v>
      </c>
      <c r="M832">
        <v>347.52157909320999</v>
      </c>
      <c r="N832">
        <v>0</v>
      </c>
      <c r="O832" s="8" t="str">
        <f>formatIP(Table1[[#This Row],[Address A]])</f>
        <v>010.012.000.002</v>
      </c>
      <c r="P832" s="8" t="str">
        <f>formatIP(Table1[[#This Row],[Address B]])</f>
        <v>010.011.009.028</v>
      </c>
      <c r="Q832" s="8" t="str">
        <f>VLOOKUP(Table1[[#This Row],[Address A]],IP_Master[],4,FALSE)</f>
        <v>PPPCFC2</v>
      </c>
      <c r="R832" s="8" t="str">
        <f>VLOOKUP(Table1[[#This Row],[Address B]],IP_Master[],4,FALSE)</f>
        <v>EGX100</v>
      </c>
      <c r="S832" s="8" t="str">
        <f>VLOOKUP(Table1[[#This Row],[Address A]],IP_Master[],2,FALSE)</f>
        <v>Fume Control</v>
      </c>
      <c r="T832" s="8" t="str">
        <f>VLOOKUP(Table1[[#This Row],[Address B]],IP_Master[],2,FALSE)</f>
        <v>Miscellaneous</v>
      </c>
      <c r="U832" s="9" t="str">
        <f>VLOOKUP(Table1[[#This Row],[Address A]],IP_Master[],3,FALSE)</f>
        <v>iFIX Nodes &amp; Ethernet Switches</v>
      </c>
      <c r="V832" s="9" t="str">
        <f>VLOOKUP(Table1[[#This Row],[Address B]],IP_Master[],3,FALSE)</f>
        <v>iFIX Nodes &amp; Ethernet Switches</v>
      </c>
      <c r="W832" s="9" t="str">
        <f>VLOOKUP(Table1[[#This Row],[Port B]],traffic_types[],2,FALSE)</f>
        <v>Modbus</v>
      </c>
    </row>
    <row r="833" spans="1:23" x14ac:dyDescent="0.6">
      <c r="A833" t="s">
        <v>97</v>
      </c>
      <c r="B833">
        <v>2828</v>
      </c>
      <c r="C833" t="s">
        <v>87</v>
      </c>
      <c r="D833">
        <v>502</v>
      </c>
      <c r="E833">
        <v>1</v>
      </c>
      <c r="F833" s="13">
        <v>62</v>
      </c>
      <c r="G833">
        <v>1</v>
      </c>
      <c r="H833">
        <v>62</v>
      </c>
      <c r="I833">
        <v>0</v>
      </c>
      <c r="J833">
        <v>0</v>
      </c>
      <c r="K833">
        <v>729.07071699999995</v>
      </c>
      <c r="L833">
        <v>0</v>
      </c>
      <c r="M833">
        <v>0</v>
      </c>
      <c r="N833">
        <v>0</v>
      </c>
      <c r="O833" s="8" t="str">
        <f>formatIP(Table1[[#This Row],[Address A]])</f>
        <v>010.012.000.002</v>
      </c>
      <c r="P833" s="8" t="str">
        <f>formatIP(Table1[[#This Row],[Address B]])</f>
        <v>010.011.009.028</v>
      </c>
      <c r="Q833" s="8" t="str">
        <f>VLOOKUP(Table1[[#This Row],[Address A]],IP_Master[],4,FALSE)</f>
        <v>PPPCFC2</v>
      </c>
      <c r="R833" s="8" t="str">
        <f>VLOOKUP(Table1[[#This Row],[Address B]],IP_Master[],4,FALSE)</f>
        <v>EGX100</v>
      </c>
      <c r="S833" s="8" t="str">
        <f>VLOOKUP(Table1[[#This Row],[Address A]],IP_Master[],2,FALSE)</f>
        <v>Fume Control</v>
      </c>
      <c r="T833" s="8" t="str">
        <f>VLOOKUP(Table1[[#This Row],[Address B]],IP_Master[],2,FALSE)</f>
        <v>Miscellaneous</v>
      </c>
      <c r="U833" s="9" t="str">
        <f>VLOOKUP(Table1[[#This Row],[Address A]],IP_Master[],3,FALSE)</f>
        <v>iFIX Nodes &amp; Ethernet Switches</v>
      </c>
      <c r="V833" s="9" t="str">
        <f>VLOOKUP(Table1[[#This Row],[Address B]],IP_Master[],3,FALSE)</f>
        <v>iFIX Nodes &amp; Ethernet Switches</v>
      </c>
      <c r="W833" s="9" t="str">
        <f>VLOOKUP(Table1[[#This Row],[Port B]],traffic_types[],2,FALSE)</f>
        <v>Modbus</v>
      </c>
    </row>
    <row r="834" spans="1:23" x14ac:dyDescent="0.6">
      <c r="A834" t="s">
        <v>97</v>
      </c>
      <c r="B834">
        <v>2829</v>
      </c>
      <c r="C834" t="s">
        <v>87</v>
      </c>
      <c r="D834">
        <v>502</v>
      </c>
      <c r="E834">
        <v>1</v>
      </c>
      <c r="F834" s="13">
        <v>62</v>
      </c>
      <c r="G834">
        <v>1</v>
      </c>
      <c r="H834">
        <v>62</v>
      </c>
      <c r="I834">
        <v>0</v>
      </c>
      <c r="J834">
        <v>0</v>
      </c>
      <c r="K834">
        <v>729.21137799999997</v>
      </c>
      <c r="L834">
        <v>0</v>
      </c>
      <c r="M834">
        <v>0</v>
      </c>
      <c r="N834">
        <v>0</v>
      </c>
      <c r="O834" s="8" t="str">
        <f>formatIP(Table1[[#This Row],[Address A]])</f>
        <v>010.012.000.002</v>
      </c>
      <c r="P834" s="8" t="str">
        <f>formatIP(Table1[[#This Row],[Address B]])</f>
        <v>010.011.009.028</v>
      </c>
      <c r="Q834" s="8" t="str">
        <f>VLOOKUP(Table1[[#This Row],[Address A]],IP_Master[],4,FALSE)</f>
        <v>PPPCFC2</v>
      </c>
      <c r="R834" s="8" t="str">
        <f>VLOOKUP(Table1[[#This Row],[Address B]],IP_Master[],4,FALSE)</f>
        <v>EGX100</v>
      </c>
      <c r="S834" s="8" t="str">
        <f>VLOOKUP(Table1[[#This Row],[Address A]],IP_Master[],2,FALSE)</f>
        <v>Fume Control</v>
      </c>
      <c r="T834" s="8" t="str">
        <f>VLOOKUP(Table1[[#This Row],[Address B]],IP_Master[],2,FALSE)</f>
        <v>Miscellaneous</v>
      </c>
      <c r="U834" s="9" t="str">
        <f>VLOOKUP(Table1[[#This Row],[Address A]],IP_Master[],3,FALSE)</f>
        <v>iFIX Nodes &amp; Ethernet Switches</v>
      </c>
      <c r="V834" s="9" t="str">
        <f>VLOOKUP(Table1[[#This Row],[Address B]],IP_Master[],3,FALSE)</f>
        <v>iFIX Nodes &amp; Ethernet Switches</v>
      </c>
      <c r="W834" s="9" t="str">
        <f>VLOOKUP(Table1[[#This Row],[Port B]],traffic_types[],2,FALSE)</f>
        <v>Modbus</v>
      </c>
    </row>
    <row r="835" spans="1:23" x14ac:dyDescent="0.6">
      <c r="A835" t="s">
        <v>97</v>
      </c>
      <c r="B835">
        <v>2830</v>
      </c>
      <c r="C835" t="s">
        <v>87</v>
      </c>
      <c r="D835">
        <v>502</v>
      </c>
      <c r="E835">
        <v>1</v>
      </c>
      <c r="F835" s="13">
        <v>62</v>
      </c>
      <c r="G835">
        <v>1</v>
      </c>
      <c r="H835">
        <v>62</v>
      </c>
      <c r="I835">
        <v>0</v>
      </c>
      <c r="J835">
        <v>0</v>
      </c>
      <c r="K835">
        <v>729.72695899999997</v>
      </c>
      <c r="L835">
        <v>0</v>
      </c>
      <c r="M835">
        <v>0</v>
      </c>
      <c r="N835">
        <v>0</v>
      </c>
      <c r="O835" s="8" t="str">
        <f>formatIP(Table1[[#This Row],[Address A]])</f>
        <v>010.012.000.002</v>
      </c>
      <c r="P835" s="8" t="str">
        <f>formatIP(Table1[[#This Row],[Address B]])</f>
        <v>010.011.009.028</v>
      </c>
      <c r="Q835" s="8" t="str">
        <f>VLOOKUP(Table1[[#This Row],[Address A]],IP_Master[],4,FALSE)</f>
        <v>PPPCFC2</v>
      </c>
      <c r="R835" s="8" t="str">
        <f>VLOOKUP(Table1[[#This Row],[Address B]],IP_Master[],4,FALSE)</f>
        <v>EGX100</v>
      </c>
      <c r="S835" s="8" t="str">
        <f>VLOOKUP(Table1[[#This Row],[Address A]],IP_Master[],2,FALSE)</f>
        <v>Fume Control</v>
      </c>
      <c r="T835" s="8" t="str">
        <f>VLOOKUP(Table1[[#This Row],[Address B]],IP_Master[],2,FALSE)</f>
        <v>Miscellaneous</v>
      </c>
      <c r="U835" s="9" t="str">
        <f>VLOOKUP(Table1[[#This Row],[Address A]],IP_Master[],3,FALSE)</f>
        <v>iFIX Nodes &amp; Ethernet Switches</v>
      </c>
      <c r="V835" s="9" t="str">
        <f>VLOOKUP(Table1[[#This Row],[Address B]],IP_Master[],3,FALSE)</f>
        <v>iFIX Nodes &amp; Ethernet Switches</v>
      </c>
      <c r="W835" s="9" t="str">
        <f>VLOOKUP(Table1[[#This Row],[Port B]],traffic_types[],2,FALSE)</f>
        <v>Modbus</v>
      </c>
    </row>
    <row r="836" spans="1:23" x14ac:dyDescent="0.6">
      <c r="A836" t="s">
        <v>97</v>
      </c>
      <c r="B836">
        <v>2831</v>
      </c>
      <c r="C836" t="s">
        <v>87</v>
      </c>
      <c r="D836">
        <v>502</v>
      </c>
      <c r="E836">
        <v>1</v>
      </c>
      <c r="F836" s="13">
        <v>62</v>
      </c>
      <c r="G836">
        <v>1</v>
      </c>
      <c r="H836">
        <v>62</v>
      </c>
      <c r="I836">
        <v>0</v>
      </c>
      <c r="J836">
        <v>0</v>
      </c>
      <c r="K836">
        <v>731.28949299999999</v>
      </c>
      <c r="L836">
        <v>0</v>
      </c>
      <c r="M836">
        <v>0</v>
      </c>
      <c r="N836">
        <v>0</v>
      </c>
      <c r="O836" s="8" t="str">
        <f>formatIP(Table1[[#This Row],[Address A]])</f>
        <v>010.012.000.002</v>
      </c>
      <c r="P836" s="8" t="str">
        <f>formatIP(Table1[[#This Row],[Address B]])</f>
        <v>010.011.009.028</v>
      </c>
      <c r="Q836" s="8" t="str">
        <f>VLOOKUP(Table1[[#This Row],[Address A]],IP_Master[],4,FALSE)</f>
        <v>PPPCFC2</v>
      </c>
      <c r="R836" s="8" t="str">
        <f>VLOOKUP(Table1[[#This Row],[Address B]],IP_Master[],4,FALSE)</f>
        <v>EGX100</v>
      </c>
      <c r="S836" s="8" t="str">
        <f>VLOOKUP(Table1[[#This Row],[Address A]],IP_Master[],2,FALSE)</f>
        <v>Fume Control</v>
      </c>
      <c r="T836" s="8" t="str">
        <f>VLOOKUP(Table1[[#This Row],[Address B]],IP_Master[],2,FALSE)</f>
        <v>Miscellaneous</v>
      </c>
      <c r="U836" s="9" t="str">
        <f>VLOOKUP(Table1[[#This Row],[Address A]],IP_Master[],3,FALSE)</f>
        <v>iFIX Nodes &amp; Ethernet Switches</v>
      </c>
      <c r="V836" s="9" t="str">
        <f>VLOOKUP(Table1[[#This Row],[Address B]],IP_Master[],3,FALSE)</f>
        <v>iFIX Nodes &amp; Ethernet Switches</v>
      </c>
      <c r="W836" s="9" t="str">
        <f>VLOOKUP(Table1[[#This Row],[Port B]],traffic_types[],2,FALSE)</f>
        <v>Modbus</v>
      </c>
    </row>
    <row r="837" spans="1:23" x14ac:dyDescent="0.6">
      <c r="A837" t="s">
        <v>97</v>
      </c>
      <c r="B837">
        <v>2836</v>
      </c>
      <c r="C837" t="s">
        <v>87</v>
      </c>
      <c r="D837">
        <v>502</v>
      </c>
      <c r="E837">
        <v>2</v>
      </c>
      <c r="F837" s="13">
        <v>124</v>
      </c>
      <c r="G837">
        <v>2</v>
      </c>
      <c r="H837">
        <v>124</v>
      </c>
      <c r="I837">
        <v>0</v>
      </c>
      <c r="J837">
        <v>0</v>
      </c>
      <c r="K837">
        <v>757.925476</v>
      </c>
      <c r="L837">
        <v>2.98483699999997</v>
      </c>
      <c r="M837">
        <v>332.34645643966797</v>
      </c>
      <c r="N837">
        <v>0</v>
      </c>
      <c r="O837" s="8" t="str">
        <f>formatIP(Table1[[#This Row],[Address A]])</f>
        <v>010.012.000.002</v>
      </c>
      <c r="P837" s="8" t="str">
        <f>formatIP(Table1[[#This Row],[Address B]])</f>
        <v>010.011.009.028</v>
      </c>
      <c r="Q837" s="8" t="str">
        <f>VLOOKUP(Table1[[#This Row],[Address A]],IP_Master[],4,FALSE)</f>
        <v>PPPCFC2</v>
      </c>
      <c r="R837" s="8" t="str">
        <f>VLOOKUP(Table1[[#This Row],[Address B]],IP_Master[],4,FALSE)</f>
        <v>EGX100</v>
      </c>
      <c r="S837" s="8" t="str">
        <f>VLOOKUP(Table1[[#This Row],[Address A]],IP_Master[],2,FALSE)</f>
        <v>Fume Control</v>
      </c>
      <c r="T837" s="8" t="str">
        <f>VLOOKUP(Table1[[#This Row],[Address B]],IP_Master[],2,FALSE)</f>
        <v>Miscellaneous</v>
      </c>
      <c r="U837" s="9" t="str">
        <f>VLOOKUP(Table1[[#This Row],[Address A]],IP_Master[],3,FALSE)</f>
        <v>iFIX Nodes &amp; Ethernet Switches</v>
      </c>
      <c r="V837" s="9" t="str">
        <f>VLOOKUP(Table1[[#This Row],[Address B]],IP_Master[],3,FALSE)</f>
        <v>iFIX Nodes &amp; Ethernet Switches</v>
      </c>
      <c r="W837" s="9" t="str">
        <f>VLOOKUP(Table1[[#This Row],[Port B]],traffic_types[],2,FALSE)</f>
        <v>Modbus</v>
      </c>
    </row>
    <row r="838" spans="1:23" x14ac:dyDescent="0.6">
      <c r="A838" t="s">
        <v>97</v>
      </c>
      <c r="B838">
        <v>2838</v>
      </c>
      <c r="C838" t="s">
        <v>87</v>
      </c>
      <c r="D838">
        <v>502</v>
      </c>
      <c r="E838">
        <v>2</v>
      </c>
      <c r="F838" s="13">
        <v>124</v>
      </c>
      <c r="G838">
        <v>2</v>
      </c>
      <c r="H838">
        <v>124</v>
      </c>
      <c r="I838">
        <v>0</v>
      </c>
      <c r="J838">
        <v>0</v>
      </c>
      <c r="K838">
        <v>759.07965200000001</v>
      </c>
      <c r="L838">
        <v>2.9372089999999398</v>
      </c>
      <c r="M838">
        <v>337.735585040091</v>
      </c>
      <c r="N838">
        <v>0</v>
      </c>
      <c r="O838" s="8" t="str">
        <f>formatIP(Table1[[#This Row],[Address A]])</f>
        <v>010.012.000.002</v>
      </c>
      <c r="P838" s="8" t="str">
        <f>formatIP(Table1[[#This Row],[Address B]])</f>
        <v>010.011.009.028</v>
      </c>
      <c r="Q838" s="8" t="str">
        <f>VLOOKUP(Table1[[#This Row],[Address A]],IP_Master[],4,FALSE)</f>
        <v>PPPCFC2</v>
      </c>
      <c r="R838" s="8" t="str">
        <f>VLOOKUP(Table1[[#This Row],[Address B]],IP_Master[],4,FALSE)</f>
        <v>EGX100</v>
      </c>
      <c r="S838" s="8" t="str">
        <f>VLOOKUP(Table1[[#This Row],[Address A]],IP_Master[],2,FALSE)</f>
        <v>Fume Control</v>
      </c>
      <c r="T838" s="8" t="str">
        <f>VLOOKUP(Table1[[#This Row],[Address B]],IP_Master[],2,FALSE)</f>
        <v>Miscellaneous</v>
      </c>
      <c r="U838" s="9" t="str">
        <f>VLOOKUP(Table1[[#This Row],[Address A]],IP_Master[],3,FALSE)</f>
        <v>iFIX Nodes &amp; Ethernet Switches</v>
      </c>
      <c r="V838" s="9" t="str">
        <f>VLOOKUP(Table1[[#This Row],[Address B]],IP_Master[],3,FALSE)</f>
        <v>iFIX Nodes &amp; Ethernet Switches</v>
      </c>
      <c r="W838" s="9" t="str">
        <f>VLOOKUP(Table1[[#This Row],[Port B]],traffic_types[],2,FALSE)</f>
        <v>Modbus</v>
      </c>
    </row>
    <row r="839" spans="1:23" x14ac:dyDescent="0.6">
      <c r="A839" t="s">
        <v>97</v>
      </c>
      <c r="B839">
        <v>2839</v>
      </c>
      <c r="C839" t="s">
        <v>87</v>
      </c>
      <c r="D839">
        <v>502</v>
      </c>
      <c r="E839">
        <v>2</v>
      </c>
      <c r="F839" s="13">
        <v>124</v>
      </c>
      <c r="G839">
        <v>2</v>
      </c>
      <c r="H839">
        <v>124</v>
      </c>
      <c r="I839">
        <v>0</v>
      </c>
      <c r="J839">
        <v>0</v>
      </c>
      <c r="K839">
        <v>759.22103200000004</v>
      </c>
      <c r="L839">
        <v>2.9968850000000198</v>
      </c>
      <c r="M839">
        <v>331.01036576311498</v>
      </c>
      <c r="N839">
        <v>0</v>
      </c>
      <c r="O839" s="8" t="str">
        <f>formatIP(Table1[[#This Row],[Address A]])</f>
        <v>010.012.000.002</v>
      </c>
      <c r="P839" s="8" t="str">
        <f>formatIP(Table1[[#This Row],[Address B]])</f>
        <v>010.011.009.028</v>
      </c>
      <c r="Q839" s="8" t="str">
        <f>VLOOKUP(Table1[[#This Row],[Address A]],IP_Master[],4,FALSE)</f>
        <v>PPPCFC2</v>
      </c>
      <c r="R839" s="8" t="str">
        <f>VLOOKUP(Table1[[#This Row],[Address B]],IP_Master[],4,FALSE)</f>
        <v>EGX100</v>
      </c>
      <c r="S839" s="8" t="str">
        <f>VLOOKUP(Table1[[#This Row],[Address A]],IP_Master[],2,FALSE)</f>
        <v>Fume Control</v>
      </c>
      <c r="T839" s="8" t="str">
        <f>VLOOKUP(Table1[[#This Row],[Address B]],IP_Master[],2,FALSE)</f>
        <v>Miscellaneous</v>
      </c>
      <c r="U839" s="9" t="str">
        <f>VLOOKUP(Table1[[#This Row],[Address A]],IP_Master[],3,FALSE)</f>
        <v>iFIX Nodes &amp; Ethernet Switches</v>
      </c>
      <c r="V839" s="9" t="str">
        <f>VLOOKUP(Table1[[#This Row],[Address B]],IP_Master[],3,FALSE)</f>
        <v>iFIX Nodes &amp; Ethernet Switches</v>
      </c>
      <c r="W839" s="9" t="str">
        <f>VLOOKUP(Table1[[#This Row],[Port B]],traffic_types[],2,FALSE)</f>
        <v>Modbus</v>
      </c>
    </row>
    <row r="840" spans="1:23" x14ac:dyDescent="0.6">
      <c r="A840" t="s">
        <v>97</v>
      </c>
      <c r="B840">
        <v>2840</v>
      </c>
      <c r="C840" t="s">
        <v>87</v>
      </c>
      <c r="D840">
        <v>502</v>
      </c>
      <c r="E840">
        <v>2</v>
      </c>
      <c r="F840" s="13">
        <v>124</v>
      </c>
      <c r="G840">
        <v>2</v>
      </c>
      <c r="H840">
        <v>124</v>
      </c>
      <c r="I840">
        <v>0</v>
      </c>
      <c r="J840">
        <v>0</v>
      </c>
      <c r="K840">
        <v>759.72915499999999</v>
      </c>
      <c r="L840">
        <v>2.99169200000006</v>
      </c>
      <c r="M840">
        <v>331.58493588243101</v>
      </c>
      <c r="N840">
        <v>0</v>
      </c>
      <c r="O840" s="8" t="str">
        <f>formatIP(Table1[[#This Row],[Address A]])</f>
        <v>010.012.000.002</v>
      </c>
      <c r="P840" s="8" t="str">
        <f>formatIP(Table1[[#This Row],[Address B]])</f>
        <v>010.011.009.028</v>
      </c>
      <c r="Q840" s="8" t="str">
        <f>VLOOKUP(Table1[[#This Row],[Address A]],IP_Master[],4,FALSE)</f>
        <v>PPPCFC2</v>
      </c>
      <c r="R840" s="8" t="str">
        <f>VLOOKUP(Table1[[#This Row],[Address B]],IP_Master[],4,FALSE)</f>
        <v>EGX100</v>
      </c>
      <c r="S840" s="8" t="str">
        <f>VLOOKUP(Table1[[#This Row],[Address A]],IP_Master[],2,FALSE)</f>
        <v>Fume Control</v>
      </c>
      <c r="T840" s="8" t="str">
        <f>VLOOKUP(Table1[[#This Row],[Address B]],IP_Master[],2,FALSE)</f>
        <v>Miscellaneous</v>
      </c>
      <c r="U840" s="9" t="str">
        <f>VLOOKUP(Table1[[#This Row],[Address A]],IP_Master[],3,FALSE)</f>
        <v>iFIX Nodes &amp; Ethernet Switches</v>
      </c>
      <c r="V840" s="9" t="str">
        <f>VLOOKUP(Table1[[#This Row],[Address B]],IP_Master[],3,FALSE)</f>
        <v>iFIX Nodes &amp; Ethernet Switches</v>
      </c>
      <c r="W840" s="9" t="str">
        <f>VLOOKUP(Table1[[#This Row],[Port B]],traffic_types[],2,FALSE)</f>
        <v>Modbus</v>
      </c>
    </row>
    <row r="841" spans="1:23" x14ac:dyDescent="0.6">
      <c r="A841" t="s">
        <v>97</v>
      </c>
      <c r="B841">
        <v>2841</v>
      </c>
      <c r="C841" t="s">
        <v>87</v>
      </c>
      <c r="D841">
        <v>502</v>
      </c>
      <c r="E841">
        <v>1</v>
      </c>
      <c r="F841" s="13">
        <v>62</v>
      </c>
      <c r="G841">
        <v>1</v>
      </c>
      <c r="H841">
        <v>62</v>
      </c>
      <c r="I841">
        <v>0</v>
      </c>
      <c r="J841">
        <v>0</v>
      </c>
      <c r="K841">
        <v>760.93022800000006</v>
      </c>
      <c r="L841">
        <v>0</v>
      </c>
      <c r="M841">
        <v>0</v>
      </c>
      <c r="N841">
        <v>0</v>
      </c>
      <c r="O841" s="8" t="str">
        <f>formatIP(Table1[[#This Row],[Address A]])</f>
        <v>010.012.000.002</v>
      </c>
      <c r="P841" s="8" t="str">
        <f>formatIP(Table1[[#This Row],[Address B]])</f>
        <v>010.011.009.028</v>
      </c>
      <c r="Q841" s="8" t="str">
        <f>VLOOKUP(Table1[[#This Row],[Address A]],IP_Master[],4,FALSE)</f>
        <v>PPPCFC2</v>
      </c>
      <c r="R841" s="8" t="str">
        <f>VLOOKUP(Table1[[#This Row],[Address B]],IP_Master[],4,FALSE)</f>
        <v>EGX100</v>
      </c>
      <c r="S841" s="8" t="str">
        <f>VLOOKUP(Table1[[#This Row],[Address A]],IP_Master[],2,FALSE)</f>
        <v>Fume Control</v>
      </c>
      <c r="T841" s="8" t="str">
        <f>VLOOKUP(Table1[[#This Row],[Address B]],IP_Master[],2,FALSE)</f>
        <v>Miscellaneous</v>
      </c>
      <c r="U841" s="9" t="str">
        <f>VLOOKUP(Table1[[#This Row],[Address A]],IP_Master[],3,FALSE)</f>
        <v>iFIX Nodes &amp; Ethernet Switches</v>
      </c>
      <c r="V841" s="9" t="str">
        <f>VLOOKUP(Table1[[#This Row],[Address B]],IP_Master[],3,FALSE)</f>
        <v>iFIX Nodes &amp; Ethernet Switches</v>
      </c>
      <c r="W841" s="9" t="str">
        <f>VLOOKUP(Table1[[#This Row],[Port B]],traffic_types[],2,FALSE)</f>
        <v>Modbus</v>
      </c>
    </row>
    <row r="842" spans="1:23" x14ac:dyDescent="0.6">
      <c r="A842" t="s">
        <v>97</v>
      </c>
      <c r="B842">
        <v>2842</v>
      </c>
      <c r="C842" t="s">
        <v>87</v>
      </c>
      <c r="D842">
        <v>502</v>
      </c>
      <c r="E842">
        <v>2</v>
      </c>
      <c r="F842" s="13">
        <v>124</v>
      </c>
      <c r="G842">
        <v>2</v>
      </c>
      <c r="H842">
        <v>124</v>
      </c>
      <c r="I842">
        <v>0</v>
      </c>
      <c r="J842">
        <v>0</v>
      </c>
      <c r="K842">
        <v>761.29843400000004</v>
      </c>
      <c r="L842">
        <v>2.8307009999999799</v>
      </c>
      <c r="M842">
        <v>350.44322943327802</v>
      </c>
      <c r="N842">
        <v>0</v>
      </c>
      <c r="O842" s="8" t="str">
        <f>formatIP(Table1[[#This Row],[Address A]])</f>
        <v>010.012.000.002</v>
      </c>
      <c r="P842" s="8" t="str">
        <f>formatIP(Table1[[#This Row],[Address B]])</f>
        <v>010.011.009.028</v>
      </c>
      <c r="Q842" s="8" t="str">
        <f>VLOOKUP(Table1[[#This Row],[Address A]],IP_Master[],4,FALSE)</f>
        <v>PPPCFC2</v>
      </c>
      <c r="R842" s="8" t="str">
        <f>VLOOKUP(Table1[[#This Row],[Address B]],IP_Master[],4,FALSE)</f>
        <v>EGX100</v>
      </c>
      <c r="S842" s="8" t="str">
        <f>VLOOKUP(Table1[[#This Row],[Address A]],IP_Master[],2,FALSE)</f>
        <v>Fume Control</v>
      </c>
      <c r="T842" s="8" t="str">
        <f>VLOOKUP(Table1[[#This Row],[Address B]],IP_Master[],2,FALSE)</f>
        <v>Miscellaneous</v>
      </c>
      <c r="U842" s="9" t="str">
        <f>VLOOKUP(Table1[[#This Row],[Address A]],IP_Master[],3,FALSE)</f>
        <v>iFIX Nodes &amp; Ethernet Switches</v>
      </c>
      <c r="V842" s="9" t="str">
        <f>VLOOKUP(Table1[[#This Row],[Address B]],IP_Master[],3,FALSE)</f>
        <v>iFIX Nodes &amp; Ethernet Switches</v>
      </c>
      <c r="W842" s="9" t="str">
        <f>VLOOKUP(Table1[[#This Row],[Port B]],traffic_types[],2,FALSE)</f>
        <v>Modbus</v>
      </c>
    </row>
    <row r="843" spans="1:23" x14ac:dyDescent="0.6">
      <c r="A843" t="s">
        <v>97</v>
      </c>
      <c r="B843">
        <v>2843</v>
      </c>
      <c r="C843" t="s">
        <v>87</v>
      </c>
      <c r="D843">
        <v>502</v>
      </c>
      <c r="E843">
        <v>1</v>
      </c>
      <c r="F843" s="13">
        <v>62</v>
      </c>
      <c r="G843">
        <v>1</v>
      </c>
      <c r="H843">
        <v>62</v>
      </c>
      <c r="I843">
        <v>0</v>
      </c>
      <c r="J843">
        <v>0</v>
      </c>
      <c r="K843">
        <v>762.08661500000005</v>
      </c>
      <c r="L843">
        <v>0</v>
      </c>
      <c r="M843">
        <v>0</v>
      </c>
      <c r="N843">
        <v>0</v>
      </c>
      <c r="O843" s="8" t="str">
        <f>formatIP(Table1[[#This Row],[Address A]])</f>
        <v>010.012.000.002</v>
      </c>
      <c r="P843" s="8" t="str">
        <f>formatIP(Table1[[#This Row],[Address B]])</f>
        <v>010.011.009.028</v>
      </c>
      <c r="Q843" s="8" t="str">
        <f>VLOOKUP(Table1[[#This Row],[Address A]],IP_Master[],4,FALSE)</f>
        <v>PPPCFC2</v>
      </c>
      <c r="R843" s="8" t="str">
        <f>VLOOKUP(Table1[[#This Row],[Address B]],IP_Master[],4,FALSE)</f>
        <v>EGX100</v>
      </c>
      <c r="S843" s="8" t="str">
        <f>VLOOKUP(Table1[[#This Row],[Address A]],IP_Master[],2,FALSE)</f>
        <v>Fume Control</v>
      </c>
      <c r="T843" s="8" t="str">
        <f>VLOOKUP(Table1[[#This Row],[Address B]],IP_Master[],2,FALSE)</f>
        <v>Miscellaneous</v>
      </c>
      <c r="U843" s="9" t="str">
        <f>VLOOKUP(Table1[[#This Row],[Address A]],IP_Master[],3,FALSE)</f>
        <v>iFIX Nodes &amp; Ethernet Switches</v>
      </c>
      <c r="V843" s="9" t="str">
        <f>VLOOKUP(Table1[[#This Row],[Address B]],IP_Master[],3,FALSE)</f>
        <v>iFIX Nodes &amp; Ethernet Switches</v>
      </c>
      <c r="W843" s="9" t="str">
        <f>VLOOKUP(Table1[[#This Row],[Port B]],traffic_types[],2,FALSE)</f>
        <v>Modbus</v>
      </c>
    </row>
    <row r="844" spans="1:23" x14ac:dyDescent="0.6">
      <c r="A844" t="s">
        <v>97</v>
      </c>
      <c r="B844">
        <v>2844</v>
      </c>
      <c r="C844" t="s">
        <v>87</v>
      </c>
      <c r="D844">
        <v>502</v>
      </c>
      <c r="E844">
        <v>1</v>
      </c>
      <c r="F844" s="13">
        <v>62</v>
      </c>
      <c r="G844">
        <v>1</v>
      </c>
      <c r="H844">
        <v>62</v>
      </c>
      <c r="I844">
        <v>0</v>
      </c>
      <c r="J844">
        <v>0</v>
      </c>
      <c r="K844">
        <v>762.22715500000004</v>
      </c>
      <c r="L844">
        <v>0</v>
      </c>
      <c r="M844">
        <v>0</v>
      </c>
      <c r="N844">
        <v>0</v>
      </c>
      <c r="O844" s="8" t="str">
        <f>formatIP(Table1[[#This Row],[Address A]])</f>
        <v>010.012.000.002</v>
      </c>
      <c r="P844" s="8" t="str">
        <f>formatIP(Table1[[#This Row],[Address B]])</f>
        <v>010.011.009.028</v>
      </c>
      <c r="Q844" s="8" t="str">
        <f>VLOOKUP(Table1[[#This Row],[Address A]],IP_Master[],4,FALSE)</f>
        <v>PPPCFC2</v>
      </c>
      <c r="R844" s="8" t="str">
        <f>VLOOKUP(Table1[[#This Row],[Address B]],IP_Master[],4,FALSE)</f>
        <v>EGX100</v>
      </c>
      <c r="S844" s="8" t="str">
        <f>VLOOKUP(Table1[[#This Row],[Address A]],IP_Master[],2,FALSE)</f>
        <v>Fume Control</v>
      </c>
      <c r="T844" s="8" t="str">
        <f>VLOOKUP(Table1[[#This Row],[Address B]],IP_Master[],2,FALSE)</f>
        <v>Miscellaneous</v>
      </c>
      <c r="U844" s="9" t="str">
        <f>VLOOKUP(Table1[[#This Row],[Address A]],IP_Master[],3,FALSE)</f>
        <v>iFIX Nodes &amp; Ethernet Switches</v>
      </c>
      <c r="V844" s="9" t="str">
        <f>VLOOKUP(Table1[[#This Row],[Address B]],IP_Master[],3,FALSE)</f>
        <v>iFIX Nodes &amp; Ethernet Switches</v>
      </c>
      <c r="W844" s="9" t="str">
        <f>VLOOKUP(Table1[[#This Row],[Port B]],traffic_types[],2,FALSE)</f>
        <v>Modbus</v>
      </c>
    </row>
    <row r="845" spans="1:23" x14ac:dyDescent="0.6">
      <c r="A845" t="s">
        <v>97</v>
      </c>
      <c r="B845">
        <v>2845</v>
      </c>
      <c r="C845" t="s">
        <v>87</v>
      </c>
      <c r="D845">
        <v>502</v>
      </c>
      <c r="E845">
        <v>1</v>
      </c>
      <c r="F845" s="13">
        <v>62</v>
      </c>
      <c r="G845">
        <v>1</v>
      </c>
      <c r="H845">
        <v>62</v>
      </c>
      <c r="I845">
        <v>0</v>
      </c>
      <c r="J845">
        <v>0</v>
      </c>
      <c r="K845">
        <v>762.74284299999999</v>
      </c>
      <c r="L845">
        <v>0</v>
      </c>
      <c r="M845">
        <v>0</v>
      </c>
      <c r="N845">
        <v>0</v>
      </c>
      <c r="O845" s="8" t="str">
        <f>formatIP(Table1[[#This Row],[Address A]])</f>
        <v>010.012.000.002</v>
      </c>
      <c r="P845" s="8" t="str">
        <f>formatIP(Table1[[#This Row],[Address B]])</f>
        <v>010.011.009.028</v>
      </c>
      <c r="Q845" s="8" t="str">
        <f>VLOOKUP(Table1[[#This Row],[Address A]],IP_Master[],4,FALSE)</f>
        <v>PPPCFC2</v>
      </c>
      <c r="R845" s="8" t="str">
        <f>VLOOKUP(Table1[[#This Row],[Address B]],IP_Master[],4,FALSE)</f>
        <v>EGX100</v>
      </c>
      <c r="S845" s="8" t="str">
        <f>VLOOKUP(Table1[[#This Row],[Address A]],IP_Master[],2,FALSE)</f>
        <v>Fume Control</v>
      </c>
      <c r="T845" s="8" t="str">
        <f>VLOOKUP(Table1[[#This Row],[Address B]],IP_Master[],2,FALSE)</f>
        <v>Miscellaneous</v>
      </c>
      <c r="U845" s="9" t="str">
        <f>VLOOKUP(Table1[[#This Row],[Address A]],IP_Master[],3,FALSE)</f>
        <v>iFIX Nodes &amp; Ethernet Switches</v>
      </c>
      <c r="V845" s="9" t="str">
        <f>VLOOKUP(Table1[[#This Row],[Address B]],IP_Master[],3,FALSE)</f>
        <v>iFIX Nodes &amp; Ethernet Switches</v>
      </c>
      <c r="W845" s="9" t="str">
        <f>VLOOKUP(Table1[[#This Row],[Port B]],traffic_types[],2,FALSE)</f>
        <v>Modbus</v>
      </c>
    </row>
    <row r="846" spans="1:23" x14ac:dyDescent="0.6">
      <c r="A846" t="s">
        <v>97</v>
      </c>
      <c r="B846">
        <v>2846</v>
      </c>
      <c r="C846" t="s">
        <v>87</v>
      </c>
      <c r="D846">
        <v>502</v>
      </c>
      <c r="E846">
        <v>1</v>
      </c>
      <c r="F846" s="13">
        <v>62</v>
      </c>
      <c r="G846">
        <v>1</v>
      </c>
      <c r="H846">
        <v>62</v>
      </c>
      <c r="I846">
        <v>0</v>
      </c>
      <c r="J846">
        <v>0</v>
      </c>
      <c r="K846">
        <v>764.30534</v>
      </c>
      <c r="L846">
        <v>0</v>
      </c>
      <c r="M846">
        <v>0</v>
      </c>
      <c r="N846">
        <v>0</v>
      </c>
      <c r="O846" s="8" t="str">
        <f>formatIP(Table1[[#This Row],[Address A]])</f>
        <v>010.012.000.002</v>
      </c>
      <c r="P846" s="8" t="str">
        <f>formatIP(Table1[[#This Row],[Address B]])</f>
        <v>010.011.009.028</v>
      </c>
      <c r="Q846" s="8" t="str">
        <f>VLOOKUP(Table1[[#This Row],[Address A]],IP_Master[],4,FALSE)</f>
        <v>PPPCFC2</v>
      </c>
      <c r="R846" s="8" t="str">
        <f>VLOOKUP(Table1[[#This Row],[Address B]],IP_Master[],4,FALSE)</f>
        <v>EGX100</v>
      </c>
      <c r="S846" s="8" t="str">
        <f>VLOOKUP(Table1[[#This Row],[Address A]],IP_Master[],2,FALSE)</f>
        <v>Fume Control</v>
      </c>
      <c r="T846" s="8" t="str">
        <f>VLOOKUP(Table1[[#This Row],[Address B]],IP_Master[],2,FALSE)</f>
        <v>Miscellaneous</v>
      </c>
      <c r="U846" s="9" t="str">
        <f>VLOOKUP(Table1[[#This Row],[Address A]],IP_Master[],3,FALSE)</f>
        <v>iFIX Nodes &amp; Ethernet Switches</v>
      </c>
      <c r="V846" s="9" t="str">
        <f>VLOOKUP(Table1[[#This Row],[Address B]],IP_Master[],3,FALSE)</f>
        <v>iFIX Nodes &amp; Ethernet Switches</v>
      </c>
      <c r="W846" s="9" t="str">
        <f>VLOOKUP(Table1[[#This Row],[Port B]],traffic_types[],2,FALSE)</f>
        <v>Modbus</v>
      </c>
    </row>
    <row r="847" spans="1:23" x14ac:dyDescent="0.6">
      <c r="A847" t="s">
        <v>97</v>
      </c>
      <c r="B847">
        <v>2852</v>
      </c>
      <c r="C847" t="s">
        <v>87</v>
      </c>
      <c r="D847">
        <v>502</v>
      </c>
      <c r="E847">
        <v>2</v>
      </c>
      <c r="F847" s="13">
        <v>124</v>
      </c>
      <c r="G847">
        <v>2</v>
      </c>
      <c r="H847">
        <v>124</v>
      </c>
      <c r="I847">
        <v>0</v>
      </c>
      <c r="J847">
        <v>0</v>
      </c>
      <c r="K847">
        <v>790.93273999999997</v>
      </c>
      <c r="L847">
        <v>2.9698789999999899</v>
      </c>
      <c r="M847">
        <v>334.02034224290003</v>
      </c>
      <c r="N847">
        <v>0</v>
      </c>
      <c r="O847" s="8" t="str">
        <f>formatIP(Table1[[#This Row],[Address A]])</f>
        <v>010.012.000.002</v>
      </c>
      <c r="P847" s="8" t="str">
        <f>formatIP(Table1[[#This Row],[Address B]])</f>
        <v>010.011.009.028</v>
      </c>
      <c r="Q847" s="8" t="str">
        <f>VLOOKUP(Table1[[#This Row],[Address A]],IP_Master[],4,FALSE)</f>
        <v>PPPCFC2</v>
      </c>
      <c r="R847" s="8" t="str">
        <f>VLOOKUP(Table1[[#This Row],[Address B]],IP_Master[],4,FALSE)</f>
        <v>EGX100</v>
      </c>
      <c r="S847" s="8" t="str">
        <f>VLOOKUP(Table1[[#This Row],[Address A]],IP_Master[],2,FALSE)</f>
        <v>Fume Control</v>
      </c>
      <c r="T847" s="8" t="str">
        <f>VLOOKUP(Table1[[#This Row],[Address B]],IP_Master[],2,FALSE)</f>
        <v>Miscellaneous</v>
      </c>
      <c r="U847" s="9" t="str">
        <f>VLOOKUP(Table1[[#This Row],[Address A]],IP_Master[],3,FALSE)</f>
        <v>iFIX Nodes &amp; Ethernet Switches</v>
      </c>
      <c r="V847" s="9" t="str">
        <f>VLOOKUP(Table1[[#This Row],[Address B]],IP_Master[],3,FALSE)</f>
        <v>iFIX Nodes &amp; Ethernet Switches</v>
      </c>
      <c r="W847" s="9" t="str">
        <f>VLOOKUP(Table1[[#This Row],[Port B]],traffic_types[],2,FALSE)</f>
        <v>Modbus</v>
      </c>
    </row>
    <row r="848" spans="1:23" x14ac:dyDescent="0.6">
      <c r="A848" t="s">
        <v>97</v>
      </c>
      <c r="B848">
        <v>2853</v>
      </c>
      <c r="C848" t="s">
        <v>87</v>
      </c>
      <c r="D848">
        <v>502</v>
      </c>
      <c r="E848">
        <v>2</v>
      </c>
      <c r="F848" s="13">
        <v>124</v>
      </c>
      <c r="G848">
        <v>2</v>
      </c>
      <c r="H848">
        <v>124</v>
      </c>
      <c r="I848">
        <v>0</v>
      </c>
      <c r="J848">
        <v>0</v>
      </c>
      <c r="K848">
        <v>792.08951300000001</v>
      </c>
      <c r="L848">
        <v>2.9195449999999701</v>
      </c>
      <c r="M848">
        <v>339.77897240837501</v>
      </c>
      <c r="N848">
        <v>0</v>
      </c>
      <c r="O848" s="8" t="str">
        <f>formatIP(Table1[[#This Row],[Address A]])</f>
        <v>010.012.000.002</v>
      </c>
      <c r="P848" s="8" t="str">
        <f>formatIP(Table1[[#This Row],[Address B]])</f>
        <v>010.011.009.028</v>
      </c>
      <c r="Q848" s="8" t="str">
        <f>VLOOKUP(Table1[[#This Row],[Address A]],IP_Master[],4,FALSE)</f>
        <v>PPPCFC2</v>
      </c>
      <c r="R848" s="8" t="str">
        <f>VLOOKUP(Table1[[#This Row],[Address B]],IP_Master[],4,FALSE)</f>
        <v>EGX100</v>
      </c>
      <c r="S848" s="8" t="str">
        <f>VLOOKUP(Table1[[#This Row],[Address A]],IP_Master[],2,FALSE)</f>
        <v>Fume Control</v>
      </c>
      <c r="T848" s="8" t="str">
        <f>VLOOKUP(Table1[[#This Row],[Address B]],IP_Master[],2,FALSE)</f>
        <v>Miscellaneous</v>
      </c>
      <c r="U848" s="9" t="str">
        <f>VLOOKUP(Table1[[#This Row],[Address A]],IP_Master[],3,FALSE)</f>
        <v>iFIX Nodes &amp; Ethernet Switches</v>
      </c>
      <c r="V848" s="9" t="str">
        <f>VLOOKUP(Table1[[#This Row],[Address B]],IP_Master[],3,FALSE)</f>
        <v>iFIX Nodes &amp; Ethernet Switches</v>
      </c>
      <c r="W848" s="9" t="str">
        <f>VLOOKUP(Table1[[#This Row],[Port B]],traffic_types[],2,FALSE)</f>
        <v>Modbus</v>
      </c>
    </row>
    <row r="849" spans="1:23" x14ac:dyDescent="0.6">
      <c r="A849" t="s">
        <v>97</v>
      </c>
      <c r="B849">
        <v>2854</v>
      </c>
      <c r="C849" t="s">
        <v>87</v>
      </c>
      <c r="D849">
        <v>502</v>
      </c>
      <c r="E849">
        <v>2</v>
      </c>
      <c r="F849" s="13">
        <v>124</v>
      </c>
      <c r="G849">
        <v>2</v>
      </c>
      <c r="H849">
        <v>124</v>
      </c>
      <c r="I849">
        <v>0</v>
      </c>
      <c r="J849">
        <v>0</v>
      </c>
      <c r="K849">
        <v>792.230951</v>
      </c>
      <c r="L849">
        <v>2.9793079999999499</v>
      </c>
      <c r="M849">
        <v>332.96322501735898</v>
      </c>
      <c r="N849">
        <v>0</v>
      </c>
      <c r="O849" s="8" t="str">
        <f>formatIP(Table1[[#This Row],[Address A]])</f>
        <v>010.012.000.002</v>
      </c>
      <c r="P849" s="8" t="str">
        <f>formatIP(Table1[[#This Row],[Address B]])</f>
        <v>010.011.009.028</v>
      </c>
      <c r="Q849" s="8" t="str">
        <f>VLOOKUP(Table1[[#This Row],[Address A]],IP_Master[],4,FALSE)</f>
        <v>PPPCFC2</v>
      </c>
      <c r="R849" s="8" t="str">
        <f>VLOOKUP(Table1[[#This Row],[Address B]],IP_Master[],4,FALSE)</f>
        <v>EGX100</v>
      </c>
      <c r="S849" s="8" t="str">
        <f>VLOOKUP(Table1[[#This Row],[Address A]],IP_Master[],2,FALSE)</f>
        <v>Fume Control</v>
      </c>
      <c r="T849" s="8" t="str">
        <f>VLOOKUP(Table1[[#This Row],[Address B]],IP_Master[],2,FALSE)</f>
        <v>Miscellaneous</v>
      </c>
      <c r="U849" s="9" t="str">
        <f>VLOOKUP(Table1[[#This Row],[Address A]],IP_Master[],3,FALSE)</f>
        <v>iFIX Nodes &amp; Ethernet Switches</v>
      </c>
      <c r="V849" s="9" t="str">
        <f>VLOOKUP(Table1[[#This Row],[Address B]],IP_Master[],3,FALSE)</f>
        <v>iFIX Nodes &amp; Ethernet Switches</v>
      </c>
      <c r="W849" s="9" t="str">
        <f>VLOOKUP(Table1[[#This Row],[Port B]],traffic_types[],2,FALSE)</f>
        <v>Modbus</v>
      </c>
    </row>
    <row r="850" spans="1:23" x14ac:dyDescent="0.6">
      <c r="A850" t="s">
        <v>97</v>
      </c>
      <c r="B850">
        <v>2855</v>
      </c>
      <c r="C850" t="s">
        <v>87</v>
      </c>
      <c r="D850">
        <v>502</v>
      </c>
      <c r="E850">
        <v>2</v>
      </c>
      <c r="F850" s="13">
        <v>124</v>
      </c>
      <c r="G850">
        <v>2</v>
      </c>
      <c r="H850">
        <v>124</v>
      </c>
      <c r="I850">
        <v>0</v>
      </c>
      <c r="J850">
        <v>0</v>
      </c>
      <c r="K850">
        <v>792.75176099999999</v>
      </c>
      <c r="L850">
        <v>2.9614159999999901</v>
      </c>
      <c r="M850">
        <v>334.97489039027403</v>
      </c>
      <c r="N850">
        <v>0</v>
      </c>
      <c r="O850" s="8" t="str">
        <f>formatIP(Table1[[#This Row],[Address A]])</f>
        <v>010.012.000.002</v>
      </c>
      <c r="P850" s="8" t="str">
        <f>formatIP(Table1[[#This Row],[Address B]])</f>
        <v>010.011.009.028</v>
      </c>
      <c r="Q850" s="8" t="str">
        <f>VLOOKUP(Table1[[#This Row],[Address A]],IP_Master[],4,FALSE)</f>
        <v>PPPCFC2</v>
      </c>
      <c r="R850" s="8" t="str">
        <f>VLOOKUP(Table1[[#This Row],[Address B]],IP_Master[],4,FALSE)</f>
        <v>EGX100</v>
      </c>
      <c r="S850" s="8" t="str">
        <f>VLOOKUP(Table1[[#This Row],[Address A]],IP_Master[],2,FALSE)</f>
        <v>Fume Control</v>
      </c>
      <c r="T850" s="8" t="str">
        <f>VLOOKUP(Table1[[#This Row],[Address B]],IP_Master[],2,FALSE)</f>
        <v>Miscellaneous</v>
      </c>
      <c r="U850" s="9" t="str">
        <f>VLOOKUP(Table1[[#This Row],[Address A]],IP_Master[],3,FALSE)</f>
        <v>iFIX Nodes &amp; Ethernet Switches</v>
      </c>
      <c r="V850" s="9" t="str">
        <f>VLOOKUP(Table1[[#This Row],[Address B]],IP_Master[],3,FALSE)</f>
        <v>iFIX Nodes &amp; Ethernet Switches</v>
      </c>
      <c r="W850" s="9" t="str">
        <f>VLOOKUP(Table1[[#This Row],[Port B]],traffic_types[],2,FALSE)</f>
        <v>Modbus</v>
      </c>
    </row>
    <row r="851" spans="1:23" x14ac:dyDescent="0.6">
      <c r="A851" t="s">
        <v>97</v>
      </c>
      <c r="B851">
        <v>2856</v>
      </c>
      <c r="C851" t="s">
        <v>87</v>
      </c>
      <c r="D851">
        <v>502</v>
      </c>
      <c r="E851">
        <v>1</v>
      </c>
      <c r="F851" s="13">
        <v>62</v>
      </c>
      <c r="G851">
        <v>1</v>
      </c>
      <c r="H851">
        <v>62</v>
      </c>
      <c r="I851">
        <v>0</v>
      </c>
      <c r="J851">
        <v>0</v>
      </c>
      <c r="K851">
        <v>793.94596799999999</v>
      </c>
      <c r="L851">
        <v>0</v>
      </c>
      <c r="M851">
        <v>0</v>
      </c>
      <c r="N851">
        <v>0</v>
      </c>
      <c r="O851" s="8" t="str">
        <f>formatIP(Table1[[#This Row],[Address A]])</f>
        <v>010.012.000.002</v>
      </c>
      <c r="P851" s="8" t="str">
        <f>formatIP(Table1[[#This Row],[Address B]])</f>
        <v>010.011.009.028</v>
      </c>
      <c r="Q851" s="8" t="str">
        <f>VLOOKUP(Table1[[#This Row],[Address A]],IP_Master[],4,FALSE)</f>
        <v>PPPCFC2</v>
      </c>
      <c r="R851" s="8" t="str">
        <f>VLOOKUP(Table1[[#This Row],[Address B]],IP_Master[],4,FALSE)</f>
        <v>EGX100</v>
      </c>
      <c r="S851" s="8" t="str">
        <f>VLOOKUP(Table1[[#This Row],[Address A]],IP_Master[],2,FALSE)</f>
        <v>Fume Control</v>
      </c>
      <c r="T851" s="8" t="str">
        <f>VLOOKUP(Table1[[#This Row],[Address B]],IP_Master[],2,FALSE)</f>
        <v>Miscellaneous</v>
      </c>
      <c r="U851" s="9" t="str">
        <f>VLOOKUP(Table1[[#This Row],[Address A]],IP_Master[],3,FALSE)</f>
        <v>iFIX Nodes &amp; Ethernet Switches</v>
      </c>
      <c r="V851" s="9" t="str">
        <f>VLOOKUP(Table1[[#This Row],[Address B]],IP_Master[],3,FALSE)</f>
        <v>iFIX Nodes &amp; Ethernet Switches</v>
      </c>
      <c r="W851" s="9" t="str">
        <f>VLOOKUP(Table1[[#This Row],[Port B]],traffic_types[],2,FALSE)</f>
        <v>Modbus</v>
      </c>
    </row>
    <row r="852" spans="1:23" x14ac:dyDescent="0.6">
      <c r="A852" t="s">
        <v>97</v>
      </c>
      <c r="B852">
        <v>2857</v>
      </c>
      <c r="C852" t="s">
        <v>87</v>
      </c>
      <c r="D852">
        <v>502</v>
      </c>
      <c r="E852">
        <v>1</v>
      </c>
      <c r="F852" s="13">
        <v>62</v>
      </c>
      <c r="G852">
        <v>1</v>
      </c>
      <c r="H852">
        <v>62</v>
      </c>
      <c r="I852">
        <v>0</v>
      </c>
      <c r="J852">
        <v>0</v>
      </c>
      <c r="K852">
        <v>794.31290999999999</v>
      </c>
      <c r="L852">
        <v>0</v>
      </c>
      <c r="M852">
        <v>0</v>
      </c>
      <c r="N852">
        <v>0</v>
      </c>
      <c r="O852" s="8" t="str">
        <f>formatIP(Table1[[#This Row],[Address A]])</f>
        <v>010.012.000.002</v>
      </c>
      <c r="P852" s="8" t="str">
        <f>formatIP(Table1[[#This Row],[Address B]])</f>
        <v>010.011.009.028</v>
      </c>
      <c r="Q852" s="8" t="str">
        <f>VLOOKUP(Table1[[#This Row],[Address A]],IP_Master[],4,FALSE)</f>
        <v>PPPCFC2</v>
      </c>
      <c r="R852" s="8" t="str">
        <f>VLOOKUP(Table1[[#This Row],[Address B]],IP_Master[],4,FALSE)</f>
        <v>EGX100</v>
      </c>
      <c r="S852" s="8" t="str">
        <f>VLOOKUP(Table1[[#This Row],[Address A]],IP_Master[],2,FALSE)</f>
        <v>Fume Control</v>
      </c>
      <c r="T852" s="8" t="str">
        <f>VLOOKUP(Table1[[#This Row],[Address B]],IP_Master[],2,FALSE)</f>
        <v>Miscellaneous</v>
      </c>
      <c r="U852" s="9" t="str">
        <f>VLOOKUP(Table1[[#This Row],[Address A]],IP_Master[],3,FALSE)</f>
        <v>iFIX Nodes &amp; Ethernet Switches</v>
      </c>
      <c r="V852" s="9" t="str">
        <f>VLOOKUP(Table1[[#This Row],[Address B]],IP_Master[],3,FALSE)</f>
        <v>iFIX Nodes &amp; Ethernet Switches</v>
      </c>
      <c r="W852" s="9" t="str">
        <f>VLOOKUP(Table1[[#This Row],[Port B]],traffic_types[],2,FALSE)</f>
        <v>Modbus</v>
      </c>
    </row>
    <row r="853" spans="1:23" x14ac:dyDescent="0.6">
      <c r="A853" t="s">
        <v>97</v>
      </c>
      <c r="B853">
        <v>2858</v>
      </c>
      <c r="C853" t="s">
        <v>87</v>
      </c>
      <c r="D853">
        <v>502</v>
      </c>
      <c r="E853">
        <v>1</v>
      </c>
      <c r="F853" s="13">
        <v>62</v>
      </c>
      <c r="G853">
        <v>1</v>
      </c>
      <c r="H853">
        <v>62</v>
      </c>
      <c r="I853">
        <v>0</v>
      </c>
      <c r="J853">
        <v>0</v>
      </c>
      <c r="K853">
        <v>795.10226599999999</v>
      </c>
      <c r="L853">
        <v>0</v>
      </c>
      <c r="M853">
        <v>0</v>
      </c>
      <c r="N853">
        <v>0</v>
      </c>
      <c r="O853" s="8" t="str">
        <f>formatIP(Table1[[#This Row],[Address A]])</f>
        <v>010.012.000.002</v>
      </c>
      <c r="P853" s="8" t="str">
        <f>formatIP(Table1[[#This Row],[Address B]])</f>
        <v>010.011.009.028</v>
      </c>
      <c r="Q853" s="8" t="str">
        <f>VLOOKUP(Table1[[#This Row],[Address A]],IP_Master[],4,FALSE)</f>
        <v>PPPCFC2</v>
      </c>
      <c r="R853" s="8" t="str">
        <f>VLOOKUP(Table1[[#This Row],[Address B]],IP_Master[],4,FALSE)</f>
        <v>EGX100</v>
      </c>
      <c r="S853" s="8" t="str">
        <f>VLOOKUP(Table1[[#This Row],[Address A]],IP_Master[],2,FALSE)</f>
        <v>Fume Control</v>
      </c>
      <c r="T853" s="8" t="str">
        <f>VLOOKUP(Table1[[#This Row],[Address B]],IP_Master[],2,FALSE)</f>
        <v>Miscellaneous</v>
      </c>
      <c r="U853" s="9" t="str">
        <f>VLOOKUP(Table1[[#This Row],[Address A]],IP_Master[],3,FALSE)</f>
        <v>iFIX Nodes &amp; Ethernet Switches</v>
      </c>
      <c r="V853" s="9" t="str">
        <f>VLOOKUP(Table1[[#This Row],[Address B]],IP_Master[],3,FALSE)</f>
        <v>iFIX Nodes &amp; Ethernet Switches</v>
      </c>
      <c r="W853" s="9" t="str">
        <f>VLOOKUP(Table1[[#This Row],[Port B]],traffic_types[],2,FALSE)</f>
        <v>Modbus</v>
      </c>
    </row>
    <row r="854" spans="1:23" x14ac:dyDescent="0.6">
      <c r="A854" t="s">
        <v>97</v>
      </c>
      <c r="B854">
        <v>2859</v>
      </c>
      <c r="C854" t="s">
        <v>87</v>
      </c>
      <c r="D854">
        <v>502</v>
      </c>
      <c r="E854">
        <v>1</v>
      </c>
      <c r="F854" s="13">
        <v>62</v>
      </c>
      <c r="G854">
        <v>1</v>
      </c>
      <c r="H854">
        <v>62</v>
      </c>
      <c r="I854">
        <v>0</v>
      </c>
      <c r="J854">
        <v>0</v>
      </c>
      <c r="K854">
        <v>795.24282200000005</v>
      </c>
      <c r="L854">
        <v>0</v>
      </c>
      <c r="M854">
        <v>0</v>
      </c>
      <c r="N854">
        <v>0</v>
      </c>
      <c r="O854" s="8" t="str">
        <f>formatIP(Table1[[#This Row],[Address A]])</f>
        <v>010.012.000.002</v>
      </c>
      <c r="P854" s="8" t="str">
        <f>formatIP(Table1[[#This Row],[Address B]])</f>
        <v>010.011.009.028</v>
      </c>
      <c r="Q854" s="8" t="str">
        <f>VLOOKUP(Table1[[#This Row],[Address A]],IP_Master[],4,FALSE)</f>
        <v>PPPCFC2</v>
      </c>
      <c r="R854" s="8" t="str">
        <f>VLOOKUP(Table1[[#This Row],[Address B]],IP_Master[],4,FALSE)</f>
        <v>EGX100</v>
      </c>
      <c r="S854" s="8" t="str">
        <f>VLOOKUP(Table1[[#This Row],[Address A]],IP_Master[],2,FALSE)</f>
        <v>Fume Control</v>
      </c>
      <c r="T854" s="8" t="str">
        <f>VLOOKUP(Table1[[#This Row],[Address B]],IP_Master[],2,FALSE)</f>
        <v>Miscellaneous</v>
      </c>
      <c r="U854" s="9" t="str">
        <f>VLOOKUP(Table1[[#This Row],[Address A]],IP_Master[],3,FALSE)</f>
        <v>iFIX Nodes &amp; Ethernet Switches</v>
      </c>
      <c r="V854" s="9" t="str">
        <f>VLOOKUP(Table1[[#This Row],[Address B]],IP_Master[],3,FALSE)</f>
        <v>iFIX Nodes &amp; Ethernet Switches</v>
      </c>
      <c r="W854" s="9" t="str">
        <f>VLOOKUP(Table1[[#This Row],[Port B]],traffic_types[],2,FALSE)</f>
        <v>Modbus</v>
      </c>
    </row>
    <row r="855" spans="1:23" x14ac:dyDescent="0.6">
      <c r="A855" t="s">
        <v>97</v>
      </c>
      <c r="B855">
        <v>2860</v>
      </c>
      <c r="C855" t="s">
        <v>87</v>
      </c>
      <c r="D855">
        <v>502</v>
      </c>
      <c r="E855">
        <v>1</v>
      </c>
      <c r="F855" s="13">
        <v>62</v>
      </c>
      <c r="G855">
        <v>1</v>
      </c>
      <c r="H855">
        <v>62</v>
      </c>
      <c r="I855">
        <v>0</v>
      </c>
      <c r="J855">
        <v>0</v>
      </c>
      <c r="K855">
        <v>795.75854000000004</v>
      </c>
      <c r="L855">
        <v>0</v>
      </c>
      <c r="M855">
        <v>0</v>
      </c>
      <c r="N855">
        <v>0</v>
      </c>
      <c r="O855" s="8" t="str">
        <f>formatIP(Table1[[#This Row],[Address A]])</f>
        <v>010.012.000.002</v>
      </c>
      <c r="P855" s="8" t="str">
        <f>formatIP(Table1[[#This Row],[Address B]])</f>
        <v>010.011.009.028</v>
      </c>
      <c r="Q855" s="8" t="str">
        <f>VLOOKUP(Table1[[#This Row],[Address A]],IP_Master[],4,FALSE)</f>
        <v>PPPCFC2</v>
      </c>
      <c r="R855" s="8" t="str">
        <f>VLOOKUP(Table1[[#This Row],[Address B]],IP_Master[],4,FALSE)</f>
        <v>EGX100</v>
      </c>
      <c r="S855" s="8" t="str">
        <f>VLOOKUP(Table1[[#This Row],[Address A]],IP_Master[],2,FALSE)</f>
        <v>Fume Control</v>
      </c>
      <c r="T855" s="8" t="str">
        <f>VLOOKUP(Table1[[#This Row],[Address B]],IP_Master[],2,FALSE)</f>
        <v>Miscellaneous</v>
      </c>
      <c r="U855" s="9" t="str">
        <f>VLOOKUP(Table1[[#This Row],[Address A]],IP_Master[],3,FALSE)</f>
        <v>iFIX Nodes &amp; Ethernet Switches</v>
      </c>
      <c r="V855" s="9" t="str">
        <f>VLOOKUP(Table1[[#This Row],[Address B]],IP_Master[],3,FALSE)</f>
        <v>iFIX Nodes &amp; Ethernet Switches</v>
      </c>
      <c r="W855" s="9" t="str">
        <f>VLOOKUP(Table1[[#This Row],[Port B]],traffic_types[],2,FALSE)</f>
        <v>Modbus</v>
      </c>
    </row>
    <row r="856" spans="1:23" x14ac:dyDescent="0.6">
      <c r="A856" t="s">
        <v>97</v>
      </c>
      <c r="B856">
        <v>2861</v>
      </c>
      <c r="C856" t="s">
        <v>87</v>
      </c>
      <c r="D856">
        <v>502</v>
      </c>
      <c r="E856">
        <v>1</v>
      </c>
      <c r="F856" s="13">
        <v>62</v>
      </c>
      <c r="G856">
        <v>1</v>
      </c>
      <c r="H856">
        <v>62</v>
      </c>
      <c r="I856">
        <v>0</v>
      </c>
      <c r="J856">
        <v>0</v>
      </c>
      <c r="K856">
        <v>797.32104600000002</v>
      </c>
      <c r="L856">
        <v>0</v>
      </c>
      <c r="M856">
        <v>0</v>
      </c>
      <c r="N856">
        <v>0</v>
      </c>
      <c r="O856" s="8" t="str">
        <f>formatIP(Table1[[#This Row],[Address A]])</f>
        <v>010.012.000.002</v>
      </c>
      <c r="P856" s="8" t="str">
        <f>formatIP(Table1[[#This Row],[Address B]])</f>
        <v>010.011.009.028</v>
      </c>
      <c r="Q856" s="8" t="str">
        <f>VLOOKUP(Table1[[#This Row],[Address A]],IP_Master[],4,FALSE)</f>
        <v>PPPCFC2</v>
      </c>
      <c r="R856" s="8" t="str">
        <f>VLOOKUP(Table1[[#This Row],[Address B]],IP_Master[],4,FALSE)</f>
        <v>EGX100</v>
      </c>
      <c r="S856" s="8" t="str">
        <f>VLOOKUP(Table1[[#This Row],[Address A]],IP_Master[],2,FALSE)</f>
        <v>Fume Control</v>
      </c>
      <c r="T856" s="8" t="str">
        <f>VLOOKUP(Table1[[#This Row],[Address B]],IP_Master[],2,FALSE)</f>
        <v>Miscellaneous</v>
      </c>
      <c r="U856" s="9" t="str">
        <f>VLOOKUP(Table1[[#This Row],[Address A]],IP_Master[],3,FALSE)</f>
        <v>iFIX Nodes &amp; Ethernet Switches</v>
      </c>
      <c r="V856" s="9" t="str">
        <f>VLOOKUP(Table1[[#This Row],[Address B]],IP_Master[],3,FALSE)</f>
        <v>iFIX Nodes &amp; Ethernet Switches</v>
      </c>
      <c r="W856" s="9" t="str">
        <f>VLOOKUP(Table1[[#This Row],[Port B]],traffic_types[],2,FALSE)</f>
        <v>Modbus</v>
      </c>
    </row>
    <row r="857" spans="1:23" x14ac:dyDescent="0.6">
      <c r="A857" t="s">
        <v>97</v>
      </c>
      <c r="B857">
        <v>2867</v>
      </c>
      <c r="C857" t="s">
        <v>87</v>
      </c>
      <c r="D857">
        <v>502</v>
      </c>
      <c r="E857">
        <v>2</v>
      </c>
      <c r="F857" s="13">
        <v>124</v>
      </c>
      <c r="G857">
        <v>2</v>
      </c>
      <c r="H857">
        <v>124</v>
      </c>
      <c r="I857">
        <v>0</v>
      </c>
      <c r="J857">
        <v>0</v>
      </c>
      <c r="K857">
        <v>823.95386699999995</v>
      </c>
      <c r="L857">
        <v>2.9411690000000599</v>
      </c>
      <c r="M857">
        <v>337.280856693369</v>
      </c>
      <c r="N857">
        <v>0</v>
      </c>
      <c r="O857" s="8" t="str">
        <f>formatIP(Table1[[#This Row],[Address A]])</f>
        <v>010.012.000.002</v>
      </c>
      <c r="P857" s="8" t="str">
        <f>formatIP(Table1[[#This Row],[Address B]])</f>
        <v>010.011.009.028</v>
      </c>
      <c r="Q857" s="8" t="str">
        <f>VLOOKUP(Table1[[#This Row],[Address A]],IP_Master[],4,FALSE)</f>
        <v>PPPCFC2</v>
      </c>
      <c r="R857" s="8" t="str">
        <f>VLOOKUP(Table1[[#This Row],[Address B]],IP_Master[],4,FALSE)</f>
        <v>EGX100</v>
      </c>
      <c r="S857" s="8" t="str">
        <f>VLOOKUP(Table1[[#This Row],[Address A]],IP_Master[],2,FALSE)</f>
        <v>Fume Control</v>
      </c>
      <c r="T857" s="8" t="str">
        <f>VLOOKUP(Table1[[#This Row],[Address B]],IP_Master[],2,FALSE)</f>
        <v>Miscellaneous</v>
      </c>
      <c r="U857" s="9" t="str">
        <f>VLOOKUP(Table1[[#This Row],[Address A]],IP_Master[],3,FALSE)</f>
        <v>iFIX Nodes &amp; Ethernet Switches</v>
      </c>
      <c r="V857" s="9" t="str">
        <f>VLOOKUP(Table1[[#This Row],[Address B]],IP_Master[],3,FALSE)</f>
        <v>iFIX Nodes &amp; Ethernet Switches</v>
      </c>
      <c r="W857" s="9" t="str">
        <f>VLOOKUP(Table1[[#This Row],[Port B]],traffic_types[],2,FALSE)</f>
        <v>Modbus</v>
      </c>
    </row>
    <row r="858" spans="1:23" x14ac:dyDescent="0.6">
      <c r="A858" t="s">
        <v>97</v>
      </c>
      <c r="B858">
        <v>2868</v>
      </c>
      <c r="C858" t="s">
        <v>87</v>
      </c>
      <c r="D858">
        <v>502</v>
      </c>
      <c r="E858">
        <v>2</v>
      </c>
      <c r="F858" s="13">
        <v>124</v>
      </c>
      <c r="G858">
        <v>2</v>
      </c>
      <c r="H858">
        <v>124</v>
      </c>
      <c r="I858">
        <v>0</v>
      </c>
      <c r="J858">
        <v>0</v>
      </c>
      <c r="K858">
        <v>825.10723599999994</v>
      </c>
      <c r="L858">
        <v>2.9947260000000102</v>
      </c>
      <c r="M858">
        <v>331.24900241290698</v>
      </c>
      <c r="N858">
        <v>0</v>
      </c>
      <c r="O858" s="8" t="str">
        <f>formatIP(Table1[[#This Row],[Address A]])</f>
        <v>010.012.000.002</v>
      </c>
      <c r="P858" s="8" t="str">
        <f>formatIP(Table1[[#This Row],[Address B]])</f>
        <v>010.011.009.028</v>
      </c>
      <c r="Q858" s="8" t="str">
        <f>VLOOKUP(Table1[[#This Row],[Address A]],IP_Master[],4,FALSE)</f>
        <v>PPPCFC2</v>
      </c>
      <c r="R858" s="8" t="str">
        <f>VLOOKUP(Table1[[#This Row],[Address B]],IP_Master[],4,FALSE)</f>
        <v>EGX100</v>
      </c>
      <c r="S858" s="8" t="str">
        <f>VLOOKUP(Table1[[#This Row],[Address A]],IP_Master[],2,FALSE)</f>
        <v>Fume Control</v>
      </c>
      <c r="T858" s="8" t="str">
        <f>VLOOKUP(Table1[[#This Row],[Address B]],IP_Master[],2,FALSE)</f>
        <v>Miscellaneous</v>
      </c>
      <c r="U858" s="9" t="str">
        <f>VLOOKUP(Table1[[#This Row],[Address A]],IP_Master[],3,FALSE)</f>
        <v>iFIX Nodes &amp; Ethernet Switches</v>
      </c>
      <c r="V858" s="9" t="str">
        <f>VLOOKUP(Table1[[#This Row],[Address B]],IP_Master[],3,FALSE)</f>
        <v>iFIX Nodes &amp; Ethernet Switches</v>
      </c>
      <c r="W858" s="9" t="str">
        <f>VLOOKUP(Table1[[#This Row],[Port B]],traffic_types[],2,FALSE)</f>
        <v>Modbus</v>
      </c>
    </row>
    <row r="859" spans="1:23" x14ac:dyDescent="0.6">
      <c r="A859" t="s">
        <v>97</v>
      </c>
      <c r="B859">
        <v>2869</v>
      </c>
      <c r="C859" t="s">
        <v>87</v>
      </c>
      <c r="D859">
        <v>502</v>
      </c>
      <c r="E859">
        <v>2</v>
      </c>
      <c r="F859" s="13">
        <v>124</v>
      </c>
      <c r="G859">
        <v>2</v>
      </c>
      <c r="H859">
        <v>124</v>
      </c>
      <c r="I859">
        <v>0</v>
      </c>
      <c r="J859">
        <v>0</v>
      </c>
      <c r="K859">
        <v>825.24853900000005</v>
      </c>
      <c r="L859">
        <v>2.9540299999999902</v>
      </c>
      <c r="M859">
        <v>335.812432507457</v>
      </c>
      <c r="N859">
        <v>0</v>
      </c>
      <c r="O859" s="8" t="str">
        <f>formatIP(Table1[[#This Row],[Address A]])</f>
        <v>010.012.000.002</v>
      </c>
      <c r="P859" s="8" t="str">
        <f>formatIP(Table1[[#This Row],[Address B]])</f>
        <v>010.011.009.028</v>
      </c>
      <c r="Q859" s="8" t="str">
        <f>VLOOKUP(Table1[[#This Row],[Address A]],IP_Master[],4,FALSE)</f>
        <v>PPPCFC2</v>
      </c>
      <c r="R859" s="8" t="str">
        <f>VLOOKUP(Table1[[#This Row],[Address B]],IP_Master[],4,FALSE)</f>
        <v>EGX100</v>
      </c>
      <c r="S859" s="8" t="str">
        <f>VLOOKUP(Table1[[#This Row],[Address A]],IP_Master[],2,FALSE)</f>
        <v>Fume Control</v>
      </c>
      <c r="T859" s="8" t="str">
        <f>VLOOKUP(Table1[[#This Row],[Address B]],IP_Master[],2,FALSE)</f>
        <v>Miscellaneous</v>
      </c>
      <c r="U859" s="9" t="str">
        <f>VLOOKUP(Table1[[#This Row],[Address A]],IP_Master[],3,FALSE)</f>
        <v>iFIX Nodes &amp; Ethernet Switches</v>
      </c>
      <c r="V859" s="9" t="str">
        <f>VLOOKUP(Table1[[#This Row],[Address B]],IP_Master[],3,FALSE)</f>
        <v>iFIX Nodes &amp; Ethernet Switches</v>
      </c>
      <c r="W859" s="9" t="str">
        <f>VLOOKUP(Table1[[#This Row],[Port B]],traffic_types[],2,FALSE)</f>
        <v>Modbus</v>
      </c>
    </row>
    <row r="860" spans="1:23" x14ac:dyDescent="0.6">
      <c r="A860" t="s">
        <v>97</v>
      </c>
      <c r="B860">
        <v>2870</v>
      </c>
      <c r="C860" t="s">
        <v>87</v>
      </c>
      <c r="D860">
        <v>502</v>
      </c>
      <c r="E860">
        <v>2</v>
      </c>
      <c r="F860" s="13">
        <v>124</v>
      </c>
      <c r="G860">
        <v>2</v>
      </c>
      <c r="H860">
        <v>124</v>
      </c>
      <c r="I860">
        <v>0</v>
      </c>
      <c r="J860">
        <v>0</v>
      </c>
      <c r="K860">
        <v>825.76977499999998</v>
      </c>
      <c r="L860">
        <v>2.93578300000001</v>
      </c>
      <c r="M860">
        <v>337.899633590083</v>
      </c>
      <c r="N860">
        <v>0</v>
      </c>
      <c r="O860" s="8" t="str">
        <f>formatIP(Table1[[#This Row],[Address A]])</f>
        <v>010.012.000.002</v>
      </c>
      <c r="P860" s="8" t="str">
        <f>formatIP(Table1[[#This Row],[Address B]])</f>
        <v>010.011.009.028</v>
      </c>
      <c r="Q860" s="8" t="str">
        <f>VLOOKUP(Table1[[#This Row],[Address A]],IP_Master[],4,FALSE)</f>
        <v>PPPCFC2</v>
      </c>
      <c r="R860" s="8" t="str">
        <f>VLOOKUP(Table1[[#This Row],[Address B]],IP_Master[],4,FALSE)</f>
        <v>EGX100</v>
      </c>
      <c r="S860" s="8" t="str">
        <f>VLOOKUP(Table1[[#This Row],[Address A]],IP_Master[],2,FALSE)</f>
        <v>Fume Control</v>
      </c>
      <c r="T860" s="8" t="str">
        <f>VLOOKUP(Table1[[#This Row],[Address B]],IP_Master[],2,FALSE)</f>
        <v>Miscellaneous</v>
      </c>
      <c r="U860" s="9" t="str">
        <f>VLOOKUP(Table1[[#This Row],[Address A]],IP_Master[],3,FALSE)</f>
        <v>iFIX Nodes &amp; Ethernet Switches</v>
      </c>
      <c r="V860" s="9" t="str">
        <f>VLOOKUP(Table1[[#This Row],[Address B]],IP_Master[],3,FALSE)</f>
        <v>iFIX Nodes &amp; Ethernet Switches</v>
      </c>
      <c r="W860" s="9" t="str">
        <f>VLOOKUP(Table1[[#This Row],[Port B]],traffic_types[],2,FALSE)</f>
        <v>Modbus</v>
      </c>
    </row>
    <row r="861" spans="1:23" x14ac:dyDescent="0.6">
      <c r="A861" t="s">
        <v>97</v>
      </c>
      <c r="B861">
        <v>2871</v>
      </c>
      <c r="C861" t="s">
        <v>87</v>
      </c>
      <c r="D861">
        <v>502</v>
      </c>
      <c r="E861">
        <v>1</v>
      </c>
      <c r="F861" s="13">
        <v>62</v>
      </c>
      <c r="G861">
        <v>1</v>
      </c>
      <c r="H861">
        <v>62</v>
      </c>
      <c r="I861">
        <v>0</v>
      </c>
      <c r="J861">
        <v>0</v>
      </c>
      <c r="K861">
        <v>826.96196799999996</v>
      </c>
      <c r="L861">
        <v>0</v>
      </c>
      <c r="M861">
        <v>0</v>
      </c>
      <c r="N861">
        <v>0</v>
      </c>
      <c r="O861" s="8" t="str">
        <f>formatIP(Table1[[#This Row],[Address A]])</f>
        <v>010.012.000.002</v>
      </c>
      <c r="P861" s="8" t="str">
        <f>formatIP(Table1[[#This Row],[Address B]])</f>
        <v>010.011.009.028</v>
      </c>
      <c r="Q861" s="8" t="str">
        <f>VLOOKUP(Table1[[#This Row],[Address A]],IP_Master[],4,FALSE)</f>
        <v>PPPCFC2</v>
      </c>
      <c r="R861" s="8" t="str">
        <f>VLOOKUP(Table1[[#This Row],[Address B]],IP_Master[],4,FALSE)</f>
        <v>EGX100</v>
      </c>
      <c r="S861" s="8" t="str">
        <f>VLOOKUP(Table1[[#This Row],[Address A]],IP_Master[],2,FALSE)</f>
        <v>Fume Control</v>
      </c>
      <c r="T861" s="8" t="str">
        <f>VLOOKUP(Table1[[#This Row],[Address B]],IP_Master[],2,FALSE)</f>
        <v>Miscellaneous</v>
      </c>
      <c r="U861" s="9" t="str">
        <f>VLOOKUP(Table1[[#This Row],[Address A]],IP_Master[],3,FALSE)</f>
        <v>iFIX Nodes &amp; Ethernet Switches</v>
      </c>
      <c r="V861" s="9" t="str">
        <f>VLOOKUP(Table1[[#This Row],[Address B]],IP_Master[],3,FALSE)</f>
        <v>iFIX Nodes &amp; Ethernet Switches</v>
      </c>
      <c r="W861" s="9" t="str">
        <f>VLOOKUP(Table1[[#This Row],[Port B]],traffic_types[],2,FALSE)</f>
        <v>Modbus</v>
      </c>
    </row>
    <row r="862" spans="1:23" x14ac:dyDescent="0.6">
      <c r="A862" t="s">
        <v>97</v>
      </c>
      <c r="B862">
        <v>2872</v>
      </c>
      <c r="C862" t="s">
        <v>87</v>
      </c>
      <c r="D862">
        <v>502</v>
      </c>
      <c r="E862">
        <v>2</v>
      </c>
      <c r="F862" s="13">
        <v>124</v>
      </c>
      <c r="G862">
        <v>2</v>
      </c>
      <c r="H862">
        <v>124</v>
      </c>
      <c r="I862">
        <v>0</v>
      </c>
      <c r="J862">
        <v>0</v>
      </c>
      <c r="K862">
        <v>827.32983300000001</v>
      </c>
      <c r="L862">
        <v>2.9850450000000102</v>
      </c>
      <c r="M862">
        <v>332.32329830873402</v>
      </c>
      <c r="N862">
        <v>0</v>
      </c>
      <c r="O862" s="8" t="str">
        <f>formatIP(Table1[[#This Row],[Address A]])</f>
        <v>010.012.000.002</v>
      </c>
      <c r="P862" s="8" t="str">
        <f>formatIP(Table1[[#This Row],[Address B]])</f>
        <v>010.011.009.028</v>
      </c>
      <c r="Q862" s="8" t="str">
        <f>VLOOKUP(Table1[[#This Row],[Address A]],IP_Master[],4,FALSE)</f>
        <v>PPPCFC2</v>
      </c>
      <c r="R862" s="8" t="str">
        <f>VLOOKUP(Table1[[#This Row],[Address B]],IP_Master[],4,FALSE)</f>
        <v>EGX100</v>
      </c>
      <c r="S862" s="8" t="str">
        <f>VLOOKUP(Table1[[#This Row],[Address A]],IP_Master[],2,FALSE)</f>
        <v>Fume Control</v>
      </c>
      <c r="T862" s="8" t="str">
        <f>VLOOKUP(Table1[[#This Row],[Address B]],IP_Master[],2,FALSE)</f>
        <v>Miscellaneous</v>
      </c>
      <c r="U862" s="9" t="str">
        <f>VLOOKUP(Table1[[#This Row],[Address A]],IP_Master[],3,FALSE)</f>
        <v>iFIX Nodes &amp; Ethernet Switches</v>
      </c>
      <c r="V862" s="9" t="str">
        <f>VLOOKUP(Table1[[#This Row],[Address B]],IP_Master[],3,FALSE)</f>
        <v>iFIX Nodes &amp; Ethernet Switches</v>
      </c>
      <c r="W862" s="9" t="str">
        <f>VLOOKUP(Table1[[#This Row],[Port B]],traffic_types[],2,FALSE)</f>
        <v>Modbus</v>
      </c>
    </row>
    <row r="863" spans="1:23" x14ac:dyDescent="0.6">
      <c r="A863" t="s">
        <v>97</v>
      </c>
      <c r="B863">
        <v>2873</v>
      </c>
      <c r="C863" t="s">
        <v>87</v>
      </c>
      <c r="D863">
        <v>502</v>
      </c>
      <c r="E863">
        <v>1</v>
      </c>
      <c r="F863" s="13">
        <v>62</v>
      </c>
      <c r="G863">
        <v>1</v>
      </c>
      <c r="H863">
        <v>62</v>
      </c>
      <c r="I863">
        <v>0</v>
      </c>
      <c r="J863">
        <v>0</v>
      </c>
      <c r="K863">
        <v>828.11823900000002</v>
      </c>
      <c r="L863">
        <v>0</v>
      </c>
      <c r="M863">
        <v>0</v>
      </c>
      <c r="N863">
        <v>0</v>
      </c>
      <c r="O863" s="8" t="str">
        <f>formatIP(Table1[[#This Row],[Address A]])</f>
        <v>010.012.000.002</v>
      </c>
      <c r="P863" s="8" t="str">
        <f>formatIP(Table1[[#This Row],[Address B]])</f>
        <v>010.011.009.028</v>
      </c>
      <c r="Q863" s="8" t="str">
        <f>VLOOKUP(Table1[[#This Row],[Address A]],IP_Master[],4,FALSE)</f>
        <v>PPPCFC2</v>
      </c>
      <c r="R863" s="8" t="str">
        <f>VLOOKUP(Table1[[#This Row],[Address B]],IP_Master[],4,FALSE)</f>
        <v>EGX100</v>
      </c>
      <c r="S863" s="8" t="str">
        <f>VLOOKUP(Table1[[#This Row],[Address A]],IP_Master[],2,FALSE)</f>
        <v>Fume Control</v>
      </c>
      <c r="T863" s="8" t="str">
        <f>VLOOKUP(Table1[[#This Row],[Address B]],IP_Master[],2,FALSE)</f>
        <v>Miscellaneous</v>
      </c>
      <c r="U863" s="9" t="str">
        <f>VLOOKUP(Table1[[#This Row],[Address A]],IP_Master[],3,FALSE)</f>
        <v>iFIX Nodes &amp; Ethernet Switches</v>
      </c>
      <c r="V863" s="9" t="str">
        <f>VLOOKUP(Table1[[#This Row],[Address B]],IP_Master[],3,FALSE)</f>
        <v>iFIX Nodes &amp; Ethernet Switches</v>
      </c>
      <c r="W863" s="9" t="str">
        <f>VLOOKUP(Table1[[#This Row],[Port B]],traffic_types[],2,FALSE)</f>
        <v>Modbus</v>
      </c>
    </row>
    <row r="864" spans="1:23" x14ac:dyDescent="0.6">
      <c r="A864" t="s">
        <v>97</v>
      </c>
      <c r="B864">
        <v>2874</v>
      </c>
      <c r="C864" t="s">
        <v>87</v>
      </c>
      <c r="D864">
        <v>502</v>
      </c>
      <c r="E864">
        <v>1</v>
      </c>
      <c r="F864" s="13">
        <v>62</v>
      </c>
      <c r="G864">
        <v>1</v>
      </c>
      <c r="H864">
        <v>62</v>
      </c>
      <c r="I864">
        <v>0</v>
      </c>
      <c r="J864">
        <v>0</v>
      </c>
      <c r="K864">
        <v>828.25858100000005</v>
      </c>
      <c r="L864">
        <v>0</v>
      </c>
      <c r="M864">
        <v>0</v>
      </c>
      <c r="N864">
        <v>0</v>
      </c>
      <c r="O864" s="8" t="str">
        <f>formatIP(Table1[[#This Row],[Address A]])</f>
        <v>010.012.000.002</v>
      </c>
      <c r="P864" s="8" t="str">
        <f>formatIP(Table1[[#This Row],[Address B]])</f>
        <v>010.011.009.028</v>
      </c>
      <c r="Q864" s="8" t="str">
        <f>VLOOKUP(Table1[[#This Row],[Address A]],IP_Master[],4,FALSE)</f>
        <v>PPPCFC2</v>
      </c>
      <c r="R864" s="8" t="str">
        <f>VLOOKUP(Table1[[#This Row],[Address B]],IP_Master[],4,FALSE)</f>
        <v>EGX100</v>
      </c>
      <c r="S864" s="8" t="str">
        <f>VLOOKUP(Table1[[#This Row],[Address A]],IP_Master[],2,FALSE)</f>
        <v>Fume Control</v>
      </c>
      <c r="T864" s="8" t="str">
        <f>VLOOKUP(Table1[[#This Row],[Address B]],IP_Master[],2,FALSE)</f>
        <v>Miscellaneous</v>
      </c>
      <c r="U864" s="9" t="str">
        <f>VLOOKUP(Table1[[#This Row],[Address A]],IP_Master[],3,FALSE)</f>
        <v>iFIX Nodes &amp; Ethernet Switches</v>
      </c>
      <c r="V864" s="9" t="str">
        <f>VLOOKUP(Table1[[#This Row],[Address B]],IP_Master[],3,FALSE)</f>
        <v>iFIX Nodes &amp; Ethernet Switches</v>
      </c>
      <c r="W864" s="9" t="str">
        <f>VLOOKUP(Table1[[#This Row],[Port B]],traffic_types[],2,FALSE)</f>
        <v>Modbus</v>
      </c>
    </row>
    <row r="865" spans="1:23" x14ac:dyDescent="0.6">
      <c r="A865" t="s">
        <v>97</v>
      </c>
      <c r="B865">
        <v>2875</v>
      </c>
      <c r="C865" t="s">
        <v>87</v>
      </c>
      <c r="D865">
        <v>502</v>
      </c>
      <c r="E865">
        <v>1</v>
      </c>
      <c r="F865" s="13">
        <v>62</v>
      </c>
      <c r="G865">
        <v>1</v>
      </c>
      <c r="H865">
        <v>62</v>
      </c>
      <c r="I865">
        <v>0</v>
      </c>
      <c r="J865">
        <v>0</v>
      </c>
      <c r="K865">
        <v>828.77460499999995</v>
      </c>
      <c r="L865">
        <v>0</v>
      </c>
      <c r="M865">
        <v>0</v>
      </c>
      <c r="N865">
        <v>0</v>
      </c>
      <c r="O865" s="8" t="str">
        <f>formatIP(Table1[[#This Row],[Address A]])</f>
        <v>010.012.000.002</v>
      </c>
      <c r="P865" s="8" t="str">
        <f>formatIP(Table1[[#This Row],[Address B]])</f>
        <v>010.011.009.028</v>
      </c>
      <c r="Q865" s="8" t="str">
        <f>VLOOKUP(Table1[[#This Row],[Address A]],IP_Master[],4,FALSE)</f>
        <v>PPPCFC2</v>
      </c>
      <c r="R865" s="8" t="str">
        <f>VLOOKUP(Table1[[#This Row],[Address B]],IP_Master[],4,FALSE)</f>
        <v>EGX100</v>
      </c>
      <c r="S865" s="8" t="str">
        <f>VLOOKUP(Table1[[#This Row],[Address A]],IP_Master[],2,FALSE)</f>
        <v>Fume Control</v>
      </c>
      <c r="T865" s="8" t="str">
        <f>VLOOKUP(Table1[[#This Row],[Address B]],IP_Master[],2,FALSE)</f>
        <v>Miscellaneous</v>
      </c>
      <c r="U865" s="9" t="str">
        <f>VLOOKUP(Table1[[#This Row],[Address A]],IP_Master[],3,FALSE)</f>
        <v>iFIX Nodes &amp; Ethernet Switches</v>
      </c>
      <c r="V865" s="9" t="str">
        <f>VLOOKUP(Table1[[#This Row],[Address B]],IP_Master[],3,FALSE)</f>
        <v>iFIX Nodes &amp; Ethernet Switches</v>
      </c>
      <c r="W865" s="9" t="str">
        <f>VLOOKUP(Table1[[#This Row],[Port B]],traffic_types[],2,FALSE)</f>
        <v>Modbus</v>
      </c>
    </row>
    <row r="866" spans="1:23" x14ac:dyDescent="0.6">
      <c r="A866" t="s">
        <v>97</v>
      </c>
      <c r="B866">
        <v>2876</v>
      </c>
      <c r="C866" t="s">
        <v>87</v>
      </c>
      <c r="D866">
        <v>502</v>
      </c>
      <c r="E866">
        <v>1</v>
      </c>
      <c r="F866" s="13">
        <v>62</v>
      </c>
      <c r="G866">
        <v>1</v>
      </c>
      <c r="H866">
        <v>62</v>
      </c>
      <c r="I866">
        <v>0</v>
      </c>
      <c r="J866">
        <v>0</v>
      </c>
      <c r="K866">
        <v>830.33678799999996</v>
      </c>
      <c r="L866">
        <v>0</v>
      </c>
      <c r="M866">
        <v>0</v>
      </c>
      <c r="N866">
        <v>0</v>
      </c>
      <c r="O866" s="8" t="str">
        <f>formatIP(Table1[[#This Row],[Address A]])</f>
        <v>010.012.000.002</v>
      </c>
      <c r="P866" s="8" t="str">
        <f>formatIP(Table1[[#This Row],[Address B]])</f>
        <v>010.011.009.028</v>
      </c>
      <c r="Q866" s="8" t="str">
        <f>VLOOKUP(Table1[[#This Row],[Address A]],IP_Master[],4,FALSE)</f>
        <v>PPPCFC2</v>
      </c>
      <c r="R866" s="8" t="str">
        <f>VLOOKUP(Table1[[#This Row],[Address B]],IP_Master[],4,FALSE)</f>
        <v>EGX100</v>
      </c>
      <c r="S866" s="8" t="str">
        <f>VLOOKUP(Table1[[#This Row],[Address A]],IP_Master[],2,FALSE)</f>
        <v>Fume Control</v>
      </c>
      <c r="T866" s="8" t="str">
        <f>VLOOKUP(Table1[[#This Row],[Address B]],IP_Master[],2,FALSE)</f>
        <v>Miscellaneous</v>
      </c>
      <c r="U866" s="9" t="str">
        <f>VLOOKUP(Table1[[#This Row],[Address A]],IP_Master[],3,FALSE)</f>
        <v>iFIX Nodes &amp; Ethernet Switches</v>
      </c>
      <c r="V866" s="9" t="str">
        <f>VLOOKUP(Table1[[#This Row],[Address B]],IP_Master[],3,FALSE)</f>
        <v>iFIX Nodes &amp; Ethernet Switches</v>
      </c>
      <c r="W866" s="9" t="str">
        <f>VLOOKUP(Table1[[#This Row],[Port B]],traffic_types[],2,FALSE)</f>
        <v>Modbus</v>
      </c>
    </row>
    <row r="867" spans="1:23" x14ac:dyDescent="0.6">
      <c r="A867" t="s">
        <v>97</v>
      </c>
      <c r="B867">
        <v>2882</v>
      </c>
      <c r="C867" t="s">
        <v>87</v>
      </c>
      <c r="D867">
        <v>502</v>
      </c>
      <c r="E867">
        <v>2</v>
      </c>
      <c r="F867" s="13">
        <v>124</v>
      </c>
      <c r="G867">
        <v>2</v>
      </c>
      <c r="H867">
        <v>124</v>
      </c>
      <c r="I867">
        <v>0</v>
      </c>
      <c r="J867">
        <v>0</v>
      </c>
      <c r="K867">
        <v>856.96668999999997</v>
      </c>
      <c r="L867">
        <v>2.9205719999999902</v>
      </c>
      <c r="M867">
        <v>339.65949135991298</v>
      </c>
      <c r="N867">
        <v>0</v>
      </c>
      <c r="O867" s="8" t="str">
        <f>formatIP(Table1[[#This Row],[Address A]])</f>
        <v>010.012.000.002</v>
      </c>
      <c r="P867" s="8" t="str">
        <f>formatIP(Table1[[#This Row],[Address B]])</f>
        <v>010.011.009.028</v>
      </c>
      <c r="Q867" s="8" t="str">
        <f>VLOOKUP(Table1[[#This Row],[Address A]],IP_Master[],4,FALSE)</f>
        <v>PPPCFC2</v>
      </c>
      <c r="R867" s="8" t="str">
        <f>VLOOKUP(Table1[[#This Row],[Address B]],IP_Master[],4,FALSE)</f>
        <v>EGX100</v>
      </c>
      <c r="S867" s="8" t="str">
        <f>VLOOKUP(Table1[[#This Row],[Address A]],IP_Master[],2,FALSE)</f>
        <v>Fume Control</v>
      </c>
      <c r="T867" s="8" t="str">
        <f>VLOOKUP(Table1[[#This Row],[Address B]],IP_Master[],2,FALSE)</f>
        <v>Miscellaneous</v>
      </c>
      <c r="U867" s="9" t="str">
        <f>VLOOKUP(Table1[[#This Row],[Address A]],IP_Master[],3,FALSE)</f>
        <v>iFIX Nodes &amp; Ethernet Switches</v>
      </c>
      <c r="V867" s="9" t="str">
        <f>VLOOKUP(Table1[[#This Row],[Address B]],IP_Master[],3,FALSE)</f>
        <v>iFIX Nodes &amp; Ethernet Switches</v>
      </c>
      <c r="W867" s="9" t="str">
        <f>VLOOKUP(Table1[[#This Row],[Port B]],traffic_types[],2,FALSE)</f>
        <v>Modbus</v>
      </c>
    </row>
    <row r="868" spans="1:23" x14ac:dyDescent="0.6">
      <c r="A868" t="s">
        <v>97</v>
      </c>
      <c r="B868">
        <v>2883</v>
      </c>
      <c r="C868" t="s">
        <v>87</v>
      </c>
      <c r="D868">
        <v>502</v>
      </c>
      <c r="E868">
        <v>2</v>
      </c>
      <c r="F868" s="13">
        <v>124</v>
      </c>
      <c r="G868">
        <v>2</v>
      </c>
      <c r="H868">
        <v>124</v>
      </c>
      <c r="I868">
        <v>0</v>
      </c>
      <c r="J868">
        <v>0</v>
      </c>
      <c r="K868">
        <v>858.12025800000004</v>
      </c>
      <c r="L868">
        <v>2.9741089999999999</v>
      </c>
      <c r="M868">
        <v>333.54527355924102</v>
      </c>
      <c r="N868">
        <v>0</v>
      </c>
      <c r="O868" s="8" t="str">
        <f>formatIP(Table1[[#This Row],[Address A]])</f>
        <v>010.012.000.002</v>
      </c>
      <c r="P868" s="8" t="str">
        <f>formatIP(Table1[[#This Row],[Address B]])</f>
        <v>010.011.009.028</v>
      </c>
      <c r="Q868" s="8" t="str">
        <f>VLOOKUP(Table1[[#This Row],[Address A]],IP_Master[],4,FALSE)</f>
        <v>PPPCFC2</v>
      </c>
      <c r="R868" s="8" t="str">
        <f>VLOOKUP(Table1[[#This Row],[Address B]],IP_Master[],4,FALSE)</f>
        <v>EGX100</v>
      </c>
      <c r="S868" s="8" t="str">
        <f>VLOOKUP(Table1[[#This Row],[Address A]],IP_Master[],2,FALSE)</f>
        <v>Fume Control</v>
      </c>
      <c r="T868" s="8" t="str">
        <f>VLOOKUP(Table1[[#This Row],[Address B]],IP_Master[],2,FALSE)</f>
        <v>Miscellaneous</v>
      </c>
      <c r="U868" s="9" t="str">
        <f>VLOOKUP(Table1[[#This Row],[Address A]],IP_Master[],3,FALSE)</f>
        <v>iFIX Nodes &amp; Ethernet Switches</v>
      </c>
      <c r="V868" s="9" t="str">
        <f>VLOOKUP(Table1[[#This Row],[Address B]],IP_Master[],3,FALSE)</f>
        <v>iFIX Nodes &amp; Ethernet Switches</v>
      </c>
      <c r="W868" s="9" t="str">
        <f>VLOOKUP(Table1[[#This Row],[Port B]],traffic_types[],2,FALSE)</f>
        <v>Modbus</v>
      </c>
    </row>
    <row r="869" spans="1:23" x14ac:dyDescent="0.6">
      <c r="A869" t="s">
        <v>97</v>
      </c>
      <c r="B869">
        <v>2884</v>
      </c>
      <c r="C869" t="s">
        <v>87</v>
      </c>
      <c r="D869">
        <v>502</v>
      </c>
      <c r="E869">
        <v>2</v>
      </c>
      <c r="F869" s="13">
        <v>124</v>
      </c>
      <c r="G869">
        <v>2</v>
      </c>
      <c r="H869">
        <v>124</v>
      </c>
      <c r="I869">
        <v>0</v>
      </c>
      <c r="J869">
        <v>0</v>
      </c>
      <c r="K869">
        <v>858.26182300000005</v>
      </c>
      <c r="L869">
        <v>2.9331069999999499</v>
      </c>
      <c r="M869">
        <v>338.20791399700602</v>
      </c>
      <c r="N869">
        <v>0</v>
      </c>
      <c r="O869" s="8" t="str">
        <f>formatIP(Table1[[#This Row],[Address A]])</f>
        <v>010.012.000.002</v>
      </c>
      <c r="P869" s="8" t="str">
        <f>formatIP(Table1[[#This Row],[Address B]])</f>
        <v>010.011.009.028</v>
      </c>
      <c r="Q869" s="8" t="str">
        <f>VLOOKUP(Table1[[#This Row],[Address A]],IP_Master[],4,FALSE)</f>
        <v>PPPCFC2</v>
      </c>
      <c r="R869" s="8" t="str">
        <f>VLOOKUP(Table1[[#This Row],[Address B]],IP_Master[],4,FALSE)</f>
        <v>EGX100</v>
      </c>
      <c r="S869" s="8" t="str">
        <f>VLOOKUP(Table1[[#This Row],[Address A]],IP_Master[],2,FALSE)</f>
        <v>Fume Control</v>
      </c>
      <c r="T869" s="8" t="str">
        <f>VLOOKUP(Table1[[#This Row],[Address B]],IP_Master[],2,FALSE)</f>
        <v>Miscellaneous</v>
      </c>
      <c r="U869" s="9" t="str">
        <f>VLOOKUP(Table1[[#This Row],[Address A]],IP_Master[],3,FALSE)</f>
        <v>iFIX Nodes &amp; Ethernet Switches</v>
      </c>
      <c r="V869" s="9" t="str">
        <f>VLOOKUP(Table1[[#This Row],[Address B]],IP_Master[],3,FALSE)</f>
        <v>iFIX Nodes &amp; Ethernet Switches</v>
      </c>
      <c r="W869" s="9" t="str">
        <f>VLOOKUP(Table1[[#This Row],[Port B]],traffic_types[],2,FALSE)</f>
        <v>Modbus</v>
      </c>
    </row>
    <row r="870" spans="1:23" x14ac:dyDescent="0.6">
      <c r="A870" t="s">
        <v>97</v>
      </c>
      <c r="B870">
        <v>2885</v>
      </c>
      <c r="C870" t="s">
        <v>87</v>
      </c>
      <c r="D870">
        <v>502</v>
      </c>
      <c r="E870">
        <v>1</v>
      </c>
      <c r="F870" s="13">
        <v>62</v>
      </c>
      <c r="G870">
        <v>1</v>
      </c>
      <c r="H870">
        <v>62</v>
      </c>
      <c r="I870">
        <v>0</v>
      </c>
      <c r="J870">
        <v>0</v>
      </c>
      <c r="K870">
        <v>858.78132900000003</v>
      </c>
      <c r="L870">
        <v>0</v>
      </c>
      <c r="M870">
        <v>0</v>
      </c>
      <c r="N870">
        <v>0</v>
      </c>
      <c r="O870" s="8" t="str">
        <f>formatIP(Table1[[#This Row],[Address A]])</f>
        <v>010.012.000.002</v>
      </c>
      <c r="P870" s="8" t="str">
        <f>formatIP(Table1[[#This Row],[Address B]])</f>
        <v>010.011.009.028</v>
      </c>
      <c r="Q870" s="8" t="str">
        <f>VLOOKUP(Table1[[#This Row],[Address A]],IP_Master[],4,FALSE)</f>
        <v>PPPCFC2</v>
      </c>
      <c r="R870" s="8" t="str">
        <f>VLOOKUP(Table1[[#This Row],[Address B]],IP_Master[],4,FALSE)</f>
        <v>EGX100</v>
      </c>
      <c r="S870" s="8" t="str">
        <f>VLOOKUP(Table1[[#This Row],[Address A]],IP_Master[],2,FALSE)</f>
        <v>Fume Control</v>
      </c>
      <c r="T870" s="8" t="str">
        <f>VLOOKUP(Table1[[#This Row],[Address B]],IP_Master[],2,FALSE)</f>
        <v>Miscellaneous</v>
      </c>
      <c r="U870" s="9" t="str">
        <f>VLOOKUP(Table1[[#This Row],[Address A]],IP_Master[],3,FALSE)</f>
        <v>iFIX Nodes &amp; Ethernet Switches</v>
      </c>
      <c r="V870" s="9" t="str">
        <f>VLOOKUP(Table1[[#This Row],[Address B]],IP_Master[],3,FALSE)</f>
        <v>iFIX Nodes &amp; Ethernet Switches</v>
      </c>
      <c r="W870" s="9" t="str">
        <f>VLOOKUP(Table1[[#This Row],[Port B]],traffic_types[],2,FALSE)</f>
        <v>Modbus</v>
      </c>
    </row>
    <row r="871" spans="1:23" x14ac:dyDescent="0.6">
      <c r="A871" t="s">
        <v>97</v>
      </c>
      <c r="B871">
        <v>2886</v>
      </c>
      <c r="C871" t="s">
        <v>87</v>
      </c>
      <c r="D871">
        <v>502</v>
      </c>
      <c r="E871">
        <v>1</v>
      </c>
      <c r="F871" s="13">
        <v>62</v>
      </c>
      <c r="G871">
        <v>1</v>
      </c>
      <c r="H871">
        <v>62</v>
      </c>
      <c r="I871">
        <v>0</v>
      </c>
      <c r="J871">
        <v>0</v>
      </c>
      <c r="K871">
        <v>859.97760800000003</v>
      </c>
      <c r="L871">
        <v>0</v>
      </c>
      <c r="M871">
        <v>0</v>
      </c>
      <c r="N871">
        <v>0</v>
      </c>
      <c r="O871" s="8" t="str">
        <f>formatIP(Table1[[#This Row],[Address A]])</f>
        <v>010.012.000.002</v>
      </c>
      <c r="P871" s="8" t="str">
        <f>formatIP(Table1[[#This Row],[Address B]])</f>
        <v>010.011.009.028</v>
      </c>
      <c r="Q871" s="8" t="str">
        <f>VLOOKUP(Table1[[#This Row],[Address A]],IP_Master[],4,FALSE)</f>
        <v>PPPCFC2</v>
      </c>
      <c r="R871" s="8" t="str">
        <f>VLOOKUP(Table1[[#This Row],[Address B]],IP_Master[],4,FALSE)</f>
        <v>EGX100</v>
      </c>
      <c r="S871" s="8" t="str">
        <f>VLOOKUP(Table1[[#This Row],[Address A]],IP_Master[],2,FALSE)</f>
        <v>Fume Control</v>
      </c>
      <c r="T871" s="8" t="str">
        <f>VLOOKUP(Table1[[#This Row],[Address B]],IP_Master[],2,FALSE)</f>
        <v>Miscellaneous</v>
      </c>
      <c r="U871" s="9" t="str">
        <f>VLOOKUP(Table1[[#This Row],[Address A]],IP_Master[],3,FALSE)</f>
        <v>iFIX Nodes &amp; Ethernet Switches</v>
      </c>
      <c r="V871" s="9" t="str">
        <f>VLOOKUP(Table1[[#This Row],[Address B]],IP_Master[],3,FALSE)</f>
        <v>iFIX Nodes &amp; Ethernet Switches</v>
      </c>
      <c r="W871" s="9" t="str">
        <f>VLOOKUP(Table1[[#This Row],[Port B]],traffic_types[],2,FALSE)</f>
        <v>Modbus</v>
      </c>
    </row>
    <row r="872" spans="1:23" x14ac:dyDescent="0.6">
      <c r="A872" t="s">
        <v>97</v>
      </c>
      <c r="B872">
        <v>2887</v>
      </c>
      <c r="C872" t="s">
        <v>87</v>
      </c>
      <c r="D872">
        <v>502</v>
      </c>
      <c r="E872">
        <v>2</v>
      </c>
      <c r="F872" s="13">
        <v>124</v>
      </c>
      <c r="G872">
        <v>2</v>
      </c>
      <c r="H872">
        <v>124</v>
      </c>
      <c r="I872">
        <v>0</v>
      </c>
      <c r="J872">
        <v>0</v>
      </c>
      <c r="K872">
        <v>860.34537699999998</v>
      </c>
      <c r="L872">
        <v>2.9618279999999699</v>
      </c>
      <c r="M872">
        <v>334.92829428312899</v>
      </c>
      <c r="N872">
        <v>0</v>
      </c>
      <c r="O872" s="8" t="str">
        <f>formatIP(Table1[[#This Row],[Address A]])</f>
        <v>010.012.000.002</v>
      </c>
      <c r="P872" s="8" t="str">
        <f>formatIP(Table1[[#This Row],[Address B]])</f>
        <v>010.011.009.028</v>
      </c>
      <c r="Q872" s="8" t="str">
        <f>VLOOKUP(Table1[[#This Row],[Address A]],IP_Master[],4,FALSE)</f>
        <v>PPPCFC2</v>
      </c>
      <c r="R872" s="8" t="str">
        <f>VLOOKUP(Table1[[#This Row],[Address B]],IP_Master[],4,FALSE)</f>
        <v>EGX100</v>
      </c>
      <c r="S872" s="8" t="str">
        <f>VLOOKUP(Table1[[#This Row],[Address A]],IP_Master[],2,FALSE)</f>
        <v>Fume Control</v>
      </c>
      <c r="T872" s="8" t="str">
        <f>VLOOKUP(Table1[[#This Row],[Address B]],IP_Master[],2,FALSE)</f>
        <v>Miscellaneous</v>
      </c>
      <c r="U872" s="9" t="str">
        <f>VLOOKUP(Table1[[#This Row],[Address A]],IP_Master[],3,FALSE)</f>
        <v>iFIX Nodes &amp; Ethernet Switches</v>
      </c>
      <c r="V872" s="9" t="str">
        <f>VLOOKUP(Table1[[#This Row],[Address B]],IP_Master[],3,FALSE)</f>
        <v>iFIX Nodes &amp; Ethernet Switches</v>
      </c>
      <c r="W872" s="9" t="str">
        <f>VLOOKUP(Table1[[#This Row],[Port B]],traffic_types[],2,FALSE)</f>
        <v>Modbus</v>
      </c>
    </row>
    <row r="873" spans="1:23" x14ac:dyDescent="0.6">
      <c r="A873" t="s">
        <v>97</v>
      </c>
      <c r="B873">
        <v>2888</v>
      </c>
      <c r="C873" t="s">
        <v>87</v>
      </c>
      <c r="D873">
        <v>502</v>
      </c>
      <c r="E873">
        <v>1</v>
      </c>
      <c r="F873" s="13">
        <v>62</v>
      </c>
      <c r="G873">
        <v>1</v>
      </c>
      <c r="H873">
        <v>62</v>
      </c>
      <c r="I873">
        <v>0</v>
      </c>
      <c r="J873">
        <v>0</v>
      </c>
      <c r="K873">
        <v>861.13384499999995</v>
      </c>
      <c r="L873">
        <v>0</v>
      </c>
      <c r="M873">
        <v>0</v>
      </c>
      <c r="N873">
        <v>0</v>
      </c>
      <c r="O873" s="8" t="str">
        <f>formatIP(Table1[[#This Row],[Address A]])</f>
        <v>010.012.000.002</v>
      </c>
      <c r="P873" s="8" t="str">
        <f>formatIP(Table1[[#This Row],[Address B]])</f>
        <v>010.011.009.028</v>
      </c>
      <c r="Q873" s="8" t="str">
        <f>VLOOKUP(Table1[[#This Row],[Address A]],IP_Master[],4,FALSE)</f>
        <v>PPPCFC2</v>
      </c>
      <c r="R873" s="8" t="str">
        <f>VLOOKUP(Table1[[#This Row],[Address B]],IP_Master[],4,FALSE)</f>
        <v>EGX100</v>
      </c>
      <c r="S873" s="8" t="str">
        <f>VLOOKUP(Table1[[#This Row],[Address A]],IP_Master[],2,FALSE)</f>
        <v>Fume Control</v>
      </c>
      <c r="T873" s="8" t="str">
        <f>VLOOKUP(Table1[[#This Row],[Address B]],IP_Master[],2,FALSE)</f>
        <v>Miscellaneous</v>
      </c>
      <c r="U873" s="9" t="str">
        <f>VLOOKUP(Table1[[#This Row],[Address A]],IP_Master[],3,FALSE)</f>
        <v>iFIX Nodes &amp; Ethernet Switches</v>
      </c>
      <c r="V873" s="9" t="str">
        <f>VLOOKUP(Table1[[#This Row],[Address B]],IP_Master[],3,FALSE)</f>
        <v>iFIX Nodes &amp; Ethernet Switches</v>
      </c>
      <c r="W873" s="9" t="str">
        <f>VLOOKUP(Table1[[#This Row],[Port B]],traffic_types[],2,FALSE)</f>
        <v>Modbus</v>
      </c>
    </row>
    <row r="874" spans="1:23" x14ac:dyDescent="0.6">
      <c r="A874" t="s">
        <v>97</v>
      </c>
      <c r="B874">
        <v>2889</v>
      </c>
      <c r="C874" t="s">
        <v>87</v>
      </c>
      <c r="D874">
        <v>502</v>
      </c>
      <c r="E874">
        <v>1</v>
      </c>
      <c r="F874" s="13">
        <v>62</v>
      </c>
      <c r="G874">
        <v>1</v>
      </c>
      <c r="H874">
        <v>62</v>
      </c>
      <c r="I874">
        <v>0</v>
      </c>
      <c r="J874">
        <v>0</v>
      </c>
      <c r="K874">
        <v>861.27450499999998</v>
      </c>
      <c r="L874">
        <v>0</v>
      </c>
      <c r="M874">
        <v>0</v>
      </c>
      <c r="N874">
        <v>0</v>
      </c>
      <c r="O874" s="8" t="str">
        <f>formatIP(Table1[[#This Row],[Address A]])</f>
        <v>010.012.000.002</v>
      </c>
      <c r="P874" s="8" t="str">
        <f>formatIP(Table1[[#This Row],[Address B]])</f>
        <v>010.011.009.028</v>
      </c>
      <c r="Q874" s="8" t="str">
        <f>VLOOKUP(Table1[[#This Row],[Address A]],IP_Master[],4,FALSE)</f>
        <v>PPPCFC2</v>
      </c>
      <c r="R874" s="8" t="str">
        <f>VLOOKUP(Table1[[#This Row],[Address B]],IP_Master[],4,FALSE)</f>
        <v>EGX100</v>
      </c>
      <c r="S874" s="8" t="str">
        <f>VLOOKUP(Table1[[#This Row],[Address A]],IP_Master[],2,FALSE)</f>
        <v>Fume Control</v>
      </c>
      <c r="T874" s="8" t="str">
        <f>VLOOKUP(Table1[[#This Row],[Address B]],IP_Master[],2,FALSE)</f>
        <v>Miscellaneous</v>
      </c>
      <c r="U874" s="9" t="str">
        <f>VLOOKUP(Table1[[#This Row],[Address A]],IP_Master[],3,FALSE)</f>
        <v>iFIX Nodes &amp; Ethernet Switches</v>
      </c>
      <c r="V874" s="9" t="str">
        <f>VLOOKUP(Table1[[#This Row],[Address B]],IP_Master[],3,FALSE)</f>
        <v>iFIX Nodes &amp; Ethernet Switches</v>
      </c>
      <c r="W874" s="9" t="str">
        <f>VLOOKUP(Table1[[#This Row],[Port B]],traffic_types[],2,FALSE)</f>
        <v>Modbus</v>
      </c>
    </row>
    <row r="875" spans="1:23" x14ac:dyDescent="0.6">
      <c r="A875" t="s">
        <v>97</v>
      </c>
      <c r="B875">
        <v>2890</v>
      </c>
      <c r="C875" t="s">
        <v>87</v>
      </c>
      <c r="D875">
        <v>502</v>
      </c>
      <c r="E875">
        <v>1</v>
      </c>
      <c r="F875" s="13">
        <v>62</v>
      </c>
      <c r="G875">
        <v>1</v>
      </c>
      <c r="H875">
        <v>62</v>
      </c>
      <c r="I875">
        <v>0</v>
      </c>
      <c r="J875">
        <v>0</v>
      </c>
      <c r="K875">
        <v>861.79006500000003</v>
      </c>
      <c r="L875">
        <v>0</v>
      </c>
      <c r="M875">
        <v>0</v>
      </c>
      <c r="N875">
        <v>0</v>
      </c>
      <c r="O875" s="8" t="str">
        <f>formatIP(Table1[[#This Row],[Address A]])</f>
        <v>010.012.000.002</v>
      </c>
      <c r="P875" s="8" t="str">
        <f>formatIP(Table1[[#This Row],[Address B]])</f>
        <v>010.011.009.028</v>
      </c>
      <c r="Q875" s="8" t="str">
        <f>VLOOKUP(Table1[[#This Row],[Address A]],IP_Master[],4,FALSE)</f>
        <v>PPPCFC2</v>
      </c>
      <c r="R875" s="8" t="str">
        <f>VLOOKUP(Table1[[#This Row],[Address B]],IP_Master[],4,FALSE)</f>
        <v>EGX100</v>
      </c>
      <c r="S875" s="8" t="str">
        <f>VLOOKUP(Table1[[#This Row],[Address A]],IP_Master[],2,FALSE)</f>
        <v>Fume Control</v>
      </c>
      <c r="T875" s="8" t="str">
        <f>VLOOKUP(Table1[[#This Row],[Address B]],IP_Master[],2,FALSE)</f>
        <v>Miscellaneous</v>
      </c>
      <c r="U875" s="9" t="str">
        <f>VLOOKUP(Table1[[#This Row],[Address A]],IP_Master[],3,FALSE)</f>
        <v>iFIX Nodes &amp; Ethernet Switches</v>
      </c>
      <c r="V875" s="9" t="str">
        <f>VLOOKUP(Table1[[#This Row],[Address B]],IP_Master[],3,FALSE)</f>
        <v>iFIX Nodes &amp; Ethernet Switches</v>
      </c>
      <c r="W875" s="9" t="str">
        <f>VLOOKUP(Table1[[#This Row],[Port B]],traffic_types[],2,FALSE)</f>
        <v>Modbus</v>
      </c>
    </row>
    <row r="876" spans="1:23" x14ac:dyDescent="0.6">
      <c r="A876" t="s">
        <v>97</v>
      </c>
      <c r="B876">
        <v>2891</v>
      </c>
      <c r="C876" t="s">
        <v>87</v>
      </c>
      <c r="D876">
        <v>502</v>
      </c>
      <c r="E876">
        <v>1</v>
      </c>
      <c r="F876" s="13">
        <v>62</v>
      </c>
      <c r="G876">
        <v>1</v>
      </c>
      <c r="H876">
        <v>62</v>
      </c>
      <c r="I876">
        <v>0</v>
      </c>
      <c r="J876">
        <v>0</v>
      </c>
      <c r="K876">
        <v>863.35255099999995</v>
      </c>
      <c r="L876">
        <v>0</v>
      </c>
      <c r="M876">
        <v>0</v>
      </c>
      <c r="N876">
        <v>0</v>
      </c>
      <c r="O876" s="8" t="str">
        <f>formatIP(Table1[[#This Row],[Address A]])</f>
        <v>010.012.000.002</v>
      </c>
      <c r="P876" s="8" t="str">
        <f>formatIP(Table1[[#This Row],[Address B]])</f>
        <v>010.011.009.028</v>
      </c>
      <c r="Q876" s="8" t="str">
        <f>VLOOKUP(Table1[[#This Row],[Address A]],IP_Master[],4,FALSE)</f>
        <v>PPPCFC2</v>
      </c>
      <c r="R876" s="8" t="str">
        <f>VLOOKUP(Table1[[#This Row],[Address B]],IP_Master[],4,FALSE)</f>
        <v>EGX100</v>
      </c>
      <c r="S876" s="8" t="str">
        <f>VLOOKUP(Table1[[#This Row],[Address A]],IP_Master[],2,FALSE)</f>
        <v>Fume Control</v>
      </c>
      <c r="T876" s="8" t="str">
        <f>VLOOKUP(Table1[[#This Row],[Address B]],IP_Master[],2,FALSE)</f>
        <v>Miscellaneous</v>
      </c>
      <c r="U876" s="9" t="str">
        <f>VLOOKUP(Table1[[#This Row],[Address A]],IP_Master[],3,FALSE)</f>
        <v>iFIX Nodes &amp; Ethernet Switches</v>
      </c>
      <c r="V876" s="9" t="str">
        <f>VLOOKUP(Table1[[#This Row],[Address B]],IP_Master[],3,FALSE)</f>
        <v>iFIX Nodes &amp; Ethernet Switches</v>
      </c>
      <c r="W876" s="9" t="str">
        <f>VLOOKUP(Table1[[#This Row],[Port B]],traffic_types[],2,FALSE)</f>
        <v>Modbus</v>
      </c>
    </row>
    <row r="877" spans="1:23" x14ac:dyDescent="0.6">
      <c r="A877" t="s">
        <v>97</v>
      </c>
      <c r="B877">
        <v>2897</v>
      </c>
      <c r="C877" t="s">
        <v>87</v>
      </c>
      <c r="D877">
        <v>502</v>
      </c>
      <c r="E877">
        <v>2</v>
      </c>
      <c r="F877" s="13">
        <v>124</v>
      </c>
      <c r="G877">
        <v>2</v>
      </c>
      <c r="H877">
        <v>124</v>
      </c>
      <c r="I877">
        <v>0</v>
      </c>
      <c r="J877">
        <v>0</v>
      </c>
      <c r="K877">
        <v>889.98129900000004</v>
      </c>
      <c r="L877">
        <v>2.9988519999999399</v>
      </c>
      <c r="M877">
        <v>330.793250217089</v>
      </c>
      <c r="N877">
        <v>0</v>
      </c>
      <c r="O877" s="8" t="str">
        <f>formatIP(Table1[[#This Row],[Address A]])</f>
        <v>010.012.000.002</v>
      </c>
      <c r="P877" s="8" t="str">
        <f>formatIP(Table1[[#This Row],[Address B]])</f>
        <v>010.011.009.028</v>
      </c>
      <c r="Q877" s="8" t="str">
        <f>VLOOKUP(Table1[[#This Row],[Address A]],IP_Master[],4,FALSE)</f>
        <v>PPPCFC2</v>
      </c>
      <c r="R877" s="8" t="str">
        <f>VLOOKUP(Table1[[#This Row],[Address B]],IP_Master[],4,FALSE)</f>
        <v>EGX100</v>
      </c>
      <c r="S877" s="8" t="str">
        <f>VLOOKUP(Table1[[#This Row],[Address A]],IP_Master[],2,FALSE)</f>
        <v>Fume Control</v>
      </c>
      <c r="T877" s="8" t="str">
        <f>VLOOKUP(Table1[[#This Row],[Address B]],IP_Master[],2,FALSE)</f>
        <v>Miscellaneous</v>
      </c>
      <c r="U877" s="9" t="str">
        <f>VLOOKUP(Table1[[#This Row],[Address A]],IP_Master[],3,FALSE)</f>
        <v>iFIX Nodes &amp; Ethernet Switches</v>
      </c>
      <c r="V877" s="9" t="str">
        <f>VLOOKUP(Table1[[#This Row],[Address B]],IP_Master[],3,FALSE)</f>
        <v>iFIX Nodes &amp; Ethernet Switches</v>
      </c>
      <c r="W877" s="9" t="str">
        <f>VLOOKUP(Table1[[#This Row],[Port B]],traffic_types[],2,FALSE)</f>
        <v>Modbus</v>
      </c>
    </row>
    <row r="878" spans="1:23" x14ac:dyDescent="0.6">
      <c r="A878" t="s">
        <v>97</v>
      </c>
      <c r="B878">
        <v>2898</v>
      </c>
      <c r="C878" t="s">
        <v>87</v>
      </c>
      <c r="D878">
        <v>502</v>
      </c>
      <c r="E878">
        <v>1</v>
      </c>
      <c r="F878" s="13">
        <v>62</v>
      </c>
      <c r="G878">
        <v>1</v>
      </c>
      <c r="H878">
        <v>62</v>
      </c>
      <c r="I878">
        <v>0</v>
      </c>
      <c r="J878">
        <v>0</v>
      </c>
      <c r="K878">
        <v>891.13727600000004</v>
      </c>
      <c r="L878">
        <v>0</v>
      </c>
      <c r="M878">
        <v>0</v>
      </c>
      <c r="N878">
        <v>0</v>
      </c>
      <c r="O878" s="8" t="str">
        <f>formatIP(Table1[[#This Row],[Address A]])</f>
        <v>010.012.000.002</v>
      </c>
      <c r="P878" s="8" t="str">
        <f>formatIP(Table1[[#This Row],[Address B]])</f>
        <v>010.011.009.028</v>
      </c>
      <c r="Q878" s="8" t="str">
        <f>VLOOKUP(Table1[[#This Row],[Address A]],IP_Master[],4,FALSE)</f>
        <v>PPPCFC2</v>
      </c>
      <c r="R878" s="8" t="str">
        <f>VLOOKUP(Table1[[#This Row],[Address B]],IP_Master[],4,FALSE)</f>
        <v>EGX100</v>
      </c>
      <c r="S878" s="8" t="str">
        <f>VLOOKUP(Table1[[#This Row],[Address A]],IP_Master[],2,FALSE)</f>
        <v>Fume Control</v>
      </c>
      <c r="T878" s="8" t="str">
        <f>VLOOKUP(Table1[[#This Row],[Address B]],IP_Master[],2,FALSE)</f>
        <v>Miscellaneous</v>
      </c>
      <c r="U878" s="9" t="str">
        <f>VLOOKUP(Table1[[#This Row],[Address A]],IP_Master[],3,FALSE)</f>
        <v>iFIX Nodes &amp; Ethernet Switches</v>
      </c>
      <c r="V878" s="9" t="str">
        <f>VLOOKUP(Table1[[#This Row],[Address B]],IP_Master[],3,FALSE)</f>
        <v>iFIX Nodes &amp; Ethernet Switches</v>
      </c>
      <c r="W878" s="9" t="str">
        <f>VLOOKUP(Table1[[#This Row],[Port B]],traffic_types[],2,FALSE)</f>
        <v>Modbus</v>
      </c>
    </row>
    <row r="879" spans="1:23" x14ac:dyDescent="0.6">
      <c r="A879" t="s">
        <v>97</v>
      </c>
      <c r="B879">
        <v>2899</v>
      </c>
      <c r="C879" t="s">
        <v>87</v>
      </c>
      <c r="D879">
        <v>502</v>
      </c>
      <c r="E879">
        <v>2</v>
      </c>
      <c r="F879" s="13">
        <v>124</v>
      </c>
      <c r="G879">
        <v>2</v>
      </c>
      <c r="H879">
        <v>124</v>
      </c>
      <c r="I879">
        <v>0</v>
      </c>
      <c r="J879">
        <v>0</v>
      </c>
      <c r="K879">
        <v>891.27851999999996</v>
      </c>
      <c r="L879">
        <v>3.0093760000000902</v>
      </c>
      <c r="M879">
        <v>329.636442903768</v>
      </c>
      <c r="N879">
        <v>0</v>
      </c>
      <c r="O879" s="8" t="str">
        <f>formatIP(Table1[[#This Row],[Address A]])</f>
        <v>010.012.000.002</v>
      </c>
      <c r="P879" s="8" t="str">
        <f>formatIP(Table1[[#This Row],[Address B]])</f>
        <v>010.011.009.028</v>
      </c>
      <c r="Q879" s="8" t="str">
        <f>VLOOKUP(Table1[[#This Row],[Address A]],IP_Master[],4,FALSE)</f>
        <v>PPPCFC2</v>
      </c>
      <c r="R879" s="8" t="str">
        <f>VLOOKUP(Table1[[#This Row],[Address B]],IP_Master[],4,FALSE)</f>
        <v>EGX100</v>
      </c>
      <c r="S879" s="8" t="str">
        <f>VLOOKUP(Table1[[#This Row],[Address A]],IP_Master[],2,FALSE)</f>
        <v>Fume Control</v>
      </c>
      <c r="T879" s="8" t="str">
        <f>VLOOKUP(Table1[[#This Row],[Address B]],IP_Master[],2,FALSE)</f>
        <v>Miscellaneous</v>
      </c>
      <c r="U879" s="9" t="str">
        <f>VLOOKUP(Table1[[#This Row],[Address A]],IP_Master[],3,FALSE)</f>
        <v>iFIX Nodes &amp; Ethernet Switches</v>
      </c>
      <c r="V879" s="9" t="str">
        <f>VLOOKUP(Table1[[#This Row],[Address B]],IP_Master[],3,FALSE)</f>
        <v>iFIX Nodes &amp; Ethernet Switches</v>
      </c>
      <c r="W879" s="9" t="str">
        <f>VLOOKUP(Table1[[#This Row],[Port B]],traffic_types[],2,FALSE)</f>
        <v>Modbus</v>
      </c>
    </row>
    <row r="880" spans="1:23" x14ac:dyDescent="0.6">
      <c r="A880" t="s">
        <v>97</v>
      </c>
      <c r="B880">
        <v>2900</v>
      </c>
      <c r="C880" t="s">
        <v>87</v>
      </c>
      <c r="D880">
        <v>502</v>
      </c>
      <c r="E880">
        <v>2</v>
      </c>
      <c r="F880" s="13">
        <v>124</v>
      </c>
      <c r="G880">
        <v>2</v>
      </c>
      <c r="H880">
        <v>124</v>
      </c>
      <c r="I880">
        <v>0</v>
      </c>
      <c r="J880">
        <v>0</v>
      </c>
      <c r="K880">
        <v>891.79690300000004</v>
      </c>
      <c r="L880">
        <v>2.99384599999996</v>
      </c>
      <c r="M880">
        <v>331.34636851728902</v>
      </c>
      <c r="N880">
        <v>0</v>
      </c>
      <c r="O880" s="8" t="str">
        <f>formatIP(Table1[[#This Row],[Address A]])</f>
        <v>010.012.000.002</v>
      </c>
      <c r="P880" s="8" t="str">
        <f>formatIP(Table1[[#This Row],[Address B]])</f>
        <v>010.011.009.028</v>
      </c>
      <c r="Q880" s="8" t="str">
        <f>VLOOKUP(Table1[[#This Row],[Address A]],IP_Master[],4,FALSE)</f>
        <v>PPPCFC2</v>
      </c>
      <c r="R880" s="8" t="str">
        <f>VLOOKUP(Table1[[#This Row],[Address B]],IP_Master[],4,FALSE)</f>
        <v>EGX100</v>
      </c>
      <c r="S880" s="8" t="str">
        <f>VLOOKUP(Table1[[#This Row],[Address A]],IP_Master[],2,FALSE)</f>
        <v>Fume Control</v>
      </c>
      <c r="T880" s="8" t="str">
        <f>VLOOKUP(Table1[[#This Row],[Address B]],IP_Master[],2,FALSE)</f>
        <v>Miscellaneous</v>
      </c>
      <c r="U880" s="9" t="str">
        <f>VLOOKUP(Table1[[#This Row],[Address A]],IP_Master[],3,FALSE)</f>
        <v>iFIX Nodes &amp; Ethernet Switches</v>
      </c>
      <c r="V880" s="9" t="str">
        <f>VLOOKUP(Table1[[#This Row],[Address B]],IP_Master[],3,FALSE)</f>
        <v>iFIX Nodes &amp; Ethernet Switches</v>
      </c>
      <c r="W880" s="9" t="str">
        <f>VLOOKUP(Table1[[#This Row],[Port B]],traffic_types[],2,FALSE)</f>
        <v>Modbus</v>
      </c>
    </row>
    <row r="881" spans="1:23" x14ac:dyDescent="0.6">
      <c r="A881" t="s">
        <v>97</v>
      </c>
      <c r="B881">
        <v>2901</v>
      </c>
      <c r="C881" t="s">
        <v>87</v>
      </c>
      <c r="D881">
        <v>502</v>
      </c>
      <c r="E881">
        <v>1</v>
      </c>
      <c r="F881" s="13">
        <v>62</v>
      </c>
      <c r="G881">
        <v>1</v>
      </c>
      <c r="H881">
        <v>62</v>
      </c>
      <c r="I881">
        <v>0</v>
      </c>
      <c r="J881">
        <v>0</v>
      </c>
      <c r="K881">
        <v>892.99326199999996</v>
      </c>
      <c r="L881">
        <v>0</v>
      </c>
      <c r="M881">
        <v>0</v>
      </c>
      <c r="N881">
        <v>0</v>
      </c>
      <c r="O881" s="8" t="str">
        <f>formatIP(Table1[[#This Row],[Address A]])</f>
        <v>010.012.000.002</v>
      </c>
      <c r="P881" s="8" t="str">
        <f>formatIP(Table1[[#This Row],[Address B]])</f>
        <v>010.011.009.028</v>
      </c>
      <c r="Q881" s="8" t="str">
        <f>VLOOKUP(Table1[[#This Row],[Address A]],IP_Master[],4,FALSE)</f>
        <v>PPPCFC2</v>
      </c>
      <c r="R881" s="8" t="str">
        <f>VLOOKUP(Table1[[#This Row],[Address B]],IP_Master[],4,FALSE)</f>
        <v>EGX100</v>
      </c>
      <c r="S881" s="8" t="str">
        <f>VLOOKUP(Table1[[#This Row],[Address A]],IP_Master[],2,FALSE)</f>
        <v>Fume Control</v>
      </c>
      <c r="T881" s="8" t="str">
        <f>VLOOKUP(Table1[[#This Row],[Address B]],IP_Master[],2,FALSE)</f>
        <v>Miscellaneous</v>
      </c>
      <c r="U881" s="9" t="str">
        <f>VLOOKUP(Table1[[#This Row],[Address A]],IP_Master[],3,FALSE)</f>
        <v>iFIX Nodes &amp; Ethernet Switches</v>
      </c>
      <c r="V881" s="9" t="str">
        <f>VLOOKUP(Table1[[#This Row],[Address B]],IP_Master[],3,FALSE)</f>
        <v>iFIX Nodes &amp; Ethernet Switches</v>
      </c>
      <c r="W881" s="9" t="str">
        <f>VLOOKUP(Table1[[#This Row],[Port B]],traffic_types[],2,FALSE)</f>
        <v>Modbus</v>
      </c>
    </row>
    <row r="882" spans="1:23" x14ac:dyDescent="0.6">
      <c r="A882" t="s">
        <v>97</v>
      </c>
      <c r="B882">
        <v>2902</v>
      </c>
      <c r="C882" t="s">
        <v>87</v>
      </c>
      <c r="D882">
        <v>502</v>
      </c>
      <c r="E882">
        <v>2</v>
      </c>
      <c r="F882" s="13">
        <v>124</v>
      </c>
      <c r="G882">
        <v>2</v>
      </c>
      <c r="H882">
        <v>124</v>
      </c>
      <c r="I882">
        <v>0</v>
      </c>
      <c r="J882">
        <v>0</v>
      </c>
      <c r="K882">
        <v>893.36108100000001</v>
      </c>
      <c r="L882">
        <v>2.9384569999999699</v>
      </c>
      <c r="M882">
        <v>337.59214444860299</v>
      </c>
      <c r="N882">
        <v>0</v>
      </c>
      <c r="O882" s="8" t="str">
        <f>formatIP(Table1[[#This Row],[Address A]])</f>
        <v>010.012.000.002</v>
      </c>
      <c r="P882" s="8" t="str">
        <f>formatIP(Table1[[#This Row],[Address B]])</f>
        <v>010.011.009.028</v>
      </c>
      <c r="Q882" s="8" t="str">
        <f>VLOOKUP(Table1[[#This Row],[Address A]],IP_Master[],4,FALSE)</f>
        <v>PPPCFC2</v>
      </c>
      <c r="R882" s="8" t="str">
        <f>VLOOKUP(Table1[[#This Row],[Address B]],IP_Master[],4,FALSE)</f>
        <v>EGX100</v>
      </c>
      <c r="S882" s="8" t="str">
        <f>VLOOKUP(Table1[[#This Row],[Address A]],IP_Master[],2,FALSE)</f>
        <v>Fume Control</v>
      </c>
      <c r="T882" s="8" t="str">
        <f>VLOOKUP(Table1[[#This Row],[Address B]],IP_Master[],2,FALSE)</f>
        <v>Miscellaneous</v>
      </c>
      <c r="U882" s="9" t="str">
        <f>VLOOKUP(Table1[[#This Row],[Address A]],IP_Master[],3,FALSE)</f>
        <v>iFIX Nodes &amp; Ethernet Switches</v>
      </c>
      <c r="V882" s="9" t="str">
        <f>VLOOKUP(Table1[[#This Row],[Address B]],IP_Master[],3,FALSE)</f>
        <v>iFIX Nodes &amp; Ethernet Switches</v>
      </c>
      <c r="W882" s="9" t="str">
        <f>VLOOKUP(Table1[[#This Row],[Port B]],traffic_types[],2,FALSE)</f>
        <v>Modbus</v>
      </c>
    </row>
    <row r="883" spans="1:23" x14ac:dyDescent="0.6">
      <c r="A883" t="s">
        <v>97</v>
      </c>
      <c r="B883">
        <v>2903</v>
      </c>
      <c r="C883" t="s">
        <v>87</v>
      </c>
      <c r="D883">
        <v>502</v>
      </c>
      <c r="E883">
        <v>1</v>
      </c>
      <c r="F883" s="13">
        <v>62</v>
      </c>
      <c r="G883">
        <v>1</v>
      </c>
      <c r="H883">
        <v>62</v>
      </c>
      <c r="I883">
        <v>0</v>
      </c>
      <c r="J883">
        <v>0</v>
      </c>
      <c r="K883">
        <v>894.14948600000002</v>
      </c>
      <c r="L883">
        <v>0</v>
      </c>
      <c r="M883">
        <v>0</v>
      </c>
      <c r="N883">
        <v>0</v>
      </c>
      <c r="O883" s="8" t="str">
        <f>formatIP(Table1[[#This Row],[Address A]])</f>
        <v>010.012.000.002</v>
      </c>
      <c r="P883" s="8" t="str">
        <f>formatIP(Table1[[#This Row],[Address B]])</f>
        <v>010.011.009.028</v>
      </c>
      <c r="Q883" s="8" t="str">
        <f>VLOOKUP(Table1[[#This Row],[Address A]],IP_Master[],4,FALSE)</f>
        <v>PPPCFC2</v>
      </c>
      <c r="R883" s="8" t="str">
        <f>VLOOKUP(Table1[[#This Row],[Address B]],IP_Master[],4,FALSE)</f>
        <v>EGX100</v>
      </c>
      <c r="S883" s="8" t="str">
        <f>VLOOKUP(Table1[[#This Row],[Address A]],IP_Master[],2,FALSE)</f>
        <v>Fume Control</v>
      </c>
      <c r="T883" s="8" t="str">
        <f>VLOOKUP(Table1[[#This Row],[Address B]],IP_Master[],2,FALSE)</f>
        <v>Miscellaneous</v>
      </c>
      <c r="U883" s="9" t="str">
        <f>VLOOKUP(Table1[[#This Row],[Address A]],IP_Master[],3,FALSE)</f>
        <v>iFIX Nodes &amp; Ethernet Switches</v>
      </c>
      <c r="V883" s="9" t="str">
        <f>VLOOKUP(Table1[[#This Row],[Address B]],IP_Master[],3,FALSE)</f>
        <v>iFIX Nodes &amp; Ethernet Switches</v>
      </c>
      <c r="W883" s="9" t="str">
        <f>VLOOKUP(Table1[[#This Row],[Port B]],traffic_types[],2,FALSE)</f>
        <v>Modbus</v>
      </c>
    </row>
    <row r="884" spans="1:23" x14ac:dyDescent="0.6">
      <c r="A884" t="s">
        <v>97</v>
      </c>
      <c r="B884">
        <v>2904</v>
      </c>
      <c r="C884" t="s">
        <v>87</v>
      </c>
      <c r="D884">
        <v>502</v>
      </c>
      <c r="E884">
        <v>1</v>
      </c>
      <c r="F884" s="13">
        <v>62</v>
      </c>
      <c r="G884">
        <v>1</v>
      </c>
      <c r="H884">
        <v>62</v>
      </c>
      <c r="I884">
        <v>0</v>
      </c>
      <c r="J884">
        <v>0</v>
      </c>
      <c r="K884">
        <v>894.29081199999996</v>
      </c>
      <c r="L884">
        <v>0</v>
      </c>
      <c r="M884">
        <v>0</v>
      </c>
      <c r="N884">
        <v>0</v>
      </c>
      <c r="O884" s="8" t="str">
        <f>formatIP(Table1[[#This Row],[Address A]])</f>
        <v>010.012.000.002</v>
      </c>
      <c r="P884" s="8" t="str">
        <f>formatIP(Table1[[#This Row],[Address B]])</f>
        <v>010.011.009.028</v>
      </c>
      <c r="Q884" s="8" t="str">
        <f>VLOOKUP(Table1[[#This Row],[Address A]],IP_Master[],4,FALSE)</f>
        <v>PPPCFC2</v>
      </c>
      <c r="R884" s="8" t="str">
        <f>VLOOKUP(Table1[[#This Row],[Address B]],IP_Master[],4,FALSE)</f>
        <v>EGX100</v>
      </c>
      <c r="S884" s="8" t="str">
        <f>VLOOKUP(Table1[[#This Row],[Address A]],IP_Master[],2,FALSE)</f>
        <v>Fume Control</v>
      </c>
      <c r="T884" s="8" t="str">
        <f>VLOOKUP(Table1[[#This Row],[Address B]],IP_Master[],2,FALSE)</f>
        <v>Miscellaneous</v>
      </c>
      <c r="U884" s="9" t="str">
        <f>VLOOKUP(Table1[[#This Row],[Address A]],IP_Master[],3,FALSE)</f>
        <v>iFIX Nodes &amp; Ethernet Switches</v>
      </c>
      <c r="V884" s="9" t="str">
        <f>VLOOKUP(Table1[[#This Row],[Address B]],IP_Master[],3,FALSE)</f>
        <v>iFIX Nodes &amp; Ethernet Switches</v>
      </c>
      <c r="W884" s="9" t="str">
        <f>VLOOKUP(Table1[[#This Row],[Port B]],traffic_types[],2,FALSE)</f>
        <v>Modbus</v>
      </c>
    </row>
    <row r="885" spans="1:23" x14ac:dyDescent="0.6">
      <c r="A885" t="s">
        <v>97</v>
      </c>
      <c r="B885">
        <v>2905</v>
      </c>
      <c r="C885" t="s">
        <v>87</v>
      </c>
      <c r="D885">
        <v>502</v>
      </c>
      <c r="E885">
        <v>1</v>
      </c>
      <c r="F885" s="13">
        <v>62</v>
      </c>
      <c r="G885">
        <v>1</v>
      </c>
      <c r="H885">
        <v>62</v>
      </c>
      <c r="I885">
        <v>0</v>
      </c>
      <c r="J885">
        <v>0</v>
      </c>
      <c r="K885">
        <v>894.80578600000001</v>
      </c>
      <c r="L885">
        <v>0</v>
      </c>
      <c r="M885">
        <v>0</v>
      </c>
      <c r="N885">
        <v>0</v>
      </c>
      <c r="O885" s="8" t="str">
        <f>formatIP(Table1[[#This Row],[Address A]])</f>
        <v>010.012.000.002</v>
      </c>
      <c r="P885" s="8" t="str">
        <f>formatIP(Table1[[#This Row],[Address B]])</f>
        <v>010.011.009.028</v>
      </c>
      <c r="Q885" s="8" t="str">
        <f>VLOOKUP(Table1[[#This Row],[Address A]],IP_Master[],4,FALSE)</f>
        <v>PPPCFC2</v>
      </c>
      <c r="R885" s="8" t="str">
        <f>VLOOKUP(Table1[[#This Row],[Address B]],IP_Master[],4,FALSE)</f>
        <v>EGX100</v>
      </c>
      <c r="S885" s="8" t="str">
        <f>VLOOKUP(Table1[[#This Row],[Address A]],IP_Master[],2,FALSE)</f>
        <v>Fume Control</v>
      </c>
      <c r="T885" s="8" t="str">
        <f>VLOOKUP(Table1[[#This Row],[Address B]],IP_Master[],2,FALSE)</f>
        <v>Miscellaneous</v>
      </c>
      <c r="U885" s="9" t="str">
        <f>VLOOKUP(Table1[[#This Row],[Address A]],IP_Master[],3,FALSE)</f>
        <v>iFIX Nodes &amp; Ethernet Switches</v>
      </c>
      <c r="V885" s="9" t="str">
        <f>VLOOKUP(Table1[[#This Row],[Address B]],IP_Master[],3,FALSE)</f>
        <v>iFIX Nodes &amp; Ethernet Switches</v>
      </c>
      <c r="W885" s="9" t="str">
        <f>VLOOKUP(Table1[[#This Row],[Port B]],traffic_types[],2,FALSE)</f>
        <v>Modbus</v>
      </c>
    </row>
    <row r="886" spans="1:23" x14ac:dyDescent="0.6">
      <c r="A886" t="s">
        <v>97</v>
      </c>
      <c r="B886">
        <v>2906</v>
      </c>
      <c r="C886" t="s">
        <v>87</v>
      </c>
      <c r="D886">
        <v>502</v>
      </c>
      <c r="E886">
        <v>1</v>
      </c>
      <c r="F886" s="13">
        <v>62</v>
      </c>
      <c r="G886">
        <v>1</v>
      </c>
      <c r="H886">
        <v>62</v>
      </c>
      <c r="I886">
        <v>0</v>
      </c>
      <c r="J886">
        <v>0</v>
      </c>
      <c r="K886">
        <v>896.36845100000005</v>
      </c>
      <c r="L886">
        <v>0</v>
      </c>
      <c r="M886">
        <v>0</v>
      </c>
      <c r="N886">
        <v>0</v>
      </c>
      <c r="O886" s="8" t="str">
        <f>formatIP(Table1[[#This Row],[Address A]])</f>
        <v>010.012.000.002</v>
      </c>
      <c r="P886" s="8" t="str">
        <f>formatIP(Table1[[#This Row],[Address B]])</f>
        <v>010.011.009.028</v>
      </c>
      <c r="Q886" s="8" t="str">
        <f>VLOOKUP(Table1[[#This Row],[Address A]],IP_Master[],4,FALSE)</f>
        <v>PPPCFC2</v>
      </c>
      <c r="R886" s="8" t="str">
        <f>VLOOKUP(Table1[[#This Row],[Address B]],IP_Master[],4,FALSE)</f>
        <v>EGX100</v>
      </c>
      <c r="S886" s="8" t="str">
        <f>VLOOKUP(Table1[[#This Row],[Address A]],IP_Master[],2,FALSE)</f>
        <v>Fume Control</v>
      </c>
      <c r="T886" s="8" t="str">
        <f>VLOOKUP(Table1[[#This Row],[Address B]],IP_Master[],2,FALSE)</f>
        <v>Miscellaneous</v>
      </c>
      <c r="U886" s="9" t="str">
        <f>VLOOKUP(Table1[[#This Row],[Address A]],IP_Master[],3,FALSE)</f>
        <v>iFIX Nodes &amp; Ethernet Switches</v>
      </c>
      <c r="V886" s="9" t="str">
        <f>VLOOKUP(Table1[[#This Row],[Address B]],IP_Master[],3,FALSE)</f>
        <v>iFIX Nodes &amp; Ethernet Switches</v>
      </c>
      <c r="W886" s="9" t="str">
        <f>VLOOKUP(Table1[[#This Row],[Port B]],traffic_types[],2,FALSE)</f>
        <v>Modbus</v>
      </c>
    </row>
    <row r="887" spans="1:23" x14ac:dyDescent="0.6">
      <c r="A887" t="s">
        <v>98</v>
      </c>
      <c r="B887">
        <v>2396</v>
      </c>
      <c r="C887" t="s">
        <v>99</v>
      </c>
      <c r="D887">
        <v>80</v>
      </c>
      <c r="E887">
        <v>3</v>
      </c>
      <c r="F887" s="13">
        <v>186</v>
      </c>
      <c r="G887">
        <v>3</v>
      </c>
      <c r="H887">
        <v>186</v>
      </c>
      <c r="I887">
        <v>0</v>
      </c>
      <c r="J887">
        <v>0</v>
      </c>
      <c r="K887">
        <v>172.24536800000001</v>
      </c>
      <c r="L887">
        <v>9.1186669999999896</v>
      </c>
      <c r="M887">
        <v>163.18174575296999</v>
      </c>
      <c r="N887">
        <v>0</v>
      </c>
      <c r="O887" s="8" t="str">
        <f>formatIP(Table1[[#This Row],[Address A]])</f>
        <v>010.012.000.007</v>
      </c>
      <c r="P887" s="8" t="str">
        <f>formatIP(Table1[[#This Row],[Address B]])</f>
        <v>010.238.200.037</v>
      </c>
      <c r="Q887" s="8" t="str">
        <f>VLOOKUP(Table1[[#This Row],[Address A]],IP_Master[],4,FALSE)</f>
        <v>PPPCFC7</v>
      </c>
      <c r="R887" s="8" t="e">
        <f>VLOOKUP(Table1[[#This Row],[Address B]],IP_Master[],4,FALSE)</f>
        <v>#N/A</v>
      </c>
      <c r="S887" s="8" t="str">
        <f>VLOOKUP(Table1[[#This Row],[Address A]],IP_Master[],2,FALSE)</f>
        <v>Fume Control</v>
      </c>
      <c r="T887" s="8" t="e">
        <f>VLOOKUP(Table1[[#This Row],[Address B]],IP_Master[],2,FALSE)</f>
        <v>#N/A</v>
      </c>
      <c r="U887" s="9" t="str">
        <f>VLOOKUP(Table1[[#This Row],[Address A]],IP_Master[],3,FALSE)</f>
        <v>iFIX Nodes &amp; Ethernet Switches</v>
      </c>
      <c r="V887" s="9" t="e">
        <f>VLOOKUP(Table1[[#This Row],[Address B]],IP_Master[],3,FALSE)</f>
        <v>#N/A</v>
      </c>
      <c r="W887" s="9" t="str">
        <f>VLOOKUP(Table1[[#This Row],[Port B]],traffic_types[],2,FALSE)</f>
        <v>HTTP</v>
      </c>
    </row>
    <row r="888" spans="1:23" x14ac:dyDescent="0.6">
      <c r="A888" t="s">
        <v>98</v>
      </c>
      <c r="B888">
        <v>2397</v>
      </c>
      <c r="C888" t="s">
        <v>99</v>
      </c>
      <c r="D888">
        <v>80</v>
      </c>
      <c r="E888">
        <v>3</v>
      </c>
      <c r="F888" s="13">
        <v>186</v>
      </c>
      <c r="G888">
        <v>3</v>
      </c>
      <c r="H888">
        <v>186</v>
      </c>
      <c r="I888">
        <v>0</v>
      </c>
      <c r="J888">
        <v>0</v>
      </c>
      <c r="K888">
        <v>193.51004</v>
      </c>
      <c r="L888">
        <v>9.0734890000000004</v>
      </c>
      <c r="M888">
        <v>163.994247416843</v>
      </c>
      <c r="N888">
        <v>0</v>
      </c>
      <c r="O888" s="8" t="str">
        <f>formatIP(Table1[[#This Row],[Address A]])</f>
        <v>010.012.000.007</v>
      </c>
      <c r="P888" s="8" t="str">
        <f>formatIP(Table1[[#This Row],[Address B]])</f>
        <v>010.238.200.037</v>
      </c>
      <c r="Q888" s="8" t="str">
        <f>VLOOKUP(Table1[[#This Row],[Address A]],IP_Master[],4,FALSE)</f>
        <v>PPPCFC7</v>
      </c>
      <c r="R888" s="8" t="e">
        <f>VLOOKUP(Table1[[#This Row],[Address B]],IP_Master[],4,FALSE)</f>
        <v>#N/A</v>
      </c>
      <c r="S888" s="8" t="str">
        <f>VLOOKUP(Table1[[#This Row],[Address A]],IP_Master[],2,FALSE)</f>
        <v>Fume Control</v>
      </c>
      <c r="T888" s="8" t="e">
        <f>VLOOKUP(Table1[[#This Row],[Address B]],IP_Master[],2,FALSE)</f>
        <v>#N/A</v>
      </c>
      <c r="U888" s="9" t="str">
        <f>VLOOKUP(Table1[[#This Row],[Address A]],IP_Master[],3,FALSE)</f>
        <v>iFIX Nodes &amp; Ethernet Switches</v>
      </c>
      <c r="V888" s="9" t="e">
        <f>VLOOKUP(Table1[[#This Row],[Address B]],IP_Master[],3,FALSE)</f>
        <v>#N/A</v>
      </c>
      <c r="W888" s="9" t="str">
        <f>VLOOKUP(Table1[[#This Row],[Port B]],traffic_types[],2,FALSE)</f>
        <v>HTTP</v>
      </c>
    </row>
    <row r="889" spans="1:23" x14ac:dyDescent="0.6">
      <c r="A889" t="s">
        <v>98</v>
      </c>
      <c r="B889">
        <v>2398</v>
      </c>
      <c r="C889" t="s">
        <v>99</v>
      </c>
      <c r="D889">
        <v>80</v>
      </c>
      <c r="E889">
        <v>3</v>
      </c>
      <c r="F889" s="13">
        <v>186</v>
      </c>
      <c r="G889">
        <v>3</v>
      </c>
      <c r="H889">
        <v>186</v>
      </c>
      <c r="I889">
        <v>0</v>
      </c>
      <c r="J889">
        <v>0</v>
      </c>
      <c r="K889">
        <v>216.88964200000001</v>
      </c>
      <c r="L889">
        <v>8.8822480000000006</v>
      </c>
      <c r="M889">
        <v>167.52515804557601</v>
      </c>
      <c r="N889">
        <v>0</v>
      </c>
      <c r="O889" s="8" t="str">
        <f>formatIP(Table1[[#This Row],[Address A]])</f>
        <v>010.012.000.007</v>
      </c>
      <c r="P889" s="8" t="str">
        <f>formatIP(Table1[[#This Row],[Address B]])</f>
        <v>010.238.200.037</v>
      </c>
      <c r="Q889" s="8" t="str">
        <f>VLOOKUP(Table1[[#This Row],[Address A]],IP_Master[],4,FALSE)</f>
        <v>PPPCFC7</v>
      </c>
      <c r="R889" s="8" t="e">
        <f>VLOOKUP(Table1[[#This Row],[Address B]],IP_Master[],4,FALSE)</f>
        <v>#N/A</v>
      </c>
      <c r="S889" s="8" t="str">
        <f>VLOOKUP(Table1[[#This Row],[Address A]],IP_Master[],2,FALSE)</f>
        <v>Fume Control</v>
      </c>
      <c r="T889" s="8" t="e">
        <f>VLOOKUP(Table1[[#This Row],[Address B]],IP_Master[],2,FALSE)</f>
        <v>#N/A</v>
      </c>
      <c r="U889" s="9" t="str">
        <f>VLOOKUP(Table1[[#This Row],[Address A]],IP_Master[],3,FALSE)</f>
        <v>iFIX Nodes &amp; Ethernet Switches</v>
      </c>
      <c r="V889" s="9" t="e">
        <f>VLOOKUP(Table1[[#This Row],[Address B]],IP_Master[],3,FALSE)</f>
        <v>#N/A</v>
      </c>
      <c r="W889" s="9" t="str">
        <f>VLOOKUP(Table1[[#This Row],[Port B]],traffic_types[],2,FALSE)</f>
        <v>HTTP</v>
      </c>
    </row>
    <row r="890" spans="1:23" x14ac:dyDescent="0.6">
      <c r="A890" t="s">
        <v>100</v>
      </c>
      <c r="B890">
        <v>52082</v>
      </c>
      <c r="C890" t="s">
        <v>101</v>
      </c>
      <c r="D890">
        <v>80</v>
      </c>
      <c r="E890">
        <v>3</v>
      </c>
      <c r="F890" s="13">
        <v>194</v>
      </c>
      <c r="G890">
        <v>3</v>
      </c>
      <c r="H890">
        <v>194</v>
      </c>
      <c r="I890">
        <v>0</v>
      </c>
      <c r="J890">
        <v>0</v>
      </c>
      <c r="K890">
        <v>90.231457000000006</v>
      </c>
      <c r="L890">
        <v>9.0040379999999907</v>
      </c>
      <c r="M890">
        <v>172.36710906817601</v>
      </c>
      <c r="N890">
        <v>0</v>
      </c>
      <c r="O890" s="8" t="str">
        <f>formatIP(Table1[[#This Row],[Address A]])</f>
        <v>010.012.000.022</v>
      </c>
      <c r="P890" s="8" t="str">
        <f>formatIP(Table1[[#This Row],[Address B]])</f>
        <v>023.000.040.234</v>
      </c>
      <c r="Q890" s="8" t="str">
        <f>VLOOKUP(Table1[[#This Row],[Address A]],IP_Master[],4,FALSE)</f>
        <v>PPPCBF2</v>
      </c>
      <c r="R890" s="8" t="e">
        <f>VLOOKUP(Table1[[#This Row],[Address B]],IP_Master[],4,FALSE)</f>
        <v>#N/A</v>
      </c>
      <c r="S890" s="8" t="str">
        <f>VLOOKUP(Table1[[#This Row],[Address A]],IP_Master[],2,FALSE)</f>
        <v>Blast Furnace</v>
      </c>
      <c r="T890" s="8" t="e">
        <f>VLOOKUP(Table1[[#This Row],[Address B]],IP_Master[],2,FALSE)</f>
        <v>#N/A</v>
      </c>
      <c r="U890" s="9" t="str">
        <f>VLOOKUP(Table1[[#This Row],[Address A]],IP_Master[],3,FALSE)</f>
        <v>iFIX Nodes &amp; Ethernet Switches</v>
      </c>
      <c r="V890" s="9" t="e">
        <f>VLOOKUP(Table1[[#This Row],[Address B]],IP_Master[],3,FALSE)</f>
        <v>#N/A</v>
      </c>
      <c r="W890" s="9" t="str">
        <f>VLOOKUP(Table1[[#This Row],[Port B]],traffic_types[],2,FALSE)</f>
        <v>HTTP</v>
      </c>
    </row>
    <row r="891" spans="1:23" x14ac:dyDescent="0.6">
      <c r="A891" t="s">
        <v>100</v>
      </c>
      <c r="B891">
        <v>52105</v>
      </c>
      <c r="C891" t="s">
        <v>101</v>
      </c>
      <c r="D891">
        <v>80</v>
      </c>
      <c r="E891">
        <v>3</v>
      </c>
      <c r="F891" s="13">
        <v>194</v>
      </c>
      <c r="G891">
        <v>3</v>
      </c>
      <c r="H891">
        <v>194</v>
      </c>
      <c r="I891">
        <v>0</v>
      </c>
      <c r="J891">
        <v>0</v>
      </c>
      <c r="K891">
        <v>411.243877</v>
      </c>
      <c r="L891">
        <v>8.9998590000000096</v>
      </c>
      <c r="M891">
        <v>172.44714611640001</v>
      </c>
      <c r="N891">
        <v>0</v>
      </c>
      <c r="O891" s="8" t="str">
        <f>formatIP(Table1[[#This Row],[Address A]])</f>
        <v>010.012.000.022</v>
      </c>
      <c r="P891" s="8" t="str">
        <f>formatIP(Table1[[#This Row],[Address B]])</f>
        <v>023.000.040.234</v>
      </c>
      <c r="Q891" s="8" t="str">
        <f>VLOOKUP(Table1[[#This Row],[Address A]],IP_Master[],4,FALSE)</f>
        <v>PPPCBF2</v>
      </c>
      <c r="R891" s="8" t="e">
        <f>VLOOKUP(Table1[[#This Row],[Address B]],IP_Master[],4,FALSE)</f>
        <v>#N/A</v>
      </c>
      <c r="S891" s="8" t="str">
        <f>VLOOKUP(Table1[[#This Row],[Address A]],IP_Master[],2,FALSE)</f>
        <v>Blast Furnace</v>
      </c>
      <c r="T891" s="8" t="e">
        <f>VLOOKUP(Table1[[#This Row],[Address B]],IP_Master[],2,FALSE)</f>
        <v>#N/A</v>
      </c>
      <c r="U891" s="9" t="str">
        <f>VLOOKUP(Table1[[#This Row],[Address A]],IP_Master[],3,FALSE)</f>
        <v>iFIX Nodes &amp; Ethernet Switches</v>
      </c>
      <c r="V891" s="9" t="e">
        <f>VLOOKUP(Table1[[#This Row],[Address B]],IP_Master[],3,FALSE)</f>
        <v>#N/A</v>
      </c>
      <c r="W891" s="9" t="str">
        <f>VLOOKUP(Table1[[#This Row],[Port B]],traffic_types[],2,FALSE)</f>
        <v>HTTP</v>
      </c>
    </row>
    <row r="892" spans="1:23" x14ac:dyDescent="0.6">
      <c r="A892" t="s">
        <v>100</v>
      </c>
      <c r="B892">
        <v>52113</v>
      </c>
      <c r="C892" t="s">
        <v>101</v>
      </c>
      <c r="D892">
        <v>80</v>
      </c>
      <c r="E892">
        <v>3</v>
      </c>
      <c r="F892" s="13">
        <v>194</v>
      </c>
      <c r="G892">
        <v>3</v>
      </c>
      <c r="H892">
        <v>194</v>
      </c>
      <c r="I892">
        <v>0</v>
      </c>
      <c r="J892">
        <v>0</v>
      </c>
      <c r="K892">
        <v>732.26330299999995</v>
      </c>
      <c r="L892">
        <v>9.0097330000001001</v>
      </c>
      <c r="M892">
        <v>172.25815681774199</v>
      </c>
      <c r="N892">
        <v>0</v>
      </c>
      <c r="O892" s="8" t="str">
        <f>formatIP(Table1[[#This Row],[Address A]])</f>
        <v>010.012.000.022</v>
      </c>
      <c r="P892" s="8" t="str">
        <f>formatIP(Table1[[#This Row],[Address B]])</f>
        <v>023.000.040.234</v>
      </c>
      <c r="Q892" s="8" t="str">
        <f>VLOOKUP(Table1[[#This Row],[Address A]],IP_Master[],4,FALSE)</f>
        <v>PPPCBF2</v>
      </c>
      <c r="R892" s="8" t="e">
        <f>VLOOKUP(Table1[[#This Row],[Address B]],IP_Master[],4,FALSE)</f>
        <v>#N/A</v>
      </c>
      <c r="S892" s="8" t="str">
        <f>VLOOKUP(Table1[[#This Row],[Address A]],IP_Master[],2,FALSE)</f>
        <v>Blast Furnace</v>
      </c>
      <c r="T892" s="8" t="e">
        <f>VLOOKUP(Table1[[#This Row],[Address B]],IP_Master[],2,FALSE)</f>
        <v>#N/A</v>
      </c>
      <c r="U892" s="9" t="str">
        <f>VLOOKUP(Table1[[#This Row],[Address A]],IP_Master[],3,FALSE)</f>
        <v>iFIX Nodes &amp; Ethernet Switches</v>
      </c>
      <c r="V892" s="9" t="e">
        <f>VLOOKUP(Table1[[#This Row],[Address B]],IP_Master[],3,FALSE)</f>
        <v>#N/A</v>
      </c>
      <c r="W892" s="9" t="str">
        <f>VLOOKUP(Table1[[#This Row],[Port B]],traffic_types[],2,FALSE)</f>
        <v>HTTP</v>
      </c>
    </row>
    <row r="893" spans="1:23" x14ac:dyDescent="0.6">
      <c r="A893" t="s">
        <v>69</v>
      </c>
      <c r="B893">
        <v>4085</v>
      </c>
      <c r="C893" t="s">
        <v>99</v>
      </c>
      <c r="D893">
        <v>80</v>
      </c>
      <c r="E893">
        <v>3</v>
      </c>
      <c r="F893" s="13">
        <v>186</v>
      </c>
      <c r="G893">
        <v>3</v>
      </c>
      <c r="H893">
        <v>186</v>
      </c>
      <c r="I893">
        <v>0</v>
      </c>
      <c r="J893">
        <v>0</v>
      </c>
      <c r="K893">
        <v>695.36321499999997</v>
      </c>
      <c r="L893">
        <v>8.9900460000000102</v>
      </c>
      <c r="M893">
        <v>165.516394465612</v>
      </c>
      <c r="N893">
        <v>0</v>
      </c>
      <c r="O893" s="8" t="str">
        <f>formatIP(Table1[[#This Row],[Address A]])</f>
        <v>010.012.000.041</v>
      </c>
      <c r="P893" s="8" t="str">
        <f>formatIP(Table1[[#This Row],[Address B]])</f>
        <v>010.238.200.037</v>
      </c>
      <c r="Q893" s="8" t="str">
        <f>VLOOKUP(Table1[[#This Row],[Address A]],IP_Master[],4,FALSE)</f>
        <v>PPPCAP1</v>
      </c>
      <c r="R893" s="8" t="e">
        <f>VLOOKUP(Table1[[#This Row],[Address B]],IP_Master[],4,FALSE)</f>
        <v>#N/A</v>
      </c>
      <c r="S893" s="8" t="str">
        <f>VLOOKUP(Table1[[#This Row],[Address A]],IP_Master[],2,FALSE)</f>
        <v>Acid Plant</v>
      </c>
      <c r="T893" s="8" t="e">
        <f>VLOOKUP(Table1[[#This Row],[Address B]],IP_Master[],2,FALSE)</f>
        <v>#N/A</v>
      </c>
      <c r="U893" s="9" t="str">
        <f>VLOOKUP(Table1[[#This Row],[Address A]],IP_Master[],3,FALSE)</f>
        <v>iFIX Nodes &amp; Ethernet Switches</v>
      </c>
      <c r="V893" s="9" t="e">
        <f>VLOOKUP(Table1[[#This Row],[Address B]],IP_Master[],3,FALSE)</f>
        <v>#N/A</v>
      </c>
      <c r="W893" s="9" t="str">
        <f>VLOOKUP(Table1[[#This Row],[Port B]],traffic_types[],2,FALSE)</f>
        <v>HTTP</v>
      </c>
    </row>
    <row r="894" spans="1:23" x14ac:dyDescent="0.6">
      <c r="A894" t="s">
        <v>69</v>
      </c>
      <c r="B894">
        <v>4085</v>
      </c>
      <c r="C894" t="s">
        <v>99</v>
      </c>
      <c r="D894">
        <v>80</v>
      </c>
      <c r="E894">
        <v>3</v>
      </c>
      <c r="F894" s="13">
        <v>186</v>
      </c>
      <c r="G894">
        <v>3</v>
      </c>
      <c r="H894">
        <v>186</v>
      </c>
      <c r="I894">
        <v>0</v>
      </c>
      <c r="J894">
        <v>0</v>
      </c>
      <c r="K894">
        <v>716.32486300000005</v>
      </c>
      <c r="L894">
        <v>8.9508919999999499</v>
      </c>
      <c r="M894">
        <v>166.24041492177599</v>
      </c>
      <c r="N894">
        <v>0</v>
      </c>
      <c r="O894" s="8" t="str">
        <f>formatIP(Table1[[#This Row],[Address A]])</f>
        <v>010.012.000.041</v>
      </c>
      <c r="P894" s="8" t="str">
        <f>formatIP(Table1[[#This Row],[Address B]])</f>
        <v>010.238.200.037</v>
      </c>
      <c r="Q894" s="8" t="str">
        <f>VLOOKUP(Table1[[#This Row],[Address A]],IP_Master[],4,FALSE)</f>
        <v>PPPCAP1</v>
      </c>
      <c r="R894" s="8" t="e">
        <f>VLOOKUP(Table1[[#This Row],[Address B]],IP_Master[],4,FALSE)</f>
        <v>#N/A</v>
      </c>
      <c r="S894" s="8" t="str">
        <f>VLOOKUP(Table1[[#This Row],[Address A]],IP_Master[],2,FALSE)</f>
        <v>Acid Plant</v>
      </c>
      <c r="T894" s="8" t="e">
        <f>VLOOKUP(Table1[[#This Row],[Address B]],IP_Master[],2,FALSE)</f>
        <v>#N/A</v>
      </c>
      <c r="U894" s="9" t="str">
        <f>VLOOKUP(Table1[[#This Row],[Address A]],IP_Master[],3,FALSE)</f>
        <v>iFIX Nodes &amp; Ethernet Switches</v>
      </c>
      <c r="V894" s="9" t="e">
        <f>VLOOKUP(Table1[[#This Row],[Address B]],IP_Master[],3,FALSE)</f>
        <v>#N/A</v>
      </c>
      <c r="W894" s="9" t="str">
        <f>VLOOKUP(Table1[[#This Row],[Port B]],traffic_types[],2,FALSE)</f>
        <v>HTTP</v>
      </c>
    </row>
    <row r="895" spans="1:23" x14ac:dyDescent="0.6">
      <c r="A895" t="s">
        <v>102</v>
      </c>
      <c r="B895">
        <v>4480</v>
      </c>
      <c r="C895" t="s">
        <v>103</v>
      </c>
      <c r="D895">
        <v>502</v>
      </c>
      <c r="E895">
        <v>9</v>
      </c>
      <c r="F895" s="13">
        <v>559</v>
      </c>
      <c r="G895">
        <v>6</v>
      </c>
      <c r="H895">
        <v>368</v>
      </c>
      <c r="I895">
        <v>3</v>
      </c>
      <c r="J895">
        <v>191</v>
      </c>
      <c r="K895">
        <v>149.18771799999999</v>
      </c>
      <c r="L895">
        <v>60.046460000000003</v>
      </c>
      <c r="M895">
        <v>49.028702108334102</v>
      </c>
      <c r="N895">
        <v>25.446962235575601</v>
      </c>
      <c r="O895" s="8" t="str">
        <f>formatIP(Table1[[#This Row],[Address A]])</f>
        <v>010.012.000.042</v>
      </c>
      <c r="P895" s="8" t="str">
        <f>formatIP(Table1[[#This Row],[Address B]])</f>
        <v>010.011.009.208</v>
      </c>
      <c r="Q895" s="8" t="str">
        <f>VLOOKUP(Table1[[#This Row],[Address A]],IP_Master[],4,FALSE)</f>
        <v>PPPCAP2</v>
      </c>
      <c r="R895" s="8" t="str">
        <f>VLOOKUP(Table1[[#This Row],[Address B]],IP_Master[],4,FALSE)</f>
        <v>EGX100</v>
      </c>
      <c r="S895" s="8" t="str">
        <f>VLOOKUP(Table1[[#This Row],[Address A]],IP_Master[],2,FALSE)</f>
        <v>Acid Plant</v>
      </c>
      <c r="T895" s="8" t="str">
        <f>VLOOKUP(Table1[[#This Row],[Address B]],IP_Master[],2,FALSE)</f>
        <v>Acid Plant</v>
      </c>
      <c r="U895" s="9" t="str">
        <f>VLOOKUP(Table1[[#This Row],[Address A]],IP_Master[],3,FALSE)</f>
        <v>iFIX Nodes &amp; Ethernet Switches</v>
      </c>
      <c r="V895" s="9" t="str">
        <f>VLOOKUP(Table1[[#This Row],[Address B]],IP_Master[],3,FALSE)</f>
        <v>PLCs &amp; Control Equipment</v>
      </c>
      <c r="W895" s="9" t="str">
        <f>VLOOKUP(Table1[[#This Row],[Port B]],traffic_types[],2,FALSE)</f>
        <v>Modbus</v>
      </c>
    </row>
    <row r="896" spans="1:23" x14ac:dyDescent="0.6">
      <c r="A896" t="s">
        <v>102</v>
      </c>
      <c r="B896">
        <v>4481</v>
      </c>
      <c r="C896" t="s">
        <v>103</v>
      </c>
      <c r="D896">
        <v>502</v>
      </c>
      <c r="E896">
        <v>9</v>
      </c>
      <c r="F896" s="13">
        <v>593</v>
      </c>
      <c r="G896">
        <v>6</v>
      </c>
      <c r="H896">
        <v>368</v>
      </c>
      <c r="I896">
        <v>3</v>
      </c>
      <c r="J896">
        <v>225</v>
      </c>
      <c r="K896">
        <v>149.187986</v>
      </c>
      <c r="L896">
        <v>60.155628999999998</v>
      </c>
      <c r="M896">
        <v>48.939725989732402</v>
      </c>
      <c r="N896">
        <v>29.922386814374399</v>
      </c>
      <c r="O896" s="8" t="str">
        <f>formatIP(Table1[[#This Row],[Address A]])</f>
        <v>010.012.000.042</v>
      </c>
      <c r="P896" s="8" t="str">
        <f>formatIP(Table1[[#This Row],[Address B]])</f>
        <v>010.011.009.208</v>
      </c>
      <c r="Q896" s="8" t="str">
        <f>VLOOKUP(Table1[[#This Row],[Address A]],IP_Master[],4,FALSE)</f>
        <v>PPPCAP2</v>
      </c>
      <c r="R896" s="8" t="str">
        <f>VLOOKUP(Table1[[#This Row],[Address B]],IP_Master[],4,FALSE)</f>
        <v>EGX100</v>
      </c>
      <c r="S896" s="8" t="str">
        <f>VLOOKUP(Table1[[#This Row],[Address A]],IP_Master[],2,FALSE)</f>
        <v>Acid Plant</v>
      </c>
      <c r="T896" s="8" t="str">
        <f>VLOOKUP(Table1[[#This Row],[Address B]],IP_Master[],2,FALSE)</f>
        <v>Acid Plant</v>
      </c>
      <c r="U896" s="9" t="str">
        <f>VLOOKUP(Table1[[#This Row],[Address A]],IP_Master[],3,FALSE)</f>
        <v>iFIX Nodes &amp; Ethernet Switches</v>
      </c>
      <c r="V896" s="9" t="str">
        <f>VLOOKUP(Table1[[#This Row],[Address B]],IP_Master[],3,FALSE)</f>
        <v>PLCs &amp; Control Equipment</v>
      </c>
      <c r="W896" s="9" t="str">
        <f>VLOOKUP(Table1[[#This Row],[Port B]],traffic_types[],2,FALSE)</f>
        <v>Modbus</v>
      </c>
    </row>
    <row r="897" spans="1:23" x14ac:dyDescent="0.6">
      <c r="A897" t="s">
        <v>102</v>
      </c>
      <c r="B897">
        <v>4482</v>
      </c>
      <c r="C897" t="s">
        <v>103</v>
      </c>
      <c r="D897">
        <v>502</v>
      </c>
      <c r="E897">
        <v>10</v>
      </c>
      <c r="F897" s="13">
        <v>623</v>
      </c>
      <c r="G897">
        <v>6</v>
      </c>
      <c r="H897">
        <v>368</v>
      </c>
      <c r="I897">
        <v>4</v>
      </c>
      <c r="J897">
        <v>255</v>
      </c>
      <c r="K897">
        <v>149.18828400000001</v>
      </c>
      <c r="L897">
        <v>60.233305999999999</v>
      </c>
      <c r="M897">
        <v>48.876613214622502</v>
      </c>
      <c r="N897">
        <v>33.868305352523699</v>
      </c>
      <c r="O897" s="8" t="str">
        <f>formatIP(Table1[[#This Row],[Address A]])</f>
        <v>010.012.000.042</v>
      </c>
      <c r="P897" s="8" t="str">
        <f>formatIP(Table1[[#This Row],[Address B]])</f>
        <v>010.011.009.208</v>
      </c>
      <c r="Q897" s="8" t="str">
        <f>VLOOKUP(Table1[[#This Row],[Address A]],IP_Master[],4,FALSE)</f>
        <v>PPPCAP2</v>
      </c>
      <c r="R897" s="8" t="str">
        <f>VLOOKUP(Table1[[#This Row],[Address B]],IP_Master[],4,FALSE)</f>
        <v>EGX100</v>
      </c>
      <c r="S897" s="8" t="str">
        <f>VLOOKUP(Table1[[#This Row],[Address A]],IP_Master[],2,FALSE)</f>
        <v>Acid Plant</v>
      </c>
      <c r="T897" s="8" t="str">
        <f>VLOOKUP(Table1[[#This Row],[Address B]],IP_Master[],2,FALSE)</f>
        <v>Acid Plant</v>
      </c>
      <c r="U897" s="9" t="str">
        <f>VLOOKUP(Table1[[#This Row],[Address A]],IP_Master[],3,FALSE)</f>
        <v>iFIX Nodes &amp; Ethernet Switches</v>
      </c>
      <c r="V897" s="9" t="str">
        <f>VLOOKUP(Table1[[#This Row],[Address B]],IP_Master[],3,FALSE)</f>
        <v>PLCs &amp; Control Equipment</v>
      </c>
      <c r="W897" s="9" t="str">
        <f>VLOOKUP(Table1[[#This Row],[Port B]],traffic_types[],2,FALSE)</f>
        <v>Modbus</v>
      </c>
    </row>
    <row r="898" spans="1:23" x14ac:dyDescent="0.6">
      <c r="A898" t="s">
        <v>102</v>
      </c>
      <c r="B898">
        <v>4483</v>
      </c>
      <c r="C898" t="s">
        <v>103</v>
      </c>
      <c r="D898">
        <v>502</v>
      </c>
      <c r="E898">
        <v>10</v>
      </c>
      <c r="F898" s="13">
        <v>627</v>
      </c>
      <c r="G898">
        <v>6</v>
      </c>
      <c r="H898">
        <v>368</v>
      </c>
      <c r="I898">
        <v>4</v>
      </c>
      <c r="J898">
        <v>259</v>
      </c>
      <c r="K898">
        <v>149.18865299999999</v>
      </c>
      <c r="L898">
        <v>60.326801000000003</v>
      </c>
      <c r="M898">
        <v>48.800863815072802</v>
      </c>
      <c r="N898">
        <v>34.346260130716999</v>
      </c>
      <c r="O898" s="8" t="str">
        <f>formatIP(Table1[[#This Row],[Address A]])</f>
        <v>010.012.000.042</v>
      </c>
      <c r="P898" s="8" t="str">
        <f>formatIP(Table1[[#This Row],[Address B]])</f>
        <v>010.011.009.208</v>
      </c>
      <c r="Q898" s="8" t="str">
        <f>VLOOKUP(Table1[[#This Row],[Address A]],IP_Master[],4,FALSE)</f>
        <v>PPPCAP2</v>
      </c>
      <c r="R898" s="8" t="str">
        <f>VLOOKUP(Table1[[#This Row],[Address B]],IP_Master[],4,FALSE)</f>
        <v>EGX100</v>
      </c>
      <c r="S898" s="8" t="str">
        <f>VLOOKUP(Table1[[#This Row],[Address A]],IP_Master[],2,FALSE)</f>
        <v>Acid Plant</v>
      </c>
      <c r="T898" s="8" t="str">
        <f>VLOOKUP(Table1[[#This Row],[Address B]],IP_Master[],2,FALSE)</f>
        <v>Acid Plant</v>
      </c>
      <c r="U898" s="9" t="str">
        <f>VLOOKUP(Table1[[#This Row],[Address A]],IP_Master[],3,FALSE)</f>
        <v>iFIX Nodes &amp; Ethernet Switches</v>
      </c>
      <c r="V898" s="9" t="str">
        <f>VLOOKUP(Table1[[#This Row],[Address B]],IP_Master[],3,FALSE)</f>
        <v>PLCs &amp; Control Equipment</v>
      </c>
      <c r="W898" s="9" t="str">
        <f>VLOOKUP(Table1[[#This Row],[Port B]],traffic_types[],2,FALSE)</f>
        <v>Modbus</v>
      </c>
    </row>
    <row r="899" spans="1:23" x14ac:dyDescent="0.6">
      <c r="A899" t="s">
        <v>102</v>
      </c>
      <c r="B899">
        <v>4484</v>
      </c>
      <c r="C899" t="s">
        <v>103</v>
      </c>
      <c r="D899">
        <v>502</v>
      </c>
      <c r="E899">
        <v>9</v>
      </c>
      <c r="F899" s="13">
        <v>559</v>
      </c>
      <c r="G899">
        <v>6</v>
      </c>
      <c r="H899">
        <v>368</v>
      </c>
      <c r="I899">
        <v>3</v>
      </c>
      <c r="J899">
        <v>191</v>
      </c>
      <c r="K899">
        <v>150.133858</v>
      </c>
      <c r="L899">
        <v>60.074939999999998</v>
      </c>
      <c r="M899">
        <v>49.0054588485648</v>
      </c>
      <c r="N899">
        <v>25.434898478467101</v>
      </c>
      <c r="O899" s="8" t="str">
        <f>formatIP(Table1[[#This Row],[Address A]])</f>
        <v>010.012.000.042</v>
      </c>
      <c r="P899" s="8" t="str">
        <f>formatIP(Table1[[#This Row],[Address B]])</f>
        <v>010.011.009.208</v>
      </c>
      <c r="Q899" s="8" t="str">
        <f>VLOOKUP(Table1[[#This Row],[Address A]],IP_Master[],4,FALSE)</f>
        <v>PPPCAP2</v>
      </c>
      <c r="R899" s="8" t="str">
        <f>VLOOKUP(Table1[[#This Row],[Address B]],IP_Master[],4,FALSE)</f>
        <v>EGX100</v>
      </c>
      <c r="S899" s="8" t="str">
        <f>VLOOKUP(Table1[[#This Row],[Address A]],IP_Master[],2,FALSE)</f>
        <v>Acid Plant</v>
      </c>
      <c r="T899" s="8" t="str">
        <f>VLOOKUP(Table1[[#This Row],[Address B]],IP_Master[],2,FALSE)</f>
        <v>Acid Plant</v>
      </c>
      <c r="U899" s="9" t="str">
        <f>VLOOKUP(Table1[[#This Row],[Address A]],IP_Master[],3,FALSE)</f>
        <v>iFIX Nodes &amp; Ethernet Switches</v>
      </c>
      <c r="V899" s="9" t="str">
        <f>VLOOKUP(Table1[[#This Row],[Address B]],IP_Master[],3,FALSE)</f>
        <v>PLCs &amp; Control Equipment</v>
      </c>
      <c r="W899" s="9" t="str">
        <f>VLOOKUP(Table1[[#This Row],[Port B]],traffic_types[],2,FALSE)</f>
        <v>Modbus</v>
      </c>
    </row>
    <row r="900" spans="1:23" x14ac:dyDescent="0.6">
      <c r="A900" t="s">
        <v>102</v>
      </c>
      <c r="B900">
        <v>4485</v>
      </c>
      <c r="C900" t="s">
        <v>103</v>
      </c>
      <c r="D900">
        <v>502</v>
      </c>
      <c r="E900">
        <v>9</v>
      </c>
      <c r="F900" s="13">
        <v>593</v>
      </c>
      <c r="G900">
        <v>6</v>
      </c>
      <c r="H900">
        <v>368</v>
      </c>
      <c r="I900">
        <v>3</v>
      </c>
      <c r="J900">
        <v>225</v>
      </c>
      <c r="K900">
        <v>150.13410200000001</v>
      </c>
      <c r="L900">
        <v>60.168384000000003</v>
      </c>
      <c r="M900">
        <v>48.9293513350799</v>
      </c>
      <c r="N900">
        <v>29.916043615198301</v>
      </c>
      <c r="O900" s="8" t="str">
        <f>formatIP(Table1[[#This Row],[Address A]])</f>
        <v>010.012.000.042</v>
      </c>
      <c r="P900" s="8" t="str">
        <f>formatIP(Table1[[#This Row],[Address B]])</f>
        <v>010.011.009.208</v>
      </c>
      <c r="Q900" s="8" t="str">
        <f>VLOOKUP(Table1[[#This Row],[Address A]],IP_Master[],4,FALSE)</f>
        <v>PPPCAP2</v>
      </c>
      <c r="R900" s="8" t="str">
        <f>VLOOKUP(Table1[[#This Row],[Address B]],IP_Master[],4,FALSE)</f>
        <v>EGX100</v>
      </c>
      <c r="S900" s="8" t="str">
        <f>VLOOKUP(Table1[[#This Row],[Address A]],IP_Master[],2,FALSE)</f>
        <v>Acid Plant</v>
      </c>
      <c r="T900" s="8" t="str">
        <f>VLOOKUP(Table1[[#This Row],[Address B]],IP_Master[],2,FALSE)</f>
        <v>Acid Plant</v>
      </c>
      <c r="U900" s="9" t="str">
        <f>VLOOKUP(Table1[[#This Row],[Address A]],IP_Master[],3,FALSE)</f>
        <v>iFIX Nodes &amp; Ethernet Switches</v>
      </c>
      <c r="V900" s="9" t="str">
        <f>VLOOKUP(Table1[[#This Row],[Address B]],IP_Master[],3,FALSE)</f>
        <v>PLCs &amp; Control Equipment</v>
      </c>
      <c r="W900" s="9" t="str">
        <f>VLOOKUP(Table1[[#This Row],[Port B]],traffic_types[],2,FALSE)</f>
        <v>Modbus</v>
      </c>
    </row>
    <row r="901" spans="1:23" x14ac:dyDescent="0.6">
      <c r="A901" t="s">
        <v>102</v>
      </c>
      <c r="B901">
        <v>4486</v>
      </c>
      <c r="C901" t="s">
        <v>103</v>
      </c>
      <c r="D901">
        <v>502</v>
      </c>
      <c r="E901">
        <v>10</v>
      </c>
      <c r="F901" s="13">
        <v>623</v>
      </c>
      <c r="G901">
        <v>6</v>
      </c>
      <c r="H901">
        <v>368</v>
      </c>
      <c r="I901">
        <v>4</v>
      </c>
      <c r="J901">
        <v>255</v>
      </c>
      <c r="K901">
        <v>150.134353</v>
      </c>
      <c r="L901">
        <v>60.261907000000001</v>
      </c>
      <c r="M901">
        <v>48.853415807103502</v>
      </c>
      <c r="N901">
        <v>33.852231061987503</v>
      </c>
      <c r="O901" s="8" t="str">
        <f>formatIP(Table1[[#This Row],[Address A]])</f>
        <v>010.012.000.042</v>
      </c>
      <c r="P901" s="8" t="str">
        <f>formatIP(Table1[[#This Row],[Address B]])</f>
        <v>010.011.009.208</v>
      </c>
      <c r="Q901" s="8" t="str">
        <f>VLOOKUP(Table1[[#This Row],[Address A]],IP_Master[],4,FALSE)</f>
        <v>PPPCAP2</v>
      </c>
      <c r="R901" s="8" t="str">
        <f>VLOOKUP(Table1[[#This Row],[Address B]],IP_Master[],4,FALSE)</f>
        <v>EGX100</v>
      </c>
      <c r="S901" s="8" t="str">
        <f>VLOOKUP(Table1[[#This Row],[Address A]],IP_Master[],2,FALSE)</f>
        <v>Acid Plant</v>
      </c>
      <c r="T901" s="8" t="str">
        <f>VLOOKUP(Table1[[#This Row],[Address B]],IP_Master[],2,FALSE)</f>
        <v>Acid Plant</v>
      </c>
      <c r="U901" s="9" t="str">
        <f>VLOOKUP(Table1[[#This Row],[Address A]],IP_Master[],3,FALSE)</f>
        <v>iFIX Nodes &amp; Ethernet Switches</v>
      </c>
      <c r="V901" s="9" t="str">
        <f>VLOOKUP(Table1[[#This Row],[Address B]],IP_Master[],3,FALSE)</f>
        <v>PLCs &amp; Control Equipment</v>
      </c>
      <c r="W901" s="9" t="str">
        <f>VLOOKUP(Table1[[#This Row],[Port B]],traffic_types[],2,FALSE)</f>
        <v>Modbus</v>
      </c>
    </row>
    <row r="902" spans="1:23" x14ac:dyDescent="0.6">
      <c r="A902" t="s">
        <v>102</v>
      </c>
      <c r="B902">
        <v>4487</v>
      </c>
      <c r="C902" t="s">
        <v>103</v>
      </c>
      <c r="D902">
        <v>502</v>
      </c>
      <c r="E902">
        <v>10</v>
      </c>
      <c r="F902" s="13">
        <v>627</v>
      </c>
      <c r="G902">
        <v>6</v>
      </c>
      <c r="H902">
        <v>368</v>
      </c>
      <c r="I902">
        <v>4</v>
      </c>
      <c r="J902">
        <v>259</v>
      </c>
      <c r="K902">
        <v>150.13467499999999</v>
      </c>
      <c r="L902">
        <v>60.339691999999999</v>
      </c>
      <c r="M902">
        <v>48.7904379757192</v>
      </c>
      <c r="N902">
        <v>34.338922379650199</v>
      </c>
      <c r="O902" s="8" t="str">
        <f>formatIP(Table1[[#This Row],[Address A]])</f>
        <v>010.012.000.042</v>
      </c>
      <c r="P902" s="8" t="str">
        <f>formatIP(Table1[[#This Row],[Address B]])</f>
        <v>010.011.009.208</v>
      </c>
      <c r="Q902" s="8" t="str">
        <f>VLOOKUP(Table1[[#This Row],[Address A]],IP_Master[],4,FALSE)</f>
        <v>PPPCAP2</v>
      </c>
      <c r="R902" s="8" t="str">
        <f>VLOOKUP(Table1[[#This Row],[Address B]],IP_Master[],4,FALSE)</f>
        <v>EGX100</v>
      </c>
      <c r="S902" s="8" t="str">
        <f>VLOOKUP(Table1[[#This Row],[Address A]],IP_Master[],2,FALSE)</f>
        <v>Acid Plant</v>
      </c>
      <c r="T902" s="8" t="str">
        <f>VLOOKUP(Table1[[#This Row],[Address B]],IP_Master[],2,FALSE)</f>
        <v>Acid Plant</v>
      </c>
      <c r="U902" s="9" t="str">
        <f>VLOOKUP(Table1[[#This Row],[Address A]],IP_Master[],3,FALSE)</f>
        <v>iFIX Nodes &amp; Ethernet Switches</v>
      </c>
      <c r="V902" s="9" t="str">
        <f>VLOOKUP(Table1[[#This Row],[Address B]],IP_Master[],3,FALSE)</f>
        <v>PLCs &amp; Control Equipment</v>
      </c>
      <c r="W902" s="9" t="str">
        <f>VLOOKUP(Table1[[#This Row],[Port B]],traffic_types[],2,FALSE)</f>
        <v>Modbus</v>
      </c>
    </row>
    <row r="903" spans="1:23" x14ac:dyDescent="0.6">
      <c r="A903" t="s">
        <v>102</v>
      </c>
      <c r="B903">
        <v>4488</v>
      </c>
      <c r="C903" t="s">
        <v>103</v>
      </c>
      <c r="D903">
        <v>502</v>
      </c>
      <c r="E903">
        <v>17</v>
      </c>
      <c r="F903" s="13">
        <v>1136</v>
      </c>
      <c r="G903">
        <v>9</v>
      </c>
      <c r="H903">
        <v>566</v>
      </c>
      <c r="I903">
        <v>8</v>
      </c>
      <c r="J903">
        <v>570</v>
      </c>
      <c r="K903">
        <v>150.13496000000001</v>
      </c>
      <c r="L903">
        <v>61.112029</v>
      </c>
      <c r="M903">
        <v>74.093432571188202</v>
      </c>
      <c r="N903">
        <v>74.617061069924503</v>
      </c>
      <c r="O903" s="8" t="str">
        <f>formatIP(Table1[[#This Row],[Address A]])</f>
        <v>010.012.000.042</v>
      </c>
      <c r="P903" s="8" t="str">
        <f>formatIP(Table1[[#This Row],[Address B]])</f>
        <v>010.011.009.208</v>
      </c>
      <c r="Q903" s="8" t="str">
        <f>VLOOKUP(Table1[[#This Row],[Address A]],IP_Master[],4,FALSE)</f>
        <v>PPPCAP2</v>
      </c>
      <c r="R903" s="8" t="str">
        <f>VLOOKUP(Table1[[#This Row],[Address B]],IP_Master[],4,FALSE)</f>
        <v>EGX100</v>
      </c>
      <c r="S903" s="8" t="str">
        <f>VLOOKUP(Table1[[#This Row],[Address A]],IP_Master[],2,FALSE)</f>
        <v>Acid Plant</v>
      </c>
      <c r="T903" s="8" t="str">
        <f>VLOOKUP(Table1[[#This Row],[Address B]],IP_Master[],2,FALSE)</f>
        <v>Acid Plant</v>
      </c>
      <c r="U903" s="9" t="str">
        <f>VLOOKUP(Table1[[#This Row],[Address A]],IP_Master[],3,FALSE)</f>
        <v>iFIX Nodes &amp; Ethernet Switches</v>
      </c>
      <c r="V903" s="9" t="str">
        <f>VLOOKUP(Table1[[#This Row],[Address B]],IP_Master[],3,FALSE)</f>
        <v>PLCs &amp; Control Equipment</v>
      </c>
      <c r="W903" s="9" t="str">
        <f>VLOOKUP(Table1[[#This Row],[Port B]],traffic_types[],2,FALSE)</f>
        <v>Modbus</v>
      </c>
    </row>
    <row r="904" spans="1:23" x14ac:dyDescent="0.6">
      <c r="A904" t="s">
        <v>102</v>
      </c>
      <c r="B904">
        <v>4489</v>
      </c>
      <c r="C904" t="s">
        <v>103</v>
      </c>
      <c r="D904">
        <v>502</v>
      </c>
      <c r="E904">
        <v>7</v>
      </c>
      <c r="F904" s="13">
        <v>424</v>
      </c>
      <c r="G904">
        <v>5</v>
      </c>
      <c r="H904">
        <v>304</v>
      </c>
      <c r="I904">
        <v>2</v>
      </c>
      <c r="J904">
        <v>120</v>
      </c>
      <c r="K904">
        <v>150.135233</v>
      </c>
      <c r="L904">
        <v>62.877316</v>
      </c>
      <c r="M904">
        <v>38.678495755130498</v>
      </c>
      <c r="N904">
        <v>15.267827271762</v>
      </c>
      <c r="O904" s="8" t="str">
        <f>formatIP(Table1[[#This Row],[Address A]])</f>
        <v>010.012.000.042</v>
      </c>
      <c r="P904" s="8" t="str">
        <f>formatIP(Table1[[#This Row],[Address B]])</f>
        <v>010.011.009.208</v>
      </c>
      <c r="Q904" s="8" t="str">
        <f>VLOOKUP(Table1[[#This Row],[Address A]],IP_Master[],4,FALSE)</f>
        <v>PPPCAP2</v>
      </c>
      <c r="R904" s="8" t="str">
        <f>VLOOKUP(Table1[[#This Row],[Address B]],IP_Master[],4,FALSE)</f>
        <v>EGX100</v>
      </c>
      <c r="S904" s="8" t="str">
        <f>VLOOKUP(Table1[[#This Row],[Address A]],IP_Master[],2,FALSE)</f>
        <v>Acid Plant</v>
      </c>
      <c r="T904" s="8" t="str">
        <f>VLOOKUP(Table1[[#This Row],[Address B]],IP_Master[],2,FALSE)</f>
        <v>Acid Plant</v>
      </c>
      <c r="U904" s="9" t="str">
        <f>VLOOKUP(Table1[[#This Row],[Address A]],IP_Master[],3,FALSE)</f>
        <v>iFIX Nodes &amp; Ethernet Switches</v>
      </c>
      <c r="V904" s="9" t="str">
        <f>VLOOKUP(Table1[[#This Row],[Address B]],IP_Master[],3,FALSE)</f>
        <v>PLCs &amp; Control Equipment</v>
      </c>
      <c r="W904" s="9" t="str">
        <f>VLOOKUP(Table1[[#This Row],[Port B]],traffic_types[],2,FALSE)</f>
        <v>Modbus</v>
      </c>
    </row>
    <row r="905" spans="1:23" x14ac:dyDescent="0.6">
      <c r="A905" t="s">
        <v>102</v>
      </c>
      <c r="B905">
        <v>4490</v>
      </c>
      <c r="C905" t="s">
        <v>103</v>
      </c>
      <c r="D905">
        <v>502</v>
      </c>
      <c r="E905">
        <v>10</v>
      </c>
      <c r="F905" s="13">
        <v>613</v>
      </c>
      <c r="G905">
        <v>6</v>
      </c>
      <c r="H905">
        <v>368</v>
      </c>
      <c r="I905">
        <v>4</v>
      </c>
      <c r="J905">
        <v>245</v>
      </c>
      <c r="K905">
        <v>150.16724600000001</v>
      </c>
      <c r="L905">
        <v>60.458579999999998</v>
      </c>
      <c r="M905">
        <v>48.694494644101802</v>
      </c>
      <c r="N905">
        <v>32.418889097296002</v>
      </c>
      <c r="O905" s="8" t="str">
        <f>formatIP(Table1[[#This Row],[Address A]])</f>
        <v>010.012.000.042</v>
      </c>
      <c r="P905" s="8" t="str">
        <f>formatIP(Table1[[#This Row],[Address B]])</f>
        <v>010.011.009.208</v>
      </c>
      <c r="Q905" s="8" t="str">
        <f>VLOOKUP(Table1[[#This Row],[Address A]],IP_Master[],4,FALSE)</f>
        <v>PPPCAP2</v>
      </c>
      <c r="R905" s="8" t="str">
        <f>VLOOKUP(Table1[[#This Row],[Address B]],IP_Master[],4,FALSE)</f>
        <v>EGX100</v>
      </c>
      <c r="S905" s="8" t="str">
        <f>VLOOKUP(Table1[[#This Row],[Address A]],IP_Master[],2,FALSE)</f>
        <v>Acid Plant</v>
      </c>
      <c r="T905" s="8" t="str">
        <f>VLOOKUP(Table1[[#This Row],[Address B]],IP_Master[],2,FALSE)</f>
        <v>Acid Plant</v>
      </c>
      <c r="U905" s="9" t="str">
        <f>VLOOKUP(Table1[[#This Row],[Address A]],IP_Master[],3,FALSE)</f>
        <v>iFIX Nodes &amp; Ethernet Switches</v>
      </c>
      <c r="V905" s="9" t="str">
        <f>VLOOKUP(Table1[[#This Row],[Address B]],IP_Master[],3,FALSE)</f>
        <v>PLCs &amp; Control Equipment</v>
      </c>
      <c r="W905" s="9" t="str">
        <f>VLOOKUP(Table1[[#This Row],[Port B]],traffic_types[],2,FALSE)</f>
        <v>Modbus</v>
      </c>
    </row>
    <row r="906" spans="1:23" x14ac:dyDescent="0.6">
      <c r="A906" t="s">
        <v>102</v>
      </c>
      <c r="B906">
        <v>4491</v>
      </c>
      <c r="C906" t="s">
        <v>103</v>
      </c>
      <c r="D906">
        <v>502</v>
      </c>
      <c r="E906">
        <v>10</v>
      </c>
      <c r="F906" s="13">
        <v>645</v>
      </c>
      <c r="G906">
        <v>6</v>
      </c>
      <c r="H906">
        <v>368</v>
      </c>
      <c r="I906">
        <v>4</v>
      </c>
      <c r="J906">
        <v>277</v>
      </c>
      <c r="K906">
        <v>150.167452</v>
      </c>
      <c r="L906">
        <v>60.552073999999998</v>
      </c>
      <c r="M906">
        <v>48.619309059504701</v>
      </c>
      <c r="N906">
        <v>36.596599482290202</v>
      </c>
      <c r="O906" s="8" t="str">
        <f>formatIP(Table1[[#This Row],[Address A]])</f>
        <v>010.012.000.042</v>
      </c>
      <c r="P906" s="8" t="str">
        <f>formatIP(Table1[[#This Row],[Address B]])</f>
        <v>010.011.009.208</v>
      </c>
      <c r="Q906" s="8" t="str">
        <f>VLOOKUP(Table1[[#This Row],[Address A]],IP_Master[],4,FALSE)</f>
        <v>PPPCAP2</v>
      </c>
      <c r="R906" s="8" t="str">
        <f>VLOOKUP(Table1[[#This Row],[Address B]],IP_Master[],4,FALSE)</f>
        <v>EGX100</v>
      </c>
      <c r="S906" s="8" t="str">
        <f>VLOOKUP(Table1[[#This Row],[Address A]],IP_Master[],2,FALSE)</f>
        <v>Acid Plant</v>
      </c>
      <c r="T906" s="8" t="str">
        <f>VLOOKUP(Table1[[#This Row],[Address B]],IP_Master[],2,FALSE)</f>
        <v>Acid Plant</v>
      </c>
      <c r="U906" s="9" t="str">
        <f>VLOOKUP(Table1[[#This Row],[Address A]],IP_Master[],3,FALSE)</f>
        <v>iFIX Nodes &amp; Ethernet Switches</v>
      </c>
      <c r="V906" s="9" t="str">
        <f>VLOOKUP(Table1[[#This Row],[Address B]],IP_Master[],3,FALSE)</f>
        <v>PLCs &amp; Control Equipment</v>
      </c>
      <c r="W906" s="9" t="str">
        <f>VLOOKUP(Table1[[#This Row],[Port B]],traffic_types[],2,FALSE)</f>
        <v>Modbus</v>
      </c>
    </row>
    <row r="907" spans="1:23" x14ac:dyDescent="0.6">
      <c r="A907" t="s">
        <v>102</v>
      </c>
      <c r="B907">
        <v>4492</v>
      </c>
      <c r="C907" t="s">
        <v>103</v>
      </c>
      <c r="D907">
        <v>502</v>
      </c>
      <c r="E907">
        <v>10</v>
      </c>
      <c r="F907" s="13">
        <v>635</v>
      </c>
      <c r="G907">
        <v>6</v>
      </c>
      <c r="H907">
        <v>368</v>
      </c>
      <c r="I907">
        <v>4</v>
      </c>
      <c r="J907">
        <v>267</v>
      </c>
      <c r="K907">
        <v>150.167821</v>
      </c>
      <c r="L907">
        <v>60.645435999999997</v>
      </c>
      <c r="M907">
        <v>48.544460954984302</v>
      </c>
      <c r="N907">
        <v>35.221117051578297</v>
      </c>
      <c r="O907" s="8" t="str">
        <f>formatIP(Table1[[#This Row],[Address A]])</f>
        <v>010.012.000.042</v>
      </c>
      <c r="P907" s="8" t="str">
        <f>formatIP(Table1[[#This Row],[Address B]])</f>
        <v>010.011.009.208</v>
      </c>
      <c r="Q907" s="8" t="str">
        <f>VLOOKUP(Table1[[#This Row],[Address A]],IP_Master[],4,FALSE)</f>
        <v>PPPCAP2</v>
      </c>
      <c r="R907" s="8" t="str">
        <f>VLOOKUP(Table1[[#This Row],[Address B]],IP_Master[],4,FALSE)</f>
        <v>EGX100</v>
      </c>
      <c r="S907" s="8" t="str">
        <f>VLOOKUP(Table1[[#This Row],[Address A]],IP_Master[],2,FALSE)</f>
        <v>Acid Plant</v>
      </c>
      <c r="T907" s="8" t="str">
        <f>VLOOKUP(Table1[[#This Row],[Address B]],IP_Master[],2,FALSE)</f>
        <v>Acid Plant</v>
      </c>
      <c r="U907" s="9" t="str">
        <f>VLOOKUP(Table1[[#This Row],[Address A]],IP_Master[],3,FALSE)</f>
        <v>iFIX Nodes &amp; Ethernet Switches</v>
      </c>
      <c r="V907" s="9" t="str">
        <f>VLOOKUP(Table1[[#This Row],[Address B]],IP_Master[],3,FALSE)</f>
        <v>PLCs &amp; Control Equipment</v>
      </c>
      <c r="W907" s="9" t="str">
        <f>VLOOKUP(Table1[[#This Row],[Port B]],traffic_types[],2,FALSE)</f>
        <v>Modbus</v>
      </c>
    </row>
    <row r="908" spans="1:23" x14ac:dyDescent="0.6">
      <c r="A908" t="s">
        <v>102</v>
      </c>
      <c r="B908">
        <v>4493</v>
      </c>
      <c r="C908" t="s">
        <v>103</v>
      </c>
      <c r="D908">
        <v>502</v>
      </c>
      <c r="E908">
        <v>10</v>
      </c>
      <c r="F908" s="13">
        <v>619</v>
      </c>
      <c r="G908">
        <v>6</v>
      </c>
      <c r="H908">
        <v>368</v>
      </c>
      <c r="I908">
        <v>4</v>
      </c>
      <c r="J908">
        <v>251</v>
      </c>
      <c r="K908">
        <v>150.16808499999999</v>
      </c>
      <c r="L908">
        <v>60.723343999999997</v>
      </c>
      <c r="M908">
        <v>48.482178451832297</v>
      </c>
      <c r="N908">
        <v>33.068007585353001</v>
      </c>
      <c r="O908" s="8" t="str">
        <f>formatIP(Table1[[#This Row],[Address A]])</f>
        <v>010.012.000.042</v>
      </c>
      <c r="P908" s="8" t="str">
        <f>formatIP(Table1[[#This Row],[Address B]])</f>
        <v>010.011.009.208</v>
      </c>
      <c r="Q908" s="8" t="str">
        <f>VLOOKUP(Table1[[#This Row],[Address A]],IP_Master[],4,FALSE)</f>
        <v>PPPCAP2</v>
      </c>
      <c r="R908" s="8" t="str">
        <f>VLOOKUP(Table1[[#This Row],[Address B]],IP_Master[],4,FALSE)</f>
        <v>EGX100</v>
      </c>
      <c r="S908" s="8" t="str">
        <f>VLOOKUP(Table1[[#This Row],[Address A]],IP_Master[],2,FALSE)</f>
        <v>Acid Plant</v>
      </c>
      <c r="T908" s="8" t="str">
        <f>VLOOKUP(Table1[[#This Row],[Address B]],IP_Master[],2,FALSE)</f>
        <v>Acid Plant</v>
      </c>
      <c r="U908" s="9" t="str">
        <f>VLOOKUP(Table1[[#This Row],[Address A]],IP_Master[],3,FALSE)</f>
        <v>iFIX Nodes &amp; Ethernet Switches</v>
      </c>
      <c r="V908" s="9" t="str">
        <f>VLOOKUP(Table1[[#This Row],[Address B]],IP_Master[],3,FALSE)</f>
        <v>PLCs &amp; Control Equipment</v>
      </c>
      <c r="W908" s="9" t="str">
        <f>VLOOKUP(Table1[[#This Row],[Port B]],traffic_types[],2,FALSE)</f>
        <v>Modbus</v>
      </c>
    </row>
    <row r="909" spans="1:23" x14ac:dyDescent="0.6">
      <c r="A909" t="s">
        <v>102</v>
      </c>
      <c r="B909">
        <v>4494</v>
      </c>
      <c r="C909" t="s">
        <v>103</v>
      </c>
      <c r="D909">
        <v>502</v>
      </c>
      <c r="E909">
        <v>9</v>
      </c>
      <c r="F909" s="13">
        <v>559</v>
      </c>
      <c r="G909">
        <v>6</v>
      </c>
      <c r="H909">
        <v>368</v>
      </c>
      <c r="I909">
        <v>3</v>
      </c>
      <c r="J909">
        <v>191</v>
      </c>
      <c r="K909">
        <v>231.263678</v>
      </c>
      <c r="L909">
        <v>60.057257</v>
      </c>
      <c r="M909">
        <v>49.019887804732697</v>
      </c>
      <c r="N909">
        <v>25.442387420391199</v>
      </c>
      <c r="O909" s="8" t="str">
        <f>formatIP(Table1[[#This Row],[Address A]])</f>
        <v>010.012.000.042</v>
      </c>
      <c r="P909" s="8" t="str">
        <f>formatIP(Table1[[#This Row],[Address B]])</f>
        <v>010.011.009.208</v>
      </c>
      <c r="Q909" s="8" t="str">
        <f>VLOOKUP(Table1[[#This Row],[Address A]],IP_Master[],4,FALSE)</f>
        <v>PPPCAP2</v>
      </c>
      <c r="R909" s="8" t="str">
        <f>VLOOKUP(Table1[[#This Row],[Address B]],IP_Master[],4,FALSE)</f>
        <v>EGX100</v>
      </c>
      <c r="S909" s="8" t="str">
        <f>VLOOKUP(Table1[[#This Row],[Address A]],IP_Master[],2,FALSE)</f>
        <v>Acid Plant</v>
      </c>
      <c r="T909" s="8" t="str">
        <f>VLOOKUP(Table1[[#This Row],[Address B]],IP_Master[],2,FALSE)</f>
        <v>Acid Plant</v>
      </c>
      <c r="U909" s="9" t="str">
        <f>VLOOKUP(Table1[[#This Row],[Address A]],IP_Master[],3,FALSE)</f>
        <v>iFIX Nodes &amp; Ethernet Switches</v>
      </c>
      <c r="V909" s="9" t="str">
        <f>VLOOKUP(Table1[[#This Row],[Address B]],IP_Master[],3,FALSE)</f>
        <v>PLCs &amp; Control Equipment</v>
      </c>
      <c r="W909" s="9" t="str">
        <f>VLOOKUP(Table1[[#This Row],[Port B]],traffic_types[],2,FALSE)</f>
        <v>Modbus</v>
      </c>
    </row>
    <row r="910" spans="1:23" x14ac:dyDescent="0.6">
      <c r="A910" t="s">
        <v>102</v>
      </c>
      <c r="B910">
        <v>4495</v>
      </c>
      <c r="C910" t="s">
        <v>103</v>
      </c>
      <c r="D910">
        <v>502</v>
      </c>
      <c r="E910">
        <v>9</v>
      </c>
      <c r="F910" s="13">
        <v>593</v>
      </c>
      <c r="G910">
        <v>6</v>
      </c>
      <c r="H910">
        <v>368</v>
      </c>
      <c r="I910">
        <v>3</v>
      </c>
      <c r="J910">
        <v>225</v>
      </c>
      <c r="K910">
        <v>231.26386099999999</v>
      </c>
      <c r="L910">
        <v>60.166314</v>
      </c>
      <c r="M910">
        <v>48.9310347314944</v>
      </c>
      <c r="N910">
        <v>29.917072865723501</v>
      </c>
      <c r="O910" s="8" t="str">
        <f>formatIP(Table1[[#This Row],[Address A]])</f>
        <v>010.012.000.042</v>
      </c>
      <c r="P910" s="8" t="str">
        <f>formatIP(Table1[[#This Row],[Address B]])</f>
        <v>010.011.009.208</v>
      </c>
      <c r="Q910" s="8" t="str">
        <f>VLOOKUP(Table1[[#This Row],[Address A]],IP_Master[],4,FALSE)</f>
        <v>PPPCAP2</v>
      </c>
      <c r="R910" s="8" t="str">
        <f>VLOOKUP(Table1[[#This Row],[Address B]],IP_Master[],4,FALSE)</f>
        <v>EGX100</v>
      </c>
      <c r="S910" s="8" t="str">
        <f>VLOOKUP(Table1[[#This Row],[Address A]],IP_Master[],2,FALSE)</f>
        <v>Acid Plant</v>
      </c>
      <c r="T910" s="8" t="str">
        <f>VLOOKUP(Table1[[#This Row],[Address B]],IP_Master[],2,FALSE)</f>
        <v>Acid Plant</v>
      </c>
      <c r="U910" s="9" t="str">
        <f>VLOOKUP(Table1[[#This Row],[Address A]],IP_Master[],3,FALSE)</f>
        <v>iFIX Nodes &amp; Ethernet Switches</v>
      </c>
      <c r="V910" s="9" t="str">
        <f>VLOOKUP(Table1[[#This Row],[Address B]],IP_Master[],3,FALSE)</f>
        <v>PLCs &amp; Control Equipment</v>
      </c>
      <c r="W910" s="9" t="str">
        <f>VLOOKUP(Table1[[#This Row],[Port B]],traffic_types[],2,FALSE)</f>
        <v>Modbus</v>
      </c>
    </row>
    <row r="911" spans="1:23" x14ac:dyDescent="0.6">
      <c r="A911" t="s">
        <v>102</v>
      </c>
      <c r="B911">
        <v>4496</v>
      </c>
      <c r="C911" t="s">
        <v>103</v>
      </c>
      <c r="D911">
        <v>502</v>
      </c>
      <c r="E911">
        <v>10</v>
      </c>
      <c r="F911" s="13">
        <v>623</v>
      </c>
      <c r="G911">
        <v>6</v>
      </c>
      <c r="H911">
        <v>368</v>
      </c>
      <c r="I911">
        <v>4</v>
      </c>
      <c r="J911">
        <v>255</v>
      </c>
      <c r="K911">
        <v>231.26422400000001</v>
      </c>
      <c r="L911">
        <v>60.259650000000001</v>
      </c>
      <c r="M911">
        <v>48.85524559137</v>
      </c>
      <c r="N911">
        <v>33.853498983150402</v>
      </c>
      <c r="O911" s="8" t="str">
        <f>formatIP(Table1[[#This Row],[Address A]])</f>
        <v>010.012.000.042</v>
      </c>
      <c r="P911" s="8" t="str">
        <f>formatIP(Table1[[#This Row],[Address B]])</f>
        <v>010.011.009.208</v>
      </c>
      <c r="Q911" s="8" t="str">
        <f>VLOOKUP(Table1[[#This Row],[Address A]],IP_Master[],4,FALSE)</f>
        <v>PPPCAP2</v>
      </c>
      <c r="R911" s="8" t="str">
        <f>VLOOKUP(Table1[[#This Row],[Address B]],IP_Master[],4,FALSE)</f>
        <v>EGX100</v>
      </c>
      <c r="S911" s="8" t="str">
        <f>VLOOKUP(Table1[[#This Row],[Address A]],IP_Master[],2,FALSE)</f>
        <v>Acid Plant</v>
      </c>
      <c r="T911" s="8" t="str">
        <f>VLOOKUP(Table1[[#This Row],[Address B]],IP_Master[],2,FALSE)</f>
        <v>Acid Plant</v>
      </c>
      <c r="U911" s="9" t="str">
        <f>VLOOKUP(Table1[[#This Row],[Address A]],IP_Master[],3,FALSE)</f>
        <v>iFIX Nodes &amp; Ethernet Switches</v>
      </c>
      <c r="V911" s="9" t="str">
        <f>VLOOKUP(Table1[[#This Row],[Address B]],IP_Master[],3,FALSE)</f>
        <v>PLCs &amp; Control Equipment</v>
      </c>
      <c r="W911" s="9" t="str">
        <f>VLOOKUP(Table1[[#This Row],[Port B]],traffic_types[],2,FALSE)</f>
        <v>Modbus</v>
      </c>
    </row>
    <row r="912" spans="1:23" x14ac:dyDescent="0.6">
      <c r="A912" t="s">
        <v>102</v>
      </c>
      <c r="B912">
        <v>4497</v>
      </c>
      <c r="C912" t="s">
        <v>103</v>
      </c>
      <c r="D912">
        <v>502</v>
      </c>
      <c r="E912">
        <v>10</v>
      </c>
      <c r="F912" s="13">
        <v>627</v>
      </c>
      <c r="G912">
        <v>6</v>
      </c>
      <c r="H912">
        <v>368</v>
      </c>
      <c r="I912">
        <v>4</v>
      </c>
      <c r="J912">
        <v>259</v>
      </c>
      <c r="K912">
        <v>231.26454100000001</v>
      </c>
      <c r="L912">
        <v>60.337533000000001</v>
      </c>
      <c r="M912">
        <v>48.792183797106802</v>
      </c>
      <c r="N912">
        <v>34.3401510963334</v>
      </c>
      <c r="O912" s="8" t="str">
        <f>formatIP(Table1[[#This Row],[Address A]])</f>
        <v>010.012.000.042</v>
      </c>
      <c r="P912" s="8" t="str">
        <f>formatIP(Table1[[#This Row],[Address B]])</f>
        <v>010.011.009.208</v>
      </c>
      <c r="Q912" s="8" t="str">
        <f>VLOOKUP(Table1[[#This Row],[Address A]],IP_Master[],4,FALSE)</f>
        <v>PPPCAP2</v>
      </c>
      <c r="R912" s="8" t="str">
        <f>VLOOKUP(Table1[[#This Row],[Address B]],IP_Master[],4,FALSE)</f>
        <v>EGX100</v>
      </c>
      <c r="S912" s="8" t="str">
        <f>VLOOKUP(Table1[[#This Row],[Address A]],IP_Master[],2,FALSE)</f>
        <v>Acid Plant</v>
      </c>
      <c r="T912" s="8" t="str">
        <f>VLOOKUP(Table1[[#This Row],[Address B]],IP_Master[],2,FALSE)</f>
        <v>Acid Plant</v>
      </c>
      <c r="U912" s="9" t="str">
        <f>VLOOKUP(Table1[[#This Row],[Address A]],IP_Master[],3,FALSE)</f>
        <v>iFIX Nodes &amp; Ethernet Switches</v>
      </c>
      <c r="V912" s="9" t="str">
        <f>VLOOKUP(Table1[[#This Row],[Address B]],IP_Master[],3,FALSE)</f>
        <v>PLCs &amp; Control Equipment</v>
      </c>
      <c r="W912" s="9" t="str">
        <f>VLOOKUP(Table1[[#This Row],[Port B]],traffic_types[],2,FALSE)</f>
        <v>Modbus</v>
      </c>
    </row>
    <row r="913" spans="1:23" x14ac:dyDescent="0.6">
      <c r="A913" t="s">
        <v>102</v>
      </c>
      <c r="B913">
        <v>4498</v>
      </c>
      <c r="C913" t="s">
        <v>103</v>
      </c>
      <c r="D913">
        <v>502</v>
      </c>
      <c r="E913">
        <v>9</v>
      </c>
      <c r="F913" s="13">
        <v>559</v>
      </c>
      <c r="G913">
        <v>6</v>
      </c>
      <c r="H913">
        <v>368</v>
      </c>
      <c r="I913">
        <v>3</v>
      </c>
      <c r="J913">
        <v>191</v>
      </c>
      <c r="K913">
        <v>234.29480000000001</v>
      </c>
      <c r="L913">
        <v>60.125782000000001</v>
      </c>
      <c r="M913">
        <v>48.9640201270064</v>
      </c>
      <c r="N913">
        <v>25.4133908811365</v>
      </c>
      <c r="O913" s="8" t="str">
        <f>formatIP(Table1[[#This Row],[Address A]])</f>
        <v>010.012.000.042</v>
      </c>
      <c r="P913" s="8" t="str">
        <f>formatIP(Table1[[#This Row],[Address B]])</f>
        <v>010.011.009.208</v>
      </c>
      <c r="Q913" s="8" t="str">
        <f>VLOOKUP(Table1[[#This Row],[Address A]],IP_Master[],4,FALSE)</f>
        <v>PPPCAP2</v>
      </c>
      <c r="R913" s="8" t="str">
        <f>VLOOKUP(Table1[[#This Row],[Address B]],IP_Master[],4,FALSE)</f>
        <v>EGX100</v>
      </c>
      <c r="S913" s="8" t="str">
        <f>VLOOKUP(Table1[[#This Row],[Address A]],IP_Master[],2,FALSE)</f>
        <v>Acid Plant</v>
      </c>
      <c r="T913" s="8" t="str">
        <f>VLOOKUP(Table1[[#This Row],[Address B]],IP_Master[],2,FALSE)</f>
        <v>Acid Plant</v>
      </c>
      <c r="U913" s="9" t="str">
        <f>VLOOKUP(Table1[[#This Row],[Address A]],IP_Master[],3,FALSE)</f>
        <v>iFIX Nodes &amp; Ethernet Switches</v>
      </c>
      <c r="V913" s="9" t="str">
        <f>VLOOKUP(Table1[[#This Row],[Address B]],IP_Master[],3,FALSE)</f>
        <v>PLCs &amp; Control Equipment</v>
      </c>
      <c r="W913" s="9" t="str">
        <f>VLOOKUP(Table1[[#This Row],[Port B]],traffic_types[],2,FALSE)</f>
        <v>Modbus</v>
      </c>
    </row>
    <row r="914" spans="1:23" x14ac:dyDescent="0.6">
      <c r="A914" t="s">
        <v>102</v>
      </c>
      <c r="B914">
        <v>4499</v>
      </c>
      <c r="C914" t="s">
        <v>103</v>
      </c>
      <c r="D914">
        <v>502</v>
      </c>
      <c r="E914">
        <v>10</v>
      </c>
      <c r="F914" s="13">
        <v>653</v>
      </c>
      <c r="G914">
        <v>6</v>
      </c>
      <c r="H914">
        <v>368</v>
      </c>
      <c r="I914">
        <v>4</v>
      </c>
      <c r="J914">
        <v>285</v>
      </c>
      <c r="K914">
        <v>234.295062</v>
      </c>
      <c r="L914">
        <v>60.235304999999997</v>
      </c>
      <c r="M914">
        <v>48.874991170045497</v>
      </c>
      <c r="N914">
        <v>37.8515556615842</v>
      </c>
      <c r="O914" s="8" t="str">
        <f>formatIP(Table1[[#This Row],[Address A]])</f>
        <v>010.012.000.042</v>
      </c>
      <c r="P914" s="8" t="str">
        <f>formatIP(Table1[[#This Row],[Address B]])</f>
        <v>010.011.009.208</v>
      </c>
      <c r="Q914" s="8" t="str">
        <f>VLOOKUP(Table1[[#This Row],[Address A]],IP_Master[],4,FALSE)</f>
        <v>PPPCAP2</v>
      </c>
      <c r="R914" s="8" t="str">
        <f>VLOOKUP(Table1[[#This Row],[Address B]],IP_Master[],4,FALSE)</f>
        <v>EGX100</v>
      </c>
      <c r="S914" s="8" t="str">
        <f>VLOOKUP(Table1[[#This Row],[Address A]],IP_Master[],2,FALSE)</f>
        <v>Acid Plant</v>
      </c>
      <c r="T914" s="8" t="str">
        <f>VLOOKUP(Table1[[#This Row],[Address B]],IP_Master[],2,FALSE)</f>
        <v>Acid Plant</v>
      </c>
      <c r="U914" s="9" t="str">
        <f>VLOOKUP(Table1[[#This Row],[Address A]],IP_Master[],3,FALSE)</f>
        <v>iFIX Nodes &amp; Ethernet Switches</v>
      </c>
      <c r="V914" s="9" t="str">
        <f>VLOOKUP(Table1[[#This Row],[Address B]],IP_Master[],3,FALSE)</f>
        <v>PLCs &amp; Control Equipment</v>
      </c>
      <c r="W914" s="9" t="str">
        <f>VLOOKUP(Table1[[#This Row],[Port B]],traffic_types[],2,FALSE)</f>
        <v>Modbus</v>
      </c>
    </row>
    <row r="915" spans="1:23" x14ac:dyDescent="0.6">
      <c r="A915" t="s">
        <v>102</v>
      </c>
      <c r="B915">
        <v>4500</v>
      </c>
      <c r="C915" t="s">
        <v>103</v>
      </c>
      <c r="D915">
        <v>502</v>
      </c>
      <c r="E915">
        <v>10</v>
      </c>
      <c r="F915" s="13">
        <v>623</v>
      </c>
      <c r="G915">
        <v>6</v>
      </c>
      <c r="H915">
        <v>368</v>
      </c>
      <c r="I915">
        <v>4</v>
      </c>
      <c r="J915">
        <v>255</v>
      </c>
      <c r="K915">
        <v>234.29532800000001</v>
      </c>
      <c r="L915">
        <v>60.312716000000002</v>
      </c>
      <c r="M915">
        <v>48.812260419510899</v>
      </c>
      <c r="N915">
        <v>33.823713062432802</v>
      </c>
      <c r="O915" s="8" t="str">
        <f>formatIP(Table1[[#This Row],[Address A]])</f>
        <v>010.012.000.042</v>
      </c>
      <c r="P915" s="8" t="str">
        <f>formatIP(Table1[[#This Row],[Address B]])</f>
        <v>010.011.009.208</v>
      </c>
      <c r="Q915" s="8" t="str">
        <f>VLOOKUP(Table1[[#This Row],[Address A]],IP_Master[],4,FALSE)</f>
        <v>PPPCAP2</v>
      </c>
      <c r="R915" s="8" t="str">
        <f>VLOOKUP(Table1[[#This Row],[Address B]],IP_Master[],4,FALSE)</f>
        <v>EGX100</v>
      </c>
      <c r="S915" s="8" t="str">
        <f>VLOOKUP(Table1[[#This Row],[Address A]],IP_Master[],2,FALSE)</f>
        <v>Acid Plant</v>
      </c>
      <c r="T915" s="8" t="str">
        <f>VLOOKUP(Table1[[#This Row],[Address B]],IP_Master[],2,FALSE)</f>
        <v>Acid Plant</v>
      </c>
      <c r="U915" s="9" t="str">
        <f>VLOOKUP(Table1[[#This Row],[Address A]],IP_Master[],3,FALSE)</f>
        <v>iFIX Nodes &amp; Ethernet Switches</v>
      </c>
      <c r="V915" s="9" t="str">
        <f>VLOOKUP(Table1[[#This Row],[Address B]],IP_Master[],3,FALSE)</f>
        <v>PLCs &amp; Control Equipment</v>
      </c>
      <c r="W915" s="9" t="str">
        <f>VLOOKUP(Table1[[#This Row],[Port B]],traffic_types[],2,FALSE)</f>
        <v>Modbus</v>
      </c>
    </row>
    <row r="916" spans="1:23" x14ac:dyDescent="0.6">
      <c r="A916" t="s">
        <v>102</v>
      </c>
      <c r="B916">
        <v>4501</v>
      </c>
      <c r="C916" t="s">
        <v>103</v>
      </c>
      <c r="D916">
        <v>502</v>
      </c>
      <c r="E916">
        <v>10</v>
      </c>
      <c r="F916" s="13">
        <v>627</v>
      </c>
      <c r="G916">
        <v>6</v>
      </c>
      <c r="H916">
        <v>368</v>
      </c>
      <c r="I916">
        <v>4</v>
      </c>
      <c r="J916">
        <v>259</v>
      </c>
      <c r="K916">
        <v>234.29559900000001</v>
      </c>
      <c r="L916">
        <v>60.406205</v>
      </c>
      <c r="M916">
        <v>48.736715044423001</v>
      </c>
      <c r="N916">
        <v>34.301111947026001</v>
      </c>
      <c r="O916" s="8" t="str">
        <f>formatIP(Table1[[#This Row],[Address A]])</f>
        <v>010.012.000.042</v>
      </c>
      <c r="P916" s="8" t="str">
        <f>formatIP(Table1[[#This Row],[Address B]])</f>
        <v>010.011.009.208</v>
      </c>
      <c r="Q916" s="8" t="str">
        <f>VLOOKUP(Table1[[#This Row],[Address A]],IP_Master[],4,FALSE)</f>
        <v>PPPCAP2</v>
      </c>
      <c r="R916" s="8" t="str">
        <f>VLOOKUP(Table1[[#This Row],[Address B]],IP_Master[],4,FALSE)</f>
        <v>EGX100</v>
      </c>
      <c r="S916" s="8" t="str">
        <f>VLOOKUP(Table1[[#This Row],[Address A]],IP_Master[],2,FALSE)</f>
        <v>Acid Plant</v>
      </c>
      <c r="T916" s="8" t="str">
        <f>VLOOKUP(Table1[[#This Row],[Address B]],IP_Master[],2,FALSE)</f>
        <v>Acid Plant</v>
      </c>
      <c r="U916" s="9" t="str">
        <f>VLOOKUP(Table1[[#This Row],[Address A]],IP_Master[],3,FALSE)</f>
        <v>iFIX Nodes &amp; Ethernet Switches</v>
      </c>
      <c r="V916" s="9" t="str">
        <f>VLOOKUP(Table1[[#This Row],[Address B]],IP_Master[],3,FALSE)</f>
        <v>PLCs &amp; Control Equipment</v>
      </c>
      <c r="W916" s="9" t="str">
        <f>VLOOKUP(Table1[[#This Row],[Port B]],traffic_types[],2,FALSE)</f>
        <v>Modbus</v>
      </c>
    </row>
    <row r="917" spans="1:23" x14ac:dyDescent="0.6">
      <c r="A917" t="s">
        <v>102</v>
      </c>
      <c r="B917">
        <v>4502</v>
      </c>
      <c r="C917" t="s">
        <v>103</v>
      </c>
      <c r="D917">
        <v>502</v>
      </c>
      <c r="E917">
        <v>16</v>
      </c>
      <c r="F917" s="13">
        <v>1076</v>
      </c>
      <c r="G917">
        <v>9</v>
      </c>
      <c r="H917">
        <v>566</v>
      </c>
      <c r="I917">
        <v>7</v>
      </c>
      <c r="J917">
        <v>510</v>
      </c>
      <c r="K917">
        <v>234.295849</v>
      </c>
      <c r="L917">
        <v>61.02514</v>
      </c>
      <c r="M917">
        <v>74.198928507169299</v>
      </c>
      <c r="N917">
        <v>66.857691764410504</v>
      </c>
      <c r="O917" s="8" t="str">
        <f>formatIP(Table1[[#This Row],[Address A]])</f>
        <v>010.012.000.042</v>
      </c>
      <c r="P917" s="8" t="str">
        <f>formatIP(Table1[[#This Row],[Address B]])</f>
        <v>010.011.009.208</v>
      </c>
      <c r="Q917" s="8" t="str">
        <f>VLOOKUP(Table1[[#This Row],[Address A]],IP_Master[],4,FALSE)</f>
        <v>PPPCAP2</v>
      </c>
      <c r="R917" s="8" t="str">
        <f>VLOOKUP(Table1[[#This Row],[Address B]],IP_Master[],4,FALSE)</f>
        <v>EGX100</v>
      </c>
      <c r="S917" s="8" t="str">
        <f>VLOOKUP(Table1[[#This Row],[Address A]],IP_Master[],2,FALSE)</f>
        <v>Acid Plant</v>
      </c>
      <c r="T917" s="8" t="str">
        <f>VLOOKUP(Table1[[#This Row],[Address B]],IP_Master[],2,FALSE)</f>
        <v>Acid Plant</v>
      </c>
      <c r="U917" s="9" t="str">
        <f>VLOOKUP(Table1[[#This Row],[Address A]],IP_Master[],3,FALSE)</f>
        <v>iFIX Nodes &amp; Ethernet Switches</v>
      </c>
      <c r="V917" s="9" t="str">
        <f>VLOOKUP(Table1[[#This Row],[Address B]],IP_Master[],3,FALSE)</f>
        <v>PLCs &amp; Control Equipment</v>
      </c>
      <c r="W917" s="9" t="str">
        <f>VLOOKUP(Table1[[#This Row],[Port B]],traffic_types[],2,FALSE)</f>
        <v>Modbus</v>
      </c>
    </row>
    <row r="918" spans="1:23" x14ac:dyDescent="0.6">
      <c r="A918" t="s">
        <v>102</v>
      </c>
      <c r="B918">
        <v>4503</v>
      </c>
      <c r="C918" t="s">
        <v>103</v>
      </c>
      <c r="D918">
        <v>502</v>
      </c>
      <c r="E918">
        <v>9</v>
      </c>
      <c r="F918" s="13">
        <v>544</v>
      </c>
      <c r="G918">
        <v>6</v>
      </c>
      <c r="H918">
        <v>364</v>
      </c>
      <c r="I918">
        <v>3</v>
      </c>
      <c r="J918">
        <v>180</v>
      </c>
      <c r="K918">
        <v>234.29608200000001</v>
      </c>
      <c r="L918">
        <v>63.024935999999997</v>
      </c>
      <c r="M918">
        <v>46.203934265002701</v>
      </c>
      <c r="N918">
        <v>22.848099361814501</v>
      </c>
      <c r="O918" s="8" t="str">
        <f>formatIP(Table1[[#This Row],[Address A]])</f>
        <v>010.012.000.042</v>
      </c>
      <c r="P918" s="8" t="str">
        <f>formatIP(Table1[[#This Row],[Address B]])</f>
        <v>010.011.009.208</v>
      </c>
      <c r="Q918" s="8" t="str">
        <f>VLOOKUP(Table1[[#This Row],[Address A]],IP_Master[],4,FALSE)</f>
        <v>PPPCAP2</v>
      </c>
      <c r="R918" s="8" t="str">
        <f>VLOOKUP(Table1[[#This Row],[Address B]],IP_Master[],4,FALSE)</f>
        <v>EGX100</v>
      </c>
      <c r="S918" s="8" t="str">
        <f>VLOOKUP(Table1[[#This Row],[Address A]],IP_Master[],2,FALSE)</f>
        <v>Acid Plant</v>
      </c>
      <c r="T918" s="8" t="str">
        <f>VLOOKUP(Table1[[#This Row],[Address B]],IP_Master[],2,FALSE)</f>
        <v>Acid Plant</v>
      </c>
      <c r="U918" s="9" t="str">
        <f>VLOOKUP(Table1[[#This Row],[Address A]],IP_Master[],3,FALSE)</f>
        <v>iFIX Nodes &amp; Ethernet Switches</v>
      </c>
      <c r="V918" s="9" t="str">
        <f>VLOOKUP(Table1[[#This Row],[Address B]],IP_Master[],3,FALSE)</f>
        <v>PLCs &amp; Control Equipment</v>
      </c>
      <c r="W918" s="9" t="str">
        <f>VLOOKUP(Table1[[#This Row],[Port B]],traffic_types[],2,FALSE)</f>
        <v>Modbus</v>
      </c>
    </row>
    <row r="919" spans="1:23" x14ac:dyDescent="0.6">
      <c r="A919" t="s">
        <v>102</v>
      </c>
      <c r="B919">
        <v>4504</v>
      </c>
      <c r="C919" t="s">
        <v>103</v>
      </c>
      <c r="D919">
        <v>502</v>
      </c>
      <c r="E919">
        <v>9</v>
      </c>
      <c r="F919" s="13">
        <v>544</v>
      </c>
      <c r="G919">
        <v>6</v>
      </c>
      <c r="H919">
        <v>364</v>
      </c>
      <c r="I919">
        <v>3</v>
      </c>
      <c r="J919">
        <v>180</v>
      </c>
      <c r="K919">
        <v>234.29630900000001</v>
      </c>
      <c r="L919">
        <v>63.024757999999999</v>
      </c>
      <c r="M919">
        <v>46.204064758170098</v>
      </c>
      <c r="N919">
        <v>22.848163891402798</v>
      </c>
      <c r="O919" s="8" t="str">
        <f>formatIP(Table1[[#This Row],[Address A]])</f>
        <v>010.012.000.042</v>
      </c>
      <c r="P919" s="8" t="str">
        <f>formatIP(Table1[[#This Row],[Address B]])</f>
        <v>010.011.009.208</v>
      </c>
      <c r="Q919" s="8" t="str">
        <f>VLOOKUP(Table1[[#This Row],[Address A]],IP_Master[],4,FALSE)</f>
        <v>PPPCAP2</v>
      </c>
      <c r="R919" s="8" t="str">
        <f>VLOOKUP(Table1[[#This Row],[Address B]],IP_Master[],4,FALSE)</f>
        <v>EGX100</v>
      </c>
      <c r="S919" s="8" t="str">
        <f>VLOOKUP(Table1[[#This Row],[Address A]],IP_Master[],2,FALSE)</f>
        <v>Acid Plant</v>
      </c>
      <c r="T919" s="8" t="str">
        <f>VLOOKUP(Table1[[#This Row],[Address B]],IP_Master[],2,FALSE)</f>
        <v>Acid Plant</v>
      </c>
      <c r="U919" s="9" t="str">
        <f>VLOOKUP(Table1[[#This Row],[Address A]],IP_Master[],3,FALSE)</f>
        <v>iFIX Nodes &amp; Ethernet Switches</v>
      </c>
      <c r="V919" s="9" t="str">
        <f>VLOOKUP(Table1[[#This Row],[Address B]],IP_Master[],3,FALSE)</f>
        <v>PLCs &amp; Control Equipment</v>
      </c>
      <c r="W919" s="9" t="str">
        <f>VLOOKUP(Table1[[#This Row],[Port B]],traffic_types[],2,FALSE)</f>
        <v>Modbus</v>
      </c>
    </row>
    <row r="920" spans="1:23" x14ac:dyDescent="0.6">
      <c r="A920" t="s">
        <v>102</v>
      </c>
      <c r="B920">
        <v>4505</v>
      </c>
      <c r="C920" t="s">
        <v>103</v>
      </c>
      <c r="D920">
        <v>502</v>
      </c>
      <c r="E920">
        <v>9</v>
      </c>
      <c r="F920" s="13">
        <v>544</v>
      </c>
      <c r="G920">
        <v>6</v>
      </c>
      <c r="H920">
        <v>364</v>
      </c>
      <c r="I920">
        <v>3</v>
      </c>
      <c r="J920">
        <v>180</v>
      </c>
      <c r="K920">
        <v>234.29654199999999</v>
      </c>
      <c r="L920">
        <v>63.024636999999998</v>
      </c>
      <c r="M920">
        <v>46.204153464620497</v>
      </c>
      <c r="N920">
        <v>22.8482077572299</v>
      </c>
      <c r="O920" s="8" t="str">
        <f>formatIP(Table1[[#This Row],[Address A]])</f>
        <v>010.012.000.042</v>
      </c>
      <c r="P920" s="8" t="str">
        <f>formatIP(Table1[[#This Row],[Address B]])</f>
        <v>010.011.009.208</v>
      </c>
      <c r="Q920" s="8" t="str">
        <f>VLOOKUP(Table1[[#This Row],[Address A]],IP_Master[],4,FALSE)</f>
        <v>PPPCAP2</v>
      </c>
      <c r="R920" s="8" t="str">
        <f>VLOOKUP(Table1[[#This Row],[Address B]],IP_Master[],4,FALSE)</f>
        <v>EGX100</v>
      </c>
      <c r="S920" s="8" t="str">
        <f>VLOOKUP(Table1[[#This Row],[Address A]],IP_Master[],2,FALSE)</f>
        <v>Acid Plant</v>
      </c>
      <c r="T920" s="8" t="str">
        <f>VLOOKUP(Table1[[#This Row],[Address B]],IP_Master[],2,FALSE)</f>
        <v>Acid Plant</v>
      </c>
      <c r="U920" s="9" t="str">
        <f>VLOOKUP(Table1[[#This Row],[Address A]],IP_Master[],3,FALSE)</f>
        <v>iFIX Nodes &amp; Ethernet Switches</v>
      </c>
      <c r="V920" s="9" t="str">
        <f>VLOOKUP(Table1[[#This Row],[Address B]],IP_Master[],3,FALSE)</f>
        <v>PLCs &amp; Control Equipment</v>
      </c>
      <c r="W920" s="9" t="str">
        <f>VLOOKUP(Table1[[#This Row],[Port B]],traffic_types[],2,FALSE)</f>
        <v>Modbus</v>
      </c>
    </row>
    <row r="921" spans="1:23" x14ac:dyDescent="0.6">
      <c r="A921" t="s">
        <v>102</v>
      </c>
      <c r="B921">
        <v>4506</v>
      </c>
      <c r="C921" t="s">
        <v>103</v>
      </c>
      <c r="D921">
        <v>502</v>
      </c>
      <c r="E921">
        <v>9</v>
      </c>
      <c r="F921" s="13">
        <v>559</v>
      </c>
      <c r="G921">
        <v>6</v>
      </c>
      <c r="H921">
        <v>368</v>
      </c>
      <c r="I921">
        <v>3</v>
      </c>
      <c r="J921">
        <v>191</v>
      </c>
      <c r="K921">
        <v>449.19766800000002</v>
      </c>
      <c r="L921">
        <v>60.041576999999997</v>
      </c>
      <c r="M921">
        <v>49.032689464502297</v>
      </c>
      <c r="N921">
        <v>25.4490317601085</v>
      </c>
      <c r="O921" s="8" t="str">
        <f>formatIP(Table1[[#This Row],[Address A]])</f>
        <v>010.012.000.042</v>
      </c>
      <c r="P921" s="8" t="str">
        <f>formatIP(Table1[[#This Row],[Address B]])</f>
        <v>010.011.009.208</v>
      </c>
      <c r="Q921" s="8" t="str">
        <f>VLOOKUP(Table1[[#This Row],[Address A]],IP_Master[],4,FALSE)</f>
        <v>PPPCAP2</v>
      </c>
      <c r="R921" s="8" t="str">
        <f>VLOOKUP(Table1[[#This Row],[Address B]],IP_Master[],4,FALSE)</f>
        <v>EGX100</v>
      </c>
      <c r="S921" s="8" t="str">
        <f>VLOOKUP(Table1[[#This Row],[Address A]],IP_Master[],2,FALSE)</f>
        <v>Acid Plant</v>
      </c>
      <c r="T921" s="8" t="str">
        <f>VLOOKUP(Table1[[#This Row],[Address B]],IP_Master[],2,FALSE)</f>
        <v>Acid Plant</v>
      </c>
      <c r="U921" s="9" t="str">
        <f>VLOOKUP(Table1[[#This Row],[Address A]],IP_Master[],3,FALSE)</f>
        <v>iFIX Nodes &amp; Ethernet Switches</v>
      </c>
      <c r="V921" s="9" t="str">
        <f>VLOOKUP(Table1[[#This Row],[Address B]],IP_Master[],3,FALSE)</f>
        <v>PLCs &amp; Control Equipment</v>
      </c>
      <c r="W921" s="9" t="str">
        <f>VLOOKUP(Table1[[#This Row],[Port B]],traffic_types[],2,FALSE)</f>
        <v>Modbus</v>
      </c>
    </row>
    <row r="922" spans="1:23" x14ac:dyDescent="0.6">
      <c r="A922" t="s">
        <v>102</v>
      </c>
      <c r="B922">
        <v>4507</v>
      </c>
      <c r="C922" t="s">
        <v>103</v>
      </c>
      <c r="D922">
        <v>502</v>
      </c>
      <c r="E922">
        <v>9</v>
      </c>
      <c r="F922" s="13">
        <v>593</v>
      </c>
      <c r="G922">
        <v>6</v>
      </c>
      <c r="H922">
        <v>368</v>
      </c>
      <c r="I922">
        <v>3</v>
      </c>
      <c r="J922">
        <v>225</v>
      </c>
      <c r="K922">
        <v>449.19795800000003</v>
      </c>
      <c r="L922">
        <v>60.150762999999998</v>
      </c>
      <c r="M922">
        <v>48.943685053504701</v>
      </c>
      <c r="N922">
        <v>29.924807437604699</v>
      </c>
      <c r="O922" s="8" t="str">
        <f>formatIP(Table1[[#This Row],[Address A]])</f>
        <v>010.012.000.042</v>
      </c>
      <c r="P922" s="8" t="str">
        <f>formatIP(Table1[[#This Row],[Address B]])</f>
        <v>010.011.009.208</v>
      </c>
      <c r="Q922" s="8" t="str">
        <f>VLOOKUP(Table1[[#This Row],[Address A]],IP_Master[],4,FALSE)</f>
        <v>PPPCAP2</v>
      </c>
      <c r="R922" s="8" t="str">
        <f>VLOOKUP(Table1[[#This Row],[Address B]],IP_Master[],4,FALSE)</f>
        <v>EGX100</v>
      </c>
      <c r="S922" s="8" t="str">
        <f>VLOOKUP(Table1[[#This Row],[Address A]],IP_Master[],2,FALSE)</f>
        <v>Acid Plant</v>
      </c>
      <c r="T922" s="8" t="str">
        <f>VLOOKUP(Table1[[#This Row],[Address B]],IP_Master[],2,FALSE)</f>
        <v>Acid Plant</v>
      </c>
      <c r="U922" s="9" t="str">
        <f>VLOOKUP(Table1[[#This Row],[Address A]],IP_Master[],3,FALSE)</f>
        <v>iFIX Nodes &amp; Ethernet Switches</v>
      </c>
      <c r="V922" s="9" t="str">
        <f>VLOOKUP(Table1[[#This Row],[Address B]],IP_Master[],3,FALSE)</f>
        <v>PLCs &amp; Control Equipment</v>
      </c>
      <c r="W922" s="9" t="str">
        <f>VLOOKUP(Table1[[#This Row],[Port B]],traffic_types[],2,FALSE)</f>
        <v>Modbus</v>
      </c>
    </row>
    <row r="923" spans="1:23" x14ac:dyDescent="0.6">
      <c r="A923" t="s">
        <v>102</v>
      </c>
      <c r="B923">
        <v>4508</v>
      </c>
      <c r="C923" t="s">
        <v>103</v>
      </c>
      <c r="D923">
        <v>502</v>
      </c>
      <c r="E923">
        <v>10</v>
      </c>
      <c r="F923" s="13">
        <v>623</v>
      </c>
      <c r="G923">
        <v>6</v>
      </c>
      <c r="H923">
        <v>368</v>
      </c>
      <c r="I923">
        <v>4</v>
      </c>
      <c r="J923">
        <v>255</v>
      </c>
      <c r="K923">
        <v>449.19816100000003</v>
      </c>
      <c r="L923">
        <v>60.244207000000003</v>
      </c>
      <c r="M923">
        <v>48.867769145006797</v>
      </c>
      <c r="N923">
        <v>33.862176989067201</v>
      </c>
      <c r="O923" s="8" t="str">
        <f>formatIP(Table1[[#This Row],[Address A]])</f>
        <v>010.012.000.042</v>
      </c>
      <c r="P923" s="8" t="str">
        <f>formatIP(Table1[[#This Row],[Address B]])</f>
        <v>010.011.009.208</v>
      </c>
      <c r="Q923" s="8" t="str">
        <f>VLOOKUP(Table1[[#This Row],[Address A]],IP_Master[],4,FALSE)</f>
        <v>PPPCAP2</v>
      </c>
      <c r="R923" s="8" t="str">
        <f>VLOOKUP(Table1[[#This Row],[Address B]],IP_Master[],4,FALSE)</f>
        <v>EGX100</v>
      </c>
      <c r="S923" s="8" t="str">
        <f>VLOOKUP(Table1[[#This Row],[Address A]],IP_Master[],2,FALSE)</f>
        <v>Acid Plant</v>
      </c>
      <c r="T923" s="8" t="str">
        <f>VLOOKUP(Table1[[#This Row],[Address B]],IP_Master[],2,FALSE)</f>
        <v>Acid Plant</v>
      </c>
      <c r="U923" s="9" t="str">
        <f>VLOOKUP(Table1[[#This Row],[Address A]],IP_Master[],3,FALSE)</f>
        <v>iFIX Nodes &amp; Ethernet Switches</v>
      </c>
      <c r="V923" s="9" t="str">
        <f>VLOOKUP(Table1[[#This Row],[Address B]],IP_Master[],3,FALSE)</f>
        <v>PLCs &amp; Control Equipment</v>
      </c>
      <c r="W923" s="9" t="str">
        <f>VLOOKUP(Table1[[#This Row],[Port B]],traffic_types[],2,FALSE)</f>
        <v>Modbus</v>
      </c>
    </row>
    <row r="924" spans="1:23" x14ac:dyDescent="0.6">
      <c r="A924" t="s">
        <v>102</v>
      </c>
      <c r="B924">
        <v>4509</v>
      </c>
      <c r="C924" t="s">
        <v>103</v>
      </c>
      <c r="D924">
        <v>502</v>
      </c>
      <c r="E924">
        <v>10</v>
      </c>
      <c r="F924" s="13">
        <v>627</v>
      </c>
      <c r="G924">
        <v>6</v>
      </c>
      <c r="H924">
        <v>368</v>
      </c>
      <c r="I924">
        <v>4</v>
      </c>
      <c r="J924">
        <v>259</v>
      </c>
      <c r="K924">
        <v>449.19842799999998</v>
      </c>
      <c r="L924">
        <v>60.337561000000001</v>
      </c>
      <c r="M924">
        <v>48.792161154806998</v>
      </c>
      <c r="N924">
        <v>34.340135160584303</v>
      </c>
      <c r="O924" s="8" t="str">
        <f>formatIP(Table1[[#This Row],[Address A]])</f>
        <v>010.012.000.042</v>
      </c>
      <c r="P924" s="8" t="str">
        <f>formatIP(Table1[[#This Row],[Address B]])</f>
        <v>010.011.009.208</v>
      </c>
      <c r="Q924" s="8" t="str">
        <f>VLOOKUP(Table1[[#This Row],[Address A]],IP_Master[],4,FALSE)</f>
        <v>PPPCAP2</v>
      </c>
      <c r="R924" s="8" t="str">
        <f>VLOOKUP(Table1[[#This Row],[Address B]],IP_Master[],4,FALSE)</f>
        <v>EGX100</v>
      </c>
      <c r="S924" s="8" t="str">
        <f>VLOOKUP(Table1[[#This Row],[Address A]],IP_Master[],2,FALSE)</f>
        <v>Acid Plant</v>
      </c>
      <c r="T924" s="8" t="str">
        <f>VLOOKUP(Table1[[#This Row],[Address B]],IP_Master[],2,FALSE)</f>
        <v>Acid Plant</v>
      </c>
      <c r="U924" s="9" t="str">
        <f>VLOOKUP(Table1[[#This Row],[Address A]],IP_Master[],3,FALSE)</f>
        <v>iFIX Nodes &amp; Ethernet Switches</v>
      </c>
      <c r="V924" s="9" t="str">
        <f>VLOOKUP(Table1[[#This Row],[Address B]],IP_Master[],3,FALSE)</f>
        <v>PLCs &amp; Control Equipment</v>
      </c>
      <c r="W924" s="9" t="str">
        <f>VLOOKUP(Table1[[#This Row],[Port B]],traffic_types[],2,FALSE)</f>
        <v>Modbus</v>
      </c>
    </row>
    <row r="925" spans="1:23" x14ac:dyDescent="0.6">
      <c r="A925" t="s">
        <v>102</v>
      </c>
      <c r="B925">
        <v>4510</v>
      </c>
      <c r="C925" t="s">
        <v>103</v>
      </c>
      <c r="D925">
        <v>502</v>
      </c>
      <c r="E925">
        <v>9</v>
      </c>
      <c r="F925" s="13">
        <v>559</v>
      </c>
      <c r="G925">
        <v>6</v>
      </c>
      <c r="H925">
        <v>368</v>
      </c>
      <c r="I925">
        <v>3</v>
      </c>
      <c r="J925">
        <v>191</v>
      </c>
      <c r="K925">
        <v>450.14381300000002</v>
      </c>
      <c r="L925">
        <v>60.087572999999999</v>
      </c>
      <c r="M925">
        <v>48.995155787037703</v>
      </c>
      <c r="N925">
        <v>25.429550965554899</v>
      </c>
      <c r="O925" s="8" t="str">
        <f>formatIP(Table1[[#This Row],[Address A]])</f>
        <v>010.012.000.042</v>
      </c>
      <c r="P925" s="8" t="str">
        <f>formatIP(Table1[[#This Row],[Address B]])</f>
        <v>010.011.009.208</v>
      </c>
      <c r="Q925" s="8" t="str">
        <f>VLOOKUP(Table1[[#This Row],[Address A]],IP_Master[],4,FALSE)</f>
        <v>PPPCAP2</v>
      </c>
      <c r="R925" s="8" t="str">
        <f>VLOOKUP(Table1[[#This Row],[Address B]],IP_Master[],4,FALSE)</f>
        <v>EGX100</v>
      </c>
      <c r="S925" s="8" t="str">
        <f>VLOOKUP(Table1[[#This Row],[Address A]],IP_Master[],2,FALSE)</f>
        <v>Acid Plant</v>
      </c>
      <c r="T925" s="8" t="str">
        <f>VLOOKUP(Table1[[#This Row],[Address B]],IP_Master[],2,FALSE)</f>
        <v>Acid Plant</v>
      </c>
      <c r="U925" s="9" t="str">
        <f>VLOOKUP(Table1[[#This Row],[Address A]],IP_Master[],3,FALSE)</f>
        <v>iFIX Nodes &amp; Ethernet Switches</v>
      </c>
      <c r="V925" s="9" t="str">
        <f>VLOOKUP(Table1[[#This Row],[Address B]],IP_Master[],3,FALSE)</f>
        <v>PLCs &amp; Control Equipment</v>
      </c>
      <c r="W925" s="9" t="str">
        <f>VLOOKUP(Table1[[#This Row],[Port B]],traffic_types[],2,FALSE)</f>
        <v>Modbus</v>
      </c>
    </row>
    <row r="926" spans="1:23" x14ac:dyDescent="0.6">
      <c r="A926" t="s">
        <v>102</v>
      </c>
      <c r="B926">
        <v>4511</v>
      </c>
      <c r="C926" t="s">
        <v>103</v>
      </c>
      <c r="D926">
        <v>502</v>
      </c>
      <c r="E926">
        <v>9</v>
      </c>
      <c r="F926" s="13">
        <v>593</v>
      </c>
      <c r="G926">
        <v>6</v>
      </c>
      <c r="H926">
        <v>368</v>
      </c>
      <c r="I926">
        <v>3</v>
      </c>
      <c r="J926">
        <v>225</v>
      </c>
      <c r="K926">
        <v>450.14403399999998</v>
      </c>
      <c r="L926">
        <v>60.181091000000002</v>
      </c>
      <c r="M926">
        <v>48.919020095531302</v>
      </c>
      <c r="N926">
        <v>29.909726960583001</v>
      </c>
      <c r="O926" s="8" t="str">
        <f>formatIP(Table1[[#This Row],[Address A]])</f>
        <v>010.012.000.042</v>
      </c>
      <c r="P926" s="8" t="str">
        <f>formatIP(Table1[[#This Row],[Address B]])</f>
        <v>010.011.009.208</v>
      </c>
      <c r="Q926" s="8" t="str">
        <f>VLOOKUP(Table1[[#This Row],[Address A]],IP_Master[],4,FALSE)</f>
        <v>PPPCAP2</v>
      </c>
      <c r="R926" s="8" t="str">
        <f>VLOOKUP(Table1[[#This Row],[Address B]],IP_Master[],4,FALSE)</f>
        <v>EGX100</v>
      </c>
      <c r="S926" s="8" t="str">
        <f>VLOOKUP(Table1[[#This Row],[Address A]],IP_Master[],2,FALSE)</f>
        <v>Acid Plant</v>
      </c>
      <c r="T926" s="8" t="str">
        <f>VLOOKUP(Table1[[#This Row],[Address B]],IP_Master[],2,FALSE)</f>
        <v>Acid Plant</v>
      </c>
      <c r="U926" s="9" t="str">
        <f>VLOOKUP(Table1[[#This Row],[Address A]],IP_Master[],3,FALSE)</f>
        <v>iFIX Nodes &amp; Ethernet Switches</v>
      </c>
      <c r="V926" s="9" t="str">
        <f>VLOOKUP(Table1[[#This Row],[Address B]],IP_Master[],3,FALSE)</f>
        <v>PLCs &amp; Control Equipment</v>
      </c>
      <c r="W926" s="9" t="str">
        <f>VLOOKUP(Table1[[#This Row],[Port B]],traffic_types[],2,FALSE)</f>
        <v>Modbus</v>
      </c>
    </row>
    <row r="927" spans="1:23" x14ac:dyDescent="0.6">
      <c r="A927" t="s">
        <v>102</v>
      </c>
      <c r="B927">
        <v>4512</v>
      </c>
      <c r="C927" t="s">
        <v>103</v>
      </c>
      <c r="D927">
        <v>502</v>
      </c>
      <c r="E927">
        <v>10</v>
      </c>
      <c r="F927" s="13">
        <v>623</v>
      </c>
      <c r="G927">
        <v>6</v>
      </c>
      <c r="H927">
        <v>368</v>
      </c>
      <c r="I927">
        <v>4</v>
      </c>
      <c r="J927">
        <v>255</v>
      </c>
      <c r="K927">
        <v>450.14426700000001</v>
      </c>
      <c r="L927">
        <v>60.290143999999998</v>
      </c>
      <c r="M927">
        <v>48.830535219819701</v>
      </c>
      <c r="N927">
        <v>33.836376307211999</v>
      </c>
      <c r="O927" s="8" t="str">
        <f>formatIP(Table1[[#This Row],[Address A]])</f>
        <v>010.012.000.042</v>
      </c>
      <c r="P927" s="8" t="str">
        <f>formatIP(Table1[[#This Row],[Address B]])</f>
        <v>010.011.009.208</v>
      </c>
      <c r="Q927" s="8" t="str">
        <f>VLOOKUP(Table1[[#This Row],[Address A]],IP_Master[],4,FALSE)</f>
        <v>PPPCAP2</v>
      </c>
      <c r="R927" s="8" t="str">
        <f>VLOOKUP(Table1[[#This Row],[Address B]],IP_Master[],4,FALSE)</f>
        <v>EGX100</v>
      </c>
      <c r="S927" s="8" t="str">
        <f>VLOOKUP(Table1[[#This Row],[Address A]],IP_Master[],2,FALSE)</f>
        <v>Acid Plant</v>
      </c>
      <c r="T927" s="8" t="str">
        <f>VLOOKUP(Table1[[#This Row],[Address B]],IP_Master[],2,FALSE)</f>
        <v>Acid Plant</v>
      </c>
      <c r="U927" s="9" t="str">
        <f>VLOOKUP(Table1[[#This Row],[Address A]],IP_Master[],3,FALSE)</f>
        <v>iFIX Nodes &amp; Ethernet Switches</v>
      </c>
      <c r="V927" s="9" t="str">
        <f>VLOOKUP(Table1[[#This Row],[Address B]],IP_Master[],3,FALSE)</f>
        <v>PLCs &amp; Control Equipment</v>
      </c>
      <c r="W927" s="9" t="str">
        <f>VLOOKUP(Table1[[#This Row],[Port B]],traffic_types[],2,FALSE)</f>
        <v>Modbus</v>
      </c>
    </row>
    <row r="928" spans="1:23" x14ac:dyDescent="0.6">
      <c r="A928" t="s">
        <v>102</v>
      </c>
      <c r="B928">
        <v>4513</v>
      </c>
      <c r="C928" t="s">
        <v>103</v>
      </c>
      <c r="D928">
        <v>502</v>
      </c>
      <c r="E928">
        <v>10</v>
      </c>
      <c r="F928" s="13">
        <v>627</v>
      </c>
      <c r="G928">
        <v>6</v>
      </c>
      <c r="H928">
        <v>368</v>
      </c>
      <c r="I928">
        <v>4</v>
      </c>
      <c r="J928">
        <v>259</v>
      </c>
      <c r="K928">
        <v>450.14460200000002</v>
      </c>
      <c r="L928">
        <v>60.367989000000001</v>
      </c>
      <c r="M928">
        <v>48.767567857859298</v>
      </c>
      <c r="N928">
        <v>34.322826291265102</v>
      </c>
      <c r="O928" s="8" t="str">
        <f>formatIP(Table1[[#This Row],[Address A]])</f>
        <v>010.012.000.042</v>
      </c>
      <c r="P928" s="8" t="str">
        <f>formatIP(Table1[[#This Row],[Address B]])</f>
        <v>010.011.009.208</v>
      </c>
      <c r="Q928" s="8" t="str">
        <f>VLOOKUP(Table1[[#This Row],[Address A]],IP_Master[],4,FALSE)</f>
        <v>PPPCAP2</v>
      </c>
      <c r="R928" s="8" t="str">
        <f>VLOOKUP(Table1[[#This Row],[Address B]],IP_Master[],4,FALSE)</f>
        <v>EGX100</v>
      </c>
      <c r="S928" s="8" t="str">
        <f>VLOOKUP(Table1[[#This Row],[Address A]],IP_Master[],2,FALSE)</f>
        <v>Acid Plant</v>
      </c>
      <c r="T928" s="8" t="str">
        <f>VLOOKUP(Table1[[#This Row],[Address B]],IP_Master[],2,FALSE)</f>
        <v>Acid Plant</v>
      </c>
      <c r="U928" s="9" t="str">
        <f>VLOOKUP(Table1[[#This Row],[Address A]],IP_Master[],3,FALSE)</f>
        <v>iFIX Nodes &amp; Ethernet Switches</v>
      </c>
      <c r="V928" s="9" t="str">
        <f>VLOOKUP(Table1[[#This Row],[Address B]],IP_Master[],3,FALSE)</f>
        <v>PLCs &amp; Control Equipment</v>
      </c>
      <c r="W928" s="9" t="str">
        <f>VLOOKUP(Table1[[#This Row],[Port B]],traffic_types[],2,FALSE)</f>
        <v>Modbus</v>
      </c>
    </row>
    <row r="929" spans="1:23" x14ac:dyDescent="0.6">
      <c r="A929" t="s">
        <v>102</v>
      </c>
      <c r="B929">
        <v>4514</v>
      </c>
      <c r="C929" t="s">
        <v>103</v>
      </c>
      <c r="D929">
        <v>502</v>
      </c>
      <c r="E929">
        <v>17</v>
      </c>
      <c r="F929" s="13">
        <v>1136</v>
      </c>
      <c r="G929">
        <v>9</v>
      </c>
      <c r="H929">
        <v>566</v>
      </c>
      <c r="I929">
        <v>8</v>
      </c>
      <c r="J929">
        <v>570</v>
      </c>
      <c r="K929">
        <v>450.144901</v>
      </c>
      <c r="L929">
        <v>61.06897</v>
      </c>
      <c r="M929">
        <v>74.145674963897406</v>
      </c>
      <c r="N929">
        <v>74.669672666822507</v>
      </c>
      <c r="O929" s="8" t="str">
        <f>formatIP(Table1[[#This Row],[Address A]])</f>
        <v>010.012.000.042</v>
      </c>
      <c r="P929" s="8" t="str">
        <f>formatIP(Table1[[#This Row],[Address B]])</f>
        <v>010.011.009.208</v>
      </c>
      <c r="Q929" s="8" t="str">
        <f>VLOOKUP(Table1[[#This Row],[Address A]],IP_Master[],4,FALSE)</f>
        <v>PPPCAP2</v>
      </c>
      <c r="R929" s="8" t="str">
        <f>VLOOKUP(Table1[[#This Row],[Address B]],IP_Master[],4,FALSE)</f>
        <v>EGX100</v>
      </c>
      <c r="S929" s="8" t="str">
        <f>VLOOKUP(Table1[[#This Row],[Address A]],IP_Master[],2,FALSE)</f>
        <v>Acid Plant</v>
      </c>
      <c r="T929" s="8" t="str">
        <f>VLOOKUP(Table1[[#This Row],[Address B]],IP_Master[],2,FALSE)</f>
        <v>Acid Plant</v>
      </c>
      <c r="U929" s="9" t="str">
        <f>VLOOKUP(Table1[[#This Row],[Address A]],IP_Master[],3,FALSE)</f>
        <v>iFIX Nodes &amp; Ethernet Switches</v>
      </c>
      <c r="V929" s="9" t="str">
        <f>VLOOKUP(Table1[[#This Row],[Address B]],IP_Master[],3,FALSE)</f>
        <v>PLCs &amp; Control Equipment</v>
      </c>
      <c r="W929" s="9" t="str">
        <f>VLOOKUP(Table1[[#This Row],[Port B]],traffic_types[],2,FALSE)</f>
        <v>Modbus</v>
      </c>
    </row>
    <row r="930" spans="1:23" x14ac:dyDescent="0.6">
      <c r="A930" t="s">
        <v>102</v>
      </c>
      <c r="B930">
        <v>4515</v>
      </c>
      <c r="C930" t="s">
        <v>103</v>
      </c>
      <c r="D930">
        <v>502</v>
      </c>
      <c r="E930">
        <v>9</v>
      </c>
      <c r="F930" s="13">
        <v>544</v>
      </c>
      <c r="G930">
        <v>6</v>
      </c>
      <c r="H930">
        <v>364</v>
      </c>
      <c r="I930">
        <v>3</v>
      </c>
      <c r="J930">
        <v>180</v>
      </c>
      <c r="K930">
        <v>450.145174</v>
      </c>
      <c r="L930">
        <v>63.037452999999999</v>
      </c>
      <c r="M930">
        <v>46.1947598041437</v>
      </c>
      <c r="N930">
        <v>22.8435625405106</v>
      </c>
      <c r="O930" s="8" t="str">
        <f>formatIP(Table1[[#This Row],[Address A]])</f>
        <v>010.012.000.042</v>
      </c>
      <c r="P930" s="8" t="str">
        <f>formatIP(Table1[[#This Row],[Address B]])</f>
        <v>010.011.009.208</v>
      </c>
      <c r="Q930" s="8" t="str">
        <f>VLOOKUP(Table1[[#This Row],[Address A]],IP_Master[],4,FALSE)</f>
        <v>PPPCAP2</v>
      </c>
      <c r="R930" s="8" t="str">
        <f>VLOOKUP(Table1[[#This Row],[Address B]],IP_Master[],4,FALSE)</f>
        <v>EGX100</v>
      </c>
      <c r="S930" s="8" t="str">
        <f>VLOOKUP(Table1[[#This Row],[Address A]],IP_Master[],2,FALSE)</f>
        <v>Acid Plant</v>
      </c>
      <c r="T930" s="8" t="str">
        <f>VLOOKUP(Table1[[#This Row],[Address B]],IP_Master[],2,FALSE)</f>
        <v>Acid Plant</v>
      </c>
      <c r="U930" s="9" t="str">
        <f>VLOOKUP(Table1[[#This Row],[Address A]],IP_Master[],3,FALSE)</f>
        <v>iFIX Nodes &amp; Ethernet Switches</v>
      </c>
      <c r="V930" s="9" t="str">
        <f>VLOOKUP(Table1[[#This Row],[Address B]],IP_Master[],3,FALSE)</f>
        <v>PLCs &amp; Control Equipment</v>
      </c>
      <c r="W930" s="9" t="str">
        <f>VLOOKUP(Table1[[#This Row],[Port B]],traffic_types[],2,FALSE)</f>
        <v>Modbus</v>
      </c>
    </row>
    <row r="931" spans="1:23" x14ac:dyDescent="0.6">
      <c r="A931" t="s">
        <v>102</v>
      </c>
      <c r="B931">
        <v>4516</v>
      </c>
      <c r="C931" t="s">
        <v>103</v>
      </c>
      <c r="D931">
        <v>502</v>
      </c>
      <c r="E931">
        <v>10</v>
      </c>
      <c r="F931" s="13">
        <v>613</v>
      </c>
      <c r="G931">
        <v>6</v>
      </c>
      <c r="H931">
        <v>368</v>
      </c>
      <c r="I931">
        <v>4</v>
      </c>
      <c r="J931">
        <v>245</v>
      </c>
      <c r="K931">
        <v>450.177324</v>
      </c>
      <c r="L931">
        <v>60.501359999999998</v>
      </c>
      <c r="M931">
        <v>48.660063178745098</v>
      </c>
      <c r="N931">
        <v>32.395965974979703</v>
      </c>
      <c r="O931" s="8" t="str">
        <f>formatIP(Table1[[#This Row],[Address A]])</f>
        <v>010.012.000.042</v>
      </c>
      <c r="P931" s="8" t="str">
        <f>formatIP(Table1[[#This Row],[Address B]])</f>
        <v>010.011.009.208</v>
      </c>
      <c r="Q931" s="8" t="str">
        <f>VLOOKUP(Table1[[#This Row],[Address A]],IP_Master[],4,FALSE)</f>
        <v>PPPCAP2</v>
      </c>
      <c r="R931" s="8" t="str">
        <f>VLOOKUP(Table1[[#This Row],[Address B]],IP_Master[],4,FALSE)</f>
        <v>EGX100</v>
      </c>
      <c r="S931" s="8" t="str">
        <f>VLOOKUP(Table1[[#This Row],[Address A]],IP_Master[],2,FALSE)</f>
        <v>Acid Plant</v>
      </c>
      <c r="T931" s="8" t="str">
        <f>VLOOKUP(Table1[[#This Row],[Address B]],IP_Master[],2,FALSE)</f>
        <v>Acid Plant</v>
      </c>
      <c r="U931" s="9" t="str">
        <f>VLOOKUP(Table1[[#This Row],[Address A]],IP_Master[],3,FALSE)</f>
        <v>iFIX Nodes &amp; Ethernet Switches</v>
      </c>
      <c r="V931" s="9" t="str">
        <f>VLOOKUP(Table1[[#This Row],[Address B]],IP_Master[],3,FALSE)</f>
        <v>PLCs &amp; Control Equipment</v>
      </c>
      <c r="W931" s="9" t="str">
        <f>VLOOKUP(Table1[[#This Row],[Port B]],traffic_types[],2,FALSE)</f>
        <v>Modbus</v>
      </c>
    </row>
    <row r="932" spans="1:23" x14ac:dyDescent="0.6">
      <c r="A932" t="s">
        <v>102</v>
      </c>
      <c r="B932">
        <v>4517</v>
      </c>
      <c r="C932" t="s">
        <v>103</v>
      </c>
      <c r="D932">
        <v>502</v>
      </c>
      <c r="E932">
        <v>10</v>
      </c>
      <c r="F932" s="13">
        <v>645</v>
      </c>
      <c r="G932">
        <v>6</v>
      </c>
      <c r="H932">
        <v>368</v>
      </c>
      <c r="I932">
        <v>4</v>
      </c>
      <c r="J932">
        <v>277</v>
      </c>
      <c r="K932">
        <v>450.17760700000002</v>
      </c>
      <c r="L932">
        <v>60.594920999999999</v>
      </c>
      <c r="M932">
        <v>48.584930080196003</v>
      </c>
      <c r="N932">
        <v>36.570721826669299</v>
      </c>
      <c r="O932" s="8" t="str">
        <f>formatIP(Table1[[#This Row],[Address A]])</f>
        <v>010.012.000.042</v>
      </c>
      <c r="P932" s="8" t="str">
        <f>formatIP(Table1[[#This Row],[Address B]])</f>
        <v>010.011.009.208</v>
      </c>
      <c r="Q932" s="8" t="str">
        <f>VLOOKUP(Table1[[#This Row],[Address A]],IP_Master[],4,FALSE)</f>
        <v>PPPCAP2</v>
      </c>
      <c r="R932" s="8" t="str">
        <f>VLOOKUP(Table1[[#This Row],[Address B]],IP_Master[],4,FALSE)</f>
        <v>EGX100</v>
      </c>
      <c r="S932" s="8" t="str">
        <f>VLOOKUP(Table1[[#This Row],[Address A]],IP_Master[],2,FALSE)</f>
        <v>Acid Plant</v>
      </c>
      <c r="T932" s="8" t="str">
        <f>VLOOKUP(Table1[[#This Row],[Address B]],IP_Master[],2,FALSE)</f>
        <v>Acid Plant</v>
      </c>
      <c r="U932" s="9" t="str">
        <f>VLOOKUP(Table1[[#This Row],[Address A]],IP_Master[],3,FALSE)</f>
        <v>iFIX Nodes &amp; Ethernet Switches</v>
      </c>
      <c r="V932" s="9" t="str">
        <f>VLOOKUP(Table1[[#This Row],[Address B]],IP_Master[],3,FALSE)</f>
        <v>PLCs &amp; Control Equipment</v>
      </c>
      <c r="W932" s="9" t="str">
        <f>VLOOKUP(Table1[[#This Row],[Port B]],traffic_types[],2,FALSE)</f>
        <v>Modbus</v>
      </c>
    </row>
    <row r="933" spans="1:23" x14ac:dyDescent="0.6">
      <c r="A933" t="s">
        <v>102</v>
      </c>
      <c r="B933">
        <v>4518</v>
      </c>
      <c r="C933" t="s">
        <v>103</v>
      </c>
      <c r="D933">
        <v>502</v>
      </c>
      <c r="E933">
        <v>10</v>
      </c>
      <c r="F933" s="13">
        <v>635</v>
      </c>
      <c r="G933">
        <v>6</v>
      </c>
      <c r="H933">
        <v>368</v>
      </c>
      <c r="I933">
        <v>4</v>
      </c>
      <c r="J933">
        <v>267</v>
      </c>
      <c r="K933">
        <v>450.177978</v>
      </c>
      <c r="L933">
        <v>60.688200999999999</v>
      </c>
      <c r="M933">
        <v>48.510253253346598</v>
      </c>
      <c r="N933">
        <v>35.196297876748702</v>
      </c>
      <c r="O933" s="8" t="str">
        <f>formatIP(Table1[[#This Row],[Address A]])</f>
        <v>010.012.000.042</v>
      </c>
      <c r="P933" s="8" t="str">
        <f>formatIP(Table1[[#This Row],[Address B]])</f>
        <v>010.011.009.208</v>
      </c>
      <c r="Q933" s="8" t="str">
        <f>VLOOKUP(Table1[[#This Row],[Address A]],IP_Master[],4,FALSE)</f>
        <v>PPPCAP2</v>
      </c>
      <c r="R933" s="8" t="str">
        <f>VLOOKUP(Table1[[#This Row],[Address B]],IP_Master[],4,FALSE)</f>
        <v>EGX100</v>
      </c>
      <c r="S933" s="8" t="str">
        <f>VLOOKUP(Table1[[#This Row],[Address A]],IP_Master[],2,FALSE)</f>
        <v>Acid Plant</v>
      </c>
      <c r="T933" s="8" t="str">
        <f>VLOOKUP(Table1[[#This Row],[Address B]],IP_Master[],2,FALSE)</f>
        <v>Acid Plant</v>
      </c>
      <c r="U933" s="9" t="str">
        <f>VLOOKUP(Table1[[#This Row],[Address A]],IP_Master[],3,FALSE)</f>
        <v>iFIX Nodes &amp; Ethernet Switches</v>
      </c>
      <c r="V933" s="9" t="str">
        <f>VLOOKUP(Table1[[#This Row],[Address B]],IP_Master[],3,FALSE)</f>
        <v>PLCs &amp; Control Equipment</v>
      </c>
      <c r="W933" s="9" t="str">
        <f>VLOOKUP(Table1[[#This Row],[Port B]],traffic_types[],2,FALSE)</f>
        <v>Modbus</v>
      </c>
    </row>
    <row r="934" spans="1:23" x14ac:dyDescent="0.6">
      <c r="A934" t="s">
        <v>102</v>
      </c>
      <c r="B934">
        <v>4519</v>
      </c>
      <c r="C934" t="s">
        <v>103</v>
      </c>
      <c r="D934">
        <v>502</v>
      </c>
      <c r="E934">
        <v>10</v>
      </c>
      <c r="F934" s="13">
        <v>619</v>
      </c>
      <c r="G934">
        <v>6</v>
      </c>
      <c r="H934">
        <v>368</v>
      </c>
      <c r="I934">
        <v>4</v>
      </c>
      <c r="J934">
        <v>251</v>
      </c>
      <c r="K934">
        <v>450.17826200000002</v>
      </c>
      <c r="L934">
        <v>60.766069999999999</v>
      </c>
      <c r="M934">
        <v>48.448089534175899</v>
      </c>
      <c r="N934">
        <v>33.044756720321097</v>
      </c>
      <c r="O934" s="8" t="str">
        <f>formatIP(Table1[[#This Row],[Address A]])</f>
        <v>010.012.000.042</v>
      </c>
      <c r="P934" s="8" t="str">
        <f>formatIP(Table1[[#This Row],[Address B]])</f>
        <v>010.011.009.208</v>
      </c>
      <c r="Q934" s="8" t="str">
        <f>VLOOKUP(Table1[[#This Row],[Address A]],IP_Master[],4,FALSE)</f>
        <v>PPPCAP2</v>
      </c>
      <c r="R934" s="8" t="str">
        <f>VLOOKUP(Table1[[#This Row],[Address B]],IP_Master[],4,FALSE)</f>
        <v>EGX100</v>
      </c>
      <c r="S934" s="8" t="str">
        <f>VLOOKUP(Table1[[#This Row],[Address A]],IP_Master[],2,FALSE)</f>
        <v>Acid Plant</v>
      </c>
      <c r="T934" s="8" t="str">
        <f>VLOOKUP(Table1[[#This Row],[Address B]],IP_Master[],2,FALSE)</f>
        <v>Acid Plant</v>
      </c>
      <c r="U934" s="9" t="str">
        <f>VLOOKUP(Table1[[#This Row],[Address A]],IP_Master[],3,FALSE)</f>
        <v>iFIX Nodes &amp; Ethernet Switches</v>
      </c>
      <c r="V934" s="9" t="str">
        <f>VLOOKUP(Table1[[#This Row],[Address B]],IP_Master[],3,FALSE)</f>
        <v>PLCs &amp; Control Equipment</v>
      </c>
      <c r="W934" s="9" t="str">
        <f>VLOOKUP(Table1[[#This Row],[Port B]],traffic_types[],2,FALSE)</f>
        <v>Modbus</v>
      </c>
    </row>
    <row r="935" spans="1:23" x14ac:dyDescent="0.6">
      <c r="A935" t="s">
        <v>102</v>
      </c>
      <c r="B935">
        <v>4520</v>
      </c>
      <c r="C935" t="s">
        <v>103</v>
      </c>
      <c r="D935">
        <v>502</v>
      </c>
      <c r="E935">
        <v>9</v>
      </c>
      <c r="F935" s="13">
        <v>559</v>
      </c>
      <c r="G935">
        <v>6</v>
      </c>
      <c r="H935">
        <v>368</v>
      </c>
      <c r="I935">
        <v>3</v>
      </c>
      <c r="J935">
        <v>191</v>
      </c>
      <c r="K935">
        <v>531.27352199999996</v>
      </c>
      <c r="L935">
        <v>60.033819999999999</v>
      </c>
      <c r="M935">
        <v>49.039025002906698</v>
      </c>
      <c r="N935">
        <v>25.452320042269498</v>
      </c>
      <c r="O935" s="8" t="str">
        <f>formatIP(Table1[[#This Row],[Address A]])</f>
        <v>010.012.000.042</v>
      </c>
      <c r="P935" s="8" t="str">
        <f>formatIP(Table1[[#This Row],[Address B]])</f>
        <v>010.011.009.208</v>
      </c>
      <c r="Q935" s="8" t="str">
        <f>VLOOKUP(Table1[[#This Row],[Address A]],IP_Master[],4,FALSE)</f>
        <v>PPPCAP2</v>
      </c>
      <c r="R935" s="8" t="str">
        <f>VLOOKUP(Table1[[#This Row],[Address B]],IP_Master[],4,FALSE)</f>
        <v>EGX100</v>
      </c>
      <c r="S935" s="8" t="str">
        <f>VLOOKUP(Table1[[#This Row],[Address A]],IP_Master[],2,FALSE)</f>
        <v>Acid Plant</v>
      </c>
      <c r="T935" s="8" t="str">
        <f>VLOOKUP(Table1[[#This Row],[Address B]],IP_Master[],2,FALSE)</f>
        <v>Acid Plant</v>
      </c>
      <c r="U935" s="9" t="str">
        <f>VLOOKUP(Table1[[#This Row],[Address A]],IP_Master[],3,FALSE)</f>
        <v>iFIX Nodes &amp; Ethernet Switches</v>
      </c>
      <c r="V935" s="9" t="str">
        <f>VLOOKUP(Table1[[#This Row],[Address B]],IP_Master[],3,FALSE)</f>
        <v>PLCs &amp; Control Equipment</v>
      </c>
      <c r="W935" s="9" t="str">
        <f>VLOOKUP(Table1[[#This Row],[Port B]],traffic_types[],2,FALSE)</f>
        <v>Modbus</v>
      </c>
    </row>
    <row r="936" spans="1:23" x14ac:dyDescent="0.6">
      <c r="A936" t="s">
        <v>102</v>
      </c>
      <c r="B936">
        <v>4521</v>
      </c>
      <c r="C936" t="s">
        <v>103</v>
      </c>
      <c r="D936">
        <v>502</v>
      </c>
      <c r="E936">
        <v>9</v>
      </c>
      <c r="F936" s="13">
        <v>593</v>
      </c>
      <c r="G936">
        <v>6</v>
      </c>
      <c r="H936">
        <v>368</v>
      </c>
      <c r="I936">
        <v>3</v>
      </c>
      <c r="J936">
        <v>225</v>
      </c>
      <c r="K936">
        <v>531.27357800000004</v>
      </c>
      <c r="L936">
        <v>60.143077999999903</v>
      </c>
      <c r="M936">
        <v>48.949939010437802</v>
      </c>
      <c r="N936">
        <v>29.928631188447</v>
      </c>
      <c r="O936" s="8" t="str">
        <f>formatIP(Table1[[#This Row],[Address A]])</f>
        <v>010.012.000.042</v>
      </c>
      <c r="P936" s="8" t="str">
        <f>formatIP(Table1[[#This Row],[Address B]])</f>
        <v>010.011.009.208</v>
      </c>
      <c r="Q936" s="8" t="str">
        <f>VLOOKUP(Table1[[#This Row],[Address A]],IP_Master[],4,FALSE)</f>
        <v>PPPCAP2</v>
      </c>
      <c r="R936" s="8" t="str">
        <f>VLOOKUP(Table1[[#This Row],[Address B]],IP_Master[],4,FALSE)</f>
        <v>EGX100</v>
      </c>
      <c r="S936" s="8" t="str">
        <f>VLOOKUP(Table1[[#This Row],[Address A]],IP_Master[],2,FALSE)</f>
        <v>Acid Plant</v>
      </c>
      <c r="T936" s="8" t="str">
        <f>VLOOKUP(Table1[[#This Row],[Address B]],IP_Master[],2,FALSE)</f>
        <v>Acid Plant</v>
      </c>
      <c r="U936" s="9" t="str">
        <f>VLOOKUP(Table1[[#This Row],[Address A]],IP_Master[],3,FALSE)</f>
        <v>iFIX Nodes &amp; Ethernet Switches</v>
      </c>
      <c r="V936" s="9" t="str">
        <f>VLOOKUP(Table1[[#This Row],[Address B]],IP_Master[],3,FALSE)</f>
        <v>PLCs &amp; Control Equipment</v>
      </c>
      <c r="W936" s="9" t="str">
        <f>VLOOKUP(Table1[[#This Row],[Port B]],traffic_types[],2,FALSE)</f>
        <v>Modbus</v>
      </c>
    </row>
    <row r="937" spans="1:23" x14ac:dyDescent="0.6">
      <c r="A937" t="s">
        <v>102</v>
      </c>
      <c r="B937">
        <v>4522</v>
      </c>
      <c r="C937" t="s">
        <v>103</v>
      </c>
      <c r="D937">
        <v>502</v>
      </c>
      <c r="E937">
        <v>10</v>
      </c>
      <c r="F937" s="13">
        <v>623</v>
      </c>
      <c r="G937">
        <v>6</v>
      </c>
      <c r="H937">
        <v>368</v>
      </c>
      <c r="I937">
        <v>4</v>
      </c>
      <c r="J937">
        <v>255</v>
      </c>
      <c r="K937">
        <v>531.27380000000005</v>
      </c>
      <c r="L937">
        <v>60.220958000000003</v>
      </c>
      <c r="M937">
        <v>48.886635114638999</v>
      </c>
      <c r="N937">
        <v>33.875249875633003</v>
      </c>
      <c r="O937" s="8" t="str">
        <f>formatIP(Table1[[#This Row],[Address A]])</f>
        <v>010.012.000.042</v>
      </c>
      <c r="P937" s="8" t="str">
        <f>formatIP(Table1[[#This Row],[Address B]])</f>
        <v>010.011.009.208</v>
      </c>
      <c r="Q937" s="8" t="str">
        <f>VLOOKUP(Table1[[#This Row],[Address A]],IP_Master[],4,FALSE)</f>
        <v>PPPCAP2</v>
      </c>
      <c r="R937" s="8" t="str">
        <f>VLOOKUP(Table1[[#This Row],[Address B]],IP_Master[],4,FALSE)</f>
        <v>EGX100</v>
      </c>
      <c r="S937" s="8" t="str">
        <f>VLOOKUP(Table1[[#This Row],[Address A]],IP_Master[],2,FALSE)</f>
        <v>Acid Plant</v>
      </c>
      <c r="T937" s="8" t="str">
        <f>VLOOKUP(Table1[[#This Row],[Address B]],IP_Master[],2,FALSE)</f>
        <v>Acid Plant</v>
      </c>
      <c r="U937" s="9" t="str">
        <f>VLOOKUP(Table1[[#This Row],[Address A]],IP_Master[],3,FALSE)</f>
        <v>iFIX Nodes &amp; Ethernet Switches</v>
      </c>
      <c r="V937" s="9" t="str">
        <f>VLOOKUP(Table1[[#This Row],[Address B]],IP_Master[],3,FALSE)</f>
        <v>PLCs &amp; Control Equipment</v>
      </c>
      <c r="W937" s="9" t="str">
        <f>VLOOKUP(Table1[[#This Row],[Port B]],traffic_types[],2,FALSE)</f>
        <v>Modbus</v>
      </c>
    </row>
    <row r="938" spans="1:23" x14ac:dyDescent="0.6">
      <c r="A938" t="s">
        <v>102</v>
      </c>
      <c r="B938">
        <v>4523</v>
      </c>
      <c r="C938" t="s">
        <v>103</v>
      </c>
      <c r="D938">
        <v>502</v>
      </c>
      <c r="E938">
        <v>10</v>
      </c>
      <c r="F938" s="13">
        <v>627</v>
      </c>
      <c r="G938">
        <v>6</v>
      </c>
      <c r="H938">
        <v>368</v>
      </c>
      <c r="I938">
        <v>4</v>
      </c>
      <c r="J938">
        <v>259</v>
      </c>
      <c r="K938">
        <v>531.274134</v>
      </c>
      <c r="L938">
        <v>60.314387000000004</v>
      </c>
      <c r="M938">
        <v>48.810908084003202</v>
      </c>
      <c r="N938">
        <v>34.353329330861001</v>
      </c>
      <c r="O938" s="8" t="str">
        <f>formatIP(Table1[[#This Row],[Address A]])</f>
        <v>010.012.000.042</v>
      </c>
      <c r="P938" s="8" t="str">
        <f>formatIP(Table1[[#This Row],[Address B]])</f>
        <v>010.011.009.208</v>
      </c>
      <c r="Q938" s="8" t="str">
        <f>VLOOKUP(Table1[[#This Row],[Address A]],IP_Master[],4,FALSE)</f>
        <v>PPPCAP2</v>
      </c>
      <c r="R938" s="8" t="str">
        <f>VLOOKUP(Table1[[#This Row],[Address B]],IP_Master[],4,FALSE)</f>
        <v>EGX100</v>
      </c>
      <c r="S938" s="8" t="str">
        <f>VLOOKUP(Table1[[#This Row],[Address A]],IP_Master[],2,FALSE)</f>
        <v>Acid Plant</v>
      </c>
      <c r="T938" s="8" t="str">
        <f>VLOOKUP(Table1[[#This Row],[Address B]],IP_Master[],2,FALSE)</f>
        <v>Acid Plant</v>
      </c>
      <c r="U938" s="9" t="str">
        <f>VLOOKUP(Table1[[#This Row],[Address A]],IP_Master[],3,FALSE)</f>
        <v>iFIX Nodes &amp; Ethernet Switches</v>
      </c>
      <c r="V938" s="9" t="str">
        <f>VLOOKUP(Table1[[#This Row],[Address B]],IP_Master[],3,FALSE)</f>
        <v>PLCs &amp; Control Equipment</v>
      </c>
      <c r="W938" s="9" t="str">
        <f>VLOOKUP(Table1[[#This Row],[Port B]],traffic_types[],2,FALSE)</f>
        <v>Modbus</v>
      </c>
    </row>
    <row r="939" spans="1:23" x14ac:dyDescent="0.6">
      <c r="A939" t="s">
        <v>102</v>
      </c>
      <c r="B939">
        <v>4524</v>
      </c>
      <c r="C939" t="s">
        <v>103</v>
      </c>
      <c r="D939">
        <v>502</v>
      </c>
      <c r="E939">
        <v>9</v>
      </c>
      <c r="F939" s="13">
        <v>559</v>
      </c>
      <c r="G939">
        <v>6</v>
      </c>
      <c r="H939">
        <v>368</v>
      </c>
      <c r="I939">
        <v>3</v>
      </c>
      <c r="J939">
        <v>191</v>
      </c>
      <c r="K939">
        <v>534.30473800000004</v>
      </c>
      <c r="L939">
        <v>60.068060999999901</v>
      </c>
      <c r="M939">
        <v>49.011070958325099</v>
      </c>
      <c r="N939">
        <v>25.4378112854351</v>
      </c>
      <c r="O939" s="8" t="str">
        <f>formatIP(Table1[[#This Row],[Address A]])</f>
        <v>010.012.000.042</v>
      </c>
      <c r="P939" s="8" t="str">
        <f>formatIP(Table1[[#This Row],[Address B]])</f>
        <v>010.011.009.208</v>
      </c>
      <c r="Q939" s="8" t="str">
        <f>VLOOKUP(Table1[[#This Row],[Address A]],IP_Master[],4,FALSE)</f>
        <v>PPPCAP2</v>
      </c>
      <c r="R939" s="8" t="str">
        <f>VLOOKUP(Table1[[#This Row],[Address B]],IP_Master[],4,FALSE)</f>
        <v>EGX100</v>
      </c>
      <c r="S939" s="8" t="str">
        <f>VLOOKUP(Table1[[#This Row],[Address A]],IP_Master[],2,FALSE)</f>
        <v>Acid Plant</v>
      </c>
      <c r="T939" s="8" t="str">
        <f>VLOOKUP(Table1[[#This Row],[Address B]],IP_Master[],2,FALSE)</f>
        <v>Acid Plant</v>
      </c>
      <c r="U939" s="9" t="str">
        <f>VLOOKUP(Table1[[#This Row],[Address A]],IP_Master[],3,FALSE)</f>
        <v>iFIX Nodes &amp; Ethernet Switches</v>
      </c>
      <c r="V939" s="9" t="str">
        <f>VLOOKUP(Table1[[#This Row],[Address B]],IP_Master[],3,FALSE)</f>
        <v>PLCs &amp; Control Equipment</v>
      </c>
      <c r="W939" s="9" t="str">
        <f>VLOOKUP(Table1[[#This Row],[Port B]],traffic_types[],2,FALSE)</f>
        <v>Modbus</v>
      </c>
    </row>
    <row r="940" spans="1:23" x14ac:dyDescent="0.6">
      <c r="A940" t="s">
        <v>102</v>
      </c>
      <c r="B940">
        <v>4525</v>
      </c>
      <c r="C940" t="s">
        <v>103</v>
      </c>
      <c r="D940">
        <v>502</v>
      </c>
      <c r="E940">
        <v>9</v>
      </c>
      <c r="F940" s="13">
        <v>593</v>
      </c>
      <c r="G940">
        <v>6</v>
      </c>
      <c r="H940">
        <v>368</v>
      </c>
      <c r="I940">
        <v>3</v>
      </c>
      <c r="J940">
        <v>225</v>
      </c>
      <c r="K940">
        <v>534.30499199999997</v>
      </c>
      <c r="L940">
        <v>60.161656999999998</v>
      </c>
      <c r="M940">
        <v>48.9348223902809</v>
      </c>
      <c r="N940">
        <v>29.919388689709798</v>
      </c>
      <c r="O940" s="8" t="str">
        <f>formatIP(Table1[[#This Row],[Address A]])</f>
        <v>010.012.000.042</v>
      </c>
      <c r="P940" s="8" t="str">
        <f>formatIP(Table1[[#This Row],[Address B]])</f>
        <v>010.011.009.208</v>
      </c>
      <c r="Q940" s="8" t="str">
        <f>VLOOKUP(Table1[[#This Row],[Address A]],IP_Master[],4,FALSE)</f>
        <v>PPPCAP2</v>
      </c>
      <c r="R940" s="8" t="str">
        <f>VLOOKUP(Table1[[#This Row],[Address B]],IP_Master[],4,FALSE)</f>
        <v>EGX100</v>
      </c>
      <c r="S940" s="8" t="str">
        <f>VLOOKUP(Table1[[#This Row],[Address A]],IP_Master[],2,FALSE)</f>
        <v>Acid Plant</v>
      </c>
      <c r="T940" s="8" t="str">
        <f>VLOOKUP(Table1[[#This Row],[Address B]],IP_Master[],2,FALSE)</f>
        <v>Acid Plant</v>
      </c>
      <c r="U940" s="9" t="str">
        <f>VLOOKUP(Table1[[#This Row],[Address A]],IP_Master[],3,FALSE)</f>
        <v>iFIX Nodes &amp; Ethernet Switches</v>
      </c>
      <c r="V940" s="9" t="str">
        <f>VLOOKUP(Table1[[#This Row],[Address B]],IP_Master[],3,FALSE)</f>
        <v>PLCs &amp; Control Equipment</v>
      </c>
      <c r="W940" s="9" t="str">
        <f>VLOOKUP(Table1[[#This Row],[Port B]],traffic_types[],2,FALSE)</f>
        <v>Modbus</v>
      </c>
    </row>
    <row r="941" spans="1:23" x14ac:dyDescent="0.6">
      <c r="A941" t="s">
        <v>102</v>
      </c>
      <c r="B941">
        <v>4526</v>
      </c>
      <c r="C941" t="s">
        <v>103</v>
      </c>
      <c r="D941">
        <v>502</v>
      </c>
      <c r="E941">
        <v>10</v>
      </c>
      <c r="F941" s="13">
        <v>623</v>
      </c>
      <c r="G941">
        <v>6</v>
      </c>
      <c r="H941">
        <v>368</v>
      </c>
      <c r="I941">
        <v>4</v>
      </c>
      <c r="J941">
        <v>255</v>
      </c>
      <c r="K941">
        <v>534.30529899999999</v>
      </c>
      <c r="L941">
        <v>60.239337999999996</v>
      </c>
      <c r="M941">
        <v>48.871719008598703</v>
      </c>
      <c r="N941">
        <v>33.8649139869366</v>
      </c>
      <c r="O941" s="8" t="str">
        <f>formatIP(Table1[[#This Row],[Address A]])</f>
        <v>010.012.000.042</v>
      </c>
      <c r="P941" s="8" t="str">
        <f>formatIP(Table1[[#This Row],[Address B]])</f>
        <v>010.011.009.208</v>
      </c>
      <c r="Q941" s="8" t="str">
        <f>VLOOKUP(Table1[[#This Row],[Address A]],IP_Master[],4,FALSE)</f>
        <v>PPPCAP2</v>
      </c>
      <c r="R941" s="8" t="str">
        <f>VLOOKUP(Table1[[#This Row],[Address B]],IP_Master[],4,FALSE)</f>
        <v>EGX100</v>
      </c>
      <c r="S941" s="8" t="str">
        <f>VLOOKUP(Table1[[#This Row],[Address A]],IP_Master[],2,FALSE)</f>
        <v>Acid Plant</v>
      </c>
      <c r="T941" s="8" t="str">
        <f>VLOOKUP(Table1[[#This Row],[Address B]],IP_Master[],2,FALSE)</f>
        <v>Acid Plant</v>
      </c>
      <c r="U941" s="9" t="str">
        <f>VLOOKUP(Table1[[#This Row],[Address A]],IP_Master[],3,FALSE)</f>
        <v>iFIX Nodes &amp; Ethernet Switches</v>
      </c>
      <c r="V941" s="9" t="str">
        <f>VLOOKUP(Table1[[#This Row],[Address B]],IP_Master[],3,FALSE)</f>
        <v>PLCs &amp; Control Equipment</v>
      </c>
      <c r="W941" s="9" t="str">
        <f>VLOOKUP(Table1[[#This Row],[Port B]],traffic_types[],2,FALSE)</f>
        <v>Modbus</v>
      </c>
    </row>
    <row r="942" spans="1:23" x14ac:dyDescent="0.6">
      <c r="A942" t="s">
        <v>102</v>
      </c>
      <c r="B942">
        <v>4527</v>
      </c>
      <c r="C942" t="s">
        <v>103</v>
      </c>
      <c r="D942">
        <v>502</v>
      </c>
      <c r="E942">
        <v>10</v>
      </c>
      <c r="F942" s="13">
        <v>627</v>
      </c>
      <c r="G942">
        <v>6</v>
      </c>
      <c r="H942">
        <v>368</v>
      </c>
      <c r="I942">
        <v>4</v>
      </c>
      <c r="J942">
        <v>259</v>
      </c>
      <c r="K942">
        <v>534.30558699999995</v>
      </c>
      <c r="L942">
        <v>60.332779000000102</v>
      </c>
      <c r="M942">
        <v>48.796028440857903</v>
      </c>
      <c r="N942">
        <v>34.342856973321197</v>
      </c>
      <c r="O942" s="8" t="str">
        <f>formatIP(Table1[[#This Row],[Address A]])</f>
        <v>010.012.000.042</v>
      </c>
      <c r="P942" s="8" t="str">
        <f>formatIP(Table1[[#This Row],[Address B]])</f>
        <v>010.011.009.208</v>
      </c>
      <c r="Q942" s="8" t="str">
        <f>VLOOKUP(Table1[[#This Row],[Address A]],IP_Master[],4,FALSE)</f>
        <v>PPPCAP2</v>
      </c>
      <c r="R942" s="8" t="str">
        <f>VLOOKUP(Table1[[#This Row],[Address B]],IP_Master[],4,FALSE)</f>
        <v>EGX100</v>
      </c>
      <c r="S942" s="8" t="str">
        <f>VLOOKUP(Table1[[#This Row],[Address A]],IP_Master[],2,FALSE)</f>
        <v>Acid Plant</v>
      </c>
      <c r="T942" s="8" t="str">
        <f>VLOOKUP(Table1[[#This Row],[Address B]],IP_Master[],2,FALSE)</f>
        <v>Acid Plant</v>
      </c>
      <c r="U942" s="9" t="str">
        <f>VLOOKUP(Table1[[#This Row],[Address A]],IP_Master[],3,FALSE)</f>
        <v>iFIX Nodes &amp; Ethernet Switches</v>
      </c>
      <c r="V942" s="9" t="str">
        <f>VLOOKUP(Table1[[#This Row],[Address B]],IP_Master[],3,FALSE)</f>
        <v>PLCs &amp; Control Equipment</v>
      </c>
      <c r="W942" s="9" t="str">
        <f>VLOOKUP(Table1[[#This Row],[Port B]],traffic_types[],2,FALSE)</f>
        <v>Modbus</v>
      </c>
    </row>
    <row r="943" spans="1:23" x14ac:dyDescent="0.6">
      <c r="A943" t="s">
        <v>102</v>
      </c>
      <c r="B943">
        <v>4528</v>
      </c>
      <c r="C943" t="s">
        <v>103</v>
      </c>
      <c r="D943">
        <v>502</v>
      </c>
      <c r="E943">
        <v>16</v>
      </c>
      <c r="F943" s="13">
        <v>1076</v>
      </c>
      <c r="G943">
        <v>9</v>
      </c>
      <c r="H943">
        <v>566</v>
      </c>
      <c r="I943">
        <v>7</v>
      </c>
      <c r="J943">
        <v>510</v>
      </c>
      <c r="K943">
        <v>534.30597299999999</v>
      </c>
      <c r="L943">
        <v>60.771903000000002</v>
      </c>
      <c r="M943">
        <v>74.508116028553601</v>
      </c>
      <c r="N943">
        <v>67.136288294279694</v>
      </c>
      <c r="O943" s="8" t="str">
        <f>formatIP(Table1[[#This Row],[Address A]])</f>
        <v>010.012.000.042</v>
      </c>
      <c r="P943" s="8" t="str">
        <f>formatIP(Table1[[#This Row],[Address B]])</f>
        <v>010.011.009.208</v>
      </c>
      <c r="Q943" s="8" t="str">
        <f>VLOOKUP(Table1[[#This Row],[Address A]],IP_Master[],4,FALSE)</f>
        <v>PPPCAP2</v>
      </c>
      <c r="R943" s="8" t="str">
        <f>VLOOKUP(Table1[[#This Row],[Address B]],IP_Master[],4,FALSE)</f>
        <v>EGX100</v>
      </c>
      <c r="S943" s="8" t="str">
        <f>VLOOKUP(Table1[[#This Row],[Address A]],IP_Master[],2,FALSE)</f>
        <v>Acid Plant</v>
      </c>
      <c r="T943" s="8" t="str">
        <f>VLOOKUP(Table1[[#This Row],[Address B]],IP_Master[],2,FALSE)</f>
        <v>Acid Plant</v>
      </c>
      <c r="U943" s="9" t="str">
        <f>VLOOKUP(Table1[[#This Row],[Address A]],IP_Master[],3,FALSE)</f>
        <v>iFIX Nodes &amp; Ethernet Switches</v>
      </c>
      <c r="V943" s="9" t="str">
        <f>VLOOKUP(Table1[[#This Row],[Address B]],IP_Master[],3,FALSE)</f>
        <v>PLCs &amp; Control Equipment</v>
      </c>
      <c r="W943" s="9" t="str">
        <f>VLOOKUP(Table1[[#This Row],[Port B]],traffic_types[],2,FALSE)</f>
        <v>Modbus</v>
      </c>
    </row>
    <row r="944" spans="1:23" x14ac:dyDescent="0.6">
      <c r="A944" t="s">
        <v>102</v>
      </c>
      <c r="B944">
        <v>4529</v>
      </c>
      <c r="C944" t="s">
        <v>103</v>
      </c>
      <c r="D944">
        <v>502</v>
      </c>
      <c r="E944">
        <v>7</v>
      </c>
      <c r="F944" s="13">
        <v>424</v>
      </c>
      <c r="G944">
        <v>5</v>
      </c>
      <c r="H944">
        <v>304</v>
      </c>
      <c r="I944">
        <v>2</v>
      </c>
      <c r="J944">
        <v>120</v>
      </c>
      <c r="K944">
        <v>534.30622900000003</v>
      </c>
      <c r="L944">
        <v>62.959259000000003</v>
      </c>
      <c r="M944">
        <v>38.628154756395702</v>
      </c>
      <c r="N944">
        <v>15.247955824893101</v>
      </c>
      <c r="O944" s="8" t="str">
        <f>formatIP(Table1[[#This Row],[Address A]])</f>
        <v>010.012.000.042</v>
      </c>
      <c r="P944" s="8" t="str">
        <f>formatIP(Table1[[#This Row],[Address B]])</f>
        <v>010.011.009.208</v>
      </c>
      <c r="Q944" s="8" t="str">
        <f>VLOOKUP(Table1[[#This Row],[Address A]],IP_Master[],4,FALSE)</f>
        <v>PPPCAP2</v>
      </c>
      <c r="R944" s="8" t="str">
        <f>VLOOKUP(Table1[[#This Row],[Address B]],IP_Master[],4,FALSE)</f>
        <v>EGX100</v>
      </c>
      <c r="S944" s="8" t="str">
        <f>VLOOKUP(Table1[[#This Row],[Address A]],IP_Master[],2,FALSE)</f>
        <v>Acid Plant</v>
      </c>
      <c r="T944" s="8" t="str">
        <f>VLOOKUP(Table1[[#This Row],[Address B]],IP_Master[],2,FALSE)</f>
        <v>Acid Plant</v>
      </c>
      <c r="U944" s="9" t="str">
        <f>VLOOKUP(Table1[[#This Row],[Address A]],IP_Master[],3,FALSE)</f>
        <v>iFIX Nodes &amp; Ethernet Switches</v>
      </c>
      <c r="V944" s="9" t="str">
        <f>VLOOKUP(Table1[[#This Row],[Address B]],IP_Master[],3,FALSE)</f>
        <v>PLCs &amp; Control Equipment</v>
      </c>
      <c r="W944" s="9" t="str">
        <f>VLOOKUP(Table1[[#This Row],[Port B]],traffic_types[],2,FALSE)</f>
        <v>Modbus</v>
      </c>
    </row>
    <row r="945" spans="1:23" x14ac:dyDescent="0.6">
      <c r="A945" t="s">
        <v>102</v>
      </c>
      <c r="B945">
        <v>4530</v>
      </c>
      <c r="C945" t="s">
        <v>103</v>
      </c>
      <c r="D945">
        <v>502</v>
      </c>
      <c r="E945">
        <v>7</v>
      </c>
      <c r="F945" s="13">
        <v>424</v>
      </c>
      <c r="G945">
        <v>5</v>
      </c>
      <c r="H945">
        <v>304</v>
      </c>
      <c r="I945">
        <v>2</v>
      </c>
      <c r="J945">
        <v>120</v>
      </c>
      <c r="K945">
        <v>534.30649900000003</v>
      </c>
      <c r="L945">
        <v>62.958992000000002</v>
      </c>
      <c r="M945">
        <v>38.628318572825997</v>
      </c>
      <c r="N945">
        <v>15.248020489273401</v>
      </c>
      <c r="O945" s="8" t="str">
        <f>formatIP(Table1[[#This Row],[Address A]])</f>
        <v>010.012.000.042</v>
      </c>
      <c r="P945" s="8" t="str">
        <f>formatIP(Table1[[#This Row],[Address B]])</f>
        <v>010.011.009.208</v>
      </c>
      <c r="Q945" s="8" t="str">
        <f>VLOOKUP(Table1[[#This Row],[Address A]],IP_Master[],4,FALSE)</f>
        <v>PPPCAP2</v>
      </c>
      <c r="R945" s="8" t="str">
        <f>VLOOKUP(Table1[[#This Row],[Address B]],IP_Master[],4,FALSE)</f>
        <v>EGX100</v>
      </c>
      <c r="S945" s="8" t="str">
        <f>VLOOKUP(Table1[[#This Row],[Address A]],IP_Master[],2,FALSE)</f>
        <v>Acid Plant</v>
      </c>
      <c r="T945" s="8" t="str">
        <f>VLOOKUP(Table1[[#This Row],[Address B]],IP_Master[],2,FALSE)</f>
        <v>Acid Plant</v>
      </c>
      <c r="U945" s="9" t="str">
        <f>VLOOKUP(Table1[[#This Row],[Address A]],IP_Master[],3,FALSE)</f>
        <v>iFIX Nodes &amp; Ethernet Switches</v>
      </c>
      <c r="V945" s="9" t="str">
        <f>VLOOKUP(Table1[[#This Row],[Address B]],IP_Master[],3,FALSE)</f>
        <v>PLCs &amp; Control Equipment</v>
      </c>
      <c r="W945" s="9" t="str">
        <f>VLOOKUP(Table1[[#This Row],[Port B]],traffic_types[],2,FALSE)</f>
        <v>Modbus</v>
      </c>
    </row>
    <row r="946" spans="1:23" x14ac:dyDescent="0.6">
      <c r="A946" t="s">
        <v>102</v>
      </c>
      <c r="B946">
        <v>4531</v>
      </c>
      <c r="C946" t="s">
        <v>103</v>
      </c>
      <c r="D946">
        <v>502</v>
      </c>
      <c r="E946">
        <v>9</v>
      </c>
      <c r="F946" s="13">
        <v>544</v>
      </c>
      <c r="G946">
        <v>6</v>
      </c>
      <c r="H946">
        <v>364</v>
      </c>
      <c r="I946">
        <v>3</v>
      </c>
      <c r="J946">
        <v>180</v>
      </c>
      <c r="K946">
        <v>534.30677300000002</v>
      </c>
      <c r="L946">
        <v>62.974248000000003</v>
      </c>
      <c r="M946">
        <v>46.241123832078202</v>
      </c>
      <c r="N946">
        <v>22.866489807071599</v>
      </c>
      <c r="O946" s="8" t="str">
        <f>formatIP(Table1[[#This Row],[Address A]])</f>
        <v>010.012.000.042</v>
      </c>
      <c r="P946" s="8" t="str">
        <f>formatIP(Table1[[#This Row],[Address B]])</f>
        <v>010.011.009.208</v>
      </c>
      <c r="Q946" s="8" t="str">
        <f>VLOOKUP(Table1[[#This Row],[Address A]],IP_Master[],4,FALSE)</f>
        <v>PPPCAP2</v>
      </c>
      <c r="R946" s="8" t="str">
        <f>VLOOKUP(Table1[[#This Row],[Address B]],IP_Master[],4,FALSE)</f>
        <v>EGX100</v>
      </c>
      <c r="S946" s="8" t="str">
        <f>VLOOKUP(Table1[[#This Row],[Address A]],IP_Master[],2,FALSE)</f>
        <v>Acid Plant</v>
      </c>
      <c r="T946" s="8" t="str">
        <f>VLOOKUP(Table1[[#This Row],[Address B]],IP_Master[],2,FALSE)</f>
        <v>Acid Plant</v>
      </c>
      <c r="U946" s="9" t="str">
        <f>VLOOKUP(Table1[[#This Row],[Address A]],IP_Master[],3,FALSE)</f>
        <v>iFIX Nodes &amp; Ethernet Switches</v>
      </c>
      <c r="V946" s="9" t="str">
        <f>VLOOKUP(Table1[[#This Row],[Address B]],IP_Master[],3,FALSE)</f>
        <v>PLCs &amp; Control Equipment</v>
      </c>
      <c r="W946" s="9" t="str">
        <f>VLOOKUP(Table1[[#This Row],[Port B]],traffic_types[],2,FALSE)</f>
        <v>Modbus</v>
      </c>
    </row>
    <row r="947" spans="1:23" x14ac:dyDescent="0.6">
      <c r="A947" t="s">
        <v>102</v>
      </c>
      <c r="B947">
        <v>4533</v>
      </c>
      <c r="C947" t="s">
        <v>103</v>
      </c>
      <c r="D947">
        <v>502</v>
      </c>
      <c r="E947">
        <v>9</v>
      </c>
      <c r="F947" s="13">
        <v>559</v>
      </c>
      <c r="G947">
        <v>6</v>
      </c>
      <c r="H947">
        <v>368</v>
      </c>
      <c r="I947">
        <v>3</v>
      </c>
      <c r="J947">
        <v>191</v>
      </c>
      <c r="K947">
        <v>749.20378000000005</v>
      </c>
      <c r="L947">
        <v>60.059944999999999</v>
      </c>
      <c r="M947">
        <v>49.0176939056471</v>
      </c>
      <c r="N947">
        <v>25.4412487390723</v>
      </c>
      <c r="O947" s="8" t="str">
        <f>formatIP(Table1[[#This Row],[Address A]])</f>
        <v>010.012.000.042</v>
      </c>
      <c r="P947" s="8" t="str">
        <f>formatIP(Table1[[#This Row],[Address B]])</f>
        <v>010.011.009.208</v>
      </c>
      <c r="Q947" s="8" t="str">
        <f>VLOOKUP(Table1[[#This Row],[Address A]],IP_Master[],4,FALSE)</f>
        <v>PPPCAP2</v>
      </c>
      <c r="R947" s="8" t="str">
        <f>VLOOKUP(Table1[[#This Row],[Address B]],IP_Master[],4,FALSE)</f>
        <v>EGX100</v>
      </c>
      <c r="S947" s="8" t="str">
        <f>VLOOKUP(Table1[[#This Row],[Address A]],IP_Master[],2,FALSE)</f>
        <v>Acid Plant</v>
      </c>
      <c r="T947" s="8" t="str">
        <f>VLOOKUP(Table1[[#This Row],[Address B]],IP_Master[],2,FALSE)</f>
        <v>Acid Plant</v>
      </c>
      <c r="U947" s="9" t="str">
        <f>VLOOKUP(Table1[[#This Row],[Address A]],IP_Master[],3,FALSE)</f>
        <v>iFIX Nodes &amp; Ethernet Switches</v>
      </c>
      <c r="V947" s="9" t="str">
        <f>VLOOKUP(Table1[[#This Row],[Address B]],IP_Master[],3,FALSE)</f>
        <v>PLCs &amp; Control Equipment</v>
      </c>
      <c r="W947" s="9" t="str">
        <f>VLOOKUP(Table1[[#This Row],[Port B]],traffic_types[],2,FALSE)</f>
        <v>Modbus</v>
      </c>
    </row>
    <row r="948" spans="1:23" x14ac:dyDescent="0.6">
      <c r="A948" t="s">
        <v>102</v>
      </c>
      <c r="B948">
        <v>4534</v>
      </c>
      <c r="C948" t="s">
        <v>103</v>
      </c>
      <c r="D948">
        <v>502</v>
      </c>
      <c r="E948">
        <v>9</v>
      </c>
      <c r="F948" s="13">
        <v>593</v>
      </c>
      <c r="G948">
        <v>6</v>
      </c>
      <c r="H948">
        <v>368</v>
      </c>
      <c r="I948">
        <v>3</v>
      </c>
      <c r="J948">
        <v>225</v>
      </c>
      <c r="K948">
        <v>749.20406600000001</v>
      </c>
      <c r="L948">
        <v>60.168906999999997</v>
      </c>
      <c r="M948">
        <v>48.928926031513299</v>
      </c>
      <c r="N948">
        <v>29.915783579050199</v>
      </c>
      <c r="O948" s="8" t="str">
        <f>formatIP(Table1[[#This Row],[Address A]])</f>
        <v>010.012.000.042</v>
      </c>
      <c r="P948" s="8" t="str">
        <f>formatIP(Table1[[#This Row],[Address B]])</f>
        <v>010.011.009.208</v>
      </c>
      <c r="Q948" s="8" t="str">
        <f>VLOOKUP(Table1[[#This Row],[Address A]],IP_Master[],4,FALSE)</f>
        <v>PPPCAP2</v>
      </c>
      <c r="R948" s="8" t="str">
        <f>VLOOKUP(Table1[[#This Row],[Address B]],IP_Master[],4,FALSE)</f>
        <v>EGX100</v>
      </c>
      <c r="S948" s="8" t="str">
        <f>VLOOKUP(Table1[[#This Row],[Address A]],IP_Master[],2,FALSE)</f>
        <v>Acid Plant</v>
      </c>
      <c r="T948" s="8" t="str">
        <f>VLOOKUP(Table1[[#This Row],[Address B]],IP_Master[],2,FALSE)</f>
        <v>Acid Plant</v>
      </c>
      <c r="U948" s="9" t="str">
        <f>VLOOKUP(Table1[[#This Row],[Address A]],IP_Master[],3,FALSE)</f>
        <v>iFIX Nodes &amp; Ethernet Switches</v>
      </c>
      <c r="V948" s="9" t="str">
        <f>VLOOKUP(Table1[[#This Row],[Address B]],IP_Master[],3,FALSE)</f>
        <v>PLCs &amp; Control Equipment</v>
      </c>
      <c r="W948" s="9" t="str">
        <f>VLOOKUP(Table1[[#This Row],[Port B]],traffic_types[],2,FALSE)</f>
        <v>Modbus</v>
      </c>
    </row>
    <row r="949" spans="1:23" x14ac:dyDescent="0.6">
      <c r="A949" t="s">
        <v>102</v>
      </c>
      <c r="B949">
        <v>4535</v>
      </c>
      <c r="C949" t="s">
        <v>103</v>
      </c>
      <c r="D949">
        <v>502</v>
      </c>
      <c r="E949">
        <v>10</v>
      </c>
      <c r="F949" s="13">
        <v>623</v>
      </c>
      <c r="G949">
        <v>6</v>
      </c>
      <c r="H949">
        <v>368</v>
      </c>
      <c r="I949">
        <v>4</v>
      </c>
      <c r="J949">
        <v>255</v>
      </c>
      <c r="K949">
        <v>749.20437200000003</v>
      </c>
      <c r="L949">
        <v>60.246721999999998</v>
      </c>
      <c r="M949">
        <v>48.8657291595052</v>
      </c>
      <c r="N949">
        <v>33.860763412157098</v>
      </c>
      <c r="O949" s="8" t="str">
        <f>formatIP(Table1[[#This Row],[Address A]])</f>
        <v>010.012.000.042</v>
      </c>
      <c r="P949" s="8" t="str">
        <f>formatIP(Table1[[#This Row],[Address B]])</f>
        <v>010.011.009.208</v>
      </c>
      <c r="Q949" s="8" t="str">
        <f>VLOOKUP(Table1[[#This Row],[Address A]],IP_Master[],4,FALSE)</f>
        <v>PPPCAP2</v>
      </c>
      <c r="R949" s="8" t="str">
        <f>VLOOKUP(Table1[[#This Row],[Address B]],IP_Master[],4,FALSE)</f>
        <v>EGX100</v>
      </c>
      <c r="S949" s="8" t="str">
        <f>VLOOKUP(Table1[[#This Row],[Address A]],IP_Master[],2,FALSE)</f>
        <v>Acid Plant</v>
      </c>
      <c r="T949" s="8" t="str">
        <f>VLOOKUP(Table1[[#This Row],[Address B]],IP_Master[],2,FALSE)</f>
        <v>Acid Plant</v>
      </c>
      <c r="U949" s="9" t="str">
        <f>VLOOKUP(Table1[[#This Row],[Address A]],IP_Master[],3,FALSE)</f>
        <v>iFIX Nodes &amp; Ethernet Switches</v>
      </c>
      <c r="V949" s="9" t="str">
        <f>VLOOKUP(Table1[[#This Row],[Address B]],IP_Master[],3,FALSE)</f>
        <v>PLCs &amp; Control Equipment</v>
      </c>
      <c r="W949" s="9" t="str">
        <f>VLOOKUP(Table1[[#This Row],[Port B]],traffic_types[],2,FALSE)</f>
        <v>Modbus</v>
      </c>
    </row>
    <row r="950" spans="1:23" x14ac:dyDescent="0.6">
      <c r="A950" t="s">
        <v>102</v>
      </c>
      <c r="B950">
        <v>4536</v>
      </c>
      <c r="C950" t="s">
        <v>103</v>
      </c>
      <c r="D950">
        <v>502</v>
      </c>
      <c r="E950">
        <v>10</v>
      </c>
      <c r="F950" s="13">
        <v>627</v>
      </c>
      <c r="G950">
        <v>6</v>
      </c>
      <c r="H950">
        <v>368</v>
      </c>
      <c r="I950">
        <v>4</v>
      </c>
      <c r="J950">
        <v>259</v>
      </c>
      <c r="K950">
        <v>749.20458399999995</v>
      </c>
      <c r="L950">
        <v>60.324705000000002</v>
      </c>
      <c r="M950">
        <v>48.802559415748497</v>
      </c>
      <c r="N950">
        <v>34.347453501844697</v>
      </c>
      <c r="O950" s="8" t="str">
        <f>formatIP(Table1[[#This Row],[Address A]])</f>
        <v>010.012.000.042</v>
      </c>
      <c r="P950" s="8" t="str">
        <f>formatIP(Table1[[#This Row],[Address B]])</f>
        <v>010.011.009.208</v>
      </c>
      <c r="Q950" s="8" t="str">
        <f>VLOOKUP(Table1[[#This Row],[Address A]],IP_Master[],4,FALSE)</f>
        <v>PPPCAP2</v>
      </c>
      <c r="R950" s="8" t="str">
        <f>VLOOKUP(Table1[[#This Row],[Address B]],IP_Master[],4,FALSE)</f>
        <v>EGX100</v>
      </c>
      <c r="S950" s="8" t="str">
        <f>VLOOKUP(Table1[[#This Row],[Address A]],IP_Master[],2,FALSE)</f>
        <v>Acid Plant</v>
      </c>
      <c r="T950" s="8" t="str">
        <f>VLOOKUP(Table1[[#This Row],[Address B]],IP_Master[],2,FALSE)</f>
        <v>Acid Plant</v>
      </c>
      <c r="U950" s="9" t="str">
        <f>VLOOKUP(Table1[[#This Row],[Address A]],IP_Master[],3,FALSE)</f>
        <v>iFIX Nodes &amp; Ethernet Switches</v>
      </c>
      <c r="V950" s="9" t="str">
        <f>VLOOKUP(Table1[[#This Row],[Address B]],IP_Master[],3,FALSE)</f>
        <v>PLCs &amp; Control Equipment</v>
      </c>
      <c r="W950" s="9" t="str">
        <f>VLOOKUP(Table1[[#This Row],[Port B]],traffic_types[],2,FALSE)</f>
        <v>Modbus</v>
      </c>
    </row>
    <row r="951" spans="1:23" x14ac:dyDescent="0.6">
      <c r="A951" t="s">
        <v>102</v>
      </c>
      <c r="B951">
        <v>4537</v>
      </c>
      <c r="C951" t="s">
        <v>103</v>
      </c>
      <c r="D951">
        <v>502</v>
      </c>
      <c r="E951">
        <v>9</v>
      </c>
      <c r="F951" s="13">
        <v>559</v>
      </c>
      <c r="G951">
        <v>6</v>
      </c>
      <c r="H951">
        <v>368</v>
      </c>
      <c r="I951">
        <v>3</v>
      </c>
      <c r="J951">
        <v>191</v>
      </c>
      <c r="K951">
        <v>750.16050600000005</v>
      </c>
      <c r="L951">
        <v>60.069022999999902</v>
      </c>
      <c r="M951">
        <v>49.010286050432398</v>
      </c>
      <c r="N951">
        <v>25.4374039011755</v>
      </c>
      <c r="O951" s="8" t="str">
        <f>formatIP(Table1[[#This Row],[Address A]])</f>
        <v>010.012.000.042</v>
      </c>
      <c r="P951" s="8" t="str">
        <f>formatIP(Table1[[#This Row],[Address B]])</f>
        <v>010.011.009.208</v>
      </c>
      <c r="Q951" s="8" t="str">
        <f>VLOOKUP(Table1[[#This Row],[Address A]],IP_Master[],4,FALSE)</f>
        <v>PPPCAP2</v>
      </c>
      <c r="R951" s="8" t="str">
        <f>VLOOKUP(Table1[[#This Row],[Address B]],IP_Master[],4,FALSE)</f>
        <v>EGX100</v>
      </c>
      <c r="S951" s="8" t="str">
        <f>VLOOKUP(Table1[[#This Row],[Address A]],IP_Master[],2,FALSE)</f>
        <v>Acid Plant</v>
      </c>
      <c r="T951" s="8" t="str">
        <f>VLOOKUP(Table1[[#This Row],[Address B]],IP_Master[],2,FALSE)</f>
        <v>Acid Plant</v>
      </c>
      <c r="U951" s="9" t="str">
        <f>VLOOKUP(Table1[[#This Row],[Address A]],IP_Master[],3,FALSE)</f>
        <v>iFIX Nodes &amp; Ethernet Switches</v>
      </c>
      <c r="V951" s="9" t="str">
        <f>VLOOKUP(Table1[[#This Row],[Address B]],IP_Master[],3,FALSE)</f>
        <v>PLCs &amp; Control Equipment</v>
      </c>
      <c r="W951" s="9" t="str">
        <f>VLOOKUP(Table1[[#This Row],[Port B]],traffic_types[],2,FALSE)</f>
        <v>Modbus</v>
      </c>
    </row>
    <row r="952" spans="1:23" x14ac:dyDescent="0.6">
      <c r="A952" t="s">
        <v>102</v>
      </c>
      <c r="B952">
        <v>4538</v>
      </c>
      <c r="C952" t="s">
        <v>103</v>
      </c>
      <c r="D952">
        <v>502</v>
      </c>
      <c r="E952">
        <v>9</v>
      </c>
      <c r="F952" s="13">
        <v>593</v>
      </c>
      <c r="G952">
        <v>6</v>
      </c>
      <c r="H952">
        <v>368</v>
      </c>
      <c r="I952">
        <v>3</v>
      </c>
      <c r="J952">
        <v>225</v>
      </c>
      <c r="K952">
        <v>750.16077099999995</v>
      </c>
      <c r="L952">
        <v>60.162415000000003</v>
      </c>
      <c r="M952">
        <v>48.934205849283103</v>
      </c>
      <c r="N952">
        <v>29.9190117285019</v>
      </c>
      <c r="O952" s="8" t="str">
        <f>formatIP(Table1[[#This Row],[Address A]])</f>
        <v>010.012.000.042</v>
      </c>
      <c r="P952" s="8" t="str">
        <f>formatIP(Table1[[#This Row],[Address B]])</f>
        <v>010.011.009.208</v>
      </c>
      <c r="Q952" s="8" t="str">
        <f>VLOOKUP(Table1[[#This Row],[Address A]],IP_Master[],4,FALSE)</f>
        <v>PPPCAP2</v>
      </c>
      <c r="R952" s="8" t="str">
        <f>VLOOKUP(Table1[[#This Row],[Address B]],IP_Master[],4,FALSE)</f>
        <v>EGX100</v>
      </c>
      <c r="S952" s="8" t="str">
        <f>VLOOKUP(Table1[[#This Row],[Address A]],IP_Master[],2,FALSE)</f>
        <v>Acid Plant</v>
      </c>
      <c r="T952" s="8" t="str">
        <f>VLOOKUP(Table1[[#This Row],[Address B]],IP_Master[],2,FALSE)</f>
        <v>Acid Plant</v>
      </c>
      <c r="U952" s="9" t="str">
        <f>VLOOKUP(Table1[[#This Row],[Address A]],IP_Master[],3,FALSE)</f>
        <v>iFIX Nodes &amp; Ethernet Switches</v>
      </c>
      <c r="V952" s="9" t="str">
        <f>VLOOKUP(Table1[[#This Row],[Address B]],IP_Master[],3,FALSE)</f>
        <v>PLCs &amp; Control Equipment</v>
      </c>
      <c r="W952" s="9" t="str">
        <f>VLOOKUP(Table1[[#This Row],[Port B]],traffic_types[],2,FALSE)</f>
        <v>Modbus</v>
      </c>
    </row>
    <row r="953" spans="1:23" x14ac:dyDescent="0.6">
      <c r="A953" t="s">
        <v>102</v>
      </c>
      <c r="B953">
        <v>4539</v>
      </c>
      <c r="C953" t="s">
        <v>103</v>
      </c>
      <c r="D953">
        <v>502</v>
      </c>
      <c r="E953">
        <v>10</v>
      </c>
      <c r="F953" s="13">
        <v>623</v>
      </c>
      <c r="G953">
        <v>6</v>
      </c>
      <c r="H953">
        <v>368</v>
      </c>
      <c r="I953">
        <v>4</v>
      </c>
      <c r="J953">
        <v>255</v>
      </c>
      <c r="K953">
        <v>750.16109800000004</v>
      </c>
      <c r="L953">
        <v>60.255831999999899</v>
      </c>
      <c r="M953">
        <v>48.858341214174999</v>
      </c>
      <c r="N953">
        <v>33.855644047865802</v>
      </c>
      <c r="O953" s="8" t="str">
        <f>formatIP(Table1[[#This Row],[Address A]])</f>
        <v>010.012.000.042</v>
      </c>
      <c r="P953" s="8" t="str">
        <f>formatIP(Table1[[#This Row],[Address B]])</f>
        <v>010.011.009.208</v>
      </c>
      <c r="Q953" s="8" t="str">
        <f>VLOOKUP(Table1[[#This Row],[Address A]],IP_Master[],4,FALSE)</f>
        <v>PPPCAP2</v>
      </c>
      <c r="R953" s="8" t="str">
        <f>VLOOKUP(Table1[[#This Row],[Address B]],IP_Master[],4,FALSE)</f>
        <v>EGX100</v>
      </c>
      <c r="S953" s="8" t="str">
        <f>VLOOKUP(Table1[[#This Row],[Address A]],IP_Master[],2,FALSE)</f>
        <v>Acid Plant</v>
      </c>
      <c r="T953" s="8" t="str">
        <f>VLOOKUP(Table1[[#This Row],[Address B]],IP_Master[],2,FALSE)</f>
        <v>Acid Plant</v>
      </c>
      <c r="U953" s="9" t="str">
        <f>VLOOKUP(Table1[[#This Row],[Address A]],IP_Master[],3,FALSE)</f>
        <v>iFIX Nodes &amp; Ethernet Switches</v>
      </c>
      <c r="V953" s="9" t="str">
        <f>VLOOKUP(Table1[[#This Row],[Address B]],IP_Master[],3,FALSE)</f>
        <v>PLCs &amp; Control Equipment</v>
      </c>
      <c r="W953" s="9" t="str">
        <f>VLOOKUP(Table1[[#This Row],[Port B]],traffic_types[],2,FALSE)</f>
        <v>Modbus</v>
      </c>
    </row>
    <row r="954" spans="1:23" x14ac:dyDescent="0.6">
      <c r="A954" t="s">
        <v>102</v>
      </c>
      <c r="B954">
        <v>4540</v>
      </c>
      <c r="C954" t="s">
        <v>103</v>
      </c>
      <c r="D954">
        <v>502</v>
      </c>
      <c r="E954">
        <v>10</v>
      </c>
      <c r="F954" s="13">
        <v>627</v>
      </c>
      <c r="G954">
        <v>6</v>
      </c>
      <c r="H954">
        <v>368</v>
      </c>
      <c r="I954">
        <v>4</v>
      </c>
      <c r="J954">
        <v>259</v>
      </c>
      <c r="K954">
        <v>750.16128400000002</v>
      </c>
      <c r="L954">
        <v>60.333869999999898</v>
      </c>
      <c r="M954">
        <v>48.795146076324997</v>
      </c>
      <c r="N954">
        <v>34.342235961326601</v>
      </c>
      <c r="O954" s="8" t="str">
        <f>formatIP(Table1[[#This Row],[Address A]])</f>
        <v>010.012.000.042</v>
      </c>
      <c r="P954" s="8" t="str">
        <f>formatIP(Table1[[#This Row],[Address B]])</f>
        <v>010.011.009.208</v>
      </c>
      <c r="Q954" s="8" t="str">
        <f>VLOOKUP(Table1[[#This Row],[Address A]],IP_Master[],4,FALSE)</f>
        <v>PPPCAP2</v>
      </c>
      <c r="R954" s="8" t="str">
        <f>VLOOKUP(Table1[[#This Row],[Address B]],IP_Master[],4,FALSE)</f>
        <v>EGX100</v>
      </c>
      <c r="S954" s="8" t="str">
        <f>VLOOKUP(Table1[[#This Row],[Address A]],IP_Master[],2,FALSE)</f>
        <v>Acid Plant</v>
      </c>
      <c r="T954" s="8" t="str">
        <f>VLOOKUP(Table1[[#This Row],[Address B]],IP_Master[],2,FALSE)</f>
        <v>Acid Plant</v>
      </c>
      <c r="U954" s="9" t="str">
        <f>VLOOKUP(Table1[[#This Row],[Address A]],IP_Master[],3,FALSE)</f>
        <v>iFIX Nodes &amp; Ethernet Switches</v>
      </c>
      <c r="V954" s="9" t="str">
        <f>VLOOKUP(Table1[[#This Row],[Address B]],IP_Master[],3,FALSE)</f>
        <v>PLCs &amp; Control Equipment</v>
      </c>
      <c r="W954" s="9" t="str">
        <f>VLOOKUP(Table1[[#This Row],[Port B]],traffic_types[],2,FALSE)</f>
        <v>Modbus</v>
      </c>
    </row>
    <row r="955" spans="1:23" x14ac:dyDescent="0.6">
      <c r="A955" t="s">
        <v>102</v>
      </c>
      <c r="B955">
        <v>4541</v>
      </c>
      <c r="C955" t="s">
        <v>103</v>
      </c>
      <c r="D955">
        <v>502</v>
      </c>
      <c r="E955">
        <v>17</v>
      </c>
      <c r="F955" s="13">
        <v>1136</v>
      </c>
      <c r="G955">
        <v>9</v>
      </c>
      <c r="H955">
        <v>566</v>
      </c>
      <c r="I955">
        <v>8</v>
      </c>
      <c r="J955">
        <v>570</v>
      </c>
      <c r="K955">
        <v>750.16161099999999</v>
      </c>
      <c r="L955">
        <v>61.192984000000003</v>
      </c>
      <c r="M955">
        <v>73.995410977180001</v>
      </c>
      <c r="N955">
        <v>74.518346743803093</v>
      </c>
      <c r="O955" s="8" t="str">
        <f>formatIP(Table1[[#This Row],[Address A]])</f>
        <v>010.012.000.042</v>
      </c>
      <c r="P955" s="8" t="str">
        <f>formatIP(Table1[[#This Row],[Address B]])</f>
        <v>010.011.009.208</v>
      </c>
      <c r="Q955" s="8" t="str">
        <f>VLOOKUP(Table1[[#This Row],[Address A]],IP_Master[],4,FALSE)</f>
        <v>PPPCAP2</v>
      </c>
      <c r="R955" s="8" t="str">
        <f>VLOOKUP(Table1[[#This Row],[Address B]],IP_Master[],4,FALSE)</f>
        <v>EGX100</v>
      </c>
      <c r="S955" s="8" t="str">
        <f>VLOOKUP(Table1[[#This Row],[Address A]],IP_Master[],2,FALSE)</f>
        <v>Acid Plant</v>
      </c>
      <c r="T955" s="8" t="str">
        <f>VLOOKUP(Table1[[#This Row],[Address B]],IP_Master[],2,FALSE)</f>
        <v>Acid Plant</v>
      </c>
      <c r="U955" s="9" t="str">
        <f>VLOOKUP(Table1[[#This Row],[Address A]],IP_Master[],3,FALSE)</f>
        <v>iFIX Nodes &amp; Ethernet Switches</v>
      </c>
      <c r="V955" s="9" t="str">
        <f>VLOOKUP(Table1[[#This Row],[Address B]],IP_Master[],3,FALSE)</f>
        <v>PLCs &amp; Control Equipment</v>
      </c>
      <c r="W955" s="9" t="str">
        <f>VLOOKUP(Table1[[#This Row],[Port B]],traffic_types[],2,FALSE)</f>
        <v>Modbus</v>
      </c>
    </row>
    <row r="956" spans="1:23" x14ac:dyDescent="0.6">
      <c r="A956" t="s">
        <v>102</v>
      </c>
      <c r="B956">
        <v>4542</v>
      </c>
      <c r="C956" t="s">
        <v>103</v>
      </c>
      <c r="D956">
        <v>502</v>
      </c>
      <c r="E956">
        <v>9</v>
      </c>
      <c r="F956" s="13">
        <v>544</v>
      </c>
      <c r="G956">
        <v>6</v>
      </c>
      <c r="H956">
        <v>364</v>
      </c>
      <c r="I956">
        <v>3</v>
      </c>
      <c r="J956">
        <v>180</v>
      </c>
      <c r="K956">
        <v>750.16186500000003</v>
      </c>
      <c r="L956">
        <v>62.880157999999902</v>
      </c>
      <c r="M956">
        <v>46.310316204994301</v>
      </c>
      <c r="N956">
        <v>22.900705815656501</v>
      </c>
      <c r="O956" s="8" t="str">
        <f>formatIP(Table1[[#This Row],[Address A]])</f>
        <v>010.012.000.042</v>
      </c>
      <c r="P956" s="8" t="str">
        <f>formatIP(Table1[[#This Row],[Address B]])</f>
        <v>010.011.009.208</v>
      </c>
      <c r="Q956" s="8" t="str">
        <f>VLOOKUP(Table1[[#This Row],[Address A]],IP_Master[],4,FALSE)</f>
        <v>PPPCAP2</v>
      </c>
      <c r="R956" s="8" t="str">
        <f>VLOOKUP(Table1[[#This Row],[Address B]],IP_Master[],4,FALSE)</f>
        <v>EGX100</v>
      </c>
      <c r="S956" s="8" t="str">
        <f>VLOOKUP(Table1[[#This Row],[Address A]],IP_Master[],2,FALSE)</f>
        <v>Acid Plant</v>
      </c>
      <c r="T956" s="8" t="str">
        <f>VLOOKUP(Table1[[#This Row],[Address B]],IP_Master[],2,FALSE)</f>
        <v>Acid Plant</v>
      </c>
      <c r="U956" s="9" t="str">
        <f>VLOOKUP(Table1[[#This Row],[Address A]],IP_Master[],3,FALSE)</f>
        <v>iFIX Nodes &amp; Ethernet Switches</v>
      </c>
      <c r="V956" s="9" t="str">
        <f>VLOOKUP(Table1[[#This Row],[Address B]],IP_Master[],3,FALSE)</f>
        <v>PLCs &amp; Control Equipment</v>
      </c>
      <c r="W956" s="9" t="str">
        <f>VLOOKUP(Table1[[#This Row],[Port B]],traffic_types[],2,FALSE)</f>
        <v>Modbus</v>
      </c>
    </row>
    <row r="957" spans="1:23" x14ac:dyDescent="0.6">
      <c r="A957" t="s">
        <v>102</v>
      </c>
      <c r="B957">
        <v>4543</v>
      </c>
      <c r="C957" t="s">
        <v>103</v>
      </c>
      <c r="D957">
        <v>502</v>
      </c>
      <c r="E957">
        <v>10</v>
      </c>
      <c r="F957" s="13">
        <v>613</v>
      </c>
      <c r="G957">
        <v>6</v>
      </c>
      <c r="H957">
        <v>368</v>
      </c>
      <c r="I957">
        <v>4</v>
      </c>
      <c r="J957">
        <v>245</v>
      </c>
      <c r="K957">
        <v>750.19359499999996</v>
      </c>
      <c r="L957">
        <v>60.467576000000001</v>
      </c>
      <c r="M957">
        <v>48.687250171893801</v>
      </c>
      <c r="N957">
        <v>32.414066011179301</v>
      </c>
      <c r="O957" s="8" t="str">
        <f>formatIP(Table1[[#This Row],[Address A]])</f>
        <v>010.012.000.042</v>
      </c>
      <c r="P957" s="8" t="str">
        <f>formatIP(Table1[[#This Row],[Address B]])</f>
        <v>010.011.009.208</v>
      </c>
      <c r="Q957" s="8" t="str">
        <f>VLOOKUP(Table1[[#This Row],[Address A]],IP_Master[],4,FALSE)</f>
        <v>PPPCAP2</v>
      </c>
      <c r="R957" s="8" t="str">
        <f>VLOOKUP(Table1[[#This Row],[Address B]],IP_Master[],4,FALSE)</f>
        <v>EGX100</v>
      </c>
      <c r="S957" s="8" t="str">
        <f>VLOOKUP(Table1[[#This Row],[Address A]],IP_Master[],2,FALSE)</f>
        <v>Acid Plant</v>
      </c>
      <c r="T957" s="8" t="str">
        <f>VLOOKUP(Table1[[#This Row],[Address B]],IP_Master[],2,FALSE)</f>
        <v>Acid Plant</v>
      </c>
      <c r="U957" s="9" t="str">
        <f>VLOOKUP(Table1[[#This Row],[Address A]],IP_Master[],3,FALSE)</f>
        <v>iFIX Nodes &amp; Ethernet Switches</v>
      </c>
      <c r="V957" s="9" t="str">
        <f>VLOOKUP(Table1[[#This Row],[Address B]],IP_Master[],3,FALSE)</f>
        <v>PLCs &amp; Control Equipment</v>
      </c>
      <c r="W957" s="9" t="str">
        <f>VLOOKUP(Table1[[#This Row],[Port B]],traffic_types[],2,FALSE)</f>
        <v>Modbus</v>
      </c>
    </row>
    <row r="958" spans="1:23" x14ac:dyDescent="0.6">
      <c r="A958" t="s">
        <v>102</v>
      </c>
      <c r="B958">
        <v>4544</v>
      </c>
      <c r="C958" t="s">
        <v>103</v>
      </c>
      <c r="D958">
        <v>502</v>
      </c>
      <c r="E958">
        <v>10</v>
      </c>
      <c r="F958" s="13">
        <v>645</v>
      </c>
      <c r="G958">
        <v>6</v>
      </c>
      <c r="H958">
        <v>368</v>
      </c>
      <c r="I958">
        <v>4</v>
      </c>
      <c r="J958">
        <v>277</v>
      </c>
      <c r="K958">
        <v>750.19383100000005</v>
      </c>
      <c r="L958">
        <v>60.561070999999998</v>
      </c>
      <c r="M958">
        <v>48.612086136983997</v>
      </c>
      <c r="N958">
        <v>36.591162662892799</v>
      </c>
      <c r="O958" s="8" t="str">
        <f>formatIP(Table1[[#This Row],[Address A]])</f>
        <v>010.012.000.042</v>
      </c>
      <c r="P958" s="8" t="str">
        <f>formatIP(Table1[[#This Row],[Address B]])</f>
        <v>010.011.009.208</v>
      </c>
      <c r="Q958" s="8" t="str">
        <f>VLOOKUP(Table1[[#This Row],[Address A]],IP_Master[],4,FALSE)</f>
        <v>PPPCAP2</v>
      </c>
      <c r="R958" s="8" t="str">
        <f>VLOOKUP(Table1[[#This Row],[Address B]],IP_Master[],4,FALSE)</f>
        <v>EGX100</v>
      </c>
      <c r="S958" s="8" t="str">
        <f>VLOOKUP(Table1[[#This Row],[Address A]],IP_Master[],2,FALSE)</f>
        <v>Acid Plant</v>
      </c>
      <c r="T958" s="8" t="str">
        <f>VLOOKUP(Table1[[#This Row],[Address B]],IP_Master[],2,FALSE)</f>
        <v>Acid Plant</v>
      </c>
      <c r="U958" s="9" t="str">
        <f>VLOOKUP(Table1[[#This Row],[Address A]],IP_Master[],3,FALSE)</f>
        <v>iFIX Nodes &amp; Ethernet Switches</v>
      </c>
      <c r="V958" s="9" t="str">
        <f>VLOOKUP(Table1[[#This Row],[Address B]],IP_Master[],3,FALSE)</f>
        <v>PLCs &amp; Control Equipment</v>
      </c>
      <c r="W958" s="9" t="str">
        <f>VLOOKUP(Table1[[#This Row],[Port B]],traffic_types[],2,FALSE)</f>
        <v>Modbus</v>
      </c>
    </row>
    <row r="959" spans="1:23" x14ac:dyDescent="0.6">
      <c r="A959" t="s">
        <v>102</v>
      </c>
      <c r="B959">
        <v>4545</v>
      </c>
      <c r="C959" t="s">
        <v>103</v>
      </c>
      <c r="D959">
        <v>502</v>
      </c>
      <c r="E959">
        <v>10</v>
      </c>
      <c r="F959" s="13">
        <v>635</v>
      </c>
      <c r="G959">
        <v>6</v>
      </c>
      <c r="H959">
        <v>368</v>
      </c>
      <c r="I959">
        <v>4</v>
      </c>
      <c r="J959">
        <v>267</v>
      </c>
      <c r="K959">
        <v>750.19406300000003</v>
      </c>
      <c r="L959">
        <v>60.654656999999901</v>
      </c>
      <c r="M959">
        <v>48.537081002700297</v>
      </c>
      <c r="N959">
        <v>35.215762575328803</v>
      </c>
      <c r="O959" s="8" t="str">
        <f>formatIP(Table1[[#This Row],[Address A]])</f>
        <v>010.012.000.042</v>
      </c>
      <c r="P959" s="8" t="str">
        <f>formatIP(Table1[[#This Row],[Address B]])</f>
        <v>010.011.009.208</v>
      </c>
      <c r="Q959" s="8" t="str">
        <f>VLOOKUP(Table1[[#This Row],[Address A]],IP_Master[],4,FALSE)</f>
        <v>PPPCAP2</v>
      </c>
      <c r="R959" s="8" t="str">
        <f>VLOOKUP(Table1[[#This Row],[Address B]],IP_Master[],4,FALSE)</f>
        <v>EGX100</v>
      </c>
      <c r="S959" s="8" t="str">
        <f>VLOOKUP(Table1[[#This Row],[Address A]],IP_Master[],2,FALSE)</f>
        <v>Acid Plant</v>
      </c>
      <c r="T959" s="8" t="str">
        <f>VLOOKUP(Table1[[#This Row],[Address B]],IP_Master[],2,FALSE)</f>
        <v>Acid Plant</v>
      </c>
      <c r="U959" s="9" t="str">
        <f>VLOOKUP(Table1[[#This Row],[Address A]],IP_Master[],3,FALSE)</f>
        <v>iFIX Nodes &amp; Ethernet Switches</v>
      </c>
      <c r="V959" s="9" t="str">
        <f>VLOOKUP(Table1[[#This Row],[Address B]],IP_Master[],3,FALSE)</f>
        <v>PLCs &amp; Control Equipment</v>
      </c>
      <c r="W959" s="9" t="str">
        <f>VLOOKUP(Table1[[#This Row],[Port B]],traffic_types[],2,FALSE)</f>
        <v>Modbus</v>
      </c>
    </row>
    <row r="960" spans="1:23" x14ac:dyDescent="0.6">
      <c r="A960" t="s">
        <v>102</v>
      </c>
      <c r="B960">
        <v>4546</v>
      </c>
      <c r="C960" t="s">
        <v>103</v>
      </c>
      <c r="D960">
        <v>502</v>
      </c>
      <c r="E960">
        <v>10</v>
      </c>
      <c r="F960" s="13">
        <v>619</v>
      </c>
      <c r="G960">
        <v>6</v>
      </c>
      <c r="H960">
        <v>368</v>
      </c>
      <c r="I960">
        <v>4</v>
      </c>
      <c r="J960">
        <v>251</v>
      </c>
      <c r="K960">
        <v>750.19436299999995</v>
      </c>
      <c r="L960">
        <v>60.732391</v>
      </c>
      <c r="M960">
        <v>48.474956304618402</v>
      </c>
      <c r="N960">
        <v>33.063081609943502</v>
      </c>
      <c r="O960" s="8" t="str">
        <f>formatIP(Table1[[#This Row],[Address A]])</f>
        <v>010.012.000.042</v>
      </c>
      <c r="P960" s="8" t="str">
        <f>formatIP(Table1[[#This Row],[Address B]])</f>
        <v>010.011.009.208</v>
      </c>
      <c r="Q960" s="8" t="str">
        <f>VLOOKUP(Table1[[#This Row],[Address A]],IP_Master[],4,FALSE)</f>
        <v>PPPCAP2</v>
      </c>
      <c r="R960" s="8" t="str">
        <f>VLOOKUP(Table1[[#This Row],[Address B]],IP_Master[],4,FALSE)</f>
        <v>EGX100</v>
      </c>
      <c r="S960" s="8" t="str">
        <f>VLOOKUP(Table1[[#This Row],[Address A]],IP_Master[],2,FALSE)</f>
        <v>Acid Plant</v>
      </c>
      <c r="T960" s="8" t="str">
        <f>VLOOKUP(Table1[[#This Row],[Address B]],IP_Master[],2,FALSE)</f>
        <v>Acid Plant</v>
      </c>
      <c r="U960" s="9" t="str">
        <f>VLOOKUP(Table1[[#This Row],[Address A]],IP_Master[],3,FALSE)</f>
        <v>iFIX Nodes &amp; Ethernet Switches</v>
      </c>
      <c r="V960" s="9" t="str">
        <f>VLOOKUP(Table1[[#This Row],[Address B]],IP_Master[],3,FALSE)</f>
        <v>PLCs &amp; Control Equipment</v>
      </c>
      <c r="W960" s="9" t="str">
        <f>VLOOKUP(Table1[[#This Row],[Port B]],traffic_types[],2,FALSE)</f>
        <v>Modbus</v>
      </c>
    </row>
    <row r="961" spans="1:23" x14ac:dyDescent="0.6">
      <c r="A961" t="s">
        <v>102</v>
      </c>
      <c r="B961">
        <v>4547</v>
      </c>
      <c r="C961" t="s">
        <v>103</v>
      </c>
      <c r="D961">
        <v>502</v>
      </c>
      <c r="E961">
        <v>9</v>
      </c>
      <c r="F961" s="13">
        <v>559</v>
      </c>
      <c r="G961">
        <v>6</v>
      </c>
      <c r="H961">
        <v>368</v>
      </c>
      <c r="I961">
        <v>3</v>
      </c>
      <c r="J961">
        <v>191</v>
      </c>
      <c r="K961">
        <v>831.28531999999996</v>
      </c>
      <c r="L961">
        <v>60.059170000000002</v>
      </c>
      <c r="M961">
        <v>49.018326427088503</v>
      </c>
      <c r="N961">
        <v>25.441577031450802</v>
      </c>
      <c r="O961" s="8" t="str">
        <f>formatIP(Table1[[#This Row],[Address A]])</f>
        <v>010.012.000.042</v>
      </c>
      <c r="P961" s="8" t="str">
        <f>formatIP(Table1[[#This Row],[Address B]])</f>
        <v>010.011.009.208</v>
      </c>
      <c r="Q961" s="8" t="str">
        <f>VLOOKUP(Table1[[#This Row],[Address A]],IP_Master[],4,FALSE)</f>
        <v>PPPCAP2</v>
      </c>
      <c r="R961" s="8" t="str">
        <f>VLOOKUP(Table1[[#This Row],[Address B]],IP_Master[],4,FALSE)</f>
        <v>EGX100</v>
      </c>
      <c r="S961" s="8" t="str">
        <f>VLOOKUP(Table1[[#This Row],[Address A]],IP_Master[],2,FALSE)</f>
        <v>Acid Plant</v>
      </c>
      <c r="T961" s="8" t="str">
        <f>VLOOKUP(Table1[[#This Row],[Address B]],IP_Master[],2,FALSE)</f>
        <v>Acid Plant</v>
      </c>
      <c r="U961" s="9" t="str">
        <f>VLOOKUP(Table1[[#This Row],[Address A]],IP_Master[],3,FALSE)</f>
        <v>iFIX Nodes &amp; Ethernet Switches</v>
      </c>
      <c r="V961" s="9" t="str">
        <f>VLOOKUP(Table1[[#This Row],[Address B]],IP_Master[],3,FALSE)</f>
        <v>PLCs &amp; Control Equipment</v>
      </c>
      <c r="W961" s="9" t="str">
        <f>VLOOKUP(Table1[[#This Row],[Port B]],traffic_types[],2,FALSE)</f>
        <v>Modbus</v>
      </c>
    </row>
    <row r="962" spans="1:23" x14ac:dyDescent="0.6">
      <c r="A962" t="s">
        <v>102</v>
      </c>
      <c r="B962">
        <v>4548</v>
      </c>
      <c r="C962" t="s">
        <v>103</v>
      </c>
      <c r="D962">
        <v>502</v>
      </c>
      <c r="E962">
        <v>9</v>
      </c>
      <c r="F962" s="13">
        <v>593</v>
      </c>
      <c r="G962">
        <v>6</v>
      </c>
      <c r="H962">
        <v>368</v>
      </c>
      <c r="I962">
        <v>3</v>
      </c>
      <c r="J962">
        <v>225</v>
      </c>
      <c r="K962">
        <v>831.28557799999999</v>
      </c>
      <c r="L962">
        <v>60.168216000000001</v>
      </c>
      <c r="M962">
        <v>48.929487954238098</v>
      </c>
      <c r="N962">
        <v>29.916127145933601</v>
      </c>
      <c r="O962" s="8" t="str">
        <f>formatIP(Table1[[#This Row],[Address A]])</f>
        <v>010.012.000.042</v>
      </c>
      <c r="P962" s="8" t="str">
        <f>formatIP(Table1[[#This Row],[Address B]])</f>
        <v>010.011.009.208</v>
      </c>
      <c r="Q962" s="8" t="str">
        <f>VLOOKUP(Table1[[#This Row],[Address A]],IP_Master[],4,FALSE)</f>
        <v>PPPCAP2</v>
      </c>
      <c r="R962" s="8" t="str">
        <f>VLOOKUP(Table1[[#This Row],[Address B]],IP_Master[],4,FALSE)</f>
        <v>EGX100</v>
      </c>
      <c r="S962" s="8" t="str">
        <f>VLOOKUP(Table1[[#This Row],[Address A]],IP_Master[],2,FALSE)</f>
        <v>Acid Plant</v>
      </c>
      <c r="T962" s="8" t="str">
        <f>VLOOKUP(Table1[[#This Row],[Address B]],IP_Master[],2,FALSE)</f>
        <v>Acid Plant</v>
      </c>
      <c r="U962" s="9" t="str">
        <f>VLOOKUP(Table1[[#This Row],[Address A]],IP_Master[],3,FALSE)</f>
        <v>iFIX Nodes &amp; Ethernet Switches</v>
      </c>
      <c r="V962" s="9" t="str">
        <f>VLOOKUP(Table1[[#This Row],[Address B]],IP_Master[],3,FALSE)</f>
        <v>PLCs &amp; Control Equipment</v>
      </c>
      <c r="W962" s="9" t="str">
        <f>VLOOKUP(Table1[[#This Row],[Port B]],traffic_types[],2,FALSE)</f>
        <v>Modbus</v>
      </c>
    </row>
    <row r="963" spans="1:23" x14ac:dyDescent="0.6">
      <c r="A963" t="s">
        <v>102</v>
      </c>
      <c r="B963">
        <v>4549</v>
      </c>
      <c r="C963" t="s">
        <v>103</v>
      </c>
      <c r="D963">
        <v>502</v>
      </c>
      <c r="E963">
        <v>10</v>
      </c>
      <c r="F963" s="13">
        <v>623</v>
      </c>
      <c r="G963">
        <v>6</v>
      </c>
      <c r="H963">
        <v>368</v>
      </c>
      <c r="I963">
        <v>4</v>
      </c>
      <c r="J963">
        <v>255</v>
      </c>
      <c r="K963">
        <v>831.28586299999995</v>
      </c>
      <c r="L963">
        <v>60.2459980000001</v>
      </c>
      <c r="M963">
        <v>48.866316398310701</v>
      </c>
      <c r="N963">
        <v>33.8611703303512</v>
      </c>
      <c r="O963" s="8" t="str">
        <f>formatIP(Table1[[#This Row],[Address A]])</f>
        <v>010.012.000.042</v>
      </c>
      <c r="P963" s="8" t="str">
        <f>formatIP(Table1[[#This Row],[Address B]])</f>
        <v>010.011.009.208</v>
      </c>
      <c r="Q963" s="8" t="str">
        <f>VLOOKUP(Table1[[#This Row],[Address A]],IP_Master[],4,FALSE)</f>
        <v>PPPCAP2</v>
      </c>
      <c r="R963" s="8" t="str">
        <f>VLOOKUP(Table1[[#This Row],[Address B]],IP_Master[],4,FALSE)</f>
        <v>EGX100</v>
      </c>
      <c r="S963" s="8" t="str">
        <f>VLOOKUP(Table1[[#This Row],[Address A]],IP_Master[],2,FALSE)</f>
        <v>Acid Plant</v>
      </c>
      <c r="T963" s="8" t="str">
        <f>VLOOKUP(Table1[[#This Row],[Address B]],IP_Master[],2,FALSE)</f>
        <v>Acid Plant</v>
      </c>
      <c r="U963" s="9" t="str">
        <f>VLOOKUP(Table1[[#This Row],[Address A]],IP_Master[],3,FALSE)</f>
        <v>iFIX Nodes &amp; Ethernet Switches</v>
      </c>
      <c r="V963" s="9" t="str">
        <f>VLOOKUP(Table1[[#This Row],[Address B]],IP_Master[],3,FALSE)</f>
        <v>PLCs &amp; Control Equipment</v>
      </c>
      <c r="W963" s="9" t="str">
        <f>VLOOKUP(Table1[[#This Row],[Port B]],traffic_types[],2,FALSE)</f>
        <v>Modbus</v>
      </c>
    </row>
    <row r="964" spans="1:23" x14ac:dyDescent="0.6">
      <c r="A964" t="s">
        <v>102</v>
      </c>
      <c r="B964">
        <v>4550</v>
      </c>
      <c r="C964" t="s">
        <v>103</v>
      </c>
      <c r="D964">
        <v>502</v>
      </c>
      <c r="E964">
        <v>10</v>
      </c>
      <c r="F964" s="13">
        <v>627</v>
      </c>
      <c r="G964">
        <v>6</v>
      </c>
      <c r="H964">
        <v>368</v>
      </c>
      <c r="I964">
        <v>4</v>
      </c>
      <c r="J964">
        <v>259</v>
      </c>
      <c r="K964">
        <v>831.28615000000002</v>
      </c>
      <c r="L964">
        <v>60.324033999999997</v>
      </c>
      <c r="M964">
        <v>48.803102259374803</v>
      </c>
      <c r="N964">
        <v>34.347835557549097</v>
      </c>
      <c r="O964" s="8" t="str">
        <f>formatIP(Table1[[#This Row],[Address A]])</f>
        <v>010.012.000.042</v>
      </c>
      <c r="P964" s="8" t="str">
        <f>formatIP(Table1[[#This Row],[Address B]])</f>
        <v>010.011.009.208</v>
      </c>
      <c r="Q964" s="8" t="str">
        <f>VLOOKUP(Table1[[#This Row],[Address A]],IP_Master[],4,FALSE)</f>
        <v>PPPCAP2</v>
      </c>
      <c r="R964" s="8" t="str">
        <f>VLOOKUP(Table1[[#This Row],[Address B]],IP_Master[],4,FALSE)</f>
        <v>EGX100</v>
      </c>
      <c r="S964" s="8" t="str">
        <f>VLOOKUP(Table1[[#This Row],[Address A]],IP_Master[],2,FALSE)</f>
        <v>Acid Plant</v>
      </c>
      <c r="T964" s="8" t="str">
        <f>VLOOKUP(Table1[[#This Row],[Address B]],IP_Master[],2,FALSE)</f>
        <v>Acid Plant</v>
      </c>
      <c r="U964" s="9" t="str">
        <f>VLOOKUP(Table1[[#This Row],[Address A]],IP_Master[],3,FALSE)</f>
        <v>iFIX Nodes &amp; Ethernet Switches</v>
      </c>
      <c r="V964" s="9" t="str">
        <f>VLOOKUP(Table1[[#This Row],[Address B]],IP_Master[],3,FALSE)</f>
        <v>PLCs &amp; Control Equipment</v>
      </c>
      <c r="W964" s="9" t="str">
        <f>VLOOKUP(Table1[[#This Row],[Port B]],traffic_types[],2,FALSE)</f>
        <v>Modbus</v>
      </c>
    </row>
    <row r="965" spans="1:23" x14ac:dyDescent="0.6">
      <c r="A965" t="s">
        <v>102</v>
      </c>
      <c r="B965">
        <v>4551</v>
      </c>
      <c r="C965" t="s">
        <v>103</v>
      </c>
      <c r="D965">
        <v>502</v>
      </c>
      <c r="E965">
        <v>9</v>
      </c>
      <c r="F965" s="13">
        <v>559</v>
      </c>
      <c r="G965">
        <v>6</v>
      </c>
      <c r="H965">
        <v>368</v>
      </c>
      <c r="I965">
        <v>3</v>
      </c>
      <c r="J965">
        <v>191</v>
      </c>
      <c r="K965">
        <v>834.31563000000006</v>
      </c>
      <c r="L965">
        <v>60.046459999999897</v>
      </c>
      <c r="M965">
        <v>49.028702108334201</v>
      </c>
      <c r="N965">
        <v>25.446962235575601</v>
      </c>
      <c r="O965" s="8" t="str">
        <f>formatIP(Table1[[#This Row],[Address A]])</f>
        <v>010.012.000.042</v>
      </c>
      <c r="P965" s="8" t="str">
        <f>formatIP(Table1[[#This Row],[Address B]])</f>
        <v>010.011.009.208</v>
      </c>
      <c r="Q965" s="8" t="str">
        <f>VLOOKUP(Table1[[#This Row],[Address A]],IP_Master[],4,FALSE)</f>
        <v>PPPCAP2</v>
      </c>
      <c r="R965" s="8" t="str">
        <f>VLOOKUP(Table1[[#This Row],[Address B]],IP_Master[],4,FALSE)</f>
        <v>EGX100</v>
      </c>
      <c r="S965" s="8" t="str">
        <f>VLOOKUP(Table1[[#This Row],[Address A]],IP_Master[],2,FALSE)</f>
        <v>Acid Plant</v>
      </c>
      <c r="T965" s="8" t="str">
        <f>VLOOKUP(Table1[[#This Row],[Address B]],IP_Master[],2,FALSE)</f>
        <v>Acid Plant</v>
      </c>
      <c r="U965" s="9" t="str">
        <f>VLOOKUP(Table1[[#This Row],[Address A]],IP_Master[],3,FALSE)</f>
        <v>iFIX Nodes &amp; Ethernet Switches</v>
      </c>
      <c r="V965" s="9" t="str">
        <f>VLOOKUP(Table1[[#This Row],[Address B]],IP_Master[],3,FALSE)</f>
        <v>PLCs &amp; Control Equipment</v>
      </c>
      <c r="W965" s="9" t="str">
        <f>VLOOKUP(Table1[[#This Row],[Port B]],traffic_types[],2,FALSE)</f>
        <v>Modbus</v>
      </c>
    </row>
    <row r="966" spans="1:23" x14ac:dyDescent="0.6">
      <c r="A966" t="s">
        <v>102</v>
      </c>
      <c r="B966">
        <v>4552</v>
      </c>
      <c r="C966" t="s">
        <v>103</v>
      </c>
      <c r="D966">
        <v>502</v>
      </c>
      <c r="E966">
        <v>9</v>
      </c>
      <c r="F966" s="13">
        <v>593</v>
      </c>
      <c r="G966">
        <v>6</v>
      </c>
      <c r="H966">
        <v>368</v>
      </c>
      <c r="I966">
        <v>3</v>
      </c>
      <c r="J966">
        <v>225</v>
      </c>
      <c r="K966">
        <v>834.31579999999997</v>
      </c>
      <c r="L966">
        <v>60.155647000000002</v>
      </c>
      <c r="M966">
        <v>48.9397113458026</v>
      </c>
      <c r="N966">
        <v>29.922377860884801</v>
      </c>
      <c r="O966" s="8" t="str">
        <f>formatIP(Table1[[#This Row],[Address A]])</f>
        <v>010.012.000.042</v>
      </c>
      <c r="P966" s="8" t="str">
        <f>formatIP(Table1[[#This Row],[Address B]])</f>
        <v>010.011.009.208</v>
      </c>
      <c r="Q966" s="8" t="str">
        <f>VLOOKUP(Table1[[#This Row],[Address A]],IP_Master[],4,FALSE)</f>
        <v>PPPCAP2</v>
      </c>
      <c r="R966" s="8" t="str">
        <f>VLOOKUP(Table1[[#This Row],[Address B]],IP_Master[],4,FALSE)</f>
        <v>EGX100</v>
      </c>
      <c r="S966" s="8" t="str">
        <f>VLOOKUP(Table1[[#This Row],[Address A]],IP_Master[],2,FALSE)</f>
        <v>Acid Plant</v>
      </c>
      <c r="T966" s="8" t="str">
        <f>VLOOKUP(Table1[[#This Row],[Address B]],IP_Master[],2,FALSE)</f>
        <v>Acid Plant</v>
      </c>
      <c r="U966" s="9" t="str">
        <f>VLOOKUP(Table1[[#This Row],[Address A]],IP_Master[],3,FALSE)</f>
        <v>iFIX Nodes &amp; Ethernet Switches</v>
      </c>
      <c r="V966" s="9" t="str">
        <f>VLOOKUP(Table1[[#This Row],[Address B]],IP_Master[],3,FALSE)</f>
        <v>PLCs &amp; Control Equipment</v>
      </c>
      <c r="W966" s="9" t="str">
        <f>VLOOKUP(Table1[[#This Row],[Port B]],traffic_types[],2,FALSE)</f>
        <v>Modbus</v>
      </c>
    </row>
    <row r="967" spans="1:23" x14ac:dyDescent="0.6">
      <c r="A967" t="s">
        <v>102</v>
      </c>
      <c r="B967">
        <v>4553</v>
      </c>
      <c r="C967" t="s">
        <v>103</v>
      </c>
      <c r="D967">
        <v>502</v>
      </c>
      <c r="E967">
        <v>10</v>
      </c>
      <c r="F967" s="13">
        <v>623</v>
      </c>
      <c r="G967">
        <v>6</v>
      </c>
      <c r="H967">
        <v>368</v>
      </c>
      <c r="I967">
        <v>4</v>
      </c>
      <c r="J967">
        <v>255</v>
      </c>
      <c r="K967">
        <v>834.31607199999996</v>
      </c>
      <c r="L967">
        <v>60.249141000000002</v>
      </c>
      <c r="M967">
        <v>48.863767202921601</v>
      </c>
      <c r="N967">
        <v>33.859403904198402</v>
      </c>
      <c r="O967" s="8" t="str">
        <f>formatIP(Table1[[#This Row],[Address A]])</f>
        <v>010.012.000.042</v>
      </c>
      <c r="P967" s="8" t="str">
        <f>formatIP(Table1[[#This Row],[Address B]])</f>
        <v>010.011.009.208</v>
      </c>
      <c r="Q967" s="8" t="str">
        <f>VLOOKUP(Table1[[#This Row],[Address A]],IP_Master[],4,FALSE)</f>
        <v>PPPCAP2</v>
      </c>
      <c r="R967" s="8" t="str">
        <f>VLOOKUP(Table1[[#This Row],[Address B]],IP_Master[],4,FALSE)</f>
        <v>EGX100</v>
      </c>
      <c r="S967" s="8" t="str">
        <f>VLOOKUP(Table1[[#This Row],[Address A]],IP_Master[],2,FALSE)</f>
        <v>Acid Plant</v>
      </c>
      <c r="T967" s="8" t="str">
        <f>VLOOKUP(Table1[[#This Row],[Address B]],IP_Master[],2,FALSE)</f>
        <v>Acid Plant</v>
      </c>
      <c r="U967" s="9" t="str">
        <f>VLOOKUP(Table1[[#This Row],[Address A]],IP_Master[],3,FALSE)</f>
        <v>iFIX Nodes &amp; Ethernet Switches</v>
      </c>
      <c r="V967" s="9" t="str">
        <f>VLOOKUP(Table1[[#This Row],[Address B]],IP_Master[],3,FALSE)</f>
        <v>PLCs &amp; Control Equipment</v>
      </c>
      <c r="W967" s="9" t="str">
        <f>VLOOKUP(Table1[[#This Row],[Port B]],traffic_types[],2,FALSE)</f>
        <v>Modbus</v>
      </c>
    </row>
    <row r="968" spans="1:23" x14ac:dyDescent="0.6">
      <c r="A968" t="s">
        <v>102</v>
      </c>
      <c r="B968">
        <v>4554</v>
      </c>
      <c r="C968" t="s">
        <v>103</v>
      </c>
      <c r="D968">
        <v>502</v>
      </c>
      <c r="E968">
        <v>10</v>
      </c>
      <c r="F968" s="13">
        <v>627</v>
      </c>
      <c r="G968">
        <v>6</v>
      </c>
      <c r="H968">
        <v>368</v>
      </c>
      <c r="I968">
        <v>4</v>
      </c>
      <c r="J968">
        <v>259</v>
      </c>
      <c r="K968">
        <v>834.31648299999995</v>
      </c>
      <c r="L968">
        <v>60.342475</v>
      </c>
      <c r="M968">
        <v>48.788187756634102</v>
      </c>
      <c r="N968">
        <v>34.337338665674501</v>
      </c>
      <c r="O968" s="8" t="str">
        <f>formatIP(Table1[[#This Row],[Address A]])</f>
        <v>010.012.000.042</v>
      </c>
      <c r="P968" s="8" t="str">
        <f>formatIP(Table1[[#This Row],[Address B]])</f>
        <v>010.011.009.208</v>
      </c>
      <c r="Q968" s="8" t="str">
        <f>VLOOKUP(Table1[[#This Row],[Address A]],IP_Master[],4,FALSE)</f>
        <v>PPPCAP2</v>
      </c>
      <c r="R968" s="8" t="str">
        <f>VLOOKUP(Table1[[#This Row],[Address B]],IP_Master[],4,FALSE)</f>
        <v>EGX100</v>
      </c>
      <c r="S968" s="8" t="str">
        <f>VLOOKUP(Table1[[#This Row],[Address A]],IP_Master[],2,FALSE)</f>
        <v>Acid Plant</v>
      </c>
      <c r="T968" s="8" t="str">
        <f>VLOOKUP(Table1[[#This Row],[Address B]],IP_Master[],2,FALSE)</f>
        <v>Acid Plant</v>
      </c>
      <c r="U968" s="9" t="str">
        <f>VLOOKUP(Table1[[#This Row],[Address A]],IP_Master[],3,FALSE)</f>
        <v>iFIX Nodes &amp; Ethernet Switches</v>
      </c>
      <c r="V968" s="9" t="str">
        <f>VLOOKUP(Table1[[#This Row],[Address B]],IP_Master[],3,FALSE)</f>
        <v>PLCs &amp; Control Equipment</v>
      </c>
      <c r="W968" s="9" t="str">
        <f>VLOOKUP(Table1[[#This Row],[Port B]],traffic_types[],2,FALSE)</f>
        <v>Modbus</v>
      </c>
    </row>
    <row r="969" spans="1:23" x14ac:dyDescent="0.6">
      <c r="A969" t="s">
        <v>102</v>
      </c>
      <c r="B969">
        <v>4555</v>
      </c>
      <c r="C969" t="s">
        <v>103</v>
      </c>
      <c r="D969">
        <v>502</v>
      </c>
      <c r="E969">
        <v>16</v>
      </c>
      <c r="F969" s="13">
        <v>1076</v>
      </c>
      <c r="G969">
        <v>9</v>
      </c>
      <c r="H969">
        <v>566</v>
      </c>
      <c r="I969">
        <v>7</v>
      </c>
      <c r="J969">
        <v>510</v>
      </c>
      <c r="K969">
        <v>834.31675900000005</v>
      </c>
      <c r="L969">
        <v>60.708417999999902</v>
      </c>
      <c r="M969">
        <v>74.586031874525304</v>
      </c>
      <c r="N969">
        <v>67.206495151957398</v>
      </c>
      <c r="O969" s="8" t="str">
        <f>formatIP(Table1[[#This Row],[Address A]])</f>
        <v>010.012.000.042</v>
      </c>
      <c r="P969" s="8" t="str">
        <f>formatIP(Table1[[#This Row],[Address B]])</f>
        <v>010.011.009.208</v>
      </c>
      <c r="Q969" s="8" t="str">
        <f>VLOOKUP(Table1[[#This Row],[Address A]],IP_Master[],4,FALSE)</f>
        <v>PPPCAP2</v>
      </c>
      <c r="R969" s="8" t="str">
        <f>VLOOKUP(Table1[[#This Row],[Address B]],IP_Master[],4,FALSE)</f>
        <v>EGX100</v>
      </c>
      <c r="S969" s="8" t="str">
        <f>VLOOKUP(Table1[[#This Row],[Address A]],IP_Master[],2,FALSE)</f>
        <v>Acid Plant</v>
      </c>
      <c r="T969" s="8" t="str">
        <f>VLOOKUP(Table1[[#This Row],[Address B]],IP_Master[],2,FALSE)</f>
        <v>Acid Plant</v>
      </c>
      <c r="U969" s="9" t="str">
        <f>VLOOKUP(Table1[[#This Row],[Address A]],IP_Master[],3,FALSE)</f>
        <v>iFIX Nodes &amp; Ethernet Switches</v>
      </c>
      <c r="V969" s="9" t="str">
        <f>VLOOKUP(Table1[[#This Row],[Address B]],IP_Master[],3,FALSE)</f>
        <v>PLCs &amp; Control Equipment</v>
      </c>
      <c r="W969" s="9" t="str">
        <f>VLOOKUP(Table1[[#This Row],[Port B]],traffic_types[],2,FALSE)</f>
        <v>Modbus</v>
      </c>
    </row>
    <row r="970" spans="1:23" x14ac:dyDescent="0.6">
      <c r="A970" t="s">
        <v>102</v>
      </c>
      <c r="B970">
        <v>4556</v>
      </c>
      <c r="C970" t="s">
        <v>103</v>
      </c>
      <c r="D970">
        <v>502</v>
      </c>
      <c r="E970">
        <v>7</v>
      </c>
      <c r="F970" s="13">
        <v>424</v>
      </c>
      <c r="G970">
        <v>5</v>
      </c>
      <c r="H970">
        <v>304</v>
      </c>
      <c r="I970">
        <v>2</v>
      </c>
      <c r="J970">
        <v>120</v>
      </c>
      <c r="K970">
        <v>834.31715499999996</v>
      </c>
      <c r="L970">
        <v>63.005006000000101</v>
      </c>
      <c r="M970">
        <v>38.600107426384398</v>
      </c>
      <c r="N970">
        <v>15.2368845104149</v>
      </c>
      <c r="O970" s="8" t="str">
        <f>formatIP(Table1[[#This Row],[Address A]])</f>
        <v>010.012.000.042</v>
      </c>
      <c r="P970" s="8" t="str">
        <f>formatIP(Table1[[#This Row],[Address B]])</f>
        <v>010.011.009.208</v>
      </c>
      <c r="Q970" s="8" t="str">
        <f>VLOOKUP(Table1[[#This Row],[Address A]],IP_Master[],4,FALSE)</f>
        <v>PPPCAP2</v>
      </c>
      <c r="R970" s="8" t="str">
        <f>VLOOKUP(Table1[[#This Row],[Address B]],IP_Master[],4,FALSE)</f>
        <v>EGX100</v>
      </c>
      <c r="S970" s="8" t="str">
        <f>VLOOKUP(Table1[[#This Row],[Address A]],IP_Master[],2,FALSE)</f>
        <v>Acid Plant</v>
      </c>
      <c r="T970" s="8" t="str">
        <f>VLOOKUP(Table1[[#This Row],[Address B]],IP_Master[],2,FALSE)</f>
        <v>Acid Plant</v>
      </c>
      <c r="U970" s="9" t="str">
        <f>VLOOKUP(Table1[[#This Row],[Address A]],IP_Master[],3,FALSE)</f>
        <v>iFIX Nodes &amp; Ethernet Switches</v>
      </c>
      <c r="V970" s="9" t="str">
        <f>VLOOKUP(Table1[[#This Row],[Address B]],IP_Master[],3,FALSE)</f>
        <v>PLCs &amp; Control Equipment</v>
      </c>
      <c r="W970" s="9" t="str">
        <f>VLOOKUP(Table1[[#This Row],[Port B]],traffic_types[],2,FALSE)</f>
        <v>Modbus</v>
      </c>
    </row>
    <row r="971" spans="1:23" x14ac:dyDescent="0.6">
      <c r="A971" t="s">
        <v>102</v>
      </c>
      <c r="B971">
        <v>4557</v>
      </c>
      <c r="C971" t="s">
        <v>103</v>
      </c>
      <c r="D971">
        <v>502</v>
      </c>
      <c r="E971">
        <v>7</v>
      </c>
      <c r="F971" s="13">
        <v>424</v>
      </c>
      <c r="G971">
        <v>5</v>
      </c>
      <c r="H971">
        <v>304</v>
      </c>
      <c r="I971">
        <v>2</v>
      </c>
      <c r="J971">
        <v>120</v>
      </c>
      <c r="K971">
        <v>834.31731300000001</v>
      </c>
      <c r="L971">
        <v>63.004877</v>
      </c>
      <c r="M971">
        <v>38.600186458581597</v>
      </c>
      <c r="N971">
        <v>15.2369157073349</v>
      </c>
      <c r="O971" s="8" t="str">
        <f>formatIP(Table1[[#This Row],[Address A]])</f>
        <v>010.012.000.042</v>
      </c>
      <c r="P971" s="8" t="str">
        <f>formatIP(Table1[[#This Row],[Address B]])</f>
        <v>010.011.009.208</v>
      </c>
      <c r="Q971" s="8" t="str">
        <f>VLOOKUP(Table1[[#This Row],[Address A]],IP_Master[],4,FALSE)</f>
        <v>PPPCAP2</v>
      </c>
      <c r="R971" s="8" t="str">
        <f>VLOOKUP(Table1[[#This Row],[Address B]],IP_Master[],4,FALSE)</f>
        <v>EGX100</v>
      </c>
      <c r="S971" s="8" t="str">
        <f>VLOOKUP(Table1[[#This Row],[Address A]],IP_Master[],2,FALSE)</f>
        <v>Acid Plant</v>
      </c>
      <c r="T971" s="8" t="str">
        <f>VLOOKUP(Table1[[#This Row],[Address B]],IP_Master[],2,FALSE)</f>
        <v>Acid Plant</v>
      </c>
      <c r="U971" s="9" t="str">
        <f>VLOOKUP(Table1[[#This Row],[Address A]],IP_Master[],3,FALSE)</f>
        <v>iFIX Nodes &amp; Ethernet Switches</v>
      </c>
      <c r="V971" s="9" t="str">
        <f>VLOOKUP(Table1[[#This Row],[Address B]],IP_Master[],3,FALSE)</f>
        <v>PLCs &amp; Control Equipment</v>
      </c>
      <c r="W971" s="9" t="str">
        <f>VLOOKUP(Table1[[#This Row],[Port B]],traffic_types[],2,FALSE)</f>
        <v>Modbus</v>
      </c>
    </row>
    <row r="972" spans="1:23" x14ac:dyDescent="0.6">
      <c r="A972" t="s">
        <v>102</v>
      </c>
      <c r="B972">
        <v>4558</v>
      </c>
      <c r="C972" t="s">
        <v>103</v>
      </c>
      <c r="D972">
        <v>502</v>
      </c>
      <c r="E972">
        <v>9</v>
      </c>
      <c r="F972" s="13">
        <v>544</v>
      </c>
      <c r="G972">
        <v>6</v>
      </c>
      <c r="H972">
        <v>364</v>
      </c>
      <c r="I972">
        <v>3</v>
      </c>
      <c r="J972">
        <v>180</v>
      </c>
      <c r="K972">
        <v>834.31755699999997</v>
      </c>
      <c r="L972">
        <v>63.020260999999998</v>
      </c>
      <c r="M972">
        <v>46.207361787981199</v>
      </c>
      <c r="N972">
        <v>22.849794290759899</v>
      </c>
      <c r="O972" s="8" t="str">
        <f>formatIP(Table1[[#This Row],[Address A]])</f>
        <v>010.012.000.042</v>
      </c>
      <c r="P972" s="8" t="str">
        <f>formatIP(Table1[[#This Row],[Address B]])</f>
        <v>010.011.009.208</v>
      </c>
      <c r="Q972" s="8" t="str">
        <f>VLOOKUP(Table1[[#This Row],[Address A]],IP_Master[],4,FALSE)</f>
        <v>PPPCAP2</v>
      </c>
      <c r="R972" s="8" t="str">
        <f>VLOOKUP(Table1[[#This Row],[Address B]],IP_Master[],4,FALSE)</f>
        <v>EGX100</v>
      </c>
      <c r="S972" s="8" t="str">
        <f>VLOOKUP(Table1[[#This Row],[Address A]],IP_Master[],2,FALSE)</f>
        <v>Acid Plant</v>
      </c>
      <c r="T972" s="8" t="str">
        <f>VLOOKUP(Table1[[#This Row],[Address B]],IP_Master[],2,FALSE)</f>
        <v>Acid Plant</v>
      </c>
      <c r="U972" s="9" t="str">
        <f>VLOOKUP(Table1[[#This Row],[Address A]],IP_Master[],3,FALSE)</f>
        <v>iFIX Nodes &amp; Ethernet Switches</v>
      </c>
      <c r="V972" s="9" t="str">
        <f>VLOOKUP(Table1[[#This Row],[Address B]],IP_Master[],3,FALSE)</f>
        <v>PLCs &amp; Control Equipment</v>
      </c>
      <c r="W972" s="9" t="str">
        <f>VLOOKUP(Table1[[#This Row],[Port B]],traffic_types[],2,FALSE)</f>
        <v>Modbus</v>
      </c>
    </row>
    <row r="973" spans="1:23" x14ac:dyDescent="0.6">
      <c r="A973" t="s">
        <v>104</v>
      </c>
      <c r="B973">
        <v>65284</v>
      </c>
      <c r="C973" t="s">
        <v>105</v>
      </c>
      <c r="D973">
        <v>80</v>
      </c>
      <c r="E973">
        <v>3</v>
      </c>
      <c r="F973" s="13">
        <v>194</v>
      </c>
      <c r="G973">
        <v>3</v>
      </c>
      <c r="H973">
        <v>194</v>
      </c>
      <c r="I973">
        <v>0</v>
      </c>
      <c r="J973">
        <v>0</v>
      </c>
      <c r="K973">
        <v>11.719708000000001</v>
      </c>
      <c r="L973">
        <v>9.0017160000000001</v>
      </c>
      <c r="M973">
        <v>172.41157130484899</v>
      </c>
      <c r="N973">
        <v>0</v>
      </c>
      <c r="O973" s="8" t="str">
        <f>formatIP(Table1[[#This Row],[Address A]])</f>
        <v>010.012.000.062</v>
      </c>
      <c r="P973" s="8" t="str">
        <f>formatIP(Table1[[#This Row],[Address B]])</f>
        <v>143.166.135.105</v>
      </c>
      <c r="Q973" s="8" t="str">
        <f>VLOOKUP(Table1[[#This Row],[Address A]],IP_Master[],4,FALSE)</f>
        <v>PPPCPET2</v>
      </c>
      <c r="R973" s="8" t="e">
        <f>VLOOKUP(Table1[[#This Row],[Address B]],IP_Master[],4,FALSE)</f>
        <v>#N/A</v>
      </c>
      <c r="S973" s="8" t="str">
        <f>VLOOKUP(Table1[[#This Row],[Address A]],IP_Master[],2,FALSE)</f>
        <v>PETs Plant</v>
      </c>
      <c r="T973" s="8" t="e">
        <f>VLOOKUP(Table1[[#This Row],[Address B]],IP_Master[],2,FALSE)</f>
        <v>#N/A</v>
      </c>
      <c r="U973" s="9" t="str">
        <f>VLOOKUP(Table1[[#This Row],[Address A]],IP_Master[],3,FALSE)</f>
        <v>iFIX Nodes &amp; Ethernet Switches</v>
      </c>
      <c r="V973" s="9" t="e">
        <f>VLOOKUP(Table1[[#This Row],[Address B]],IP_Master[],3,FALSE)</f>
        <v>#N/A</v>
      </c>
      <c r="W973" s="9" t="str">
        <f>VLOOKUP(Table1[[#This Row],[Port B]],traffic_types[],2,FALSE)</f>
        <v>HTTP</v>
      </c>
    </row>
    <row r="974" spans="1:23" x14ac:dyDescent="0.6">
      <c r="A974" t="s">
        <v>104</v>
      </c>
      <c r="B974">
        <v>65292</v>
      </c>
      <c r="C974" t="s">
        <v>101</v>
      </c>
      <c r="D974">
        <v>80</v>
      </c>
      <c r="E974">
        <v>3</v>
      </c>
      <c r="F974" s="13">
        <v>194</v>
      </c>
      <c r="G974">
        <v>3</v>
      </c>
      <c r="H974">
        <v>194</v>
      </c>
      <c r="I974">
        <v>0</v>
      </c>
      <c r="J974">
        <v>0</v>
      </c>
      <c r="K974">
        <v>18.760673000000001</v>
      </c>
      <c r="L974">
        <v>9.0063169999999992</v>
      </c>
      <c r="M974">
        <v>172.323492499764</v>
      </c>
      <c r="N974">
        <v>0</v>
      </c>
      <c r="O974" s="8" t="str">
        <f>formatIP(Table1[[#This Row],[Address A]])</f>
        <v>010.012.000.062</v>
      </c>
      <c r="P974" s="8" t="str">
        <f>formatIP(Table1[[#This Row],[Address B]])</f>
        <v>023.000.040.234</v>
      </c>
      <c r="Q974" s="8" t="str">
        <f>VLOOKUP(Table1[[#This Row],[Address A]],IP_Master[],4,FALSE)</f>
        <v>PPPCPET2</v>
      </c>
      <c r="R974" s="8" t="e">
        <f>VLOOKUP(Table1[[#This Row],[Address B]],IP_Master[],4,FALSE)</f>
        <v>#N/A</v>
      </c>
      <c r="S974" s="8" t="str">
        <f>VLOOKUP(Table1[[#This Row],[Address A]],IP_Master[],2,FALSE)</f>
        <v>PETs Plant</v>
      </c>
      <c r="T974" s="8" t="e">
        <f>VLOOKUP(Table1[[#This Row],[Address B]],IP_Master[],2,FALSE)</f>
        <v>#N/A</v>
      </c>
      <c r="U974" s="9" t="str">
        <f>VLOOKUP(Table1[[#This Row],[Address A]],IP_Master[],3,FALSE)</f>
        <v>iFIX Nodes &amp; Ethernet Switches</v>
      </c>
      <c r="V974" s="9" t="e">
        <f>VLOOKUP(Table1[[#This Row],[Address B]],IP_Master[],3,FALSE)</f>
        <v>#N/A</v>
      </c>
      <c r="W974" s="9" t="str">
        <f>VLOOKUP(Table1[[#This Row],[Port B]],traffic_types[],2,FALSE)</f>
        <v>HTTP</v>
      </c>
    </row>
    <row r="975" spans="1:23" x14ac:dyDescent="0.6">
      <c r="A975" t="s">
        <v>104</v>
      </c>
      <c r="B975">
        <v>65294</v>
      </c>
      <c r="C975" t="s">
        <v>106</v>
      </c>
      <c r="D975">
        <v>80</v>
      </c>
      <c r="E975">
        <v>3</v>
      </c>
      <c r="F975" s="13">
        <v>194</v>
      </c>
      <c r="G975">
        <v>3</v>
      </c>
      <c r="H975">
        <v>194</v>
      </c>
      <c r="I975">
        <v>0</v>
      </c>
      <c r="J975">
        <v>0</v>
      </c>
      <c r="K975">
        <v>39.767581999999997</v>
      </c>
      <c r="L975">
        <v>8.9929170000000092</v>
      </c>
      <c r="M975">
        <v>172.58026511308799</v>
      </c>
      <c r="N975">
        <v>0</v>
      </c>
      <c r="O975" s="8" t="str">
        <f>formatIP(Table1[[#This Row],[Address A]])</f>
        <v>010.012.000.062</v>
      </c>
      <c r="P975" s="8" t="str">
        <f>formatIP(Table1[[#This Row],[Address B]])</f>
        <v>172.217.022.068</v>
      </c>
      <c r="Q975" s="8" t="str">
        <f>VLOOKUP(Table1[[#This Row],[Address A]],IP_Master[],4,FALSE)</f>
        <v>PPPCPET2</v>
      </c>
      <c r="R975" s="8" t="e">
        <f>VLOOKUP(Table1[[#This Row],[Address B]],IP_Master[],4,FALSE)</f>
        <v>#N/A</v>
      </c>
      <c r="S975" s="8" t="str">
        <f>VLOOKUP(Table1[[#This Row],[Address A]],IP_Master[],2,FALSE)</f>
        <v>PETs Plant</v>
      </c>
      <c r="T975" s="8" t="e">
        <f>VLOOKUP(Table1[[#This Row],[Address B]],IP_Master[],2,FALSE)</f>
        <v>#N/A</v>
      </c>
      <c r="U975" s="9" t="str">
        <f>VLOOKUP(Table1[[#This Row],[Address A]],IP_Master[],3,FALSE)</f>
        <v>iFIX Nodes &amp; Ethernet Switches</v>
      </c>
      <c r="V975" s="9" t="e">
        <f>VLOOKUP(Table1[[#This Row],[Address B]],IP_Master[],3,FALSE)</f>
        <v>#N/A</v>
      </c>
      <c r="W975" s="9" t="str">
        <f>VLOOKUP(Table1[[#This Row],[Port B]],traffic_types[],2,FALSE)</f>
        <v>HTTP</v>
      </c>
    </row>
    <row r="976" spans="1:23" x14ac:dyDescent="0.6">
      <c r="A976" t="s">
        <v>104</v>
      </c>
      <c r="B976">
        <v>65298</v>
      </c>
      <c r="C976" t="s">
        <v>105</v>
      </c>
      <c r="D976">
        <v>80</v>
      </c>
      <c r="E976">
        <v>3</v>
      </c>
      <c r="F976" s="13">
        <v>194</v>
      </c>
      <c r="G976">
        <v>3</v>
      </c>
      <c r="H976">
        <v>194</v>
      </c>
      <c r="I976">
        <v>0</v>
      </c>
      <c r="J976">
        <v>0</v>
      </c>
      <c r="K976">
        <v>44.718989000000001</v>
      </c>
      <c r="L976">
        <v>8.9905989999999996</v>
      </c>
      <c r="M976">
        <v>172.624760597153</v>
      </c>
      <c r="N976">
        <v>0</v>
      </c>
      <c r="O976" s="8" t="str">
        <f>formatIP(Table1[[#This Row],[Address A]])</f>
        <v>010.012.000.062</v>
      </c>
      <c r="P976" s="8" t="str">
        <f>formatIP(Table1[[#This Row],[Address B]])</f>
        <v>143.166.135.105</v>
      </c>
      <c r="Q976" s="8" t="str">
        <f>VLOOKUP(Table1[[#This Row],[Address A]],IP_Master[],4,FALSE)</f>
        <v>PPPCPET2</v>
      </c>
      <c r="R976" s="8" t="e">
        <f>VLOOKUP(Table1[[#This Row],[Address B]],IP_Master[],4,FALSE)</f>
        <v>#N/A</v>
      </c>
      <c r="S976" s="8" t="str">
        <f>VLOOKUP(Table1[[#This Row],[Address A]],IP_Master[],2,FALSE)</f>
        <v>PETs Plant</v>
      </c>
      <c r="T976" s="8" t="e">
        <f>VLOOKUP(Table1[[#This Row],[Address B]],IP_Master[],2,FALSE)</f>
        <v>#N/A</v>
      </c>
      <c r="U976" s="9" t="str">
        <f>VLOOKUP(Table1[[#This Row],[Address A]],IP_Master[],3,FALSE)</f>
        <v>iFIX Nodes &amp; Ethernet Switches</v>
      </c>
      <c r="V976" s="9" t="e">
        <f>VLOOKUP(Table1[[#This Row],[Address B]],IP_Master[],3,FALSE)</f>
        <v>#N/A</v>
      </c>
      <c r="W976" s="9" t="str">
        <f>VLOOKUP(Table1[[#This Row],[Port B]],traffic_types[],2,FALSE)</f>
        <v>HTTP</v>
      </c>
    </row>
    <row r="977" spans="1:23" x14ac:dyDescent="0.6">
      <c r="A977" t="s">
        <v>104</v>
      </c>
      <c r="B977">
        <v>65304</v>
      </c>
      <c r="C977" t="s">
        <v>101</v>
      </c>
      <c r="D977">
        <v>80</v>
      </c>
      <c r="E977">
        <v>3</v>
      </c>
      <c r="F977" s="13">
        <v>194</v>
      </c>
      <c r="G977">
        <v>3</v>
      </c>
      <c r="H977">
        <v>194</v>
      </c>
      <c r="I977">
        <v>0</v>
      </c>
      <c r="J977">
        <v>0</v>
      </c>
      <c r="K977">
        <v>68.917231000000001</v>
      </c>
      <c r="L977">
        <v>8.9978840000000009</v>
      </c>
      <c r="M977">
        <v>172.48499758387601</v>
      </c>
      <c r="N977">
        <v>0</v>
      </c>
      <c r="O977" s="8" t="str">
        <f>formatIP(Table1[[#This Row],[Address A]])</f>
        <v>010.012.000.062</v>
      </c>
      <c r="P977" s="8" t="str">
        <f>formatIP(Table1[[#This Row],[Address B]])</f>
        <v>023.000.040.234</v>
      </c>
      <c r="Q977" s="8" t="str">
        <f>VLOOKUP(Table1[[#This Row],[Address A]],IP_Master[],4,FALSE)</f>
        <v>PPPCPET2</v>
      </c>
      <c r="R977" s="8" t="e">
        <f>VLOOKUP(Table1[[#This Row],[Address B]],IP_Master[],4,FALSE)</f>
        <v>#N/A</v>
      </c>
      <c r="S977" s="8" t="str">
        <f>VLOOKUP(Table1[[#This Row],[Address A]],IP_Master[],2,FALSE)</f>
        <v>PETs Plant</v>
      </c>
      <c r="T977" s="8" t="e">
        <f>VLOOKUP(Table1[[#This Row],[Address B]],IP_Master[],2,FALSE)</f>
        <v>#N/A</v>
      </c>
      <c r="U977" s="9" t="str">
        <f>VLOOKUP(Table1[[#This Row],[Address A]],IP_Master[],3,FALSE)</f>
        <v>iFIX Nodes &amp; Ethernet Switches</v>
      </c>
      <c r="V977" s="9" t="e">
        <f>VLOOKUP(Table1[[#This Row],[Address B]],IP_Master[],3,FALSE)</f>
        <v>#N/A</v>
      </c>
      <c r="W977" s="9" t="str">
        <f>VLOOKUP(Table1[[#This Row],[Port B]],traffic_types[],2,FALSE)</f>
        <v>HTTP</v>
      </c>
    </row>
    <row r="978" spans="1:23" x14ac:dyDescent="0.6">
      <c r="A978" t="s">
        <v>104</v>
      </c>
      <c r="B978">
        <v>65308</v>
      </c>
      <c r="C978" t="s">
        <v>105</v>
      </c>
      <c r="D978">
        <v>80</v>
      </c>
      <c r="E978">
        <v>3</v>
      </c>
      <c r="F978" s="13">
        <v>194</v>
      </c>
      <c r="G978">
        <v>3</v>
      </c>
      <c r="H978">
        <v>194</v>
      </c>
      <c r="I978">
        <v>0</v>
      </c>
      <c r="J978">
        <v>0</v>
      </c>
      <c r="K978">
        <v>78.202082000000004</v>
      </c>
      <c r="L978">
        <v>9.0006339999999891</v>
      </c>
      <c r="M978">
        <v>172.43229754704001</v>
      </c>
      <c r="N978">
        <v>0</v>
      </c>
      <c r="O978" s="8" t="str">
        <f>formatIP(Table1[[#This Row],[Address A]])</f>
        <v>010.012.000.062</v>
      </c>
      <c r="P978" s="8" t="str">
        <f>formatIP(Table1[[#This Row],[Address B]])</f>
        <v>143.166.135.105</v>
      </c>
      <c r="Q978" s="8" t="str">
        <f>VLOOKUP(Table1[[#This Row],[Address A]],IP_Master[],4,FALSE)</f>
        <v>PPPCPET2</v>
      </c>
      <c r="R978" s="8" t="e">
        <f>VLOOKUP(Table1[[#This Row],[Address B]],IP_Master[],4,FALSE)</f>
        <v>#N/A</v>
      </c>
      <c r="S978" s="8" t="str">
        <f>VLOOKUP(Table1[[#This Row],[Address A]],IP_Master[],2,FALSE)</f>
        <v>PETs Plant</v>
      </c>
      <c r="T978" s="8" t="e">
        <f>VLOOKUP(Table1[[#This Row],[Address B]],IP_Master[],2,FALSE)</f>
        <v>#N/A</v>
      </c>
      <c r="U978" s="9" t="str">
        <f>VLOOKUP(Table1[[#This Row],[Address A]],IP_Master[],3,FALSE)</f>
        <v>iFIX Nodes &amp; Ethernet Switches</v>
      </c>
      <c r="V978" s="9" t="e">
        <f>VLOOKUP(Table1[[#This Row],[Address B]],IP_Master[],3,FALSE)</f>
        <v>#N/A</v>
      </c>
      <c r="W978" s="9" t="str">
        <f>VLOOKUP(Table1[[#This Row],[Port B]],traffic_types[],2,FALSE)</f>
        <v>HTTP</v>
      </c>
    </row>
    <row r="979" spans="1:23" x14ac:dyDescent="0.6">
      <c r="A979" t="s">
        <v>104</v>
      </c>
      <c r="B979">
        <v>65314</v>
      </c>
      <c r="C979" t="s">
        <v>106</v>
      </c>
      <c r="D979">
        <v>80</v>
      </c>
      <c r="E979">
        <v>3</v>
      </c>
      <c r="F979" s="13">
        <v>194</v>
      </c>
      <c r="G979">
        <v>3</v>
      </c>
      <c r="H979">
        <v>194</v>
      </c>
      <c r="I979">
        <v>0</v>
      </c>
      <c r="J979">
        <v>0</v>
      </c>
      <c r="K979">
        <v>89.921857000000003</v>
      </c>
      <c r="L979">
        <v>9.0077630000000006</v>
      </c>
      <c r="M979">
        <v>172.29582971932101</v>
      </c>
      <c r="N979">
        <v>0</v>
      </c>
      <c r="O979" s="8" t="str">
        <f>formatIP(Table1[[#This Row],[Address A]])</f>
        <v>010.012.000.062</v>
      </c>
      <c r="P979" s="8" t="str">
        <f>formatIP(Table1[[#This Row],[Address B]])</f>
        <v>172.217.022.068</v>
      </c>
      <c r="Q979" s="8" t="str">
        <f>VLOOKUP(Table1[[#This Row],[Address A]],IP_Master[],4,FALSE)</f>
        <v>PPPCPET2</v>
      </c>
      <c r="R979" s="8" t="e">
        <f>VLOOKUP(Table1[[#This Row],[Address B]],IP_Master[],4,FALSE)</f>
        <v>#N/A</v>
      </c>
      <c r="S979" s="8" t="str">
        <f>VLOOKUP(Table1[[#This Row],[Address A]],IP_Master[],2,FALSE)</f>
        <v>PETs Plant</v>
      </c>
      <c r="T979" s="8" t="e">
        <f>VLOOKUP(Table1[[#This Row],[Address B]],IP_Master[],2,FALSE)</f>
        <v>#N/A</v>
      </c>
      <c r="U979" s="9" t="str">
        <f>VLOOKUP(Table1[[#This Row],[Address A]],IP_Master[],3,FALSE)</f>
        <v>iFIX Nodes &amp; Ethernet Switches</v>
      </c>
      <c r="V979" s="9" t="e">
        <f>VLOOKUP(Table1[[#This Row],[Address B]],IP_Master[],3,FALSE)</f>
        <v>#N/A</v>
      </c>
      <c r="W979" s="9" t="str">
        <f>VLOOKUP(Table1[[#This Row],[Port B]],traffic_types[],2,FALSE)</f>
        <v>HTTP</v>
      </c>
    </row>
    <row r="980" spans="1:23" x14ac:dyDescent="0.6">
      <c r="A980" t="s">
        <v>104</v>
      </c>
      <c r="B980">
        <v>65318</v>
      </c>
      <c r="C980" t="s">
        <v>105</v>
      </c>
      <c r="D980">
        <v>80</v>
      </c>
      <c r="E980">
        <v>3</v>
      </c>
      <c r="F980" s="13">
        <v>194</v>
      </c>
      <c r="G980">
        <v>3</v>
      </c>
      <c r="H980">
        <v>194</v>
      </c>
      <c r="I980">
        <v>0</v>
      </c>
      <c r="J980">
        <v>0</v>
      </c>
      <c r="K980">
        <v>110.727872</v>
      </c>
      <c r="L980">
        <v>9.0030180000000009</v>
      </c>
      <c r="M980">
        <v>172.386637458683</v>
      </c>
      <c r="N980">
        <v>0</v>
      </c>
      <c r="O980" s="8" t="str">
        <f>formatIP(Table1[[#This Row],[Address A]])</f>
        <v>010.012.000.062</v>
      </c>
      <c r="P980" s="8" t="str">
        <f>formatIP(Table1[[#This Row],[Address B]])</f>
        <v>143.166.135.105</v>
      </c>
      <c r="Q980" s="8" t="str">
        <f>VLOOKUP(Table1[[#This Row],[Address A]],IP_Master[],4,FALSE)</f>
        <v>PPPCPET2</v>
      </c>
      <c r="R980" s="8" t="e">
        <f>VLOOKUP(Table1[[#This Row],[Address B]],IP_Master[],4,FALSE)</f>
        <v>#N/A</v>
      </c>
      <c r="S980" s="8" t="str">
        <f>VLOOKUP(Table1[[#This Row],[Address A]],IP_Master[],2,FALSE)</f>
        <v>PETs Plant</v>
      </c>
      <c r="T980" s="8" t="e">
        <f>VLOOKUP(Table1[[#This Row],[Address B]],IP_Master[],2,FALSE)</f>
        <v>#N/A</v>
      </c>
      <c r="U980" s="9" t="str">
        <f>VLOOKUP(Table1[[#This Row],[Address A]],IP_Master[],3,FALSE)</f>
        <v>iFIX Nodes &amp; Ethernet Switches</v>
      </c>
      <c r="V980" s="9" t="e">
        <f>VLOOKUP(Table1[[#This Row],[Address B]],IP_Master[],3,FALSE)</f>
        <v>#N/A</v>
      </c>
      <c r="W980" s="9" t="str">
        <f>VLOOKUP(Table1[[#This Row],[Port B]],traffic_types[],2,FALSE)</f>
        <v>HTTP</v>
      </c>
    </row>
    <row r="981" spans="1:23" x14ac:dyDescent="0.6">
      <c r="A981" t="s">
        <v>104</v>
      </c>
      <c r="B981">
        <v>65324</v>
      </c>
      <c r="C981" t="s">
        <v>101</v>
      </c>
      <c r="D981">
        <v>80</v>
      </c>
      <c r="E981">
        <v>3</v>
      </c>
      <c r="F981" s="13">
        <v>194</v>
      </c>
      <c r="G981">
        <v>3</v>
      </c>
      <c r="H981">
        <v>194</v>
      </c>
      <c r="I981">
        <v>0</v>
      </c>
      <c r="J981">
        <v>0</v>
      </c>
      <c r="K981">
        <v>119.07525</v>
      </c>
      <c r="L981">
        <v>9.0042840000000002</v>
      </c>
      <c r="M981">
        <v>172.36239994207199</v>
      </c>
      <c r="N981">
        <v>0</v>
      </c>
      <c r="O981" s="8" t="str">
        <f>formatIP(Table1[[#This Row],[Address A]])</f>
        <v>010.012.000.062</v>
      </c>
      <c r="P981" s="8" t="str">
        <f>formatIP(Table1[[#This Row],[Address B]])</f>
        <v>023.000.040.234</v>
      </c>
      <c r="Q981" s="8" t="str">
        <f>VLOOKUP(Table1[[#This Row],[Address A]],IP_Master[],4,FALSE)</f>
        <v>PPPCPET2</v>
      </c>
      <c r="R981" s="8" t="e">
        <f>VLOOKUP(Table1[[#This Row],[Address B]],IP_Master[],4,FALSE)</f>
        <v>#N/A</v>
      </c>
      <c r="S981" s="8" t="str">
        <f>VLOOKUP(Table1[[#This Row],[Address A]],IP_Master[],2,FALSE)</f>
        <v>PETs Plant</v>
      </c>
      <c r="T981" s="8" t="e">
        <f>VLOOKUP(Table1[[#This Row],[Address B]],IP_Master[],2,FALSE)</f>
        <v>#N/A</v>
      </c>
      <c r="U981" s="9" t="str">
        <f>VLOOKUP(Table1[[#This Row],[Address A]],IP_Master[],3,FALSE)</f>
        <v>iFIX Nodes &amp; Ethernet Switches</v>
      </c>
      <c r="V981" s="9" t="e">
        <f>VLOOKUP(Table1[[#This Row],[Address B]],IP_Master[],3,FALSE)</f>
        <v>#N/A</v>
      </c>
      <c r="W981" s="9" t="str">
        <f>VLOOKUP(Table1[[#This Row],[Port B]],traffic_types[],2,FALSE)</f>
        <v>HTTP</v>
      </c>
    </row>
    <row r="982" spans="1:23" x14ac:dyDescent="0.6">
      <c r="A982" t="s">
        <v>104</v>
      </c>
      <c r="B982">
        <v>65328</v>
      </c>
      <c r="C982" t="s">
        <v>106</v>
      </c>
      <c r="D982">
        <v>80</v>
      </c>
      <c r="E982">
        <v>3</v>
      </c>
      <c r="F982" s="13">
        <v>194</v>
      </c>
      <c r="G982">
        <v>3</v>
      </c>
      <c r="H982">
        <v>194</v>
      </c>
      <c r="I982">
        <v>0</v>
      </c>
      <c r="J982">
        <v>0</v>
      </c>
      <c r="K982">
        <v>140.07720399999999</v>
      </c>
      <c r="L982">
        <v>8.9976220000000104</v>
      </c>
      <c r="M982">
        <v>172.49002014087699</v>
      </c>
      <c r="N982">
        <v>0</v>
      </c>
      <c r="O982" s="8" t="str">
        <f>formatIP(Table1[[#This Row],[Address A]])</f>
        <v>010.012.000.062</v>
      </c>
      <c r="P982" s="8" t="str">
        <f>formatIP(Table1[[#This Row],[Address B]])</f>
        <v>172.217.022.068</v>
      </c>
      <c r="Q982" s="8" t="str">
        <f>VLOOKUP(Table1[[#This Row],[Address A]],IP_Master[],4,FALSE)</f>
        <v>PPPCPET2</v>
      </c>
      <c r="R982" s="8" t="e">
        <f>VLOOKUP(Table1[[#This Row],[Address B]],IP_Master[],4,FALSE)</f>
        <v>#N/A</v>
      </c>
      <c r="S982" s="8" t="str">
        <f>VLOOKUP(Table1[[#This Row],[Address A]],IP_Master[],2,FALSE)</f>
        <v>PETs Plant</v>
      </c>
      <c r="T982" s="8" t="e">
        <f>VLOOKUP(Table1[[#This Row],[Address B]],IP_Master[],2,FALSE)</f>
        <v>#N/A</v>
      </c>
      <c r="U982" s="9" t="str">
        <f>VLOOKUP(Table1[[#This Row],[Address A]],IP_Master[],3,FALSE)</f>
        <v>iFIX Nodes &amp; Ethernet Switches</v>
      </c>
      <c r="V982" s="9" t="e">
        <f>VLOOKUP(Table1[[#This Row],[Address B]],IP_Master[],3,FALSE)</f>
        <v>#N/A</v>
      </c>
      <c r="W982" s="9" t="str">
        <f>VLOOKUP(Table1[[#This Row],[Port B]],traffic_types[],2,FALSE)</f>
        <v>HTTP</v>
      </c>
    </row>
    <row r="983" spans="1:23" x14ac:dyDescent="0.6">
      <c r="A983" t="s">
        <v>104</v>
      </c>
      <c r="B983">
        <v>65330</v>
      </c>
      <c r="C983" t="s">
        <v>105</v>
      </c>
      <c r="D983">
        <v>80</v>
      </c>
      <c r="E983">
        <v>3</v>
      </c>
      <c r="F983" s="13">
        <v>194</v>
      </c>
      <c r="G983">
        <v>3</v>
      </c>
      <c r="H983">
        <v>194</v>
      </c>
      <c r="I983">
        <v>0</v>
      </c>
      <c r="J983">
        <v>0</v>
      </c>
      <c r="K983">
        <v>143.730975</v>
      </c>
      <c r="L983">
        <v>8.9941589999999998</v>
      </c>
      <c r="M983">
        <v>172.556433569831</v>
      </c>
      <c r="N983">
        <v>0</v>
      </c>
      <c r="O983" s="8" t="str">
        <f>formatIP(Table1[[#This Row],[Address A]])</f>
        <v>010.012.000.062</v>
      </c>
      <c r="P983" s="8" t="str">
        <f>formatIP(Table1[[#This Row],[Address B]])</f>
        <v>143.166.135.105</v>
      </c>
      <c r="Q983" s="8" t="str">
        <f>VLOOKUP(Table1[[#This Row],[Address A]],IP_Master[],4,FALSE)</f>
        <v>PPPCPET2</v>
      </c>
      <c r="R983" s="8" t="e">
        <f>VLOOKUP(Table1[[#This Row],[Address B]],IP_Master[],4,FALSE)</f>
        <v>#N/A</v>
      </c>
      <c r="S983" s="8" t="str">
        <f>VLOOKUP(Table1[[#This Row],[Address A]],IP_Master[],2,FALSE)</f>
        <v>PETs Plant</v>
      </c>
      <c r="T983" s="8" t="e">
        <f>VLOOKUP(Table1[[#This Row],[Address B]],IP_Master[],2,FALSE)</f>
        <v>#N/A</v>
      </c>
      <c r="U983" s="9" t="str">
        <f>VLOOKUP(Table1[[#This Row],[Address A]],IP_Master[],3,FALSE)</f>
        <v>iFIX Nodes &amp; Ethernet Switches</v>
      </c>
      <c r="V983" s="9" t="e">
        <f>VLOOKUP(Table1[[#This Row],[Address B]],IP_Master[],3,FALSE)</f>
        <v>#N/A</v>
      </c>
      <c r="W983" s="9" t="str">
        <f>VLOOKUP(Table1[[#This Row],[Port B]],traffic_types[],2,FALSE)</f>
        <v>HTTP</v>
      </c>
    </row>
    <row r="984" spans="1:23" x14ac:dyDescent="0.6">
      <c r="A984" t="s">
        <v>104</v>
      </c>
      <c r="B984">
        <v>65339</v>
      </c>
      <c r="C984" t="s">
        <v>101</v>
      </c>
      <c r="D984">
        <v>80</v>
      </c>
      <c r="E984">
        <v>3</v>
      </c>
      <c r="F984" s="13">
        <v>194</v>
      </c>
      <c r="G984">
        <v>3</v>
      </c>
      <c r="H984">
        <v>194</v>
      </c>
      <c r="I984">
        <v>0</v>
      </c>
      <c r="J984">
        <v>0</v>
      </c>
      <c r="K984">
        <v>169.22355300000001</v>
      </c>
      <c r="L984">
        <v>9.0062539999999807</v>
      </c>
      <c r="M984">
        <v>172.324697926574</v>
      </c>
      <c r="N984">
        <v>0</v>
      </c>
      <c r="O984" s="8" t="str">
        <f>formatIP(Table1[[#This Row],[Address A]])</f>
        <v>010.012.000.062</v>
      </c>
      <c r="P984" s="8" t="str">
        <f>formatIP(Table1[[#This Row],[Address B]])</f>
        <v>023.000.040.234</v>
      </c>
      <c r="Q984" s="8" t="str">
        <f>VLOOKUP(Table1[[#This Row],[Address A]],IP_Master[],4,FALSE)</f>
        <v>PPPCPET2</v>
      </c>
      <c r="R984" s="8" t="e">
        <f>VLOOKUP(Table1[[#This Row],[Address B]],IP_Master[],4,FALSE)</f>
        <v>#N/A</v>
      </c>
      <c r="S984" s="8" t="str">
        <f>VLOOKUP(Table1[[#This Row],[Address A]],IP_Master[],2,FALSE)</f>
        <v>PETs Plant</v>
      </c>
      <c r="T984" s="8" t="e">
        <f>VLOOKUP(Table1[[#This Row],[Address B]],IP_Master[],2,FALSE)</f>
        <v>#N/A</v>
      </c>
      <c r="U984" s="9" t="str">
        <f>VLOOKUP(Table1[[#This Row],[Address A]],IP_Master[],3,FALSE)</f>
        <v>iFIX Nodes &amp; Ethernet Switches</v>
      </c>
      <c r="V984" s="9" t="e">
        <f>VLOOKUP(Table1[[#This Row],[Address B]],IP_Master[],3,FALSE)</f>
        <v>#N/A</v>
      </c>
      <c r="W984" s="9" t="str">
        <f>VLOOKUP(Table1[[#This Row],[Port B]],traffic_types[],2,FALSE)</f>
        <v>HTTP</v>
      </c>
    </row>
    <row r="985" spans="1:23" x14ac:dyDescent="0.6">
      <c r="A985" t="s">
        <v>104</v>
      </c>
      <c r="B985">
        <v>65340</v>
      </c>
      <c r="C985" t="s">
        <v>105</v>
      </c>
      <c r="D985">
        <v>80</v>
      </c>
      <c r="E985">
        <v>3</v>
      </c>
      <c r="F985" s="13">
        <v>194</v>
      </c>
      <c r="G985">
        <v>3</v>
      </c>
      <c r="H985">
        <v>194</v>
      </c>
      <c r="I985">
        <v>0</v>
      </c>
      <c r="J985">
        <v>0</v>
      </c>
      <c r="K985">
        <v>176.737742</v>
      </c>
      <c r="L985">
        <v>9.0033779999999997</v>
      </c>
      <c r="M985">
        <v>172.37974458031201</v>
      </c>
      <c r="N985">
        <v>0</v>
      </c>
      <c r="O985" s="8" t="str">
        <f>formatIP(Table1[[#This Row],[Address A]])</f>
        <v>010.012.000.062</v>
      </c>
      <c r="P985" s="8" t="str">
        <f>formatIP(Table1[[#This Row],[Address B]])</f>
        <v>143.166.135.105</v>
      </c>
      <c r="Q985" s="8" t="str">
        <f>VLOOKUP(Table1[[#This Row],[Address A]],IP_Master[],4,FALSE)</f>
        <v>PPPCPET2</v>
      </c>
      <c r="R985" s="8" t="e">
        <f>VLOOKUP(Table1[[#This Row],[Address B]],IP_Master[],4,FALSE)</f>
        <v>#N/A</v>
      </c>
      <c r="S985" s="8" t="str">
        <f>VLOOKUP(Table1[[#This Row],[Address A]],IP_Master[],2,FALSE)</f>
        <v>PETs Plant</v>
      </c>
      <c r="T985" s="8" t="e">
        <f>VLOOKUP(Table1[[#This Row],[Address B]],IP_Master[],2,FALSE)</f>
        <v>#N/A</v>
      </c>
      <c r="U985" s="9" t="str">
        <f>VLOOKUP(Table1[[#This Row],[Address A]],IP_Master[],3,FALSE)</f>
        <v>iFIX Nodes &amp; Ethernet Switches</v>
      </c>
      <c r="V985" s="9" t="e">
        <f>VLOOKUP(Table1[[#This Row],[Address B]],IP_Master[],3,FALSE)</f>
        <v>#N/A</v>
      </c>
      <c r="W985" s="9" t="str">
        <f>VLOOKUP(Table1[[#This Row],[Port B]],traffic_types[],2,FALSE)</f>
        <v>HTTP</v>
      </c>
    </row>
    <row r="986" spans="1:23" x14ac:dyDescent="0.6">
      <c r="A986" t="s">
        <v>104</v>
      </c>
      <c r="B986">
        <v>65346</v>
      </c>
      <c r="C986" t="s">
        <v>106</v>
      </c>
      <c r="D986">
        <v>80</v>
      </c>
      <c r="E986">
        <v>3</v>
      </c>
      <c r="F986" s="13">
        <v>194</v>
      </c>
      <c r="G986">
        <v>3</v>
      </c>
      <c r="H986">
        <v>194</v>
      </c>
      <c r="I986">
        <v>0</v>
      </c>
      <c r="J986">
        <v>0</v>
      </c>
      <c r="K986">
        <v>190.23429100000001</v>
      </c>
      <c r="L986">
        <v>8.9988630000000001</v>
      </c>
      <c r="M986">
        <v>172.466232678506</v>
      </c>
      <c r="N986">
        <v>0</v>
      </c>
      <c r="O986" s="8" t="str">
        <f>formatIP(Table1[[#This Row],[Address A]])</f>
        <v>010.012.000.062</v>
      </c>
      <c r="P986" s="8" t="str">
        <f>formatIP(Table1[[#This Row],[Address B]])</f>
        <v>172.217.022.068</v>
      </c>
      <c r="Q986" s="8" t="str">
        <f>VLOOKUP(Table1[[#This Row],[Address A]],IP_Master[],4,FALSE)</f>
        <v>PPPCPET2</v>
      </c>
      <c r="R986" s="8" t="e">
        <f>VLOOKUP(Table1[[#This Row],[Address B]],IP_Master[],4,FALSE)</f>
        <v>#N/A</v>
      </c>
      <c r="S986" s="8" t="str">
        <f>VLOOKUP(Table1[[#This Row],[Address A]],IP_Master[],2,FALSE)</f>
        <v>PETs Plant</v>
      </c>
      <c r="T986" s="8" t="e">
        <f>VLOOKUP(Table1[[#This Row],[Address B]],IP_Master[],2,FALSE)</f>
        <v>#N/A</v>
      </c>
      <c r="U986" s="9" t="str">
        <f>VLOOKUP(Table1[[#This Row],[Address A]],IP_Master[],3,FALSE)</f>
        <v>iFIX Nodes &amp; Ethernet Switches</v>
      </c>
      <c r="V986" s="9" t="e">
        <f>VLOOKUP(Table1[[#This Row],[Address B]],IP_Master[],3,FALSE)</f>
        <v>#N/A</v>
      </c>
      <c r="W986" s="9" t="str">
        <f>VLOOKUP(Table1[[#This Row],[Port B]],traffic_types[],2,FALSE)</f>
        <v>HTTP</v>
      </c>
    </row>
    <row r="987" spans="1:23" x14ac:dyDescent="0.6">
      <c r="A987" t="s">
        <v>104</v>
      </c>
      <c r="B987">
        <v>65350</v>
      </c>
      <c r="C987" t="s">
        <v>105</v>
      </c>
      <c r="D987">
        <v>80</v>
      </c>
      <c r="E987">
        <v>3</v>
      </c>
      <c r="F987" s="13">
        <v>194</v>
      </c>
      <c r="G987">
        <v>3</v>
      </c>
      <c r="H987">
        <v>194</v>
      </c>
      <c r="I987">
        <v>0</v>
      </c>
      <c r="J987">
        <v>0</v>
      </c>
      <c r="K987">
        <v>209.74505300000001</v>
      </c>
      <c r="L987">
        <v>9.0052839999999907</v>
      </c>
      <c r="M987">
        <v>172.34325980169001</v>
      </c>
      <c r="N987">
        <v>0</v>
      </c>
      <c r="O987" s="8" t="str">
        <f>formatIP(Table1[[#This Row],[Address A]])</f>
        <v>010.012.000.062</v>
      </c>
      <c r="P987" s="8" t="str">
        <f>formatIP(Table1[[#This Row],[Address B]])</f>
        <v>143.166.135.105</v>
      </c>
      <c r="Q987" s="8" t="str">
        <f>VLOOKUP(Table1[[#This Row],[Address A]],IP_Master[],4,FALSE)</f>
        <v>PPPCPET2</v>
      </c>
      <c r="R987" s="8" t="e">
        <f>VLOOKUP(Table1[[#This Row],[Address B]],IP_Master[],4,FALSE)</f>
        <v>#N/A</v>
      </c>
      <c r="S987" s="8" t="str">
        <f>VLOOKUP(Table1[[#This Row],[Address A]],IP_Master[],2,FALSE)</f>
        <v>PETs Plant</v>
      </c>
      <c r="T987" s="8" t="e">
        <f>VLOOKUP(Table1[[#This Row],[Address B]],IP_Master[],2,FALSE)</f>
        <v>#N/A</v>
      </c>
      <c r="U987" s="9" t="str">
        <f>VLOOKUP(Table1[[#This Row],[Address A]],IP_Master[],3,FALSE)</f>
        <v>iFIX Nodes &amp; Ethernet Switches</v>
      </c>
      <c r="V987" s="9" t="e">
        <f>VLOOKUP(Table1[[#This Row],[Address B]],IP_Master[],3,FALSE)</f>
        <v>#N/A</v>
      </c>
      <c r="W987" s="9" t="str">
        <f>VLOOKUP(Table1[[#This Row],[Port B]],traffic_types[],2,FALSE)</f>
        <v>HTTP</v>
      </c>
    </row>
    <row r="988" spans="1:23" x14ac:dyDescent="0.6">
      <c r="A988" t="s">
        <v>104</v>
      </c>
      <c r="B988">
        <v>65356</v>
      </c>
      <c r="C988" t="s">
        <v>101</v>
      </c>
      <c r="D988">
        <v>80</v>
      </c>
      <c r="E988">
        <v>3</v>
      </c>
      <c r="F988" s="13">
        <v>194</v>
      </c>
      <c r="G988">
        <v>3</v>
      </c>
      <c r="H988">
        <v>194</v>
      </c>
      <c r="I988">
        <v>0</v>
      </c>
      <c r="J988">
        <v>0</v>
      </c>
      <c r="K988">
        <v>219.38822500000001</v>
      </c>
      <c r="L988">
        <v>8.9998949999999809</v>
      </c>
      <c r="M988">
        <v>172.446456319769</v>
      </c>
      <c r="N988">
        <v>0</v>
      </c>
      <c r="O988" s="8" t="str">
        <f>formatIP(Table1[[#This Row],[Address A]])</f>
        <v>010.012.000.062</v>
      </c>
      <c r="P988" s="8" t="str">
        <f>formatIP(Table1[[#This Row],[Address B]])</f>
        <v>023.000.040.234</v>
      </c>
      <c r="Q988" s="8" t="str">
        <f>VLOOKUP(Table1[[#This Row],[Address A]],IP_Master[],4,FALSE)</f>
        <v>PPPCPET2</v>
      </c>
      <c r="R988" s="8" t="e">
        <f>VLOOKUP(Table1[[#This Row],[Address B]],IP_Master[],4,FALSE)</f>
        <v>#N/A</v>
      </c>
      <c r="S988" s="8" t="str">
        <f>VLOOKUP(Table1[[#This Row],[Address A]],IP_Master[],2,FALSE)</f>
        <v>PETs Plant</v>
      </c>
      <c r="T988" s="8" t="e">
        <f>VLOOKUP(Table1[[#This Row],[Address B]],IP_Master[],2,FALSE)</f>
        <v>#N/A</v>
      </c>
      <c r="U988" s="9" t="str">
        <f>VLOOKUP(Table1[[#This Row],[Address A]],IP_Master[],3,FALSE)</f>
        <v>iFIX Nodes &amp; Ethernet Switches</v>
      </c>
      <c r="V988" s="9" t="e">
        <f>VLOOKUP(Table1[[#This Row],[Address B]],IP_Master[],3,FALSE)</f>
        <v>#N/A</v>
      </c>
      <c r="W988" s="9" t="str">
        <f>VLOOKUP(Table1[[#This Row],[Port B]],traffic_types[],2,FALSE)</f>
        <v>HTTP</v>
      </c>
    </row>
    <row r="989" spans="1:23" x14ac:dyDescent="0.6">
      <c r="A989" t="s">
        <v>104</v>
      </c>
      <c r="B989">
        <v>65360</v>
      </c>
      <c r="C989" t="s">
        <v>106</v>
      </c>
      <c r="D989">
        <v>80</v>
      </c>
      <c r="E989">
        <v>3</v>
      </c>
      <c r="F989" s="13">
        <v>194</v>
      </c>
      <c r="G989">
        <v>3</v>
      </c>
      <c r="H989">
        <v>194</v>
      </c>
      <c r="I989">
        <v>0</v>
      </c>
      <c r="J989">
        <v>0</v>
      </c>
      <c r="K989">
        <v>240.38779099999999</v>
      </c>
      <c r="L989">
        <v>8.9976730000000202</v>
      </c>
      <c r="M989">
        <v>172.489042444641</v>
      </c>
      <c r="N989">
        <v>0</v>
      </c>
      <c r="O989" s="8" t="str">
        <f>formatIP(Table1[[#This Row],[Address A]])</f>
        <v>010.012.000.062</v>
      </c>
      <c r="P989" s="8" t="str">
        <f>formatIP(Table1[[#This Row],[Address B]])</f>
        <v>172.217.022.068</v>
      </c>
      <c r="Q989" s="8" t="str">
        <f>VLOOKUP(Table1[[#This Row],[Address A]],IP_Master[],4,FALSE)</f>
        <v>PPPCPET2</v>
      </c>
      <c r="R989" s="8" t="e">
        <f>VLOOKUP(Table1[[#This Row],[Address B]],IP_Master[],4,FALSE)</f>
        <v>#N/A</v>
      </c>
      <c r="S989" s="8" t="str">
        <f>VLOOKUP(Table1[[#This Row],[Address A]],IP_Master[],2,FALSE)</f>
        <v>PETs Plant</v>
      </c>
      <c r="T989" s="8" t="e">
        <f>VLOOKUP(Table1[[#This Row],[Address B]],IP_Master[],2,FALSE)</f>
        <v>#N/A</v>
      </c>
      <c r="U989" s="9" t="str">
        <f>VLOOKUP(Table1[[#This Row],[Address A]],IP_Master[],3,FALSE)</f>
        <v>iFIX Nodes &amp; Ethernet Switches</v>
      </c>
      <c r="V989" s="9" t="e">
        <f>VLOOKUP(Table1[[#This Row],[Address B]],IP_Master[],3,FALSE)</f>
        <v>#N/A</v>
      </c>
      <c r="W989" s="9" t="str">
        <f>VLOOKUP(Table1[[#This Row],[Port B]],traffic_types[],2,FALSE)</f>
        <v>HTTP</v>
      </c>
    </row>
    <row r="990" spans="1:23" x14ac:dyDescent="0.6">
      <c r="A990" t="s">
        <v>104</v>
      </c>
      <c r="B990">
        <v>65361</v>
      </c>
      <c r="C990" t="s">
        <v>105</v>
      </c>
      <c r="D990">
        <v>80</v>
      </c>
      <c r="E990">
        <v>3</v>
      </c>
      <c r="F990" s="13">
        <v>194</v>
      </c>
      <c r="G990">
        <v>3</v>
      </c>
      <c r="H990">
        <v>194</v>
      </c>
      <c r="I990">
        <v>0</v>
      </c>
      <c r="J990">
        <v>0</v>
      </c>
      <c r="K990">
        <v>242.784144</v>
      </c>
      <c r="L990">
        <v>9.0073720000000002</v>
      </c>
      <c r="M990">
        <v>172.30330888965199</v>
      </c>
      <c r="N990">
        <v>0</v>
      </c>
      <c r="O990" s="8" t="str">
        <f>formatIP(Table1[[#This Row],[Address A]])</f>
        <v>010.012.000.062</v>
      </c>
      <c r="P990" s="8" t="str">
        <f>formatIP(Table1[[#This Row],[Address B]])</f>
        <v>143.166.135.105</v>
      </c>
      <c r="Q990" s="8" t="str">
        <f>VLOOKUP(Table1[[#This Row],[Address A]],IP_Master[],4,FALSE)</f>
        <v>PPPCPET2</v>
      </c>
      <c r="R990" s="8" t="e">
        <f>VLOOKUP(Table1[[#This Row],[Address B]],IP_Master[],4,FALSE)</f>
        <v>#N/A</v>
      </c>
      <c r="S990" s="8" t="str">
        <f>VLOOKUP(Table1[[#This Row],[Address A]],IP_Master[],2,FALSE)</f>
        <v>PETs Plant</v>
      </c>
      <c r="T990" s="8" t="e">
        <f>VLOOKUP(Table1[[#This Row],[Address B]],IP_Master[],2,FALSE)</f>
        <v>#N/A</v>
      </c>
      <c r="U990" s="9" t="str">
        <f>VLOOKUP(Table1[[#This Row],[Address A]],IP_Master[],3,FALSE)</f>
        <v>iFIX Nodes &amp; Ethernet Switches</v>
      </c>
      <c r="V990" s="9" t="e">
        <f>VLOOKUP(Table1[[#This Row],[Address B]],IP_Master[],3,FALSE)</f>
        <v>#N/A</v>
      </c>
      <c r="W990" s="9" t="str">
        <f>VLOOKUP(Table1[[#This Row],[Port B]],traffic_types[],2,FALSE)</f>
        <v>HTTP</v>
      </c>
    </row>
    <row r="991" spans="1:23" x14ac:dyDescent="0.6">
      <c r="A991" t="s">
        <v>104</v>
      </c>
      <c r="B991">
        <v>65370</v>
      </c>
      <c r="C991" t="s">
        <v>101</v>
      </c>
      <c r="D991">
        <v>80</v>
      </c>
      <c r="E991">
        <v>3</v>
      </c>
      <c r="F991" s="13">
        <v>194</v>
      </c>
      <c r="G991">
        <v>3</v>
      </c>
      <c r="H991">
        <v>194</v>
      </c>
      <c r="I991">
        <v>0</v>
      </c>
      <c r="J991">
        <v>0</v>
      </c>
      <c r="K991">
        <v>269.53648800000002</v>
      </c>
      <c r="L991">
        <v>8.9998259999999792</v>
      </c>
      <c r="M991">
        <v>172.447778434828</v>
      </c>
      <c r="N991">
        <v>0</v>
      </c>
      <c r="O991" s="8" t="str">
        <f>formatIP(Table1[[#This Row],[Address A]])</f>
        <v>010.012.000.062</v>
      </c>
      <c r="P991" s="8" t="str">
        <f>formatIP(Table1[[#This Row],[Address B]])</f>
        <v>023.000.040.234</v>
      </c>
      <c r="Q991" s="8" t="str">
        <f>VLOOKUP(Table1[[#This Row],[Address A]],IP_Master[],4,FALSE)</f>
        <v>PPPCPET2</v>
      </c>
      <c r="R991" s="8" t="e">
        <f>VLOOKUP(Table1[[#This Row],[Address B]],IP_Master[],4,FALSE)</f>
        <v>#N/A</v>
      </c>
      <c r="S991" s="8" t="str">
        <f>VLOOKUP(Table1[[#This Row],[Address A]],IP_Master[],2,FALSE)</f>
        <v>PETs Plant</v>
      </c>
      <c r="T991" s="8" t="e">
        <f>VLOOKUP(Table1[[#This Row],[Address B]],IP_Master[],2,FALSE)</f>
        <v>#N/A</v>
      </c>
      <c r="U991" s="9" t="str">
        <f>VLOOKUP(Table1[[#This Row],[Address A]],IP_Master[],3,FALSE)</f>
        <v>iFIX Nodes &amp; Ethernet Switches</v>
      </c>
      <c r="V991" s="9" t="e">
        <f>VLOOKUP(Table1[[#This Row],[Address B]],IP_Master[],3,FALSE)</f>
        <v>#N/A</v>
      </c>
      <c r="W991" s="9" t="str">
        <f>VLOOKUP(Table1[[#This Row],[Port B]],traffic_types[],2,FALSE)</f>
        <v>HTTP</v>
      </c>
    </row>
    <row r="992" spans="1:23" x14ac:dyDescent="0.6">
      <c r="A992" t="s">
        <v>104</v>
      </c>
      <c r="B992">
        <v>65371</v>
      </c>
      <c r="C992" t="s">
        <v>105</v>
      </c>
      <c r="D992">
        <v>80</v>
      </c>
      <c r="E992">
        <v>3</v>
      </c>
      <c r="F992" s="13">
        <v>194</v>
      </c>
      <c r="G992">
        <v>3</v>
      </c>
      <c r="H992">
        <v>194</v>
      </c>
      <c r="I992">
        <v>0</v>
      </c>
      <c r="J992">
        <v>0</v>
      </c>
      <c r="K992">
        <v>275.78622999999999</v>
      </c>
      <c r="L992">
        <v>9.0005190000000006</v>
      </c>
      <c r="M992">
        <v>172.43450072157</v>
      </c>
      <c r="N992">
        <v>0</v>
      </c>
      <c r="O992" s="8" t="str">
        <f>formatIP(Table1[[#This Row],[Address A]])</f>
        <v>010.012.000.062</v>
      </c>
      <c r="P992" s="8" t="str">
        <f>formatIP(Table1[[#This Row],[Address B]])</f>
        <v>143.166.135.105</v>
      </c>
      <c r="Q992" s="8" t="str">
        <f>VLOOKUP(Table1[[#This Row],[Address A]],IP_Master[],4,FALSE)</f>
        <v>PPPCPET2</v>
      </c>
      <c r="R992" s="8" t="e">
        <f>VLOOKUP(Table1[[#This Row],[Address B]],IP_Master[],4,FALSE)</f>
        <v>#N/A</v>
      </c>
      <c r="S992" s="8" t="str">
        <f>VLOOKUP(Table1[[#This Row],[Address A]],IP_Master[],2,FALSE)</f>
        <v>PETs Plant</v>
      </c>
      <c r="T992" s="8" t="e">
        <f>VLOOKUP(Table1[[#This Row],[Address B]],IP_Master[],2,FALSE)</f>
        <v>#N/A</v>
      </c>
      <c r="U992" s="9" t="str">
        <f>VLOOKUP(Table1[[#This Row],[Address A]],IP_Master[],3,FALSE)</f>
        <v>iFIX Nodes &amp; Ethernet Switches</v>
      </c>
      <c r="V992" s="9" t="e">
        <f>VLOOKUP(Table1[[#This Row],[Address B]],IP_Master[],3,FALSE)</f>
        <v>#N/A</v>
      </c>
      <c r="W992" s="9" t="str">
        <f>VLOOKUP(Table1[[#This Row],[Port B]],traffic_types[],2,FALSE)</f>
        <v>HTTP</v>
      </c>
    </row>
    <row r="993" spans="1:23" x14ac:dyDescent="0.6">
      <c r="A993" t="s">
        <v>104</v>
      </c>
      <c r="B993">
        <v>65377</v>
      </c>
      <c r="C993" t="s">
        <v>106</v>
      </c>
      <c r="D993">
        <v>80</v>
      </c>
      <c r="E993">
        <v>3</v>
      </c>
      <c r="F993" s="13">
        <v>194</v>
      </c>
      <c r="G993">
        <v>3</v>
      </c>
      <c r="H993">
        <v>194</v>
      </c>
      <c r="I993">
        <v>0</v>
      </c>
      <c r="J993">
        <v>0</v>
      </c>
      <c r="K993">
        <v>290.54821299999998</v>
      </c>
      <c r="L993">
        <v>9.0035660000000295</v>
      </c>
      <c r="M993">
        <v>172.37614518513999</v>
      </c>
      <c r="N993">
        <v>0</v>
      </c>
      <c r="O993" s="8" t="str">
        <f>formatIP(Table1[[#This Row],[Address A]])</f>
        <v>010.012.000.062</v>
      </c>
      <c r="P993" s="8" t="str">
        <f>formatIP(Table1[[#This Row],[Address B]])</f>
        <v>172.217.022.068</v>
      </c>
      <c r="Q993" s="8" t="str">
        <f>VLOOKUP(Table1[[#This Row],[Address A]],IP_Master[],4,FALSE)</f>
        <v>PPPCPET2</v>
      </c>
      <c r="R993" s="8" t="e">
        <f>VLOOKUP(Table1[[#This Row],[Address B]],IP_Master[],4,FALSE)</f>
        <v>#N/A</v>
      </c>
      <c r="S993" s="8" t="str">
        <f>VLOOKUP(Table1[[#This Row],[Address A]],IP_Master[],2,FALSE)</f>
        <v>PETs Plant</v>
      </c>
      <c r="T993" s="8" t="e">
        <f>VLOOKUP(Table1[[#This Row],[Address B]],IP_Master[],2,FALSE)</f>
        <v>#N/A</v>
      </c>
      <c r="U993" s="9" t="str">
        <f>VLOOKUP(Table1[[#This Row],[Address A]],IP_Master[],3,FALSE)</f>
        <v>iFIX Nodes &amp; Ethernet Switches</v>
      </c>
      <c r="V993" s="9" t="e">
        <f>VLOOKUP(Table1[[#This Row],[Address B]],IP_Master[],3,FALSE)</f>
        <v>#N/A</v>
      </c>
      <c r="W993" s="9" t="str">
        <f>VLOOKUP(Table1[[#This Row],[Port B]],traffic_types[],2,FALSE)</f>
        <v>HTTP</v>
      </c>
    </row>
    <row r="994" spans="1:23" x14ac:dyDescent="0.6">
      <c r="A994" t="s">
        <v>104</v>
      </c>
      <c r="B994">
        <v>65381</v>
      </c>
      <c r="C994" t="s">
        <v>105</v>
      </c>
      <c r="D994">
        <v>80</v>
      </c>
      <c r="E994">
        <v>3</v>
      </c>
      <c r="F994" s="13">
        <v>194</v>
      </c>
      <c r="G994">
        <v>3</v>
      </c>
      <c r="H994">
        <v>194</v>
      </c>
      <c r="I994">
        <v>0</v>
      </c>
      <c r="J994">
        <v>0</v>
      </c>
      <c r="K994">
        <v>308.79438099999999</v>
      </c>
      <c r="L994">
        <v>8.9984450000000002</v>
      </c>
      <c r="M994">
        <v>172.47424416107401</v>
      </c>
      <c r="N994">
        <v>0</v>
      </c>
      <c r="O994" s="8" t="str">
        <f>formatIP(Table1[[#This Row],[Address A]])</f>
        <v>010.012.000.062</v>
      </c>
      <c r="P994" s="8" t="str">
        <f>formatIP(Table1[[#This Row],[Address B]])</f>
        <v>143.166.135.105</v>
      </c>
      <c r="Q994" s="8" t="str">
        <f>VLOOKUP(Table1[[#This Row],[Address A]],IP_Master[],4,FALSE)</f>
        <v>PPPCPET2</v>
      </c>
      <c r="R994" s="8" t="e">
        <f>VLOOKUP(Table1[[#This Row],[Address B]],IP_Master[],4,FALSE)</f>
        <v>#N/A</v>
      </c>
      <c r="S994" s="8" t="str">
        <f>VLOOKUP(Table1[[#This Row],[Address A]],IP_Master[],2,FALSE)</f>
        <v>PETs Plant</v>
      </c>
      <c r="T994" s="8" t="e">
        <f>VLOOKUP(Table1[[#This Row],[Address B]],IP_Master[],2,FALSE)</f>
        <v>#N/A</v>
      </c>
      <c r="U994" s="9" t="str">
        <f>VLOOKUP(Table1[[#This Row],[Address A]],IP_Master[],3,FALSE)</f>
        <v>iFIX Nodes &amp; Ethernet Switches</v>
      </c>
      <c r="V994" s="9" t="e">
        <f>VLOOKUP(Table1[[#This Row],[Address B]],IP_Master[],3,FALSE)</f>
        <v>#N/A</v>
      </c>
      <c r="W994" s="9" t="str">
        <f>VLOOKUP(Table1[[#This Row],[Port B]],traffic_types[],2,FALSE)</f>
        <v>HTTP</v>
      </c>
    </row>
    <row r="995" spans="1:23" x14ac:dyDescent="0.6">
      <c r="A995" t="s">
        <v>104</v>
      </c>
      <c r="B995">
        <v>65387</v>
      </c>
      <c r="C995" t="s">
        <v>101</v>
      </c>
      <c r="D995">
        <v>80</v>
      </c>
      <c r="E995">
        <v>3</v>
      </c>
      <c r="F995" s="13">
        <v>194</v>
      </c>
      <c r="G995">
        <v>3</v>
      </c>
      <c r="H995">
        <v>194</v>
      </c>
      <c r="I995">
        <v>0</v>
      </c>
      <c r="J995">
        <v>0</v>
      </c>
      <c r="K995">
        <v>319.69533000000001</v>
      </c>
      <c r="L995">
        <v>8.9973969999999799</v>
      </c>
      <c r="M995">
        <v>172.49433363894099</v>
      </c>
      <c r="N995">
        <v>0</v>
      </c>
      <c r="O995" s="8" t="str">
        <f>formatIP(Table1[[#This Row],[Address A]])</f>
        <v>010.012.000.062</v>
      </c>
      <c r="P995" s="8" t="str">
        <f>formatIP(Table1[[#This Row],[Address B]])</f>
        <v>023.000.040.234</v>
      </c>
      <c r="Q995" s="8" t="str">
        <f>VLOOKUP(Table1[[#This Row],[Address A]],IP_Master[],4,FALSE)</f>
        <v>PPPCPET2</v>
      </c>
      <c r="R995" s="8" t="e">
        <f>VLOOKUP(Table1[[#This Row],[Address B]],IP_Master[],4,FALSE)</f>
        <v>#N/A</v>
      </c>
      <c r="S995" s="8" t="str">
        <f>VLOOKUP(Table1[[#This Row],[Address A]],IP_Master[],2,FALSE)</f>
        <v>PETs Plant</v>
      </c>
      <c r="T995" s="8" t="e">
        <f>VLOOKUP(Table1[[#This Row],[Address B]],IP_Master[],2,FALSE)</f>
        <v>#N/A</v>
      </c>
      <c r="U995" s="9" t="str">
        <f>VLOOKUP(Table1[[#This Row],[Address A]],IP_Master[],3,FALSE)</f>
        <v>iFIX Nodes &amp; Ethernet Switches</v>
      </c>
      <c r="V995" s="9" t="e">
        <f>VLOOKUP(Table1[[#This Row],[Address B]],IP_Master[],3,FALSE)</f>
        <v>#N/A</v>
      </c>
      <c r="W995" s="9" t="str">
        <f>VLOOKUP(Table1[[#This Row],[Port B]],traffic_types[],2,FALSE)</f>
        <v>HTTP</v>
      </c>
    </row>
    <row r="996" spans="1:23" x14ac:dyDescent="0.6">
      <c r="A996" t="s">
        <v>104</v>
      </c>
      <c r="B996">
        <v>65391</v>
      </c>
      <c r="C996" t="s">
        <v>106</v>
      </c>
      <c r="D996">
        <v>80</v>
      </c>
      <c r="E996">
        <v>3</v>
      </c>
      <c r="F996" s="13">
        <v>194</v>
      </c>
      <c r="G996">
        <v>3</v>
      </c>
      <c r="H996">
        <v>194</v>
      </c>
      <c r="I996">
        <v>0</v>
      </c>
      <c r="J996">
        <v>0</v>
      </c>
      <c r="K996">
        <v>340.69080100000002</v>
      </c>
      <c r="L996">
        <v>8.9962049999999696</v>
      </c>
      <c r="M996">
        <v>172.51718919255401</v>
      </c>
      <c r="N996">
        <v>0</v>
      </c>
      <c r="O996" s="8" t="str">
        <f>formatIP(Table1[[#This Row],[Address A]])</f>
        <v>010.012.000.062</v>
      </c>
      <c r="P996" s="8" t="str">
        <f>formatIP(Table1[[#This Row],[Address B]])</f>
        <v>172.217.022.068</v>
      </c>
      <c r="Q996" s="8" t="str">
        <f>VLOOKUP(Table1[[#This Row],[Address A]],IP_Master[],4,FALSE)</f>
        <v>PPPCPET2</v>
      </c>
      <c r="R996" s="8" t="e">
        <f>VLOOKUP(Table1[[#This Row],[Address B]],IP_Master[],4,FALSE)</f>
        <v>#N/A</v>
      </c>
      <c r="S996" s="8" t="str">
        <f>VLOOKUP(Table1[[#This Row],[Address A]],IP_Master[],2,FALSE)</f>
        <v>PETs Plant</v>
      </c>
      <c r="T996" s="8" t="e">
        <f>VLOOKUP(Table1[[#This Row],[Address B]],IP_Master[],2,FALSE)</f>
        <v>#N/A</v>
      </c>
      <c r="U996" s="9" t="str">
        <f>VLOOKUP(Table1[[#This Row],[Address A]],IP_Master[],3,FALSE)</f>
        <v>iFIX Nodes &amp; Ethernet Switches</v>
      </c>
      <c r="V996" s="9" t="e">
        <f>VLOOKUP(Table1[[#This Row],[Address B]],IP_Master[],3,FALSE)</f>
        <v>#N/A</v>
      </c>
      <c r="W996" s="9" t="str">
        <f>VLOOKUP(Table1[[#This Row],[Port B]],traffic_types[],2,FALSE)</f>
        <v>HTTP</v>
      </c>
    </row>
    <row r="997" spans="1:23" x14ac:dyDescent="0.6">
      <c r="A997" t="s">
        <v>104</v>
      </c>
      <c r="B997">
        <v>65392</v>
      </c>
      <c r="C997" t="s">
        <v>105</v>
      </c>
      <c r="D997">
        <v>80</v>
      </c>
      <c r="E997">
        <v>3</v>
      </c>
      <c r="F997" s="13">
        <v>194</v>
      </c>
      <c r="G997">
        <v>3</v>
      </c>
      <c r="H997">
        <v>194</v>
      </c>
      <c r="I997">
        <v>0</v>
      </c>
      <c r="J997">
        <v>0</v>
      </c>
      <c r="K997">
        <v>341.81523700000002</v>
      </c>
      <c r="L997">
        <v>8.9937880000000003</v>
      </c>
      <c r="M997">
        <v>172.56355164253401</v>
      </c>
      <c r="N997">
        <v>0</v>
      </c>
      <c r="O997" s="8" t="str">
        <f>formatIP(Table1[[#This Row],[Address A]])</f>
        <v>010.012.000.062</v>
      </c>
      <c r="P997" s="8" t="str">
        <f>formatIP(Table1[[#This Row],[Address B]])</f>
        <v>143.166.135.105</v>
      </c>
      <c r="Q997" s="8" t="str">
        <f>VLOOKUP(Table1[[#This Row],[Address A]],IP_Master[],4,FALSE)</f>
        <v>PPPCPET2</v>
      </c>
      <c r="R997" s="8" t="e">
        <f>VLOOKUP(Table1[[#This Row],[Address B]],IP_Master[],4,FALSE)</f>
        <v>#N/A</v>
      </c>
      <c r="S997" s="8" t="str">
        <f>VLOOKUP(Table1[[#This Row],[Address A]],IP_Master[],2,FALSE)</f>
        <v>PETs Plant</v>
      </c>
      <c r="T997" s="8" t="e">
        <f>VLOOKUP(Table1[[#This Row],[Address B]],IP_Master[],2,FALSE)</f>
        <v>#N/A</v>
      </c>
      <c r="U997" s="9" t="str">
        <f>VLOOKUP(Table1[[#This Row],[Address A]],IP_Master[],3,FALSE)</f>
        <v>iFIX Nodes &amp; Ethernet Switches</v>
      </c>
      <c r="V997" s="9" t="e">
        <f>VLOOKUP(Table1[[#This Row],[Address B]],IP_Master[],3,FALSE)</f>
        <v>#N/A</v>
      </c>
      <c r="W997" s="9" t="str">
        <f>VLOOKUP(Table1[[#This Row],[Port B]],traffic_types[],2,FALSE)</f>
        <v>HTTP</v>
      </c>
    </row>
    <row r="998" spans="1:23" x14ac:dyDescent="0.6">
      <c r="A998" t="s">
        <v>104</v>
      </c>
      <c r="B998">
        <v>65401</v>
      </c>
      <c r="C998" t="s">
        <v>101</v>
      </c>
      <c r="D998">
        <v>80</v>
      </c>
      <c r="E998">
        <v>3</v>
      </c>
      <c r="F998" s="13">
        <v>194</v>
      </c>
      <c r="G998">
        <v>3</v>
      </c>
      <c r="H998">
        <v>194</v>
      </c>
      <c r="I998">
        <v>0</v>
      </c>
      <c r="J998">
        <v>0</v>
      </c>
      <c r="K998">
        <v>369.83761199999998</v>
      </c>
      <c r="L998">
        <v>9.0093560000000306</v>
      </c>
      <c r="M998">
        <v>172.2653650272</v>
      </c>
      <c r="N998">
        <v>0</v>
      </c>
      <c r="O998" s="8" t="str">
        <f>formatIP(Table1[[#This Row],[Address A]])</f>
        <v>010.012.000.062</v>
      </c>
      <c r="P998" s="8" t="str">
        <f>formatIP(Table1[[#This Row],[Address B]])</f>
        <v>023.000.040.234</v>
      </c>
      <c r="Q998" s="8" t="str">
        <f>VLOOKUP(Table1[[#This Row],[Address A]],IP_Master[],4,FALSE)</f>
        <v>PPPCPET2</v>
      </c>
      <c r="R998" s="8" t="e">
        <f>VLOOKUP(Table1[[#This Row],[Address B]],IP_Master[],4,FALSE)</f>
        <v>#N/A</v>
      </c>
      <c r="S998" s="8" t="str">
        <f>VLOOKUP(Table1[[#This Row],[Address A]],IP_Master[],2,FALSE)</f>
        <v>PETs Plant</v>
      </c>
      <c r="T998" s="8" t="e">
        <f>VLOOKUP(Table1[[#This Row],[Address B]],IP_Master[],2,FALSE)</f>
        <v>#N/A</v>
      </c>
      <c r="U998" s="9" t="str">
        <f>VLOOKUP(Table1[[#This Row],[Address A]],IP_Master[],3,FALSE)</f>
        <v>iFIX Nodes &amp; Ethernet Switches</v>
      </c>
      <c r="V998" s="9" t="e">
        <f>VLOOKUP(Table1[[#This Row],[Address B]],IP_Master[],3,FALSE)</f>
        <v>#N/A</v>
      </c>
      <c r="W998" s="9" t="str">
        <f>VLOOKUP(Table1[[#This Row],[Port B]],traffic_types[],2,FALSE)</f>
        <v>HTTP</v>
      </c>
    </row>
    <row r="999" spans="1:23" x14ac:dyDescent="0.6">
      <c r="A999" t="s">
        <v>104</v>
      </c>
      <c r="B999">
        <v>65402</v>
      </c>
      <c r="C999" t="s">
        <v>105</v>
      </c>
      <c r="D999">
        <v>80</v>
      </c>
      <c r="E999">
        <v>3</v>
      </c>
      <c r="F999" s="13">
        <v>194</v>
      </c>
      <c r="G999">
        <v>3</v>
      </c>
      <c r="H999">
        <v>194</v>
      </c>
      <c r="I999">
        <v>0</v>
      </c>
      <c r="J999">
        <v>0</v>
      </c>
      <c r="K999">
        <v>374.817001</v>
      </c>
      <c r="L999">
        <v>9.0000789999999693</v>
      </c>
      <c r="M999">
        <v>172.44293077871899</v>
      </c>
      <c r="N999">
        <v>0</v>
      </c>
      <c r="O999" s="8" t="str">
        <f>formatIP(Table1[[#This Row],[Address A]])</f>
        <v>010.012.000.062</v>
      </c>
      <c r="P999" s="8" t="str">
        <f>formatIP(Table1[[#This Row],[Address B]])</f>
        <v>143.166.135.105</v>
      </c>
      <c r="Q999" s="8" t="str">
        <f>VLOOKUP(Table1[[#This Row],[Address A]],IP_Master[],4,FALSE)</f>
        <v>PPPCPET2</v>
      </c>
      <c r="R999" s="8" t="e">
        <f>VLOOKUP(Table1[[#This Row],[Address B]],IP_Master[],4,FALSE)</f>
        <v>#N/A</v>
      </c>
      <c r="S999" s="8" t="str">
        <f>VLOOKUP(Table1[[#This Row],[Address A]],IP_Master[],2,FALSE)</f>
        <v>PETs Plant</v>
      </c>
      <c r="T999" s="8" t="e">
        <f>VLOOKUP(Table1[[#This Row],[Address B]],IP_Master[],2,FALSE)</f>
        <v>#N/A</v>
      </c>
      <c r="U999" s="9" t="str">
        <f>VLOOKUP(Table1[[#This Row],[Address A]],IP_Master[],3,FALSE)</f>
        <v>iFIX Nodes &amp; Ethernet Switches</v>
      </c>
      <c r="V999" s="9" t="e">
        <f>VLOOKUP(Table1[[#This Row],[Address B]],IP_Master[],3,FALSE)</f>
        <v>#N/A</v>
      </c>
      <c r="W999" s="9" t="str">
        <f>VLOOKUP(Table1[[#This Row],[Port B]],traffic_types[],2,FALSE)</f>
        <v>HTTP</v>
      </c>
    </row>
    <row r="1000" spans="1:23" x14ac:dyDescent="0.6">
      <c r="A1000" t="s">
        <v>104</v>
      </c>
      <c r="B1000">
        <v>65411</v>
      </c>
      <c r="C1000" t="s">
        <v>106</v>
      </c>
      <c r="D1000">
        <v>80</v>
      </c>
      <c r="E1000">
        <v>3</v>
      </c>
      <c r="F1000" s="13">
        <v>194</v>
      </c>
      <c r="G1000">
        <v>3</v>
      </c>
      <c r="H1000">
        <v>194</v>
      </c>
      <c r="I1000">
        <v>0</v>
      </c>
      <c r="J1000">
        <v>0</v>
      </c>
      <c r="K1000">
        <v>390.84666499999997</v>
      </c>
      <c r="L1000">
        <v>8.9965670000000308</v>
      </c>
      <c r="M1000">
        <v>172.51024751996999</v>
      </c>
      <c r="N1000">
        <v>0</v>
      </c>
      <c r="O1000" s="8" t="str">
        <f>formatIP(Table1[[#This Row],[Address A]])</f>
        <v>010.012.000.062</v>
      </c>
      <c r="P1000" s="8" t="str">
        <f>formatIP(Table1[[#This Row],[Address B]])</f>
        <v>172.217.022.068</v>
      </c>
      <c r="Q1000" s="8" t="str">
        <f>VLOOKUP(Table1[[#This Row],[Address A]],IP_Master[],4,FALSE)</f>
        <v>PPPCPET2</v>
      </c>
      <c r="R1000" s="8" t="e">
        <f>VLOOKUP(Table1[[#This Row],[Address B]],IP_Master[],4,FALSE)</f>
        <v>#N/A</v>
      </c>
      <c r="S1000" s="8" t="str">
        <f>VLOOKUP(Table1[[#This Row],[Address A]],IP_Master[],2,FALSE)</f>
        <v>PETs Plant</v>
      </c>
      <c r="T1000" s="8" t="e">
        <f>VLOOKUP(Table1[[#This Row],[Address B]],IP_Master[],2,FALSE)</f>
        <v>#N/A</v>
      </c>
      <c r="U1000" s="9" t="str">
        <f>VLOOKUP(Table1[[#This Row],[Address A]],IP_Master[],3,FALSE)</f>
        <v>iFIX Nodes &amp; Ethernet Switches</v>
      </c>
      <c r="V1000" s="9" t="e">
        <f>VLOOKUP(Table1[[#This Row],[Address B]],IP_Master[],3,FALSE)</f>
        <v>#N/A</v>
      </c>
      <c r="W1000" s="9" t="str">
        <f>VLOOKUP(Table1[[#This Row],[Port B]],traffic_types[],2,FALSE)</f>
        <v>HTTP</v>
      </c>
    </row>
    <row r="1001" spans="1:23" x14ac:dyDescent="0.6">
      <c r="A1001" t="s">
        <v>104</v>
      </c>
      <c r="B1001">
        <v>65412</v>
      </c>
      <c r="C1001" t="s">
        <v>105</v>
      </c>
      <c r="D1001">
        <v>80</v>
      </c>
      <c r="E1001">
        <v>3</v>
      </c>
      <c r="F1001" s="13">
        <v>194</v>
      </c>
      <c r="G1001">
        <v>3</v>
      </c>
      <c r="H1001">
        <v>194</v>
      </c>
      <c r="I1001">
        <v>0</v>
      </c>
      <c r="J1001">
        <v>0</v>
      </c>
      <c r="K1001">
        <v>407.84344800000002</v>
      </c>
      <c r="L1001">
        <v>8.9960119999999506</v>
      </c>
      <c r="M1001">
        <v>172.520890367866</v>
      </c>
      <c r="N1001">
        <v>0</v>
      </c>
      <c r="O1001" s="8" t="str">
        <f>formatIP(Table1[[#This Row],[Address A]])</f>
        <v>010.012.000.062</v>
      </c>
      <c r="P1001" s="8" t="str">
        <f>formatIP(Table1[[#This Row],[Address B]])</f>
        <v>143.166.135.105</v>
      </c>
      <c r="Q1001" s="8" t="str">
        <f>VLOOKUP(Table1[[#This Row],[Address A]],IP_Master[],4,FALSE)</f>
        <v>PPPCPET2</v>
      </c>
      <c r="R1001" s="8" t="e">
        <f>VLOOKUP(Table1[[#This Row],[Address B]],IP_Master[],4,FALSE)</f>
        <v>#N/A</v>
      </c>
      <c r="S1001" s="8" t="str">
        <f>VLOOKUP(Table1[[#This Row],[Address A]],IP_Master[],2,FALSE)</f>
        <v>PETs Plant</v>
      </c>
      <c r="T1001" s="8" t="e">
        <f>VLOOKUP(Table1[[#This Row],[Address B]],IP_Master[],2,FALSE)</f>
        <v>#N/A</v>
      </c>
      <c r="U1001" s="9" t="str">
        <f>VLOOKUP(Table1[[#This Row],[Address A]],IP_Master[],3,FALSE)</f>
        <v>iFIX Nodes &amp; Ethernet Switches</v>
      </c>
      <c r="V1001" s="9" t="e">
        <f>VLOOKUP(Table1[[#This Row],[Address B]],IP_Master[],3,FALSE)</f>
        <v>#N/A</v>
      </c>
      <c r="W1001" s="9" t="str">
        <f>VLOOKUP(Table1[[#This Row],[Port B]],traffic_types[],2,FALSE)</f>
        <v>HTTP</v>
      </c>
    </row>
    <row r="1002" spans="1:23" x14ac:dyDescent="0.6">
      <c r="A1002" t="s">
        <v>104</v>
      </c>
      <c r="B1002">
        <v>65421</v>
      </c>
      <c r="C1002" t="s">
        <v>101</v>
      </c>
      <c r="D1002">
        <v>80</v>
      </c>
      <c r="E1002">
        <v>3</v>
      </c>
      <c r="F1002" s="13">
        <v>194</v>
      </c>
      <c r="G1002">
        <v>3</v>
      </c>
      <c r="H1002">
        <v>194</v>
      </c>
      <c r="I1002">
        <v>0</v>
      </c>
      <c r="J1002">
        <v>0</v>
      </c>
      <c r="K1002">
        <v>420.374934</v>
      </c>
      <c r="L1002">
        <v>8.9993769999999795</v>
      </c>
      <c r="M1002">
        <v>172.45638225846099</v>
      </c>
      <c r="N1002">
        <v>0</v>
      </c>
      <c r="O1002" s="8" t="str">
        <f>formatIP(Table1[[#This Row],[Address A]])</f>
        <v>010.012.000.062</v>
      </c>
      <c r="P1002" s="8" t="str">
        <f>formatIP(Table1[[#This Row],[Address B]])</f>
        <v>023.000.040.234</v>
      </c>
      <c r="Q1002" s="8" t="str">
        <f>VLOOKUP(Table1[[#This Row],[Address A]],IP_Master[],4,FALSE)</f>
        <v>PPPCPET2</v>
      </c>
      <c r="R1002" s="8" t="e">
        <f>VLOOKUP(Table1[[#This Row],[Address B]],IP_Master[],4,FALSE)</f>
        <v>#N/A</v>
      </c>
      <c r="S1002" s="8" t="str">
        <f>VLOOKUP(Table1[[#This Row],[Address A]],IP_Master[],2,FALSE)</f>
        <v>PETs Plant</v>
      </c>
      <c r="T1002" s="8" t="e">
        <f>VLOOKUP(Table1[[#This Row],[Address B]],IP_Master[],2,FALSE)</f>
        <v>#N/A</v>
      </c>
      <c r="U1002" s="9" t="str">
        <f>VLOOKUP(Table1[[#This Row],[Address A]],IP_Master[],3,FALSE)</f>
        <v>iFIX Nodes &amp; Ethernet Switches</v>
      </c>
      <c r="V1002" s="9" t="e">
        <f>VLOOKUP(Table1[[#This Row],[Address B]],IP_Master[],3,FALSE)</f>
        <v>#N/A</v>
      </c>
      <c r="W1002" s="9" t="str">
        <f>VLOOKUP(Table1[[#This Row],[Port B]],traffic_types[],2,FALSE)</f>
        <v>HTTP</v>
      </c>
    </row>
    <row r="1003" spans="1:23" x14ac:dyDescent="0.6">
      <c r="A1003" t="s">
        <v>104</v>
      </c>
      <c r="B1003">
        <v>65422</v>
      </c>
      <c r="C1003" t="s">
        <v>105</v>
      </c>
      <c r="D1003">
        <v>80</v>
      </c>
      <c r="E1003">
        <v>3</v>
      </c>
      <c r="F1003" s="13">
        <v>194</v>
      </c>
      <c r="G1003">
        <v>3</v>
      </c>
      <c r="H1003">
        <v>194</v>
      </c>
      <c r="I1003">
        <v>0</v>
      </c>
      <c r="J1003">
        <v>0</v>
      </c>
      <c r="K1003">
        <v>440.84552100000002</v>
      </c>
      <c r="L1003">
        <v>9.0021409999999893</v>
      </c>
      <c r="M1003">
        <v>172.403431583664</v>
      </c>
      <c r="N1003">
        <v>0</v>
      </c>
      <c r="O1003" s="8" t="str">
        <f>formatIP(Table1[[#This Row],[Address A]])</f>
        <v>010.012.000.062</v>
      </c>
      <c r="P1003" s="8" t="str">
        <f>formatIP(Table1[[#This Row],[Address B]])</f>
        <v>143.166.135.105</v>
      </c>
      <c r="Q1003" s="8" t="str">
        <f>VLOOKUP(Table1[[#This Row],[Address A]],IP_Master[],4,FALSE)</f>
        <v>PPPCPET2</v>
      </c>
      <c r="R1003" s="8" t="e">
        <f>VLOOKUP(Table1[[#This Row],[Address B]],IP_Master[],4,FALSE)</f>
        <v>#N/A</v>
      </c>
      <c r="S1003" s="8" t="str">
        <f>VLOOKUP(Table1[[#This Row],[Address A]],IP_Master[],2,FALSE)</f>
        <v>PETs Plant</v>
      </c>
      <c r="T1003" s="8" t="e">
        <f>VLOOKUP(Table1[[#This Row],[Address B]],IP_Master[],2,FALSE)</f>
        <v>#N/A</v>
      </c>
      <c r="U1003" s="9" t="str">
        <f>VLOOKUP(Table1[[#This Row],[Address A]],IP_Master[],3,FALSE)</f>
        <v>iFIX Nodes &amp; Ethernet Switches</v>
      </c>
      <c r="V1003" s="9" t="e">
        <f>VLOOKUP(Table1[[#This Row],[Address B]],IP_Master[],3,FALSE)</f>
        <v>#N/A</v>
      </c>
      <c r="W1003" s="9" t="str">
        <f>VLOOKUP(Table1[[#This Row],[Port B]],traffic_types[],2,FALSE)</f>
        <v>HTTP</v>
      </c>
    </row>
    <row r="1004" spans="1:23" x14ac:dyDescent="0.6">
      <c r="A1004" t="s">
        <v>104</v>
      </c>
      <c r="B1004">
        <v>65423</v>
      </c>
      <c r="C1004" t="s">
        <v>106</v>
      </c>
      <c r="D1004">
        <v>80</v>
      </c>
      <c r="E1004">
        <v>3</v>
      </c>
      <c r="F1004" s="13">
        <v>194</v>
      </c>
      <c r="G1004">
        <v>3</v>
      </c>
      <c r="H1004">
        <v>194</v>
      </c>
      <c r="I1004">
        <v>0</v>
      </c>
      <c r="J1004">
        <v>0</v>
      </c>
      <c r="K1004">
        <v>441.37806599999999</v>
      </c>
      <c r="L1004">
        <v>8.9966000000000008</v>
      </c>
      <c r="M1004">
        <v>172.50961474334699</v>
      </c>
      <c r="N1004">
        <v>0</v>
      </c>
      <c r="O1004" s="8" t="str">
        <f>formatIP(Table1[[#This Row],[Address A]])</f>
        <v>010.012.000.062</v>
      </c>
      <c r="P1004" s="8" t="str">
        <f>formatIP(Table1[[#This Row],[Address B]])</f>
        <v>172.217.022.068</v>
      </c>
      <c r="Q1004" s="8" t="str">
        <f>VLOOKUP(Table1[[#This Row],[Address A]],IP_Master[],4,FALSE)</f>
        <v>PPPCPET2</v>
      </c>
      <c r="R1004" s="8" t="e">
        <f>VLOOKUP(Table1[[#This Row],[Address B]],IP_Master[],4,FALSE)</f>
        <v>#N/A</v>
      </c>
      <c r="S1004" s="8" t="str">
        <f>VLOOKUP(Table1[[#This Row],[Address A]],IP_Master[],2,FALSE)</f>
        <v>PETs Plant</v>
      </c>
      <c r="T1004" s="8" t="e">
        <f>VLOOKUP(Table1[[#This Row],[Address B]],IP_Master[],2,FALSE)</f>
        <v>#N/A</v>
      </c>
      <c r="U1004" s="9" t="str">
        <f>VLOOKUP(Table1[[#This Row],[Address A]],IP_Master[],3,FALSE)</f>
        <v>iFIX Nodes &amp; Ethernet Switches</v>
      </c>
      <c r="V1004" s="9" t="e">
        <f>VLOOKUP(Table1[[#This Row],[Address B]],IP_Master[],3,FALSE)</f>
        <v>#N/A</v>
      </c>
      <c r="W1004" s="9" t="str">
        <f>VLOOKUP(Table1[[#This Row],[Port B]],traffic_types[],2,FALSE)</f>
        <v>HTTP</v>
      </c>
    </row>
    <row r="1005" spans="1:23" x14ac:dyDescent="0.6">
      <c r="A1005" t="s">
        <v>104</v>
      </c>
      <c r="B1005">
        <v>65434</v>
      </c>
      <c r="C1005" t="s">
        <v>101</v>
      </c>
      <c r="D1005">
        <v>80</v>
      </c>
      <c r="E1005">
        <v>3</v>
      </c>
      <c r="F1005" s="13">
        <v>194</v>
      </c>
      <c r="G1005">
        <v>3</v>
      </c>
      <c r="H1005">
        <v>194</v>
      </c>
      <c r="I1005">
        <v>0</v>
      </c>
      <c r="J1005">
        <v>0</v>
      </c>
      <c r="K1005">
        <v>470.52118899999999</v>
      </c>
      <c r="L1005">
        <v>9.0022329999999897</v>
      </c>
      <c r="M1005">
        <v>172.401669674624</v>
      </c>
      <c r="N1005">
        <v>0</v>
      </c>
      <c r="O1005" s="8" t="str">
        <f>formatIP(Table1[[#This Row],[Address A]])</f>
        <v>010.012.000.062</v>
      </c>
      <c r="P1005" s="8" t="str">
        <f>formatIP(Table1[[#This Row],[Address B]])</f>
        <v>023.000.040.234</v>
      </c>
      <c r="Q1005" s="8" t="str">
        <f>VLOOKUP(Table1[[#This Row],[Address A]],IP_Master[],4,FALSE)</f>
        <v>PPPCPET2</v>
      </c>
      <c r="R1005" s="8" t="e">
        <f>VLOOKUP(Table1[[#This Row],[Address B]],IP_Master[],4,FALSE)</f>
        <v>#N/A</v>
      </c>
      <c r="S1005" s="8" t="str">
        <f>VLOOKUP(Table1[[#This Row],[Address A]],IP_Master[],2,FALSE)</f>
        <v>PETs Plant</v>
      </c>
      <c r="T1005" s="8" t="e">
        <f>VLOOKUP(Table1[[#This Row],[Address B]],IP_Master[],2,FALSE)</f>
        <v>#N/A</v>
      </c>
      <c r="U1005" s="9" t="str">
        <f>VLOOKUP(Table1[[#This Row],[Address A]],IP_Master[],3,FALSE)</f>
        <v>iFIX Nodes &amp; Ethernet Switches</v>
      </c>
      <c r="V1005" s="9" t="e">
        <f>VLOOKUP(Table1[[#This Row],[Address B]],IP_Master[],3,FALSE)</f>
        <v>#N/A</v>
      </c>
      <c r="W1005" s="9" t="str">
        <f>VLOOKUP(Table1[[#This Row],[Port B]],traffic_types[],2,FALSE)</f>
        <v>HTTP</v>
      </c>
    </row>
    <row r="1006" spans="1:23" x14ac:dyDescent="0.6">
      <c r="A1006" t="s">
        <v>104</v>
      </c>
      <c r="B1006">
        <v>65435</v>
      </c>
      <c r="C1006" t="s">
        <v>105</v>
      </c>
      <c r="D1006">
        <v>80</v>
      </c>
      <c r="E1006">
        <v>3</v>
      </c>
      <c r="F1006" s="13">
        <v>194</v>
      </c>
      <c r="G1006">
        <v>3</v>
      </c>
      <c r="H1006">
        <v>194</v>
      </c>
      <c r="I1006">
        <v>0</v>
      </c>
      <c r="J1006">
        <v>0</v>
      </c>
      <c r="K1006">
        <v>473.84911899999997</v>
      </c>
      <c r="L1006">
        <v>8.9986050000000493</v>
      </c>
      <c r="M1006">
        <v>172.47117747695199</v>
      </c>
      <c r="N1006">
        <v>0</v>
      </c>
      <c r="O1006" s="8" t="str">
        <f>formatIP(Table1[[#This Row],[Address A]])</f>
        <v>010.012.000.062</v>
      </c>
      <c r="P1006" s="8" t="str">
        <f>formatIP(Table1[[#This Row],[Address B]])</f>
        <v>143.166.135.105</v>
      </c>
      <c r="Q1006" s="8" t="str">
        <f>VLOOKUP(Table1[[#This Row],[Address A]],IP_Master[],4,FALSE)</f>
        <v>PPPCPET2</v>
      </c>
      <c r="R1006" s="8" t="e">
        <f>VLOOKUP(Table1[[#This Row],[Address B]],IP_Master[],4,FALSE)</f>
        <v>#N/A</v>
      </c>
      <c r="S1006" s="8" t="str">
        <f>VLOOKUP(Table1[[#This Row],[Address A]],IP_Master[],2,FALSE)</f>
        <v>PETs Plant</v>
      </c>
      <c r="T1006" s="8" t="e">
        <f>VLOOKUP(Table1[[#This Row],[Address B]],IP_Master[],2,FALSE)</f>
        <v>#N/A</v>
      </c>
      <c r="U1006" s="9" t="str">
        <f>VLOOKUP(Table1[[#This Row],[Address A]],IP_Master[],3,FALSE)</f>
        <v>iFIX Nodes &amp; Ethernet Switches</v>
      </c>
      <c r="V1006" s="9" t="e">
        <f>VLOOKUP(Table1[[#This Row],[Address B]],IP_Master[],3,FALSE)</f>
        <v>#N/A</v>
      </c>
      <c r="W1006" s="9" t="str">
        <f>VLOOKUP(Table1[[#This Row],[Port B]],traffic_types[],2,FALSE)</f>
        <v>HTTP</v>
      </c>
    </row>
    <row r="1007" spans="1:23" x14ac:dyDescent="0.6">
      <c r="A1007" t="s">
        <v>104</v>
      </c>
      <c r="B1007">
        <v>65444</v>
      </c>
      <c r="C1007" t="s">
        <v>106</v>
      </c>
      <c r="D1007">
        <v>80</v>
      </c>
      <c r="E1007">
        <v>3</v>
      </c>
      <c r="F1007" s="13">
        <v>194</v>
      </c>
      <c r="G1007">
        <v>3</v>
      </c>
      <c r="H1007">
        <v>194</v>
      </c>
      <c r="I1007">
        <v>0</v>
      </c>
      <c r="J1007">
        <v>0</v>
      </c>
      <c r="K1007">
        <v>491.53347300000001</v>
      </c>
      <c r="L1007">
        <v>8.9993870000000094</v>
      </c>
      <c r="M1007">
        <v>172.45619062720601</v>
      </c>
      <c r="N1007">
        <v>0</v>
      </c>
      <c r="O1007" s="8" t="str">
        <f>formatIP(Table1[[#This Row],[Address A]])</f>
        <v>010.012.000.062</v>
      </c>
      <c r="P1007" s="8" t="str">
        <f>formatIP(Table1[[#This Row],[Address B]])</f>
        <v>172.217.022.068</v>
      </c>
      <c r="Q1007" s="8" t="str">
        <f>VLOOKUP(Table1[[#This Row],[Address A]],IP_Master[],4,FALSE)</f>
        <v>PPPCPET2</v>
      </c>
      <c r="R1007" s="8" t="e">
        <f>VLOOKUP(Table1[[#This Row],[Address B]],IP_Master[],4,FALSE)</f>
        <v>#N/A</v>
      </c>
      <c r="S1007" s="8" t="str">
        <f>VLOOKUP(Table1[[#This Row],[Address A]],IP_Master[],2,FALSE)</f>
        <v>PETs Plant</v>
      </c>
      <c r="T1007" s="8" t="e">
        <f>VLOOKUP(Table1[[#This Row],[Address B]],IP_Master[],2,FALSE)</f>
        <v>#N/A</v>
      </c>
      <c r="U1007" s="9" t="str">
        <f>VLOOKUP(Table1[[#This Row],[Address A]],IP_Master[],3,FALSE)</f>
        <v>iFIX Nodes &amp; Ethernet Switches</v>
      </c>
      <c r="V1007" s="9" t="e">
        <f>VLOOKUP(Table1[[#This Row],[Address B]],IP_Master[],3,FALSE)</f>
        <v>#N/A</v>
      </c>
      <c r="W1007" s="9" t="str">
        <f>VLOOKUP(Table1[[#This Row],[Port B]],traffic_types[],2,FALSE)</f>
        <v>HTTP</v>
      </c>
    </row>
    <row r="1008" spans="1:23" x14ac:dyDescent="0.6">
      <c r="A1008" t="s">
        <v>104</v>
      </c>
      <c r="B1008">
        <v>65448</v>
      </c>
      <c r="C1008" t="s">
        <v>105</v>
      </c>
      <c r="D1008">
        <v>80</v>
      </c>
      <c r="E1008">
        <v>3</v>
      </c>
      <c r="F1008" s="13">
        <v>194</v>
      </c>
      <c r="G1008">
        <v>3</v>
      </c>
      <c r="H1008">
        <v>194</v>
      </c>
      <c r="I1008">
        <v>0</v>
      </c>
      <c r="J1008">
        <v>0</v>
      </c>
      <c r="K1008">
        <v>506.86736500000001</v>
      </c>
      <c r="L1008">
        <v>9.0005679999999906</v>
      </c>
      <c r="M1008">
        <v>172.43356197075599</v>
      </c>
      <c r="N1008">
        <v>0</v>
      </c>
      <c r="O1008" s="8" t="str">
        <f>formatIP(Table1[[#This Row],[Address A]])</f>
        <v>010.012.000.062</v>
      </c>
      <c r="P1008" s="8" t="str">
        <f>formatIP(Table1[[#This Row],[Address B]])</f>
        <v>143.166.135.105</v>
      </c>
      <c r="Q1008" s="8" t="str">
        <f>VLOOKUP(Table1[[#This Row],[Address A]],IP_Master[],4,FALSE)</f>
        <v>PPPCPET2</v>
      </c>
      <c r="R1008" s="8" t="e">
        <f>VLOOKUP(Table1[[#This Row],[Address B]],IP_Master[],4,FALSE)</f>
        <v>#N/A</v>
      </c>
      <c r="S1008" s="8" t="str">
        <f>VLOOKUP(Table1[[#This Row],[Address A]],IP_Master[],2,FALSE)</f>
        <v>PETs Plant</v>
      </c>
      <c r="T1008" s="8" t="e">
        <f>VLOOKUP(Table1[[#This Row],[Address B]],IP_Master[],2,FALSE)</f>
        <v>#N/A</v>
      </c>
      <c r="U1008" s="9" t="str">
        <f>VLOOKUP(Table1[[#This Row],[Address A]],IP_Master[],3,FALSE)</f>
        <v>iFIX Nodes &amp; Ethernet Switches</v>
      </c>
      <c r="V1008" s="9" t="e">
        <f>VLOOKUP(Table1[[#This Row],[Address B]],IP_Master[],3,FALSE)</f>
        <v>#N/A</v>
      </c>
      <c r="W1008" s="9" t="str">
        <f>VLOOKUP(Table1[[#This Row],[Port B]],traffic_types[],2,FALSE)</f>
        <v>HTTP</v>
      </c>
    </row>
    <row r="1009" spans="1:23" x14ac:dyDescent="0.6">
      <c r="A1009" t="s">
        <v>104</v>
      </c>
      <c r="B1009">
        <v>65454</v>
      </c>
      <c r="C1009" t="s">
        <v>101</v>
      </c>
      <c r="D1009">
        <v>80</v>
      </c>
      <c r="E1009">
        <v>3</v>
      </c>
      <c r="F1009" s="13">
        <v>194</v>
      </c>
      <c r="G1009">
        <v>3</v>
      </c>
      <c r="H1009">
        <v>194</v>
      </c>
      <c r="I1009">
        <v>0</v>
      </c>
      <c r="J1009">
        <v>0</v>
      </c>
      <c r="K1009">
        <v>520.66843700000004</v>
      </c>
      <c r="L1009">
        <v>8.9952869999999603</v>
      </c>
      <c r="M1009">
        <v>172.534795165514</v>
      </c>
      <c r="N1009">
        <v>0</v>
      </c>
      <c r="O1009" s="8" t="str">
        <f>formatIP(Table1[[#This Row],[Address A]])</f>
        <v>010.012.000.062</v>
      </c>
      <c r="P1009" s="8" t="str">
        <f>formatIP(Table1[[#This Row],[Address B]])</f>
        <v>023.000.040.234</v>
      </c>
      <c r="Q1009" s="8" t="str">
        <f>VLOOKUP(Table1[[#This Row],[Address A]],IP_Master[],4,FALSE)</f>
        <v>PPPCPET2</v>
      </c>
      <c r="R1009" s="8" t="e">
        <f>VLOOKUP(Table1[[#This Row],[Address B]],IP_Master[],4,FALSE)</f>
        <v>#N/A</v>
      </c>
      <c r="S1009" s="8" t="str">
        <f>VLOOKUP(Table1[[#This Row],[Address A]],IP_Master[],2,FALSE)</f>
        <v>PETs Plant</v>
      </c>
      <c r="T1009" s="8" t="e">
        <f>VLOOKUP(Table1[[#This Row],[Address B]],IP_Master[],2,FALSE)</f>
        <v>#N/A</v>
      </c>
      <c r="U1009" s="9" t="str">
        <f>VLOOKUP(Table1[[#This Row],[Address A]],IP_Master[],3,FALSE)</f>
        <v>iFIX Nodes &amp; Ethernet Switches</v>
      </c>
      <c r="V1009" s="9" t="e">
        <f>VLOOKUP(Table1[[#This Row],[Address B]],IP_Master[],3,FALSE)</f>
        <v>#N/A</v>
      </c>
      <c r="W1009" s="9" t="str">
        <f>VLOOKUP(Table1[[#This Row],[Port B]],traffic_types[],2,FALSE)</f>
        <v>HTTP</v>
      </c>
    </row>
    <row r="1010" spans="1:23" x14ac:dyDescent="0.6">
      <c r="A1010" t="s">
        <v>104</v>
      </c>
      <c r="B1010">
        <v>65458</v>
      </c>
      <c r="C1010" t="s">
        <v>105</v>
      </c>
      <c r="D1010">
        <v>80</v>
      </c>
      <c r="E1010">
        <v>3</v>
      </c>
      <c r="F1010" s="13">
        <v>194</v>
      </c>
      <c r="G1010">
        <v>3</v>
      </c>
      <c r="H1010">
        <v>194</v>
      </c>
      <c r="I1010">
        <v>0</v>
      </c>
      <c r="J1010">
        <v>0</v>
      </c>
      <c r="K1010">
        <v>539.87605199999996</v>
      </c>
      <c r="L1010">
        <v>9.0039730000000908</v>
      </c>
      <c r="M1010">
        <v>172.36835339244001</v>
      </c>
      <c r="N1010">
        <v>0</v>
      </c>
      <c r="O1010" s="8" t="str">
        <f>formatIP(Table1[[#This Row],[Address A]])</f>
        <v>010.012.000.062</v>
      </c>
      <c r="P1010" s="8" t="str">
        <f>formatIP(Table1[[#This Row],[Address B]])</f>
        <v>143.166.135.105</v>
      </c>
      <c r="Q1010" s="8" t="str">
        <f>VLOOKUP(Table1[[#This Row],[Address A]],IP_Master[],4,FALSE)</f>
        <v>PPPCPET2</v>
      </c>
      <c r="R1010" s="8" t="e">
        <f>VLOOKUP(Table1[[#This Row],[Address B]],IP_Master[],4,FALSE)</f>
        <v>#N/A</v>
      </c>
      <c r="S1010" s="8" t="str">
        <f>VLOOKUP(Table1[[#This Row],[Address A]],IP_Master[],2,FALSE)</f>
        <v>PETs Plant</v>
      </c>
      <c r="T1010" s="8" t="e">
        <f>VLOOKUP(Table1[[#This Row],[Address B]],IP_Master[],2,FALSE)</f>
        <v>#N/A</v>
      </c>
      <c r="U1010" s="9" t="str">
        <f>VLOOKUP(Table1[[#This Row],[Address A]],IP_Master[],3,FALSE)</f>
        <v>iFIX Nodes &amp; Ethernet Switches</v>
      </c>
      <c r="V1010" s="9" t="e">
        <f>VLOOKUP(Table1[[#This Row],[Address B]],IP_Master[],3,FALSE)</f>
        <v>#N/A</v>
      </c>
      <c r="W1010" s="9" t="str">
        <f>VLOOKUP(Table1[[#This Row],[Port B]],traffic_types[],2,FALSE)</f>
        <v>HTTP</v>
      </c>
    </row>
    <row r="1011" spans="1:23" x14ac:dyDescent="0.6">
      <c r="A1011" t="s">
        <v>104</v>
      </c>
      <c r="B1011">
        <v>65459</v>
      </c>
      <c r="C1011" t="s">
        <v>106</v>
      </c>
      <c r="D1011">
        <v>80</v>
      </c>
      <c r="E1011">
        <v>3</v>
      </c>
      <c r="F1011" s="13">
        <v>194</v>
      </c>
      <c r="G1011">
        <v>3</v>
      </c>
      <c r="H1011">
        <v>194</v>
      </c>
      <c r="I1011">
        <v>0</v>
      </c>
      <c r="J1011">
        <v>0</v>
      </c>
      <c r="K1011">
        <v>541.66639099999998</v>
      </c>
      <c r="L1011">
        <v>9.0018480000000007</v>
      </c>
      <c r="M1011">
        <v>172.409043120924</v>
      </c>
      <c r="N1011">
        <v>0</v>
      </c>
      <c r="O1011" s="8" t="str">
        <f>formatIP(Table1[[#This Row],[Address A]])</f>
        <v>010.012.000.062</v>
      </c>
      <c r="P1011" s="8" t="str">
        <f>formatIP(Table1[[#This Row],[Address B]])</f>
        <v>172.217.022.068</v>
      </c>
      <c r="Q1011" s="8" t="str">
        <f>VLOOKUP(Table1[[#This Row],[Address A]],IP_Master[],4,FALSE)</f>
        <v>PPPCPET2</v>
      </c>
      <c r="R1011" s="8" t="e">
        <f>VLOOKUP(Table1[[#This Row],[Address B]],IP_Master[],4,FALSE)</f>
        <v>#N/A</v>
      </c>
      <c r="S1011" s="8" t="str">
        <f>VLOOKUP(Table1[[#This Row],[Address A]],IP_Master[],2,FALSE)</f>
        <v>PETs Plant</v>
      </c>
      <c r="T1011" s="8" t="e">
        <f>VLOOKUP(Table1[[#This Row],[Address B]],IP_Master[],2,FALSE)</f>
        <v>#N/A</v>
      </c>
      <c r="U1011" s="9" t="str">
        <f>VLOOKUP(Table1[[#This Row],[Address A]],IP_Master[],3,FALSE)</f>
        <v>iFIX Nodes &amp; Ethernet Switches</v>
      </c>
      <c r="V1011" s="9" t="e">
        <f>VLOOKUP(Table1[[#This Row],[Address B]],IP_Master[],3,FALSE)</f>
        <v>#N/A</v>
      </c>
      <c r="W1011" s="9" t="str">
        <f>VLOOKUP(Table1[[#This Row],[Port B]],traffic_types[],2,FALSE)</f>
        <v>HTTP</v>
      </c>
    </row>
    <row r="1012" spans="1:23" x14ac:dyDescent="0.6">
      <c r="A1012" t="s">
        <v>104</v>
      </c>
      <c r="B1012">
        <v>65468</v>
      </c>
      <c r="C1012" t="s">
        <v>101</v>
      </c>
      <c r="D1012">
        <v>80</v>
      </c>
      <c r="E1012">
        <v>3</v>
      </c>
      <c r="F1012" s="13">
        <v>194</v>
      </c>
      <c r="G1012">
        <v>3</v>
      </c>
      <c r="H1012">
        <v>194</v>
      </c>
      <c r="I1012">
        <v>0</v>
      </c>
      <c r="J1012">
        <v>0</v>
      </c>
      <c r="K1012">
        <v>571.36546099999998</v>
      </c>
      <c r="L1012">
        <v>9.0047220000000205</v>
      </c>
      <c r="M1012">
        <v>172.35401603736301</v>
      </c>
      <c r="N1012">
        <v>0</v>
      </c>
      <c r="O1012" s="8" t="str">
        <f>formatIP(Table1[[#This Row],[Address A]])</f>
        <v>010.012.000.062</v>
      </c>
      <c r="P1012" s="8" t="str">
        <f>formatIP(Table1[[#This Row],[Address B]])</f>
        <v>023.000.040.234</v>
      </c>
      <c r="Q1012" s="8" t="str">
        <f>VLOOKUP(Table1[[#This Row],[Address A]],IP_Master[],4,FALSE)</f>
        <v>PPPCPET2</v>
      </c>
      <c r="R1012" s="8" t="e">
        <f>VLOOKUP(Table1[[#This Row],[Address B]],IP_Master[],4,FALSE)</f>
        <v>#N/A</v>
      </c>
      <c r="S1012" s="8" t="str">
        <f>VLOOKUP(Table1[[#This Row],[Address A]],IP_Master[],2,FALSE)</f>
        <v>PETs Plant</v>
      </c>
      <c r="T1012" s="8" t="e">
        <f>VLOOKUP(Table1[[#This Row],[Address B]],IP_Master[],2,FALSE)</f>
        <v>#N/A</v>
      </c>
      <c r="U1012" s="9" t="str">
        <f>VLOOKUP(Table1[[#This Row],[Address A]],IP_Master[],3,FALSE)</f>
        <v>iFIX Nodes &amp; Ethernet Switches</v>
      </c>
      <c r="V1012" s="9" t="e">
        <f>VLOOKUP(Table1[[#This Row],[Address B]],IP_Master[],3,FALSE)</f>
        <v>#N/A</v>
      </c>
      <c r="W1012" s="9" t="str">
        <f>VLOOKUP(Table1[[#This Row],[Port B]],traffic_types[],2,FALSE)</f>
        <v>HTTP</v>
      </c>
    </row>
    <row r="1013" spans="1:23" x14ac:dyDescent="0.6">
      <c r="A1013" t="s">
        <v>104</v>
      </c>
      <c r="B1013">
        <v>65469</v>
      </c>
      <c r="C1013" t="s">
        <v>105</v>
      </c>
      <c r="D1013">
        <v>80</v>
      </c>
      <c r="E1013">
        <v>3</v>
      </c>
      <c r="F1013" s="13">
        <v>194</v>
      </c>
      <c r="G1013">
        <v>3</v>
      </c>
      <c r="H1013">
        <v>194</v>
      </c>
      <c r="I1013">
        <v>0</v>
      </c>
      <c r="J1013">
        <v>0</v>
      </c>
      <c r="K1013">
        <v>572.87802399999998</v>
      </c>
      <c r="L1013">
        <v>9.0021719999999696</v>
      </c>
      <c r="M1013">
        <v>172.40283789290001</v>
      </c>
      <c r="N1013">
        <v>0</v>
      </c>
      <c r="O1013" s="8" t="str">
        <f>formatIP(Table1[[#This Row],[Address A]])</f>
        <v>010.012.000.062</v>
      </c>
      <c r="P1013" s="8" t="str">
        <f>formatIP(Table1[[#This Row],[Address B]])</f>
        <v>143.166.135.105</v>
      </c>
      <c r="Q1013" s="8" t="str">
        <f>VLOOKUP(Table1[[#This Row],[Address A]],IP_Master[],4,FALSE)</f>
        <v>PPPCPET2</v>
      </c>
      <c r="R1013" s="8" t="e">
        <f>VLOOKUP(Table1[[#This Row],[Address B]],IP_Master[],4,FALSE)</f>
        <v>#N/A</v>
      </c>
      <c r="S1013" s="8" t="str">
        <f>VLOOKUP(Table1[[#This Row],[Address A]],IP_Master[],2,FALSE)</f>
        <v>PETs Plant</v>
      </c>
      <c r="T1013" s="8" t="e">
        <f>VLOOKUP(Table1[[#This Row],[Address B]],IP_Master[],2,FALSE)</f>
        <v>#N/A</v>
      </c>
      <c r="U1013" s="9" t="str">
        <f>VLOOKUP(Table1[[#This Row],[Address A]],IP_Master[],3,FALSE)</f>
        <v>iFIX Nodes &amp; Ethernet Switches</v>
      </c>
      <c r="V1013" s="9" t="e">
        <f>VLOOKUP(Table1[[#This Row],[Address B]],IP_Master[],3,FALSE)</f>
        <v>#N/A</v>
      </c>
      <c r="W1013" s="9" t="str">
        <f>VLOOKUP(Table1[[#This Row],[Port B]],traffic_types[],2,FALSE)</f>
        <v>HTTP</v>
      </c>
    </row>
    <row r="1014" spans="1:23" x14ac:dyDescent="0.6">
      <c r="A1014" t="s">
        <v>104</v>
      </c>
      <c r="B1014">
        <v>65475</v>
      </c>
      <c r="C1014" t="s">
        <v>106</v>
      </c>
      <c r="D1014">
        <v>80</v>
      </c>
      <c r="E1014">
        <v>3</v>
      </c>
      <c r="F1014" s="13">
        <v>194</v>
      </c>
      <c r="G1014">
        <v>3</v>
      </c>
      <c r="H1014">
        <v>194</v>
      </c>
      <c r="I1014">
        <v>0</v>
      </c>
      <c r="J1014">
        <v>0</v>
      </c>
      <c r="K1014">
        <v>592.37384899999995</v>
      </c>
      <c r="L1014">
        <v>9.00357600000007</v>
      </c>
      <c r="M1014">
        <v>172.37595373216001</v>
      </c>
      <c r="N1014">
        <v>0</v>
      </c>
      <c r="O1014" s="8" t="str">
        <f>formatIP(Table1[[#This Row],[Address A]])</f>
        <v>010.012.000.062</v>
      </c>
      <c r="P1014" s="8" t="str">
        <f>formatIP(Table1[[#This Row],[Address B]])</f>
        <v>172.217.022.068</v>
      </c>
      <c r="Q1014" s="8" t="str">
        <f>VLOOKUP(Table1[[#This Row],[Address A]],IP_Master[],4,FALSE)</f>
        <v>PPPCPET2</v>
      </c>
      <c r="R1014" s="8" t="e">
        <f>VLOOKUP(Table1[[#This Row],[Address B]],IP_Master[],4,FALSE)</f>
        <v>#N/A</v>
      </c>
      <c r="S1014" s="8" t="str">
        <f>VLOOKUP(Table1[[#This Row],[Address A]],IP_Master[],2,FALSE)</f>
        <v>PETs Plant</v>
      </c>
      <c r="T1014" s="8" t="e">
        <f>VLOOKUP(Table1[[#This Row],[Address B]],IP_Master[],2,FALSE)</f>
        <v>#N/A</v>
      </c>
      <c r="U1014" s="9" t="str">
        <f>VLOOKUP(Table1[[#This Row],[Address A]],IP_Master[],3,FALSE)</f>
        <v>iFIX Nodes &amp; Ethernet Switches</v>
      </c>
      <c r="V1014" s="9" t="e">
        <f>VLOOKUP(Table1[[#This Row],[Address B]],IP_Master[],3,FALSE)</f>
        <v>#N/A</v>
      </c>
      <c r="W1014" s="9" t="str">
        <f>VLOOKUP(Table1[[#This Row],[Port B]],traffic_types[],2,FALSE)</f>
        <v>HTTP</v>
      </c>
    </row>
    <row r="1015" spans="1:23" x14ac:dyDescent="0.6">
      <c r="A1015" t="s">
        <v>104</v>
      </c>
      <c r="B1015">
        <v>65479</v>
      </c>
      <c r="C1015" t="s">
        <v>107</v>
      </c>
      <c r="D1015">
        <v>80</v>
      </c>
      <c r="E1015">
        <v>3</v>
      </c>
      <c r="F1015" s="13">
        <v>194</v>
      </c>
      <c r="G1015">
        <v>3</v>
      </c>
      <c r="H1015">
        <v>194</v>
      </c>
      <c r="I1015">
        <v>0</v>
      </c>
      <c r="J1015">
        <v>0</v>
      </c>
      <c r="K1015">
        <v>605.90493100000003</v>
      </c>
      <c r="L1015">
        <v>9.0065149999999203</v>
      </c>
      <c r="M1015">
        <v>172.31970412529299</v>
      </c>
      <c r="N1015">
        <v>0</v>
      </c>
      <c r="O1015" s="8" t="str">
        <f>formatIP(Table1[[#This Row],[Address A]])</f>
        <v>010.012.000.062</v>
      </c>
      <c r="P1015" s="8" t="str">
        <f>formatIP(Table1[[#This Row],[Address B]])</f>
        <v>143.166.147.101</v>
      </c>
      <c r="Q1015" s="8" t="str">
        <f>VLOOKUP(Table1[[#This Row],[Address A]],IP_Master[],4,FALSE)</f>
        <v>PPPCPET2</v>
      </c>
      <c r="R1015" s="8" t="e">
        <f>VLOOKUP(Table1[[#This Row],[Address B]],IP_Master[],4,FALSE)</f>
        <v>#N/A</v>
      </c>
      <c r="S1015" s="8" t="str">
        <f>VLOOKUP(Table1[[#This Row],[Address A]],IP_Master[],2,FALSE)</f>
        <v>PETs Plant</v>
      </c>
      <c r="T1015" s="8" t="e">
        <f>VLOOKUP(Table1[[#This Row],[Address B]],IP_Master[],2,FALSE)</f>
        <v>#N/A</v>
      </c>
      <c r="U1015" s="9" t="str">
        <f>VLOOKUP(Table1[[#This Row],[Address A]],IP_Master[],3,FALSE)</f>
        <v>iFIX Nodes &amp; Ethernet Switches</v>
      </c>
      <c r="V1015" s="9" t="e">
        <f>VLOOKUP(Table1[[#This Row],[Address B]],IP_Master[],3,FALSE)</f>
        <v>#N/A</v>
      </c>
      <c r="W1015" s="9" t="str">
        <f>VLOOKUP(Table1[[#This Row],[Port B]],traffic_types[],2,FALSE)</f>
        <v>HTTP</v>
      </c>
    </row>
    <row r="1016" spans="1:23" x14ac:dyDescent="0.6">
      <c r="A1016" t="s">
        <v>104</v>
      </c>
      <c r="B1016">
        <v>65485</v>
      </c>
      <c r="C1016" t="s">
        <v>101</v>
      </c>
      <c r="D1016">
        <v>80</v>
      </c>
      <c r="E1016">
        <v>3</v>
      </c>
      <c r="F1016" s="13">
        <v>194</v>
      </c>
      <c r="G1016">
        <v>3</v>
      </c>
      <c r="H1016">
        <v>194</v>
      </c>
      <c r="I1016">
        <v>0</v>
      </c>
      <c r="J1016">
        <v>0</v>
      </c>
      <c r="K1016">
        <v>621.52793799999995</v>
      </c>
      <c r="L1016">
        <v>8.9973720000000394</v>
      </c>
      <c r="M1016">
        <v>172.49481292981901</v>
      </c>
      <c r="N1016">
        <v>0</v>
      </c>
      <c r="O1016" s="8" t="str">
        <f>formatIP(Table1[[#This Row],[Address A]])</f>
        <v>010.012.000.062</v>
      </c>
      <c r="P1016" s="8" t="str">
        <f>formatIP(Table1[[#This Row],[Address B]])</f>
        <v>023.000.040.234</v>
      </c>
      <c r="Q1016" s="8" t="str">
        <f>VLOOKUP(Table1[[#This Row],[Address A]],IP_Master[],4,FALSE)</f>
        <v>PPPCPET2</v>
      </c>
      <c r="R1016" s="8" t="e">
        <f>VLOOKUP(Table1[[#This Row],[Address B]],IP_Master[],4,FALSE)</f>
        <v>#N/A</v>
      </c>
      <c r="S1016" s="8" t="str">
        <f>VLOOKUP(Table1[[#This Row],[Address A]],IP_Master[],2,FALSE)</f>
        <v>PETs Plant</v>
      </c>
      <c r="T1016" s="8" t="e">
        <f>VLOOKUP(Table1[[#This Row],[Address B]],IP_Master[],2,FALSE)</f>
        <v>#N/A</v>
      </c>
      <c r="U1016" s="9" t="str">
        <f>VLOOKUP(Table1[[#This Row],[Address A]],IP_Master[],3,FALSE)</f>
        <v>iFIX Nodes &amp; Ethernet Switches</v>
      </c>
      <c r="V1016" s="9" t="e">
        <f>VLOOKUP(Table1[[#This Row],[Address B]],IP_Master[],3,FALSE)</f>
        <v>#N/A</v>
      </c>
      <c r="W1016" s="9" t="str">
        <f>VLOOKUP(Table1[[#This Row],[Port B]],traffic_types[],2,FALSE)</f>
        <v>HTTP</v>
      </c>
    </row>
    <row r="1017" spans="1:23" x14ac:dyDescent="0.6">
      <c r="A1017" t="s">
        <v>104</v>
      </c>
      <c r="B1017">
        <v>65489</v>
      </c>
      <c r="C1017" t="s">
        <v>107</v>
      </c>
      <c r="D1017">
        <v>80</v>
      </c>
      <c r="E1017">
        <v>3</v>
      </c>
      <c r="F1017" s="13">
        <v>194</v>
      </c>
      <c r="G1017">
        <v>3</v>
      </c>
      <c r="H1017">
        <v>194</v>
      </c>
      <c r="I1017">
        <v>0</v>
      </c>
      <c r="J1017">
        <v>0</v>
      </c>
      <c r="K1017">
        <v>638.90595499999995</v>
      </c>
      <c r="L1017">
        <v>9.0005570000000699</v>
      </c>
      <c r="M1017">
        <v>172.433772709843</v>
      </c>
      <c r="N1017">
        <v>0</v>
      </c>
      <c r="O1017" s="8" t="str">
        <f>formatIP(Table1[[#This Row],[Address A]])</f>
        <v>010.012.000.062</v>
      </c>
      <c r="P1017" s="8" t="str">
        <f>formatIP(Table1[[#This Row],[Address B]])</f>
        <v>143.166.147.101</v>
      </c>
      <c r="Q1017" s="8" t="str">
        <f>VLOOKUP(Table1[[#This Row],[Address A]],IP_Master[],4,FALSE)</f>
        <v>PPPCPET2</v>
      </c>
      <c r="R1017" s="8" t="e">
        <f>VLOOKUP(Table1[[#This Row],[Address B]],IP_Master[],4,FALSE)</f>
        <v>#N/A</v>
      </c>
      <c r="S1017" s="8" t="str">
        <f>VLOOKUP(Table1[[#This Row],[Address A]],IP_Master[],2,FALSE)</f>
        <v>PETs Plant</v>
      </c>
      <c r="T1017" s="8" t="e">
        <f>VLOOKUP(Table1[[#This Row],[Address B]],IP_Master[],2,FALSE)</f>
        <v>#N/A</v>
      </c>
      <c r="U1017" s="9" t="str">
        <f>VLOOKUP(Table1[[#This Row],[Address A]],IP_Master[],3,FALSE)</f>
        <v>iFIX Nodes &amp; Ethernet Switches</v>
      </c>
      <c r="V1017" s="9" t="e">
        <f>VLOOKUP(Table1[[#This Row],[Address B]],IP_Master[],3,FALSE)</f>
        <v>#N/A</v>
      </c>
      <c r="W1017" s="9" t="str">
        <f>VLOOKUP(Table1[[#This Row],[Port B]],traffic_types[],2,FALSE)</f>
        <v>HTTP</v>
      </c>
    </row>
    <row r="1018" spans="1:23" x14ac:dyDescent="0.6">
      <c r="A1018" t="s">
        <v>104</v>
      </c>
      <c r="B1018">
        <v>65490</v>
      </c>
      <c r="C1018" t="s">
        <v>106</v>
      </c>
      <c r="D1018">
        <v>80</v>
      </c>
      <c r="E1018">
        <v>3</v>
      </c>
      <c r="F1018" s="13">
        <v>194</v>
      </c>
      <c r="G1018">
        <v>3</v>
      </c>
      <c r="H1018">
        <v>194</v>
      </c>
      <c r="I1018">
        <v>0</v>
      </c>
      <c r="J1018">
        <v>0</v>
      </c>
      <c r="K1018">
        <v>642.53438400000005</v>
      </c>
      <c r="L1018">
        <v>9.0064889999999895</v>
      </c>
      <c r="M1018">
        <v>172.320201579106</v>
      </c>
      <c r="N1018">
        <v>0</v>
      </c>
      <c r="O1018" s="8" t="str">
        <f>formatIP(Table1[[#This Row],[Address A]])</f>
        <v>010.012.000.062</v>
      </c>
      <c r="P1018" s="8" t="str">
        <f>formatIP(Table1[[#This Row],[Address B]])</f>
        <v>172.217.022.068</v>
      </c>
      <c r="Q1018" s="8" t="str">
        <f>VLOOKUP(Table1[[#This Row],[Address A]],IP_Master[],4,FALSE)</f>
        <v>PPPCPET2</v>
      </c>
      <c r="R1018" s="8" t="e">
        <f>VLOOKUP(Table1[[#This Row],[Address B]],IP_Master[],4,FALSE)</f>
        <v>#N/A</v>
      </c>
      <c r="S1018" s="8" t="str">
        <f>VLOOKUP(Table1[[#This Row],[Address A]],IP_Master[],2,FALSE)</f>
        <v>PETs Plant</v>
      </c>
      <c r="T1018" s="8" t="e">
        <f>VLOOKUP(Table1[[#This Row],[Address B]],IP_Master[],2,FALSE)</f>
        <v>#N/A</v>
      </c>
      <c r="U1018" s="9" t="str">
        <f>VLOOKUP(Table1[[#This Row],[Address A]],IP_Master[],3,FALSE)</f>
        <v>iFIX Nodes &amp; Ethernet Switches</v>
      </c>
      <c r="V1018" s="9" t="e">
        <f>VLOOKUP(Table1[[#This Row],[Address B]],IP_Master[],3,FALSE)</f>
        <v>#N/A</v>
      </c>
      <c r="W1018" s="9" t="str">
        <f>VLOOKUP(Table1[[#This Row],[Port B]],traffic_types[],2,FALSE)</f>
        <v>HTTP</v>
      </c>
    </row>
    <row r="1019" spans="1:23" x14ac:dyDescent="0.6">
      <c r="A1019" t="s">
        <v>104</v>
      </c>
      <c r="B1019">
        <v>65499</v>
      </c>
      <c r="C1019" t="s">
        <v>101</v>
      </c>
      <c r="D1019">
        <v>80</v>
      </c>
      <c r="E1019">
        <v>3</v>
      </c>
      <c r="F1019" s="13">
        <v>194</v>
      </c>
      <c r="G1019">
        <v>3</v>
      </c>
      <c r="H1019">
        <v>194</v>
      </c>
      <c r="I1019">
        <v>0</v>
      </c>
      <c r="J1019">
        <v>0</v>
      </c>
      <c r="K1019">
        <v>671.68734600000005</v>
      </c>
      <c r="L1019">
        <v>9.0012789999999505</v>
      </c>
      <c r="M1019">
        <v>172.41994165495899</v>
      </c>
      <c r="N1019">
        <v>0</v>
      </c>
      <c r="O1019" s="8" t="str">
        <f>formatIP(Table1[[#This Row],[Address A]])</f>
        <v>010.012.000.062</v>
      </c>
      <c r="P1019" s="8" t="str">
        <f>formatIP(Table1[[#This Row],[Address B]])</f>
        <v>023.000.040.234</v>
      </c>
      <c r="Q1019" s="8" t="str">
        <f>VLOOKUP(Table1[[#This Row],[Address A]],IP_Master[],4,FALSE)</f>
        <v>PPPCPET2</v>
      </c>
      <c r="R1019" s="8" t="e">
        <f>VLOOKUP(Table1[[#This Row],[Address B]],IP_Master[],4,FALSE)</f>
        <v>#N/A</v>
      </c>
      <c r="S1019" s="8" t="str">
        <f>VLOOKUP(Table1[[#This Row],[Address A]],IP_Master[],2,FALSE)</f>
        <v>PETs Plant</v>
      </c>
      <c r="T1019" s="8" t="e">
        <f>VLOOKUP(Table1[[#This Row],[Address B]],IP_Master[],2,FALSE)</f>
        <v>#N/A</v>
      </c>
      <c r="U1019" s="9" t="str">
        <f>VLOOKUP(Table1[[#This Row],[Address A]],IP_Master[],3,FALSE)</f>
        <v>iFIX Nodes &amp; Ethernet Switches</v>
      </c>
      <c r="V1019" s="9" t="e">
        <f>VLOOKUP(Table1[[#This Row],[Address B]],IP_Master[],3,FALSE)</f>
        <v>#N/A</v>
      </c>
      <c r="W1019" s="9" t="str">
        <f>VLOOKUP(Table1[[#This Row],[Port B]],traffic_types[],2,FALSE)</f>
        <v>HTTP</v>
      </c>
    </row>
    <row r="1020" spans="1:23" x14ac:dyDescent="0.6">
      <c r="A1020" t="s">
        <v>104</v>
      </c>
      <c r="B1020">
        <v>65500</v>
      </c>
      <c r="C1020" t="s">
        <v>107</v>
      </c>
      <c r="D1020">
        <v>80</v>
      </c>
      <c r="E1020">
        <v>3</v>
      </c>
      <c r="F1020" s="13">
        <v>194</v>
      </c>
      <c r="G1020">
        <v>3</v>
      </c>
      <c r="H1020">
        <v>194</v>
      </c>
      <c r="I1020">
        <v>0</v>
      </c>
      <c r="J1020">
        <v>0</v>
      </c>
      <c r="K1020">
        <v>671.90953400000001</v>
      </c>
      <c r="L1020">
        <v>9.0011620000000203</v>
      </c>
      <c r="M1020">
        <v>172.42218282483901</v>
      </c>
      <c r="N1020">
        <v>0</v>
      </c>
      <c r="O1020" s="8" t="str">
        <f>formatIP(Table1[[#This Row],[Address A]])</f>
        <v>010.012.000.062</v>
      </c>
      <c r="P1020" s="8" t="str">
        <f>formatIP(Table1[[#This Row],[Address B]])</f>
        <v>143.166.147.101</v>
      </c>
      <c r="Q1020" s="8" t="str">
        <f>VLOOKUP(Table1[[#This Row],[Address A]],IP_Master[],4,FALSE)</f>
        <v>PPPCPET2</v>
      </c>
      <c r="R1020" s="8" t="e">
        <f>VLOOKUP(Table1[[#This Row],[Address B]],IP_Master[],4,FALSE)</f>
        <v>#N/A</v>
      </c>
      <c r="S1020" s="8" t="str">
        <f>VLOOKUP(Table1[[#This Row],[Address A]],IP_Master[],2,FALSE)</f>
        <v>PETs Plant</v>
      </c>
      <c r="T1020" s="8" t="e">
        <f>VLOOKUP(Table1[[#This Row],[Address B]],IP_Master[],2,FALSE)</f>
        <v>#N/A</v>
      </c>
      <c r="U1020" s="9" t="str">
        <f>VLOOKUP(Table1[[#This Row],[Address A]],IP_Master[],3,FALSE)</f>
        <v>iFIX Nodes &amp; Ethernet Switches</v>
      </c>
      <c r="V1020" s="9" t="e">
        <f>VLOOKUP(Table1[[#This Row],[Address B]],IP_Master[],3,FALSE)</f>
        <v>#N/A</v>
      </c>
      <c r="W1020" s="9" t="str">
        <f>VLOOKUP(Table1[[#This Row],[Port B]],traffic_types[],2,FALSE)</f>
        <v>HTTP</v>
      </c>
    </row>
    <row r="1021" spans="1:23" x14ac:dyDescent="0.6">
      <c r="A1021" t="s">
        <v>104</v>
      </c>
      <c r="B1021">
        <v>65512</v>
      </c>
      <c r="C1021" t="s">
        <v>106</v>
      </c>
      <c r="D1021">
        <v>80</v>
      </c>
      <c r="E1021">
        <v>3</v>
      </c>
      <c r="F1021" s="13">
        <v>194</v>
      </c>
      <c r="G1021">
        <v>3</v>
      </c>
      <c r="H1021">
        <v>194</v>
      </c>
      <c r="I1021">
        <v>0</v>
      </c>
      <c r="J1021">
        <v>0</v>
      </c>
      <c r="K1021">
        <v>692.69445800000005</v>
      </c>
      <c r="L1021">
        <v>8.9927039999998897</v>
      </c>
      <c r="M1021">
        <v>172.58435282647099</v>
      </c>
      <c r="N1021">
        <v>0</v>
      </c>
      <c r="O1021" s="8" t="str">
        <f>formatIP(Table1[[#This Row],[Address A]])</f>
        <v>010.012.000.062</v>
      </c>
      <c r="P1021" s="8" t="str">
        <f>formatIP(Table1[[#This Row],[Address B]])</f>
        <v>172.217.022.068</v>
      </c>
      <c r="Q1021" s="8" t="str">
        <f>VLOOKUP(Table1[[#This Row],[Address A]],IP_Master[],4,FALSE)</f>
        <v>PPPCPET2</v>
      </c>
      <c r="R1021" s="8" t="e">
        <f>VLOOKUP(Table1[[#This Row],[Address B]],IP_Master[],4,FALSE)</f>
        <v>#N/A</v>
      </c>
      <c r="S1021" s="8" t="str">
        <f>VLOOKUP(Table1[[#This Row],[Address A]],IP_Master[],2,FALSE)</f>
        <v>PETs Plant</v>
      </c>
      <c r="T1021" s="8" t="e">
        <f>VLOOKUP(Table1[[#This Row],[Address B]],IP_Master[],2,FALSE)</f>
        <v>#N/A</v>
      </c>
      <c r="U1021" s="9" t="str">
        <f>VLOOKUP(Table1[[#This Row],[Address A]],IP_Master[],3,FALSE)</f>
        <v>iFIX Nodes &amp; Ethernet Switches</v>
      </c>
      <c r="V1021" s="9" t="e">
        <f>VLOOKUP(Table1[[#This Row],[Address B]],IP_Master[],3,FALSE)</f>
        <v>#N/A</v>
      </c>
      <c r="W1021" s="9" t="str">
        <f>VLOOKUP(Table1[[#This Row],[Port B]],traffic_types[],2,FALSE)</f>
        <v>HTTP</v>
      </c>
    </row>
    <row r="1022" spans="1:23" x14ac:dyDescent="0.6">
      <c r="A1022" t="s">
        <v>104</v>
      </c>
      <c r="B1022">
        <v>65513</v>
      </c>
      <c r="C1022" t="s">
        <v>107</v>
      </c>
      <c r="D1022">
        <v>80</v>
      </c>
      <c r="E1022">
        <v>3</v>
      </c>
      <c r="F1022" s="13">
        <v>194</v>
      </c>
      <c r="G1022">
        <v>3</v>
      </c>
      <c r="H1022">
        <v>194</v>
      </c>
      <c r="I1022">
        <v>0</v>
      </c>
      <c r="J1022">
        <v>0</v>
      </c>
      <c r="K1022">
        <v>705.30211399999996</v>
      </c>
      <c r="L1022">
        <v>8.9978310000000192</v>
      </c>
      <c r="M1022">
        <v>172.48601357371501</v>
      </c>
      <c r="N1022">
        <v>0</v>
      </c>
      <c r="O1022" s="8" t="str">
        <f>formatIP(Table1[[#This Row],[Address A]])</f>
        <v>010.012.000.062</v>
      </c>
      <c r="P1022" s="8" t="str">
        <f>formatIP(Table1[[#This Row],[Address B]])</f>
        <v>143.166.147.101</v>
      </c>
      <c r="Q1022" s="8" t="str">
        <f>VLOOKUP(Table1[[#This Row],[Address A]],IP_Master[],4,FALSE)</f>
        <v>PPPCPET2</v>
      </c>
      <c r="R1022" s="8" t="e">
        <f>VLOOKUP(Table1[[#This Row],[Address B]],IP_Master[],4,FALSE)</f>
        <v>#N/A</v>
      </c>
      <c r="S1022" s="8" t="str">
        <f>VLOOKUP(Table1[[#This Row],[Address A]],IP_Master[],2,FALSE)</f>
        <v>PETs Plant</v>
      </c>
      <c r="T1022" s="8" t="e">
        <f>VLOOKUP(Table1[[#This Row],[Address B]],IP_Master[],2,FALSE)</f>
        <v>#N/A</v>
      </c>
      <c r="U1022" s="9" t="str">
        <f>VLOOKUP(Table1[[#This Row],[Address A]],IP_Master[],3,FALSE)</f>
        <v>iFIX Nodes &amp; Ethernet Switches</v>
      </c>
      <c r="V1022" s="9" t="e">
        <f>VLOOKUP(Table1[[#This Row],[Address B]],IP_Master[],3,FALSE)</f>
        <v>#N/A</v>
      </c>
      <c r="W1022" s="9" t="str">
        <f>VLOOKUP(Table1[[#This Row],[Port B]],traffic_types[],2,FALSE)</f>
        <v>HTTP</v>
      </c>
    </row>
    <row r="1023" spans="1:23" x14ac:dyDescent="0.6">
      <c r="A1023" t="s">
        <v>104</v>
      </c>
      <c r="B1023">
        <v>65520</v>
      </c>
      <c r="C1023" t="s">
        <v>101</v>
      </c>
      <c r="D1023">
        <v>80</v>
      </c>
      <c r="E1023">
        <v>3</v>
      </c>
      <c r="F1023" s="13">
        <v>194</v>
      </c>
      <c r="G1023">
        <v>3</v>
      </c>
      <c r="H1023">
        <v>194</v>
      </c>
      <c r="I1023">
        <v>0</v>
      </c>
      <c r="J1023">
        <v>0</v>
      </c>
      <c r="K1023">
        <v>722.22400200000004</v>
      </c>
      <c r="L1023">
        <v>8.9999759999999505</v>
      </c>
      <c r="M1023">
        <v>172.444904297524</v>
      </c>
      <c r="N1023">
        <v>0</v>
      </c>
      <c r="O1023" s="8" t="str">
        <f>formatIP(Table1[[#This Row],[Address A]])</f>
        <v>010.012.000.062</v>
      </c>
      <c r="P1023" s="8" t="str">
        <f>formatIP(Table1[[#This Row],[Address B]])</f>
        <v>023.000.040.234</v>
      </c>
      <c r="Q1023" s="8" t="str">
        <f>VLOOKUP(Table1[[#This Row],[Address A]],IP_Master[],4,FALSE)</f>
        <v>PPPCPET2</v>
      </c>
      <c r="R1023" s="8" t="e">
        <f>VLOOKUP(Table1[[#This Row],[Address B]],IP_Master[],4,FALSE)</f>
        <v>#N/A</v>
      </c>
      <c r="S1023" s="8" t="str">
        <f>VLOOKUP(Table1[[#This Row],[Address A]],IP_Master[],2,FALSE)</f>
        <v>PETs Plant</v>
      </c>
      <c r="T1023" s="8" t="e">
        <f>VLOOKUP(Table1[[#This Row],[Address B]],IP_Master[],2,FALSE)</f>
        <v>#N/A</v>
      </c>
      <c r="U1023" s="9" t="str">
        <f>VLOOKUP(Table1[[#This Row],[Address A]],IP_Master[],3,FALSE)</f>
        <v>iFIX Nodes &amp; Ethernet Switches</v>
      </c>
      <c r="V1023" s="9" t="e">
        <f>VLOOKUP(Table1[[#This Row],[Address B]],IP_Master[],3,FALSE)</f>
        <v>#N/A</v>
      </c>
      <c r="W1023" s="9" t="str">
        <f>VLOOKUP(Table1[[#This Row],[Port B]],traffic_types[],2,FALSE)</f>
        <v>HTTP</v>
      </c>
    </row>
    <row r="1024" spans="1:23" x14ac:dyDescent="0.6">
      <c r="A1024" t="s">
        <v>104</v>
      </c>
      <c r="B1024">
        <v>65524</v>
      </c>
      <c r="C1024" t="s">
        <v>107</v>
      </c>
      <c r="D1024">
        <v>80</v>
      </c>
      <c r="E1024">
        <v>3</v>
      </c>
      <c r="F1024" s="13">
        <v>194</v>
      </c>
      <c r="G1024">
        <v>3</v>
      </c>
      <c r="H1024">
        <v>194</v>
      </c>
      <c r="I1024">
        <v>0</v>
      </c>
      <c r="J1024">
        <v>0</v>
      </c>
      <c r="K1024">
        <v>737.93548399999997</v>
      </c>
      <c r="L1024">
        <v>8.9974690000000201</v>
      </c>
      <c r="M1024">
        <v>172.49295329608799</v>
      </c>
      <c r="N1024">
        <v>0</v>
      </c>
      <c r="O1024" s="8" t="str">
        <f>formatIP(Table1[[#This Row],[Address A]])</f>
        <v>010.012.000.062</v>
      </c>
      <c r="P1024" s="8" t="str">
        <f>formatIP(Table1[[#This Row],[Address B]])</f>
        <v>143.166.147.101</v>
      </c>
      <c r="Q1024" s="8" t="str">
        <f>VLOOKUP(Table1[[#This Row],[Address A]],IP_Master[],4,FALSE)</f>
        <v>PPPCPET2</v>
      </c>
      <c r="R1024" s="8" t="e">
        <f>VLOOKUP(Table1[[#This Row],[Address B]],IP_Master[],4,FALSE)</f>
        <v>#N/A</v>
      </c>
      <c r="S1024" s="8" t="str">
        <f>VLOOKUP(Table1[[#This Row],[Address A]],IP_Master[],2,FALSE)</f>
        <v>PETs Plant</v>
      </c>
      <c r="T1024" s="8" t="e">
        <f>VLOOKUP(Table1[[#This Row],[Address B]],IP_Master[],2,FALSE)</f>
        <v>#N/A</v>
      </c>
      <c r="U1024" s="9" t="str">
        <f>VLOOKUP(Table1[[#This Row],[Address A]],IP_Master[],3,FALSE)</f>
        <v>iFIX Nodes &amp; Ethernet Switches</v>
      </c>
      <c r="V1024" s="9" t="e">
        <f>VLOOKUP(Table1[[#This Row],[Address B]],IP_Master[],3,FALSE)</f>
        <v>#N/A</v>
      </c>
      <c r="W1024" s="9" t="str">
        <f>VLOOKUP(Table1[[#This Row],[Port B]],traffic_types[],2,FALSE)</f>
        <v>HTTP</v>
      </c>
    </row>
    <row r="1025" spans="1:23" x14ac:dyDescent="0.6">
      <c r="A1025" t="s">
        <v>104</v>
      </c>
      <c r="B1025">
        <v>65526</v>
      </c>
      <c r="C1025" t="s">
        <v>106</v>
      </c>
      <c r="D1025">
        <v>80</v>
      </c>
      <c r="E1025">
        <v>3</v>
      </c>
      <c r="F1025" s="13">
        <v>194</v>
      </c>
      <c r="G1025">
        <v>3</v>
      </c>
      <c r="H1025">
        <v>194</v>
      </c>
      <c r="I1025">
        <v>0</v>
      </c>
      <c r="J1025">
        <v>0</v>
      </c>
      <c r="K1025">
        <v>743.22883999999999</v>
      </c>
      <c r="L1025">
        <v>9.0074540000000507</v>
      </c>
      <c r="M1025">
        <v>172.30174031418801</v>
      </c>
      <c r="N1025">
        <v>0</v>
      </c>
      <c r="O1025" s="8" t="str">
        <f>formatIP(Table1[[#This Row],[Address A]])</f>
        <v>010.012.000.062</v>
      </c>
      <c r="P1025" s="8" t="str">
        <f>formatIP(Table1[[#This Row],[Address B]])</f>
        <v>172.217.022.068</v>
      </c>
      <c r="Q1025" s="8" t="str">
        <f>VLOOKUP(Table1[[#This Row],[Address A]],IP_Master[],4,FALSE)</f>
        <v>PPPCPET2</v>
      </c>
      <c r="R1025" s="8" t="e">
        <f>VLOOKUP(Table1[[#This Row],[Address B]],IP_Master[],4,FALSE)</f>
        <v>#N/A</v>
      </c>
      <c r="S1025" s="8" t="str">
        <f>VLOOKUP(Table1[[#This Row],[Address A]],IP_Master[],2,FALSE)</f>
        <v>PETs Plant</v>
      </c>
      <c r="T1025" s="8" t="e">
        <f>VLOOKUP(Table1[[#This Row],[Address B]],IP_Master[],2,FALSE)</f>
        <v>#N/A</v>
      </c>
      <c r="U1025" s="9" t="str">
        <f>VLOOKUP(Table1[[#This Row],[Address A]],IP_Master[],3,FALSE)</f>
        <v>iFIX Nodes &amp; Ethernet Switches</v>
      </c>
      <c r="V1025" s="9" t="e">
        <f>VLOOKUP(Table1[[#This Row],[Address B]],IP_Master[],3,FALSE)</f>
        <v>#N/A</v>
      </c>
      <c r="W1025" s="9" t="str">
        <f>VLOOKUP(Table1[[#This Row],[Port B]],traffic_types[],2,FALSE)</f>
        <v>HTTP</v>
      </c>
    </row>
    <row r="1026" spans="1:23" x14ac:dyDescent="0.6">
      <c r="A1026" t="s">
        <v>104</v>
      </c>
      <c r="B1026">
        <v>49155</v>
      </c>
      <c r="C1026" t="s">
        <v>107</v>
      </c>
      <c r="D1026">
        <v>80</v>
      </c>
      <c r="E1026">
        <v>3</v>
      </c>
      <c r="F1026" s="13">
        <v>194</v>
      </c>
      <c r="G1026">
        <v>3</v>
      </c>
      <c r="H1026">
        <v>194</v>
      </c>
      <c r="I1026">
        <v>0</v>
      </c>
      <c r="J1026">
        <v>0</v>
      </c>
      <c r="K1026">
        <v>770.94071399999996</v>
      </c>
      <c r="L1026">
        <v>9.0024090000000605</v>
      </c>
      <c r="M1026">
        <v>172.398299166366</v>
      </c>
      <c r="N1026">
        <v>0</v>
      </c>
      <c r="O1026" s="8" t="str">
        <f>formatIP(Table1[[#This Row],[Address A]])</f>
        <v>010.012.000.062</v>
      </c>
      <c r="P1026" s="8" t="str">
        <f>formatIP(Table1[[#This Row],[Address B]])</f>
        <v>143.166.147.101</v>
      </c>
      <c r="Q1026" s="8" t="str">
        <f>VLOOKUP(Table1[[#This Row],[Address A]],IP_Master[],4,FALSE)</f>
        <v>PPPCPET2</v>
      </c>
      <c r="R1026" s="8" t="e">
        <f>VLOOKUP(Table1[[#This Row],[Address B]],IP_Master[],4,FALSE)</f>
        <v>#N/A</v>
      </c>
      <c r="S1026" s="8" t="str">
        <f>VLOOKUP(Table1[[#This Row],[Address A]],IP_Master[],2,FALSE)</f>
        <v>PETs Plant</v>
      </c>
      <c r="T1026" s="8" t="e">
        <f>VLOOKUP(Table1[[#This Row],[Address B]],IP_Master[],2,FALSE)</f>
        <v>#N/A</v>
      </c>
      <c r="U1026" s="9" t="str">
        <f>VLOOKUP(Table1[[#This Row],[Address A]],IP_Master[],3,FALSE)</f>
        <v>iFIX Nodes &amp; Ethernet Switches</v>
      </c>
      <c r="V1026" s="9" t="e">
        <f>VLOOKUP(Table1[[#This Row],[Address B]],IP_Master[],3,FALSE)</f>
        <v>#N/A</v>
      </c>
      <c r="W1026" s="9" t="str">
        <f>VLOOKUP(Table1[[#This Row],[Port B]],traffic_types[],2,FALSE)</f>
        <v>HTTP</v>
      </c>
    </row>
    <row r="1027" spans="1:23" x14ac:dyDescent="0.6">
      <c r="A1027" t="s">
        <v>104</v>
      </c>
      <c r="B1027">
        <v>49156</v>
      </c>
      <c r="C1027" t="s">
        <v>101</v>
      </c>
      <c r="D1027">
        <v>80</v>
      </c>
      <c r="E1027">
        <v>3</v>
      </c>
      <c r="F1027" s="13">
        <v>194</v>
      </c>
      <c r="G1027">
        <v>3</v>
      </c>
      <c r="H1027">
        <v>194</v>
      </c>
      <c r="I1027">
        <v>0</v>
      </c>
      <c r="J1027">
        <v>0</v>
      </c>
      <c r="K1027">
        <v>772.39308800000003</v>
      </c>
      <c r="L1027">
        <v>8.9951139999999405</v>
      </c>
      <c r="M1027">
        <v>172.53811346915799</v>
      </c>
      <c r="N1027">
        <v>0</v>
      </c>
      <c r="O1027" s="8" t="str">
        <f>formatIP(Table1[[#This Row],[Address A]])</f>
        <v>010.012.000.062</v>
      </c>
      <c r="P1027" s="8" t="str">
        <f>formatIP(Table1[[#This Row],[Address B]])</f>
        <v>023.000.040.234</v>
      </c>
      <c r="Q1027" s="8" t="str">
        <f>VLOOKUP(Table1[[#This Row],[Address A]],IP_Master[],4,FALSE)</f>
        <v>PPPCPET2</v>
      </c>
      <c r="R1027" s="8" t="e">
        <f>VLOOKUP(Table1[[#This Row],[Address B]],IP_Master[],4,FALSE)</f>
        <v>#N/A</v>
      </c>
      <c r="S1027" s="8" t="str">
        <f>VLOOKUP(Table1[[#This Row],[Address A]],IP_Master[],2,FALSE)</f>
        <v>PETs Plant</v>
      </c>
      <c r="T1027" s="8" t="e">
        <f>VLOOKUP(Table1[[#This Row],[Address B]],IP_Master[],2,FALSE)</f>
        <v>#N/A</v>
      </c>
      <c r="U1027" s="9" t="str">
        <f>VLOOKUP(Table1[[#This Row],[Address A]],IP_Master[],3,FALSE)</f>
        <v>iFIX Nodes &amp; Ethernet Switches</v>
      </c>
      <c r="V1027" s="9" t="e">
        <f>VLOOKUP(Table1[[#This Row],[Address B]],IP_Master[],3,FALSE)</f>
        <v>#N/A</v>
      </c>
      <c r="W1027" s="9" t="str">
        <f>VLOOKUP(Table1[[#This Row],[Port B]],traffic_types[],2,FALSE)</f>
        <v>HTTP</v>
      </c>
    </row>
    <row r="1028" spans="1:23" x14ac:dyDescent="0.6">
      <c r="A1028" t="s">
        <v>104</v>
      </c>
      <c r="B1028">
        <v>49169</v>
      </c>
      <c r="C1028" t="s">
        <v>106</v>
      </c>
      <c r="D1028">
        <v>80</v>
      </c>
      <c r="E1028">
        <v>3</v>
      </c>
      <c r="F1028" s="13">
        <v>194</v>
      </c>
      <c r="G1028">
        <v>3</v>
      </c>
      <c r="H1028">
        <v>194</v>
      </c>
      <c r="I1028">
        <v>0</v>
      </c>
      <c r="J1028">
        <v>0</v>
      </c>
      <c r="K1028">
        <v>793.39859799999999</v>
      </c>
      <c r="L1028">
        <v>9.0089620000000004</v>
      </c>
      <c r="M1028">
        <v>172.272898919987</v>
      </c>
      <c r="N1028">
        <v>0</v>
      </c>
      <c r="O1028" s="8" t="str">
        <f>formatIP(Table1[[#This Row],[Address A]])</f>
        <v>010.012.000.062</v>
      </c>
      <c r="P1028" s="8" t="str">
        <f>formatIP(Table1[[#This Row],[Address B]])</f>
        <v>172.217.022.068</v>
      </c>
      <c r="Q1028" s="8" t="str">
        <f>VLOOKUP(Table1[[#This Row],[Address A]],IP_Master[],4,FALSE)</f>
        <v>PPPCPET2</v>
      </c>
      <c r="R1028" s="8" t="e">
        <f>VLOOKUP(Table1[[#This Row],[Address B]],IP_Master[],4,FALSE)</f>
        <v>#N/A</v>
      </c>
      <c r="S1028" s="8" t="str">
        <f>VLOOKUP(Table1[[#This Row],[Address A]],IP_Master[],2,FALSE)</f>
        <v>PETs Plant</v>
      </c>
      <c r="T1028" s="8" t="e">
        <f>VLOOKUP(Table1[[#This Row],[Address B]],IP_Master[],2,FALSE)</f>
        <v>#N/A</v>
      </c>
      <c r="U1028" s="9" t="str">
        <f>VLOOKUP(Table1[[#This Row],[Address A]],IP_Master[],3,FALSE)</f>
        <v>iFIX Nodes &amp; Ethernet Switches</v>
      </c>
      <c r="V1028" s="9" t="e">
        <f>VLOOKUP(Table1[[#This Row],[Address B]],IP_Master[],3,FALSE)</f>
        <v>#N/A</v>
      </c>
      <c r="W1028" s="9" t="str">
        <f>VLOOKUP(Table1[[#This Row],[Port B]],traffic_types[],2,FALSE)</f>
        <v>HTTP</v>
      </c>
    </row>
    <row r="1029" spans="1:23" x14ac:dyDescent="0.6">
      <c r="A1029" t="s">
        <v>104</v>
      </c>
      <c r="B1029">
        <v>49170</v>
      </c>
      <c r="C1029" t="s">
        <v>107</v>
      </c>
      <c r="D1029">
        <v>80</v>
      </c>
      <c r="E1029">
        <v>3</v>
      </c>
      <c r="F1029" s="13">
        <v>194</v>
      </c>
      <c r="G1029">
        <v>3</v>
      </c>
      <c r="H1029">
        <v>194</v>
      </c>
      <c r="I1029">
        <v>0</v>
      </c>
      <c r="J1029">
        <v>0</v>
      </c>
      <c r="K1029">
        <v>803.94277099999999</v>
      </c>
      <c r="L1029">
        <v>9.0035020000000294</v>
      </c>
      <c r="M1029">
        <v>172.377370494281</v>
      </c>
      <c r="N1029">
        <v>0</v>
      </c>
      <c r="O1029" s="8" t="str">
        <f>formatIP(Table1[[#This Row],[Address A]])</f>
        <v>010.012.000.062</v>
      </c>
      <c r="P1029" s="8" t="str">
        <f>formatIP(Table1[[#This Row],[Address B]])</f>
        <v>143.166.147.101</v>
      </c>
      <c r="Q1029" s="8" t="str">
        <f>VLOOKUP(Table1[[#This Row],[Address A]],IP_Master[],4,FALSE)</f>
        <v>PPPCPET2</v>
      </c>
      <c r="R1029" s="8" t="e">
        <f>VLOOKUP(Table1[[#This Row],[Address B]],IP_Master[],4,FALSE)</f>
        <v>#N/A</v>
      </c>
      <c r="S1029" s="8" t="str">
        <f>VLOOKUP(Table1[[#This Row],[Address A]],IP_Master[],2,FALSE)</f>
        <v>PETs Plant</v>
      </c>
      <c r="T1029" s="8" t="e">
        <f>VLOOKUP(Table1[[#This Row],[Address B]],IP_Master[],2,FALSE)</f>
        <v>#N/A</v>
      </c>
      <c r="U1029" s="9" t="str">
        <f>VLOOKUP(Table1[[#This Row],[Address A]],IP_Master[],3,FALSE)</f>
        <v>iFIX Nodes &amp; Ethernet Switches</v>
      </c>
      <c r="V1029" s="9" t="e">
        <f>VLOOKUP(Table1[[#This Row],[Address B]],IP_Master[],3,FALSE)</f>
        <v>#N/A</v>
      </c>
      <c r="W1029" s="9" t="str">
        <f>VLOOKUP(Table1[[#This Row],[Port B]],traffic_types[],2,FALSE)</f>
        <v>HTTP</v>
      </c>
    </row>
    <row r="1030" spans="1:23" x14ac:dyDescent="0.6">
      <c r="A1030" t="s">
        <v>104</v>
      </c>
      <c r="B1030">
        <v>49194</v>
      </c>
      <c r="C1030" t="s">
        <v>101</v>
      </c>
      <c r="D1030">
        <v>80</v>
      </c>
      <c r="E1030">
        <v>3</v>
      </c>
      <c r="F1030" s="13">
        <v>194</v>
      </c>
      <c r="G1030">
        <v>3</v>
      </c>
      <c r="H1030">
        <v>194</v>
      </c>
      <c r="I1030">
        <v>0</v>
      </c>
      <c r="J1030">
        <v>0</v>
      </c>
      <c r="K1030">
        <v>822.53120899999999</v>
      </c>
      <c r="L1030">
        <v>8.9992839999999905</v>
      </c>
      <c r="M1030">
        <v>172.458164449528</v>
      </c>
      <c r="N1030">
        <v>0</v>
      </c>
      <c r="O1030" s="8" t="str">
        <f>formatIP(Table1[[#This Row],[Address A]])</f>
        <v>010.012.000.062</v>
      </c>
      <c r="P1030" s="8" t="str">
        <f>formatIP(Table1[[#This Row],[Address B]])</f>
        <v>023.000.040.234</v>
      </c>
      <c r="Q1030" s="8" t="str">
        <f>VLOOKUP(Table1[[#This Row],[Address A]],IP_Master[],4,FALSE)</f>
        <v>PPPCPET2</v>
      </c>
      <c r="R1030" s="8" t="e">
        <f>VLOOKUP(Table1[[#This Row],[Address B]],IP_Master[],4,FALSE)</f>
        <v>#N/A</v>
      </c>
      <c r="S1030" s="8" t="str">
        <f>VLOOKUP(Table1[[#This Row],[Address A]],IP_Master[],2,FALSE)</f>
        <v>PETs Plant</v>
      </c>
      <c r="T1030" s="8" t="e">
        <f>VLOOKUP(Table1[[#This Row],[Address B]],IP_Master[],2,FALSE)</f>
        <v>#N/A</v>
      </c>
      <c r="U1030" s="9" t="str">
        <f>VLOOKUP(Table1[[#This Row],[Address A]],IP_Master[],3,FALSE)</f>
        <v>iFIX Nodes &amp; Ethernet Switches</v>
      </c>
      <c r="V1030" s="9" t="e">
        <f>VLOOKUP(Table1[[#This Row],[Address B]],IP_Master[],3,FALSE)</f>
        <v>#N/A</v>
      </c>
      <c r="W1030" s="9" t="str">
        <f>VLOOKUP(Table1[[#This Row],[Port B]],traffic_types[],2,FALSE)</f>
        <v>HTTP</v>
      </c>
    </row>
    <row r="1031" spans="1:23" x14ac:dyDescent="0.6">
      <c r="A1031" t="s">
        <v>104</v>
      </c>
      <c r="B1031">
        <v>49195</v>
      </c>
      <c r="C1031" t="s">
        <v>107</v>
      </c>
      <c r="D1031">
        <v>80</v>
      </c>
      <c r="E1031">
        <v>3</v>
      </c>
      <c r="F1031" s="13">
        <v>194</v>
      </c>
      <c r="G1031">
        <v>3</v>
      </c>
      <c r="H1031">
        <v>194</v>
      </c>
      <c r="I1031">
        <v>0</v>
      </c>
      <c r="J1031">
        <v>0</v>
      </c>
      <c r="K1031">
        <v>836.96914000000004</v>
      </c>
      <c r="L1031">
        <v>9.0092629999999208</v>
      </c>
      <c r="M1031">
        <v>172.26714327243101</v>
      </c>
      <c r="N1031">
        <v>0</v>
      </c>
      <c r="O1031" s="8" t="str">
        <f>formatIP(Table1[[#This Row],[Address A]])</f>
        <v>010.012.000.062</v>
      </c>
      <c r="P1031" s="8" t="str">
        <f>formatIP(Table1[[#This Row],[Address B]])</f>
        <v>143.166.147.101</v>
      </c>
      <c r="Q1031" s="8" t="str">
        <f>VLOOKUP(Table1[[#This Row],[Address A]],IP_Master[],4,FALSE)</f>
        <v>PPPCPET2</v>
      </c>
      <c r="R1031" s="8" t="e">
        <f>VLOOKUP(Table1[[#This Row],[Address B]],IP_Master[],4,FALSE)</f>
        <v>#N/A</v>
      </c>
      <c r="S1031" s="8" t="str">
        <f>VLOOKUP(Table1[[#This Row],[Address A]],IP_Master[],2,FALSE)</f>
        <v>PETs Plant</v>
      </c>
      <c r="T1031" s="8" t="e">
        <f>VLOOKUP(Table1[[#This Row],[Address B]],IP_Master[],2,FALSE)</f>
        <v>#N/A</v>
      </c>
      <c r="U1031" s="9" t="str">
        <f>VLOOKUP(Table1[[#This Row],[Address A]],IP_Master[],3,FALSE)</f>
        <v>iFIX Nodes &amp; Ethernet Switches</v>
      </c>
      <c r="V1031" s="9" t="e">
        <f>VLOOKUP(Table1[[#This Row],[Address B]],IP_Master[],3,FALSE)</f>
        <v>#N/A</v>
      </c>
      <c r="W1031" s="9" t="str">
        <f>VLOOKUP(Table1[[#This Row],[Port B]],traffic_types[],2,FALSE)</f>
        <v>HTTP</v>
      </c>
    </row>
    <row r="1032" spans="1:23" x14ac:dyDescent="0.6">
      <c r="A1032" t="s">
        <v>104</v>
      </c>
      <c r="B1032">
        <v>49196</v>
      </c>
      <c r="C1032" t="s">
        <v>106</v>
      </c>
      <c r="D1032">
        <v>80</v>
      </c>
      <c r="E1032">
        <v>3</v>
      </c>
      <c r="F1032" s="13">
        <v>194</v>
      </c>
      <c r="G1032">
        <v>3</v>
      </c>
      <c r="H1032">
        <v>194</v>
      </c>
      <c r="I1032">
        <v>0</v>
      </c>
      <c r="J1032">
        <v>0</v>
      </c>
      <c r="K1032">
        <v>843.54033000000004</v>
      </c>
      <c r="L1032">
        <v>9.0016789999999691</v>
      </c>
      <c r="M1032">
        <v>172.41227997576999</v>
      </c>
      <c r="N1032">
        <v>0</v>
      </c>
      <c r="O1032" s="8" t="str">
        <f>formatIP(Table1[[#This Row],[Address A]])</f>
        <v>010.012.000.062</v>
      </c>
      <c r="P1032" s="8" t="str">
        <f>formatIP(Table1[[#This Row],[Address B]])</f>
        <v>172.217.022.068</v>
      </c>
      <c r="Q1032" s="8" t="str">
        <f>VLOOKUP(Table1[[#This Row],[Address A]],IP_Master[],4,FALSE)</f>
        <v>PPPCPET2</v>
      </c>
      <c r="R1032" s="8" t="e">
        <f>VLOOKUP(Table1[[#This Row],[Address B]],IP_Master[],4,FALSE)</f>
        <v>#N/A</v>
      </c>
      <c r="S1032" s="8" t="str">
        <f>VLOOKUP(Table1[[#This Row],[Address A]],IP_Master[],2,FALSE)</f>
        <v>PETs Plant</v>
      </c>
      <c r="T1032" s="8" t="e">
        <f>VLOOKUP(Table1[[#This Row],[Address B]],IP_Master[],2,FALSE)</f>
        <v>#N/A</v>
      </c>
      <c r="U1032" s="9" t="str">
        <f>VLOOKUP(Table1[[#This Row],[Address A]],IP_Master[],3,FALSE)</f>
        <v>iFIX Nodes &amp; Ethernet Switches</v>
      </c>
      <c r="V1032" s="9" t="e">
        <f>VLOOKUP(Table1[[#This Row],[Address B]],IP_Master[],3,FALSE)</f>
        <v>#N/A</v>
      </c>
      <c r="W1032" s="9" t="str">
        <f>VLOOKUP(Table1[[#This Row],[Port B]],traffic_types[],2,FALSE)</f>
        <v>HTTP</v>
      </c>
    </row>
    <row r="1033" spans="1:23" x14ac:dyDescent="0.6">
      <c r="A1033" t="s">
        <v>104</v>
      </c>
      <c r="B1033">
        <v>49209</v>
      </c>
      <c r="C1033" t="s">
        <v>107</v>
      </c>
      <c r="D1033">
        <v>80</v>
      </c>
      <c r="E1033">
        <v>3</v>
      </c>
      <c r="F1033" s="13">
        <v>194</v>
      </c>
      <c r="G1033">
        <v>3</v>
      </c>
      <c r="H1033">
        <v>194</v>
      </c>
      <c r="I1033">
        <v>0</v>
      </c>
      <c r="J1033">
        <v>0</v>
      </c>
      <c r="K1033">
        <v>869.96907399999998</v>
      </c>
      <c r="L1033">
        <v>8.9915330000000004</v>
      </c>
      <c r="M1033">
        <v>172.60682911356699</v>
      </c>
      <c r="N1033">
        <v>0</v>
      </c>
      <c r="O1033" s="8" t="str">
        <f>formatIP(Table1[[#This Row],[Address A]])</f>
        <v>010.012.000.062</v>
      </c>
      <c r="P1033" s="8" t="str">
        <f>formatIP(Table1[[#This Row],[Address B]])</f>
        <v>143.166.147.101</v>
      </c>
      <c r="Q1033" s="8" t="str">
        <f>VLOOKUP(Table1[[#This Row],[Address A]],IP_Master[],4,FALSE)</f>
        <v>PPPCPET2</v>
      </c>
      <c r="R1033" s="8" t="e">
        <f>VLOOKUP(Table1[[#This Row],[Address B]],IP_Master[],4,FALSE)</f>
        <v>#N/A</v>
      </c>
      <c r="S1033" s="8" t="str">
        <f>VLOOKUP(Table1[[#This Row],[Address A]],IP_Master[],2,FALSE)</f>
        <v>PETs Plant</v>
      </c>
      <c r="T1033" s="8" t="e">
        <f>VLOOKUP(Table1[[#This Row],[Address B]],IP_Master[],2,FALSE)</f>
        <v>#N/A</v>
      </c>
      <c r="U1033" s="9" t="str">
        <f>VLOOKUP(Table1[[#This Row],[Address A]],IP_Master[],3,FALSE)</f>
        <v>iFIX Nodes &amp; Ethernet Switches</v>
      </c>
      <c r="V1033" s="9" t="e">
        <f>VLOOKUP(Table1[[#This Row],[Address B]],IP_Master[],3,FALSE)</f>
        <v>#N/A</v>
      </c>
      <c r="W1033" s="9" t="str">
        <f>VLOOKUP(Table1[[#This Row],[Port B]],traffic_types[],2,FALSE)</f>
        <v>HTTP</v>
      </c>
    </row>
    <row r="1034" spans="1:23" x14ac:dyDescent="0.6">
      <c r="A1034" t="s">
        <v>104</v>
      </c>
      <c r="B1034">
        <v>49210</v>
      </c>
      <c r="C1034" t="s">
        <v>101</v>
      </c>
      <c r="D1034">
        <v>80</v>
      </c>
      <c r="E1034">
        <v>3</v>
      </c>
      <c r="F1034" s="13">
        <v>194</v>
      </c>
      <c r="G1034">
        <v>3</v>
      </c>
      <c r="H1034">
        <v>194</v>
      </c>
      <c r="I1034">
        <v>0</v>
      </c>
      <c r="J1034">
        <v>0</v>
      </c>
      <c r="K1034">
        <v>872.677775</v>
      </c>
      <c r="L1034">
        <v>9.0000360000000192</v>
      </c>
      <c r="M1034">
        <v>172.443754669425</v>
      </c>
      <c r="N1034">
        <v>0</v>
      </c>
      <c r="O1034" s="8" t="str">
        <f>formatIP(Table1[[#This Row],[Address A]])</f>
        <v>010.012.000.062</v>
      </c>
      <c r="P1034" s="8" t="str">
        <f>formatIP(Table1[[#This Row],[Address B]])</f>
        <v>023.000.040.234</v>
      </c>
      <c r="Q1034" s="8" t="str">
        <f>VLOOKUP(Table1[[#This Row],[Address A]],IP_Master[],4,FALSE)</f>
        <v>PPPCPET2</v>
      </c>
      <c r="R1034" s="8" t="e">
        <f>VLOOKUP(Table1[[#This Row],[Address B]],IP_Master[],4,FALSE)</f>
        <v>#N/A</v>
      </c>
      <c r="S1034" s="8" t="str">
        <f>VLOOKUP(Table1[[#This Row],[Address A]],IP_Master[],2,FALSE)</f>
        <v>PETs Plant</v>
      </c>
      <c r="T1034" s="8" t="e">
        <f>VLOOKUP(Table1[[#This Row],[Address B]],IP_Master[],2,FALSE)</f>
        <v>#N/A</v>
      </c>
      <c r="U1034" s="9" t="str">
        <f>VLOOKUP(Table1[[#This Row],[Address A]],IP_Master[],3,FALSE)</f>
        <v>iFIX Nodes &amp; Ethernet Switches</v>
      </c>
      <c r="V1034" s="9" t="e">
        <f>VLOOKUP(Table1[[#This Row],[Address B]],IP_Master[],3,FALSE)</f>
        <v>#N/A</v>
      </c>
      <c r="W1034" s="9" t="str">
        <f>VLOOKUP(Table1[[#This Row],[Port B]],traffic_types[],2,FALSE)</f>
        <v>HTTP</v>
      </c>
    </row>
    <row r="1035" spans="1:23" x14ac:dyDescent="0.6">
      <c r="A1035" t="s">
        <v>104</v>
      </c>
      <c r="B1035">
        <v>49221</v>
      </c>
      <c r="C1035" t="s">
        <v>106</v>
      </c>
      <c r="D1035">
        <v>80</v>
      </c>
      <c r="E1035">
        <v>3</v>
      </c>
      <c r="F1035" s="13">
        <v>194</v>
      </c>
      <c r="G1035">
        <v>3</v>
      </c>
      <c r="H1035">
        <v>194</v>
      </c>
      <c r="I1035">
        <v>0</v>
      </c>
      <c r="J1035">
        <v>0</v>
      </c>
      <c r="K1035">
        <v>893.67656999999997</v>
      </c>
      <c r="L1035">
        <v>9.0016160000000092</v>
      </c>
      <c r="M1035">
        <v>172.41348664506401</v>
      </c>
      <c r="N1035">
        <v>0</v>
      </c>
      <c r="O1035" s="8" t="str">
        <f>formatIP(Table1[[#This Row],[Address A]])</f>
        <v>010.012.000.062</v>
      </c>
      <c r="P1035" s="8" t="str">
        <f>formatIP(Table1[[#This Row],[Address B]])</f>
        <v>172.217.022.068</v>
      </c>
      <c r="Q1035" s="8" t="str">
        <f>VLOOKUP(Table1[[#This Row],[Address A]],IP_Master[],4,FALSE)</f>
        <v>PPPCPET2</v>
      </c>
      <c r="R1035" s="8" t="e">
        <f>VLOOKUP(Table1[[#This Row],[Address B]],IP_Master[],4,FALSE)</f>
        <v>#N/A</v>
      </c>
      <c r="S1035" s="8" t="str">
        <f>VLOOKUP(Table1[[#This Row],[Address A]],IP_Master[],2,FALSE)</f>
        <v>PETs Plant</v>
      </c>
      <c r="T1035" s="8" t="e">
        <f>VLOOKUP(Table1[[#This Row],[Address B]],IP_Master[],2,FALSE)</f>
        <v>#N/A</v>
      </c>
      <c r="U1035" s="9" t="str">
        <f>VLOOKUP(Table1[[#This Row],[Address A]],IP_Master[],3,FALSE)</f>
        <v>iFIX Nodes &amp; Ethernet Switches</v>
      </c>
      <c r="V1035" s="9" t="e">
        <f>VLOOKUP(Table1[[#This Row],[Address B]],IP_Master[],3,FALSE)</f>
        <v>#N/A</v>
      </c>
      <c r="W1035" s="9" t="str">
        <f>VLOOKUP(Table1[[#This Row],[Port B]],traffic_types[],2,FALSE)</f>
        <v>HTTP</v>
      </c>
    </row>
    <row r="1036" spans="1:23" x14ac:dyDescent="0.6">
      <c r="A1036" t="s">
        <v>54</v>
      </c>
      <c r="B1036">
        <v>3064</v>
      </c>
      <c r="C1036" t="s">
        <v>89</v>
      </c>
      <c r="D1036">
        <v>80</v>
      </c>
      <c r="E1036">
        <v>3</v>
      </c>
      <c r="F1036" s="13">
        <v>186</v>
      </c>
      <c r="G1036">
        <v>3</v>
      </c>
      <c r="H1036">
        <v>186</v>
      </c>
      <c r="I1036">
        <v>0</v>
      </c>
      <c r="J1036">
        <v>0</v>
      </c>
      <c r="K1036">
        <v>207.095111</v>
      </c>
      <c r="L1036">
        <v>8.9344969999999897</v>
      </c>
      <c r="M1036">
        <v>166.54546976735199</v>
      </c>
      <c r="N1036">
        <v>0</v>
      </c>
      <c r="O1036" s="8" t="str">
        <f>formatIP(Table1[[#This Row],[Address A]])</f>
        <v>010.012.000.063</v>
      </c>
      <c r="P1036" s="8" t="str">
        <f>formatIP(Table1[[#This Row],[Address B]])</f>
        <v>095.101.113.032</v>
      </c>
      <c r="Q1036" s="8" t="str">
        <f>VLOOKUP(Table1[[#This Row],[Address A]],IP_Master[],4,FALSE)</f>
        <v>PPPCPET3</v>
      </c>
      <c r="R1036" s="8" t="e">
        <f>VLOOKUP(Table1[[#This Row],[Address B]],IP_Master[],4,FALSE)</f>
        <v>#N/A</v>
      </c>
      <c r="S1036" s="8" t="str">
        <f>VLOOKUP(Table1[[#This Row],[Address A]],IP_Master[],2,FALSE)</f>
        <v>PETs Plant</v>
      </c>
      <c r="T1036" s="8" t="e">
        <f>VLOOKUP(Table1[[#This Row],[Address B]],IP_Master[],2,FALSE)</f>
        <v>#N/A</v>
      </c>
      <c r="U1036" s="9" t="str">
        <f>VLOOKUP(Table1[[#This Row],[Address A]],IP_Master[],3,FALSE)</f>
        <v>iFIX Nodes &amp; Ethernet Switches</v>
      </c>
      <c r="V1036" s="9" t="e">
        <f>VLOOKUP(Table1[[#This Row],[Address B]],IP_Master[],3,FALSE)</f>
        <v>#N/A</v>
      </c>
      <c r="W1036" s="9" t="str">
        <f>VLOOKUP(Table1[[#This Row],[Port B]],traffic_types[],2,FALSE)</f>
        <v>HTTP</v>
      </c>
    </row>
    <row r="1037" spans="1:23" x14ac:dyDescent="0.6">
      <c r="A1037" t="s">
        <v>54</v>
      </c>
      <c r="B1037">
        <v>3065</v>
      </c>
      <c r="C1037" t="s">
        <v>90</v>
      </c>
      <c r="D1037">
        <v>80</v>
      </c>
      <c r="E1037">
        <v>3</v>
      </c>
      <c r="F1037" s="13">
        <v>186</v>
      </c>
      <c r="G1037">
        <v>3</v>
      </c>
      <c r="H1037">
        <v>186</v>
      </c>
      <c r="I1037">
        <v>0</v>
      </c>
      <c r="J1037">
        <v>0</v>
      </c>
      <c r="K1037">
        <v>228.062365</v>
      </c>
      <c r="L1037">
        <v>9.1865459999999892</v>
      </c>
      <c r="M1037">
        <v>161.976002732692</v>
      </c>
      <c r="N1037">
        <v>0</v>
      </c>
      <c r="O1037" s="8" t="str">
        <f>formatIP(Table1[[#This Row],[Address A]])</f>
        <v>010.012.000.063</v>
      </c>
      <c r="P1037" s="8" t="str">
        <f>formatIP(Table1[[#This Row],[Address B]])</f>
        <v>095.101.113.042</v>
      </c>
      <c r="Q1037" s="8" t="str">
        <f>VLOOKUP(Table1[[#This Row],[Address A]],IP_Master[],4,FALSE)</f>
        <v>PPPCPET3</v>
      </c>
      <c r="R1037" s="8" t="e">
        <f>VLOOKUP(Table1[[#This Row],[Address B]],IP_Master[],4,FALSE)</f>
        <v>#N/A</v>
      </c>
      <c r="S1037" s="8" t="str">
        <f>VLOOKUP(Table1[[#This Row],[Address A]],IP_Master[],2,FALSE)</f>
        <v>PETs Plant</v>
      </c>
      <c r="T1037" s="8" t="e">
        <f>VLOOKUP(Table1[[#This Row],[Address B]],IP_Master[],2,FALSE)</f>
        <v>#N/A</v>
      </c>
      <c r="U1037" s="9" t="str">
        <f>VLOOKUP(Table1[[#This Row],[Address A]],IP_Master[],3,FALSE)</f>
        <v>iFIX Nodes &amp; Ethernet Switches</v>
      </c>
      <c r="V1037" s="9" t="e">
        <f>VLOOKUP(Table1[[#This Row],[Address B]],IP_Master[],3,FALSE)</f>
        <v>#N/A</v>
      </c>
      <c r="W1037" s="9" t="str">
        <f>VLOOKUP(Table1[[#This Row],[Port B]],traffic_types[],2,FALSE)</f>
        <v>HTTP</v>
      </c>
    </row>
    <row r="1038" spans="1:23" x14ac:dyDescent="0.6">
      <c r="A1038" t="s">
        <v>54</v>
      </c>
      <c r="B1038">
        <v>3066</v>
      </c>
      <c r="C1038" t="s">
        <v>91</v>
      </c>
      <c r="D1038">
        <v>80</v>
      </c>
      <c r="E1038">
        <v>3</v>
      </c>
      <c r="F1038" s="13">
        <v>186</v>
      </c>
      <c r="G1038">
        <v>3</v>
      </c>
      <c r="H1038">
        <v>186</v>
      </c>
      <c r="I1038">
        <v>0</v>
      </c>
      <c r="J1038">
        <v>0</v>
      </c>
      <c r="K1038">
        <v>249.280968</v>
      </c>
      <c r="L1038">
        <v>9.0778529999999797</v>
      </c>
      <c r="M1038">
        <v>163.915410394947</v>
      </c>
      <c r="N1038">
        <v>0</v>
      </c>
      <c r="O1038" s="8" t="str">
        <f>formatIP(Table1[[#This Row],[Address A]])</f>
        <v>010.012.000.063</v>
      </c>
      <c r="P1038" s="8" t="str">
        <f>formatIP(Table1[[#This Row],[Address B]])</f>
        <v>095.101.113.024</v>
      </c>
      <c r="Q1038" s="8" t="str">
        <f>VLOOKUP(Table1[[#This Row],[Address A]],IP_Master[],4,FALSE)</f>
        <v>PPPCPET3</v>
      </c>
      <c r="R1038" s="8" t="e">
        <f>VLOOKUP(Table1[[#This Row],[Address B]],IP_Master[],4,FALSE)</f>
        <v>#N/A</v>
      </c>
      <c r="S1038" s="8" t="str">
        <f>VLOOKUP(Table1[[#This Row],[Address A]],IP_Master[],2,FALSE)</f>
        <v>PETs Plant</v>
      </c>
      <c r="T1038" s="8" t="e">
        <f>VLOOKUP(Table1[[#This Row],[Address B]],IP_Master[],2,FALSE)</f>
        <v>#N/A</v>
      </c>
      <c r="U1038" s="9" t="str">
        <f>VLOOKUP(Table1[[#This Row],[Address A]],IP_Master[],3,FALSE)</f>
        <v>iFIX Nodes &amp; Ethernet Switches</v>
      </c>
      <c r="V1038" s="9" t="e">
        <f>VLOOKUP(Table1[[#This Row],[Address B]],IP_Master[],3,FALSE)</f>
        <v>#N/A</v>
      </c>
      <c r="W1038" s="9" t="str">
        <f>VLOOKUP(Table1[[#This Row],[Port B]],traffic_types[],2,FALSE)</f>
        <v>HTTP</v>
      </c>
    </row>
    <row r="1039" spans="1:23" x14ac:dyDescent="0.6">
      <c r="A1039" t="s">
        <v>54</v>
      </c>
      <c r="B1039">
        <v>3067</v>
      </c>
      <c r="C1039" t="s">
        <v>92</v>
      </c>
      <c r="D1039">
        <v>80</v>
      </c>
      <c r="E1039">
        <v>3</v>
      </c>
      <c r="F1039" s="13">
        <v>186</v>
      </c>
      <c r="G1039">
        <v>3</v>
      </c>
      <c r="H1039">
        <v>186</v>
      </c>
      <c r="I1039">
        <v>0</v>
      </c>
      <c r="J1039">
        <v>0</v>
      </c>
      <c r="K1039">
        <v>270.281588</v>
      </c>
      <c r="L1039">
        <v>9.2963770000000103</v>
      </c>
      <c r="M1039">
        <v>160.062355474611</v>
      </c>
      <c r="N1039">
        <v>0</v>
      </c>
      <c r="O1039" s="8" t="str">
        <f>formatIP(Table1[[#This Row],[Address A]])</f>
        <v>010.012.000.063</v>
      </c>
      <c r="P1039" s="8" t="str">
        <f>formatIP(Table1[[#This Row],[Address B]])</f>
        <v>095.101.113.041</v>
      </c>
      <c r="Q1039" s="8" t="str">
        <f>VLOOKUP(Table1[[#This Row],[Address A]],IP_Master[],4,FALSE)</f>
        <v>PPPCPET3</v>
      </c>
      <c r="R1039" s="8" t="e">
        <f>VLOOKUP(Table1[[#This Row],[Address B]],IP_Master[],4,FALSE)</f>
        <v>#N/A</v>
      </c>
      <c r="S1039" s="8" t="str">
        <f>VLOOKUP(Table1[[#This Row],[Address A]],IP_Master[],2,FALSE)</f>
        <v>PETs Plant</v>
      </c>
      <c r="T1039" s="8" t="e">
        <f>VLOOKUP(Table1[[#This Row],[Address B]],IP_Master[],2,FALSE)</f>
        <v>#N/A</v>
      </c>
      <c r="U1039" s="9" t="str">
        <f>VLOOKUP(Table1[[#This Row],[Address A]],IP_Master[],3,FALSE)</f>
        <v>iFIX Nodes &amp; Ethernet Switches</v>
      </c>
      <c r="V1039" s="9" t="e">
        <f>VLOOKUP(Table1[[#This Row],[Address B]],IP_Master[],3,FALSE)</f>
        <v>#N/A</v>
      </c>
      <c r="W1039" s="9" t="str">
        <f>VLOOKUP(Table1[[#This Row],[Port B]],traffic_types[],2,FALSE)</f>
        <v>HTTP</v>
      </c>
    </row>
    <row r="1040" spans="1:23" x14ac:dyDescent="0.6">
      <c r="A1040" t="s">
        <v>54</v>
      </c>
      <c r="B1040">
        <v>3068</v>
      </c>
      <c r="C1040" t="s">
        <v>93</v>
      </c>
      <c r="D1040">
        <v>80</v>
      </c>
      <c r="E1040">
        <v>3</v>
      </c>
      <c r="F1040" s="13">
        <v>186</v>
      </c>
      <c r="G1040">
        <v>3</v>
      </c>
      <c r="H1040">
        <v>186</v>
      </c>
      <c r="I1040">
        <v>0</v>
      </c>
      <c r="J1040">
        <v>0</v>
      </c>
      <c r="K1040">
        <v>291.71947299999999</v>
      </c>
      <c r="L1040">
        <v>9.0777239999999892</v>
      </c>
      <c r="M1040">
        <v>163.917739732999</v>
      </c>
      <c r="N1040">
        <v>0</v>
      </c>
      <c r="O1040" s="8" t="str">
        <f>formatIP(Table1[[#This Row],[Address A]])</f>
        <v>010.012.000.063</v>
      </c>
      <c r="P1040" s="8" t="str">
        <f>formatIP(Table1[[#This Row],[Address B]])</f>
        <v>095.101.113.034</v>
      </c>
      <c r="Q1040" s="8" t="str">
        <f>VLOOKUP(Table1[[#This Row],[Address A]],IP_Master[],4,FALSE)</f>
        <v>PPPCPET3</v>
      </c>
      <c r="R1040" s="8" t="e">
        <f>VLOOKUP(Table1[[#This Row],[Address B]],IP_Master[],4,FALSE)</f>
        <v>#N/A</v>
      </c>
      <c r="S1040" s="8" t="str">
        <f>VLOOKUP(Table1[[#This Row],[Address A]],IP_Master[],2,FALSE)</f>
        <v>PETs Plant</v>
      </c>
      <c r="T1040" s="8" t="e">
        <f>VLOOKUP(Table1[[#This Row],[Address B]],IP_Master[],2,FALSE)</f>
        <v>#N/A</v>
      </c>
      <c r="U1040" s="9" t="str">
        <f>VLOOKUP(Table1[[#This Row],[Address A]],IP_Master[],3,FALSE)</f>
        <v>iFIX Nodes &amp; Ethernet Switches</v>
      </c>
      <c r="V1040" s="9" t="e">
        <f>VLOOKUP(Table1[[#This Row],[Address B]],IP_Master[],3,FALSE)</f>
        <v>#N/A</v>
      </c>
      <c r="W1040" s="9" t="str">
        <f>VLOOKUP(Table1[[#This Row],[Port B]],traffic_types[],2,FALSE)</f>
        <v>HTTP</v>
      </c>
    </row>
    <row r="1041" spans="1:23" x14ac:dyDescent="0.6">
      <c r="A1041" t="s">
        <v>54</v>
      </c>
      <c r="B1041">
        <v>3069</v>
      </c>
      <c r="C1041" t="s">
        <v>94</v>
      </c>
      <c r="D1041">
        <v>80</v>
      </c>
      <c r="E1041">
        <v>3</v>
      </c>
      <c r="F1041" s="13">
        <v>186</v>
      </c>
      <c r="G1041">
        <v>3</v>
      </c>
      <c r="H1041">
        <v>186</v>
      </c>
      <c r="I1041">
        <v>0</v>
      </c>
      <c r="J1041">
        <v>0</v>
      </c>
      <c r="K1041">
        <v>312.82918599999999</v>
      </c>
      <c r="L1041">
        <v>9.0793209999999895</v>
      </c>
      <c r="M1041">
        <v>163.888907551567</v>
      </c>
      <c r="N1041">
        <v>0</v>
      </c>
      <c r="O1041" s="8" t="str">
        <f>formatIP(Table1[[#This Row],[Address A]])</f>
        <v>010.012.000.063</v>
      </c>
      <c r="P1041" s="8" t="str">
        <f>formatIP(Table1[[#This Row],[Address B]])</f>
        <v>095.101.113.033</v>
      </c>
      <c r="Q1041" s="8" t="str">
        <f>VLOOKUP(Table1[[#This Row],[Address A]],IP_Master[],4,FALSE)</f>
        <v>PPPCPET3</v>
      </c>
      <c r="R1041" s="8" t="e">
        <f>VLOOKUP(Table1[[#This Row],[Address B]],IP_Master[],4,FALSE)</f>
        <v>#N/A</v>
      </c>
      <c r="S1041" s="8" t="str">
        <f>VLOOKUP(Table1[[#This Row],[Address A]],IP_Master[],2,FALSE)</f>
        <v>PETs Plant</v>
      </c>
      <c r="T1041" s="8" t="e">
        <f>VLOOKUP(Table1[[#This Row],[Address B]],IP_Master[],2,FALSE)</f>
        <v>#N/A</v>
      </c>
      <c r="U1041" s="9" t="str">
        <f>VLOOKUP(Table1[[#This Row],[Address A]],IP_Master[],3,FALSE)</f>
        <v>iFIX Nodes &amp; Ethernet Switches</v>
      </c>
      <c r="V1041" s="9" t="e">
        <f>VLOOKUP(Table1[[#This Row],[Address B]],IP_Master[],3,FALSE)</f>
        <v>#N/A</v>
      </c>
      <c r="W1041" s="9" t="str">
        <f>VLOOKUP(Table1[[#This Row],[Port B]],traffic_types[],2,FALSE)</f>
        <v>HTTP</v>
      </c>
    </row>
    <row r="1042" spans="1:23" x14ac:dyDescent="0.6">
      <c r="A1042" t="s">
        <v>54</v>
      </c>
      <c r="B1042">
        <v>3070</v>
      </c>
      <c r="C1042" t="s">
        <v>95</v>
      </c>
      <c r="D1042">
        <v>80</v>
      </c>
      <c r="E1042">
        <v>3</v>
      </c>
      <c r="F1042" s="13">
        <v>186</v>
      </c>
      <c r="G1042">
        <v>3</v>
      </c>
      <c r="H1042">
        <v>186</v>
      </c>
      <c r="I1042">
        <v>0</v>
      </c>
      <c r="J1042">
        <v>0</v>
      </c>
      <c r="K1042">
        <v>334.04839700000002</v>
      </c>
      <c r="L1042">
        <v>8.9685639999999598</v>
      </c>
      <c r="M1042">
        <v>165.91284847830801</v>
      </c>
      <c r="N1042">
        <v>0</v>
      </c>
      <c r="O1042" s="8" t="str">
        <f>formatIP(Table1[[#This Row],[Address A]])</f>
        <v>010.012.000.063</v>
      </c>
      <c r="P1042" s="8" t="str">
        <f>formatIP(Table1[[#This Row],[Address B]])</f>
        <v>095.101.113.026</v>
      </c>
      <c r="Q1042" s="8" t="str">
        <f>VLOOKUP(Table1[[#This Row],[Address A]],IP_Master[],4,FALSE)</f>
        <v>PPPCPET3</v>
      </c>
      <c r="R1042" s="8" t="e">
        <f>VLOOKUP(Table1[[#This Row],[Address B]],IP_Master[],4,FALSE)</f>
        <v>#N/A</v>
      </c>
      <c r="S1042" s="8" t="str">
        <f>VLOOKUP(Table1[[#This Row],[Address A]],IP_Master[],2,FALSE)</f>
        <v>PETs Plant</v>
      </c>
      <c r="T1042" s="8" t="e">
        <f>VLOOKUP(Table1[[#This Row],[Address B]],IP_Master[],2,FALSE)</f>
        <v>#N/A</v>
      </c>
      <c r="U1042" s="9" t="str">
        <f>VLOOKUP(Table1[[#This Row],[Address A]],IP_Master[],3,FALSE)</f>
        <v>iFIX Nodes &amp; Ethernet Switches</v>
      </c>
      <c r="V1042" s="9" t="e">
        <f>VLOOKUP(Table1[[#This Row],[Address B]],IP_Master[],3,FALSE)</f>
        <v>#N/A</v>
      </c>
      <c r="W1042" s="9" t="str">
        <f>VLOOKUP(Table1[[#This Row],[Port B]],traffic_types[],2,FALSE)</f>
        <v>HTTP</v>
      </c>
    </row>
    <row r="1043" spans="1:23" x14ac:dyDescent="0.6">
      <c r="A1043" t="s">
        <v>54</v>
      </c>
      <c r="B1043">
        <v>3071</v>
      </c>
      <c r="C1043" t="s">
        <v>96</v>
      </c>
      <c r="D1043">
        <v>80</v>
      </c>
      <c r="E1043">
        <v>3</v>
      </c>
      <c r="F1043" s="13">
        <v>186</v>
      </c>
      <c r="G1043">
        <v>3</v>
      </c>
      <c r="H1043">
        <v>186</v>
      </c>
      <c r="I1043">
        <v>0</v>
      </c>
      <c r="J1043">
        <v>0</v>
      </c>
      <c r="K1043">
        <v>355.048967</v>
      </c>
      <c r="L1043">
        <v>9.1872359999999809</v>
      </c>
      <c r="M1043">
        <v>161.96383765476401</v>
      </c>
      <c r="N1043">
        <v>0</v>
      </c>
      <c r="O1043" s="8" t="str">
        <f>formatIP(Table1[[#This Row],[Address A]])</f>
        <v>010.012.000.063</v>
      </c>
      <c r="P1043" s="8" t="str">
        <f>formatIP(Table1[[#This Row],[Address B]])</f>
        <v>095.101.113.040</v>
      </c>
      <c r="Q1043" s="8" t="str">
        <f>VLOOKUP(Table1[[#This Row],[Address A]],IP_Master[],4,FALSE)</f>
        <v>PPPCPET3</v>
      </c>
      <c r="R1043" s="8" t="e">
        <f>VLOOKUP(Table1[[#This Row],[Address B]],IP_Master[],4,FALSE)</f>
        <v>#N/A</v>
      </c>
      <c r="S1043" s="8" t="str">
        <f>VLOOKUP(Table1[[#This Row],[Address A]],IP_Master[],2,FALSE)</f>
        <v>PETs Plant</v>
      </c>
      <c r="T1043" s="8" t="e">
        <f>VLOOKUP(Table1[[#This Row],[Address B]],IP_Master[],2,FALSE)</f>
        <v>#N/A</v>
      </c>
      <c r="U1043" s="9" t="str">
        <f>VLOOKUP(Table1[[#This Row],[Address A]],IP_Master[],3,FALSE)</f>
        <v>iFIX Nodes &amp; Ethernet Switches</v>
      </c>
      <c r="V1043" s="9" t="e">
        <f>VLOOKUP(Table1[[#This Row],[Address B]],IP_Master[],3,FALSE)</f>
        <v>#N/A</v>
      </c>
      <c r="W1043" s="9" t="str">
        <f>VLOOKUP(Table1[[#This Row],[Port B]],traffic_types[],2,FALSE)</f>
        <v>HTTP</v>
      </c>
    </row>
    <row r="1044" spans="1:23" x14ac:dyDescent="0.6">
      <c r="A1044" t="s">
        <v>54</v>
      </c>
      <c r="B1044">
        <v>3072</v>
      </c>
      <c r="C1044" t="s">
        <v>88</v>
      </c>
      <c r="D1044">
        <v>80</v>
      </c>
      <c r="E1044">
        <v>3</v>
      </c>
      <c r="F1044" s="13">
        <v>186</v>
      </c>
      <c r="G1044">
        <v>3</v>
      </c>
      <c r="H1044">
        <v>186</v>
      </c>
      <c r="I1044">
        <v>0</v>
      </c>
      <c r="J1044">
        <v>0</v>
      </c>
      <c r="K1044">
        <v>376.37759599999998</v>
      </c>
      <c r="L1044">
        <v>9.2966940000000005</v>
      </c>
      <c r="M1044">
        <v>160.05689764555001</v>
      </c>
      <c r="N1044">
        <v>0</v>
      </c>
      <c r="O1044" s="8" t="str">
        <f>formatIP(Table1[[#This Row],[Address A]])</f>
        <v>010.012.000.063</v>
      </c>
      <c r="P1044" s="8" t="str">
        <f>formatIP(Table1[[#This Row],[Address B]])</f>
        <v>095.101.113.027</v>
      </c>
      <c r="Q1044" s="8" t="str">
        <f>VLOOKUP(Table1[[#This Row],[Address A]],IP_Master[],4,FALSE)</f>
        <v>PPPCPET3</v>
      </c>
      <c r="R1044" s="8" t="e">
        <f>VLOOKUP(Table1[[#This Row],[Address B]],IP_Master[],4,FALSE)</f>
        <v>#N/A</v>
      </c>
      <c r="S1044" s="8" t="str">
        <f>VLOOKUP(Table1[[#This Row],[Address A]],IP_Master[],2,FALSE)</f>
        <v>PETs Plant</v>
      </c>
      <c r="T1044" s="8" t="e">
        <f>VLOOKUP(Table1[[#This Row],[Address B]],IP_Master[],2,FALSE)</f>
        <v>#N/A</v>
      </c>
      <c r="U1044" s="9" t="str">
        <f>VLOOKUP(Table1[[#This Row],[Address A]],IP_Master[],3,FALSE)</f>
        <v>iFIX Nodes &amp; Ethernet Switches</v>
      </c>
      <c r="V1044" s="9" t="e">
        <f>VLOOKUP(Table1[[#This Row],[Address B]],IP_Master[],3,FALSE)</f>
        <v>#N/A</v>
      </c>
      <c r="W1044" s="9" t="str">
        <f>VLOOKUP(Table1[[#This Row],[Port B]],traffic_types[],2,FALSE)</f>
        <v>HTTP</v>
      </c>
    </row>
    <row r="1045" spans="1:23" x14ac:dyDescent="0.6">
      <c r="A1045" t="s">
        <v>54</v>
      </c>
      <c r="B1045">
        <v>3074</v>
      </c>
      <c r="C1045" t="s">
        <v>99</v>
      </c>
      <c r="D1045">
        <v>80</v>
      </c>
      <c r="E1045">
        <v>3</v>
      </c>
      <c r="F1045" s="13">
        <v>186</v>
      </c>
      <c r="G1045">
        <v>3</v>
      </c>
      <c r="H1045">
        <v>186</v>
      </c>
      <c r="I1045">
        <v>0</v>
      </c>
      <c r="J1045">
        <v>0</v>
      </c>
      <c r="K1045">
        <v>619.33138399999996</v>
      </c>
      <c r="L1045">
        <v>9.0516200000000708</v>
      </c>
      <c r="M1045">
        <v>164.390462701703</v>
      </c>
      <c r="N1045">
        <v>0</v>
      </c>
      <c r="O1045" s="8" t="str">
        <f>formatIP(Table1[[#This Row],[Address A]])</f>
        <v>010.012.000.063</v>
      </c>
      <c r="P1045" s="8" t="str">
        <f>formatIP(Table1[[#This Row],[Address B]])</f>
        <v>010.238.200.037</v>
      </c>
      <c r="Q1045" s="8" t="str">
        <f>VLOOKUP(Table1[[#This Row],[Address A]],IP_Master[],4,FALSE)</f>
        <v>PPPCPET3</v>
      </c>
      <c r="R1045" s="8" t="e">
        <f>VLOOKUP(Table1[[#This Row],[Address B]],IP_Master[],4,FALSE)</f>
        <v>#N/A</v>
      </c>
      <c r="S1045" s="8" t="str">
        <f>VLOOKUP(Table1[[#This Row],[Address A]],IP_Master[],2,FALSE)</f>
        <v>PETs Plant</v>
      </c>
      <c r="T1045" s="8" t="e">
        <f>VLOOKUP(Table1[[#This Row],[Address B]],IP_Master[],2,FALSE)</f>
        <v>#N/A</v>
      </c>
      <c r="U1045" s="9" t="str">
        <f>VLOOKUP(Table1[[#This Row],[Address A]],IP_Master[],3,FALSE)</f>
        <v>iFIX Nodes &amp; Ethernet Switches</v>
      </c>
      <c r="V1045" s="9" t="e">
        <f>VLOOKUP(Table1[[#This Row],[Address B]],IP_Master[],3,FALSE)</f>
        <v>#N/A</v>
      </c>
      <c r="W1045" s="9" t="str">
        <f>VLOOKUP(Table1[[#This Row],[Port B]],traffic_types[],2,FALSE)</f>
        <v>HTTP</v>
      </c>
    </row>
    <row r="1046" spans="1:23" x14ac:dyDescent="0.6">
      <c r="A1046" t="s">
        <v>54</v>
      </c>
      <c r="B1046">
        <v>3074</v>
      </c>
      <c r="C1046" t="s">
        <v>99</v>
      </c>
      <c r="D1046">
        <v>80</v>
      </c>
      <c r="E1046">
        <v>3</v>
      </c>
      <c r="F1046" s="13">
        <v>186</v>
      </c>
      <c r="G1046">
        <v>3</v>
      </c>
      <c r="H1046">
        <v>186</v>
      </c>
      <c r="I1046">
        <v>0</v>
      </c>
      <c r="J1046">
        <v>0</v>
      </c>
      <c r="K1046">
        <v>640.415705</v>
      </c>
      <c r="L1046">
        <v>9.0770989999999792</v>
      </c>
      <c r="M1046">
        <v>163.929026223026</v>
      </c>
      <c r="N1046">
        <v>0</v>
      </c>
      <c r="O1046" s="8" t="str">
        <f>formatIP(Table1[[#This Row],[Address A]])</f>
        <v>010.012.000.063</v>
      </c>
      <c r="P1046" s="8" t="str">
        <f>formatIP(Table1[[#This Row],[Address B]])</f>
        <v>010.238.200.037</v>
      </c>
      <c r="Q1046" s="8" t="str">
        <f>VLOOKUP(Table1[[#This Row],[Address A]],IP_Master[],4,FALSE)</f>
        <v>PPPCPET3</v>
      </c>
      <c r="R1046" s="8" t="e">
        <f>VLOOKUP(Table1[[#This Row],[Address B]],IP_Master[],4,FALSE)</f>
        <v>#N/A</v>
      </c>
      <c r="S1046" s="8" t="str">
        <f>VLOOKUP(Table1[[#This Row],[Address A]],IP_Master[],2,FALSE)</f>
        <v>PETs Plant</v>
      </c>
      <c r="T1046" s="8" t="e">
        <f>VLOOKUP(Table1[[#This Row],[Address B]],IP_Master[],2,FALSE)</f>
        <v>#N/A</v>
      </c>
      <c r="U1046" s="9" t="str">
        <f>VLOOKUP(Table1[[#This Row],[Address A]],IP_Master[],3,FALSE)</f>
        <v>iFIX Nodes &amp; Ethernet Switches</v>
      </c>
      <c r="V1046" s="9" t="e">
        <f>VLOOKUP(Table1[[#This Row],[Address B]],IP_Master[],3,FALSE)</f>
        <v>#N/A</v>
      </c>
      <c r="W1046" s="9" t="str">
        <f>VLOOKUP(Table1[[#This Row],[Port B]],traffic_types[],2,FALSE)</f>
        <v>HTTP</v>
      </c>
    </row>
    <row r="1047" spans="1:23" x14ac:dyDescent="0.6">
      <c r="A1047" t="s">
        <v>108</v>
      </c>
      <c r="B1047">
        <v>3867</v>
      </c>
      <c r="C1047" t="s">
        <v>109</v>
      </c>
      <c r="D1047">
        <v>80</v>
      </c>
      <c r="E1047">
        <v>3</v>
      </c>
      <c r="F1047" s="13">
        <v>186</v>
      </c>
      <c r="G1047">
        <v>3</v>
      </c>
      <c r="H1047">
        <v>186</v>
      </c>
      <c r="I1047">
        <v>0</v>
      </c>
      <c r="J1047">
        <v>0</v>
      </c>
      <c r="K1047">
        <v>258.76763299999999</v>
      </c>
      <c r="L1047">
        <v>8.8704220000000191</v>
      </c>
      <c r="M1047">
        <v>167.74850170600601</v>
      </c>
      <c r="N1047">
        <v>0</v>
      </c>
      <c r="O1047" s="8" t="str">
        <f>formatIP(Table1[[#This Row],[Address A]])</f>
        <v>010.012.000.065</v>
      </c>
      <c r="P1047" s="8" t="str">
        <f>formatIP(Table1[[#This Row],[Address B]])</f>
        <v>095.101.113.048</v>
      </c>
      <c r="Q1047" s="8" t="str">
        <f>VLOOKUP(Table1[[#This Row],[Address A]],IP_Master[],4,FALSE)</f>
        <v>PPPCPET5</v>
      </c>
      <c r="R1047" s="8" t="e">
        <f>VLOOKUP(Table1[[#This Row],[Address B]],IP_Master[],4,FALSE)</f>
        <v>#N/A</v>
      </c>
      <c r="S1047" s="8" t="str">
        <f>VLOOKUP(Table1[[#This Row],[Address A]],IP_Master[],2,FALSE)</f>
        <v>PETs Plant</v>
      </c>
      <c r="T1047" s="8" t="e">
        <f>VLOOKUP(Table1[[#This Row],[Address B]],IP_Master[],2,FALSE)</f>
        <v>#N/A</v>
      </c>
      <c r="U1047" s="9" t="str">
        <f>VLOOKUP(Table1[[#This Row],[Address A]],IP_Master[],3,FALSE)</f>
        <v>iFIX Nodes &amp; Ethernet Switches</v>
      </c>
      <c r="V1047" s="9" t="e">
        <f>VLOOKUP(Table1[[#This Row],[Address B]],IP_Master[],3,FALSE)</f>
        <v>#N/A</v>
      </c>
      <c r="W1047" s="9" t="str">
        <f>VLOOKUP(Table1[[#This Row],[Port B]],traffic_types[],2,FALSE)</f>
        <v>HTTP</v>
      </c>
    </row>
    <row r="1048" spans="1:23" x14ac:dyDescent="0.6">
      <c r="A1048" t="s">
        <v>108</v>
      </c>
      <c r="B1048">
        <v>3868</v>
      </c>
      <c r="C1048" t="s">
        <v>110</v>
      </c>
      <c r="D1048">
        <v>80</v>
      </c>
      <c r="E1048">
        <v>3</v>
      </c>
      <c r="F1048" s="13">
        <v>186</v>
      </c>
      <c r="G1048">
        <v>3</v>
      </c>
      <c r="H1048">
        <v>186</v>
      </c>
      <c r="I1048">
        <v>0</v>
      </c>
      <c r="J1048">
        <v>0</v>
      </c>
      <c r="K1048">
        <v>279.67020100000002</v>
      </c>
      <c r="L1048">
        <v>9.1873819999999604</v>
      </c>
      <c r="M1048">
        <v>161.96126382902199</v>
      </c>
      <c r="N1048">
        <v>0</v>
      </c>
      <c r="O1048" s="8" t="str">
        <f>formatIP(Table1[[#This Row],[Address A]])</f>
        <v>010.012.000.065</v>
      </c>
      <c r="P1048" s="8" t="str">
        <f>formatIP(Table1[[#This Row],[Address B]])</f>
        <v>095.101.113.049</v>
      </c>
      <c r="Q1048" s="8" t="str">
        <f>VLOOKUP(Table1[[#This Row],[Address A]],IP_Master[],4,FALSE)</f>
        <v>PPPCPET5</v>
      </c>
      <c r="R1048" s="8" t="e">
        <f>VLOOKUP(Table1[[#This Row],[Address B]],IP_Master[],4,FALSE)</f>
        <v>#N/A</v>
      </c>
      <c r="S1048" s="8" t="str">
        <f>VLOOKUP(Table1[[#This Row],[Address A]],IP_Master[],2,FALSE)</f>
        <v>PETs Plant</v>
      </c>
      <c r="T1048" s="8" t="e">
        <f>VLOOKUP(Table1[[#This Row],[Address B]],IP_Master[],2,FALSE)</f>
        <v>#N/A</v>
      </c>
      <c r="U1048" s="9" t="str">
        <f>VLOOKUP(Table1[[#This Row],[Address A]],IP_Master[],3,FALSE)</f>
        <v>iFIX Nodes &amp; Ethernet Switches</v>
      </c>
      <c r="V1048" s="9" t="e">
        <f>VLOOKUP(Table1[[#This Row],[Address B]],IP_Master[],3,FALSE)</f>
        <v>#N/A</v>
      </c>
      <c r="W1048" s="9" t="str">
        <f>VLOOKUP(Table1[[#This Row],[Port B]],traffic_types[],2,FALSE)</f>
        <v>HTTP</v>
      </c>
    </row>
    <row r="1049" spans="1:23" x14ac:dyDescent="0.6">
      <c r="A1049" t="s">
        <v>108</v>
      </c>
      <c r="B1049">
        <v>3869</v>
      </c>
      <c r="C1049" t="s">
        <v>111</v>
      </c>
      <c r="D1049">
        <v>80</v>
      </c>
      <c r="E1049">
        <v>3</v>
      </c>
      <c r="F1049" s="13">
        <v>186</v>
      </c>
      <c r="G1049">
        <v>3</v>
      </c>
      <c r="H1049">
        <v>186</v>
      </c>
      <c r="I1049">
        <v>0</v>
      </c>
      <c r="J1049">
        <v>0</v>
      </c>
      <c r="K1049">
        <v>300.89187900000002</v>
      </c>
      <c r="L1049">
        <v>9.2961070000000099</v>
      </c>
      <c r="M1049">
        <v>160.06700439226901</v>
      </c>
      <c r="N1049">
        <v>0</v>
      </c>
      <c r="O1049" s="8" t="str">
        <f>formatIP(Table1[[#This Row],[Address A]])</f>
        <v>010.012.000.065</v>
      </c>
      <c r="P1049" s="8" t="str">
        <f>formatIP(Table1[[#This Row],[Address B]])</f>
        <v>095.101.113.008</v>
      </c>
      <c r="Q1049" s="8" t="str">
        <f>VLOOKUP(Table1[[#This Row],[Address A]],IP_Master[],4,FALSE)</f>
        <v>PPPCPET5</v>
      </c>
      <c r="R1049" s="8" t="e">
        <f>VLOOKUP(Table1[[#This Row],[Address B]],IP_Master[],4,FALSE)</f>
        <v>#N/A</v>
      </c>
      <c r="S1049" s="8" t="str">
        <f>VLOOKUP(Table1[[#This Row],[Address A]],IP_Master[],2,FALSE)</f>
        <v>PETs Plant</v>
      </c>
      <c r="T1049" s="8" t="e">
        <f>VLOOKUP(Table1[[#This Row],[Address B]],IP_Master[],2,FALSE)</f>
        <v>#N/A</v>
      </c>
      <c r="U1049" s="9" t="str">
        <f>VLOOKUP(Table1[[#This Row],[Address A]],IP_Master[],3,FALSE)</f>
        <v>iFIX Nodes &amp; Ethernet Switches</v>
      </c>
      <c r="V1049" s="9" t="e">
        <f>VLOOKUP(Table1[[#This Row],[Address B]],IP_Master[],3,FALSE)</f>
        <v>#N/A</v>
      </c>
      <c r="W1049" s="9" t="str">
        <f>VLOOKUP(Table1[[#This Row],[Port B]],traffic_types[],2,FALSE)</f>
        <v>HTTP</v>
      </c>
    </row>
    <row r="1050" spans="1:23" x14ac:dyDescent="0.6">
      <c r="A1050" t="s">
        <v>108</v>
      </c>
      <c r="B1050">
        <v>3870</v>
      </c>
      <c r="C1050" t="s">
        <v>112</v>
      </c>
      <c r="D1050">
        <v>80</v>
      </c>
      <c r="E1050">
        <v>3</v>
      </c>
      <c r="F1050" s="13">
        <v>186</v>
      </c>
      <c r="G1050">
        <v>3</v>
      </c>
      <c r="H1050">
        <v>186</v>
      </c>
      <c r="I1050">
        <v>0</v>
      </c>
      <c r="J1050">
        <v>0</v>
      </c>
      <c r="K1050">
        <v>322.32879100000002</v>
      </c>
      <c r="L1050">
        <v>9.07741499999997</v>
      </c>
      <c r="M1050">
        <v>163.92331957941801</v>
      </c>
      <c r="N1050">
        <v>0</v>
      </c>
      <c r="O1050" s="8" t="str">
        <f>formatIP(Table1[[#This Row],[Address A]])</f>
        <v>010.012.000.065</v>
      </c>
      <c r="P1050" s="8" t="str">
        <f>formatIP(Table1[[#This Row],[Address B]])</f>
        <v>095.101.113.010</v>
      </c>
      <c r="Q1050" s="8" t="str">
        <f>VLOOKUP(Table1[[#This Row],[Address A]],IP_Master[],4,FALSE)</f>
        <v>PPPCPET5</v>
      </c>
      <c r="R1050" s="8" t="e">
        <f>VLOOKUP(Table1[[#This Row],[Address B]],IP_Master[],4,FALSE)</f>
        <v>#N/A</v>
      </c>
      <c r="S1050" s="8" t="str">
        <f>VLOOKUP(Table1[[#This Row],[Address A]],IP_Master[],2,FALSE)</f>
        <v>PETs Plant</v>
      </c>
      <c r="T1050" s="8" t="e">
        <f>VLOOKUP(Table1[[#This Row],[Address B]],IP_Master[],2,FALSE)</f>
        <v>#N/A</v>
      </c>
      <c r="U1050" s="9" t="str">
        <f>VLOOKUP(Table1[[#This Row],[Address A]],IP_Master[],3,FALSE)</f>
        <v>iFIX Nodes &amp; Ethernet Switches</v>
      </c>
      <c r="V1050" s="9" t="e">
        <f>VLOOKUP(Table1[[#This Row],[Address B]],IP_Master[],3,FALSE)</f>
        <v>#N/A</v>
      </c>
      <c r="W1050" s="9" t="str">
        <f>VLOOKUP(Table1[[#This Row],[Port B]],traffic_types[],2,FALSE)</f>
        <v>HTTP</v>
      </c>
    </row>
    <row r="1051" spans="1:23" x14ac:dyDescent="0.6">
      <c r="A1051" t="s">
        <v>108</v>
      </c>
      <c r="B1051">
        <v>3871</v>
      </c>
      <c r="C1051" t="s">
        <v>92</v>
      </c>
      <c r="D1051">
        <v>80</v>
      </c>
      <c r="E1051">
        <v>3</v>
      </c>
      <c r="F1051" s="13">
        <v>186</v>
      </c>
      <c r="G1051">
        <v>3</v>
      </c>
      <c r="H1051">
        <v>186</v>
      </c>
      <c r="I1051">
        <v>0</v>
      </c>
      <c r="J1051">
        <v>0</v>
      </c>
      <c r="K1051">
        <v>343.43878699999999</v>
      </c>
      <c r="L1051">
        <v>9.1870190000000207</v>
      </c>
      <c r="M1051">
        <v>161.96766328664401</v>
      </c>
      <c r="N1051">
        <v>0</v>
      </c>
      <c r="O1051" s="8" t="str">
        <f>formatIP(Table1[[#This Row],[Address A]])</f>
        <v>010.012.000.065</v>
      </c>
      <c r="P1051" s="8" t="str">
        <f>formatIP(Table1[[#This Row],[Address B]])</f>
        <v>095.101.113.041</v>
      </c>
      <c r="Q1051" s="8" t="str">
        <f>VLOOKUP(Table1[[#This Row],[Address A]],IP_Master[],4,FALSE)</f>
        <v>PPPCPET5</v>
      </c>
      <c r="R1051" s="8" t="e">
        <f>VLOOKUP(Table1[[#This Row],[Address B]],IP_Master[],4,FALSE)</f>
        <v>#N/A</v>
      </c>
      <c r="S1051" s="8" t="str">
        <f>VLOOKUP(Table1[[#This Row],[Address A]],IP_Master[],2,FALSE)</f>
        <v>PETs Plant</v>
      </c>
      <c r="T1051" s="8" t="e">
        <f>VLOOKUP(Table1[[#This Row],[Address B]],IP_Master[],2,FALSE)</f>
        <v>#N/A</v>
      </c>
      <c r="U1051" s="9" t="str">
        <f>VLOOKUP(Table1[[#This Row],[Address A]],IP_Master[],3,FALSE)</f>
        <v>iFIX Nodes &amp; Ethernet Switches</v>
      </c>
      <c r="V1051" s="9" t="e">
        <f>VLOOKUP(Table1[[#This Row],[Address B]],IP_Master[],3,FALSE)</f>
        <v>#N/A</v>
      </c>
      <c r="W1051" s="9" t="str">
        <f>VLOOKUP(Table1[[#This Row],[Port B]],traffic_types[],2,FALSE)</f>
        <v>HTTP</v>
      </c>
    </row>
    <row r="1052" spans="1:23" x14ac:dyDescent="0.6">
      <c r="A1052" t="s">
        <v>108</v>
      </c>
      <c r="B1052">
        <v>3872</v>
      </c>
      <c r="C1052" t="s">
        <v>113</v>
      </c>
      <c r="D1052">
        <v>80</v>
      </c>
      <c r="E1052">
        <v>3</v>
      </c>
      <c r="F1052" s="13">
        <v>186</v>
      </c>
      <c r="G1052">
        <v>3</v>
      </c>
      <c r="H1052">
        <v>186</v>
      </c>
      <c r="I1052">
        <v>0</v>
      </c>
      <c r="J1052">
        <v>0</v>
      </c>
      <c r="K1052">
        <v>364.67384299999998</v>
      </c>
      <c r="L1052">
        <v>8.9528309999999998</v>
      </c>
      <c r="M1052">
        <v>166.20441064954801</v>
      </c>
      <c r="N1052">
        <v>0</v>
      </c>
      <c r="O1052" s="8" t="str">
        <f>formatIP(Table1[[#This Row],[Address A]])</f>
        <v>010.012.000.065</v>
      </c>
      <c r="P1052" s="8" t="str">
        <f>formatIP(Table1[[#This Row],[Address B]])</f>
        <v>095.101.113.009</v>
      </c>
      <c r="Q1052" s="8" t="str">
        <f>VLOOKUP(Table1[[#This Row],[Address A]],IP_Master[],4,FALSE)</f>
        <v>PPPCPET5</v>
      </c>
      <c r="R1052" s="8" t="e">
        <f>VLOOKUP(Table1[[#This Row],[Address B]],IP_Master[],4,FALSE)</f>
        <v>#N/A</v>
      </c>
      <c r="S1052" s="8" t="str">
        <f>VLOOKUP(Table1[[#This Row],[Address A]],IP_Master[],2,FALSE)</f>
        <v>PETs Plant</v>
      </c>
      <c r="T1052" s="8" t="e">
        <f>VLOOKUP(Table1[[#This Row],[Address B]],IP_Master[],2,FALSE)</f>
        <v>#N/A</v>
      </c>
      <c r="U1052" s="9" t="str">
        <f>VLOOKUP(Table1[[#This Row],[Address A]],IP_Master[],3,FALSE)</f>
        <v>iFIX Nodes &amp; Ethernet Switches</v>
      </c>
      <c r="V1052" s="9" t="e">
        <f>VLOOKUP(Table1[[#This Row],[Address B]],IP_Master[],3,FALSE)</f>
        <v>#N/A</v>
      </c>
      <c r="W1052" s="9" t="str">
        <f>VLOOKUP(Table1[[#This Row],[Port B]],traffic_types[],2,FALSE)</f>
        <v>HTTP</v>
      </c>
    </row>
    <row r="1053" spans="1:23" x14ac:dyDescent="0.6">
      <c r="A1053" t="s">
        <v>108</v>
      </c>
      <c r="B1053">
        <v>3873</v>
      </c>
      <c r="C1053" t="s">
        <v>90</v>
      </c>
      <c r="D1053">
        <v>80</v>
      </c>
      <c r="E1053">
        <v>3</v>
      </c>
      <c r="F1053" s="13">
        <v>186</v>
      </c>
      <c r="G1053">
        <v>3</v>
      </c>
      <c r="H1053">
        <v>186</v>
      </c>
      <c r="I1053">
        <v>0</v>
      </c>
      <c r="J1053">
        <v>0</v>
      </c>
      <c r="K1053">
        <v>385.65901500000001</v>
      </c>
      <c r="L1053">
        <v>8.9684409999999808</v>
      </c>
      <c r="M1053">
        <v>165.915123932911</v>
      </c>
      <c r="N1053">
        <v>0</v>
      </c>
      <c r="O1053" s="8" t="str">
        <f>formatIP(Table1[[#This Row],[Address A]])</f>
        <v>010.012.000.065</v>
      </c>
      <c r="P1053" s="8" t="str">
        <f>formatIP(Table1[[#This Row],[Address B]])</f>
        <v>095.101.113.042</v>
      </c>
      <c r="Q1053" s="8" t="str">
        <f>VLOOKUP(Table1[[#This Row],[Address A]],IP_Master[],4,FALSE)</f>
        <v>PPPCPET5</v>
      </c>
      <c r="R1053" s="8" t="e">
        <f>VLOOKUP(Table1[[#This Row],[Address B]],IP_Master[],4,FALSE)</f>
        <v>#N/A</v>
      </c>
      <c r="S1053" s="8" t="str">
        <f>VLOOKUP(Table1[[#This Row],[Address A]],IP_Master[],2,FALSE)</f>
        <v>PETs Plant</v>
      </c>
      <c r="T1053" s="8" t="e">
        <f>VLOOKUP(Table1[[#This Row],[Address B]],IP_Master[],2,FALSE)</f>
        <v>#N/A</v>
      </c>
      <c r="U1053" s="9" t="str">
        <f>VLOOKUP(Table1[[#This Row],[Address A]],IP_Master[],3,FALSE)</f>
        <v>iFIX Nodes &amp; Ethernet Switches</v>
      </c>
      <c r="V1053" s="9" t="e">
        <f>VLOOKUP(Table1[[#This Row],[Address B]],IP_Master[],3,FALSE)</f>
        <v>#N/A</v>
      </c>
      <c r="W1053" s="9" t="str">
        <f>VLOOKUP(Table1[[#This Row],[Port B]],traffic_types[],2,FALSE)</f>
        <v>HTTP</v>
      </c>
    </row>
    <row r="1054" spans="1:23" x14ac:dyDescent="0.6">
      <c r="A1054" t="s">
        <v>108</v>
      </c>
      <c r="B1054">
        <v>3874</v>
      </c>
      <c r="C1054" t="s">
        <v>96</v>
      </c>
      <c r="D1054">
        <v>80</v>
      </c>
      <c r="E1054">
        <v>3</v>
      </c>
      <c r="F1054" s="13">
        <v>186</v>
      </c>
      <c r="G1054">
        <v>3</v>
      </c>
      <c r="H1054">
        <v>186</v>
      </c>
      <c r="I1054">
        <v>0</v>
      </c>
      <c r="J1054">
        <v>0</v>
      </c>
      <c r="K1054">
        <v>406.65972799999997</v>
      </c>
      <c r="L1054">
        <v>9.1874300000000098</v>
      </c>
      <c r="M1054">
        <v>161.96041765760401</v>
      </c>
      <c r="N1054">
        <v>0</v>
      </c>
      <c r="O1054" s="8" t="str">
        <f>formatIP(Table1[[#This Row],[Address A]])</f>
        <v>010.012.000.065</v>
      </c>
      <c r="P1054" s="8" t="str">
        <f>formatIP(Table1[[#This Row],[Address B]])</f>
        <v>095.101.113.040</v>
      </c>
      <c r="Q1054" s="8" t="str">
        <f>VLOOKUP(Table1[[#This Row],[Address A]],IP_Master[],4,FALSE)</f>
        <v>PPPCPET5</v>
      </c>
      <c r="R1054" s="8" t="e">
        <f>VLOOKUP(Table1[[#This Row],[Address B]],IP_Master[],4,FALSE)</f>
        <v>#N/A</v>
      </c>
      <c r="S1054" s="8" t="str">
        <f>VLOOKUP(Table1[[#This Row],[Address A]],IP_Master[],2,FALSE)</f>
        <v>PETs Plant</v>
      </c>
      <c r="T1054" s="8" t="e">
        <f>VLOOKUP(Table1[[#This Row],[Address B]],IP_Master[],2,FALSE)</f>
        <v>#N/A</v>
      </c>
      <c r="U1054" s="9" t="str">
        <f>VLOOKUP(Table1[[#This Row],[Address A]],IP_Master[],3,FALSE)</f>
        <v>iFIX Nodes &amp; Ethernet Switches</v>
      </c>
      <c r="V1054" s="9" t="e">
        <f>VLOOKUP(Table1[[#This Row],[Address B]],IP_Master[],3,FALSE)</f>
        <v>#N/A</v>
      </c>
      <c r="W1054" s="9" t="str">
        <f>VLOOKUP(Table1[[#This Row],[Port B]],traffic_types[],2,FALSE)</f>
        <v>HTTP</v>
      </c>
    </row>
    <row r="1055" spans="1:23" x14ac:dyDescent="0.6">
      <c r="A1055" t="s">
        <v>108</v>
      </c>
      <c r="B1055">
        <v>3875</v>
      </c>
      <c r="C1055" t="s">
        <v>114</v>
      </c>
      <c r="D1055">
        <v>80</v>
      </c>
      <c r="E1055">
        <v>3</v>
      </c>
      <c r="F1055" s="13">
        <v>186</v>
      </c>
      <c r="G1055">
        <v>3</v>
      </c>
      <c r="H1055">
        <v>186</v>
      </c>
      <c r="I1055">
        <v>0</v>
      </c>
      <c r="J1055">
        <v>0</v>
      </c>
      <c r="K1055">
        <v>427.99073800000002</v>
      </c>
      <c r="L1055">
        <v>9.2946930000000005</v>
      </c>
      <c r="M1055">
        <v>160.09135535729899</v>
      </c>
      <c r="N1055">
        <v>0</v>
      </c>
      <c r="O1055" s="8" t="str">
        <f>formatIP(Table1[[#This Row],[Address A]])</f>
        <v>010.012.000.065</v>
      </c>
      <c r="P1055" s="8" t="str">
        <f>formatIP(Table1[[#This Row],[Address B]])</f>
        <v>095.101.113.043</v>
      </c>
      <c r="Q1055" s="8" t="str">
        <f>VLOOKUP(Table1[[#This Row],[Address A]],IP_Master[],4,FALSE)</f>
        <v>PPPCPET5</v>
      </c>
      <c r="R1055" s="8" t="e">
        <f>VLOOKUP(Table1[[#This Row],[Address B]],IP_Master[],4,FALSE)</f>
        <v>#N/A</v>
      </c>
      <c r="S1055" s="8" t="str">
        <f>VLOOKUP(Table1[[#This Row],[Address A]],IP_Master[],2,FALSE)</f>
        <v>PETs Plant</v>
      </c>
      <c r="T1055" s="8" t="e">
        <f>VLOOKUP(Table1[[#This Row],[Address B]],IP_Master[],2,FALSE)</f>
        <v>#N/A</v>
      </c>
      <c r="U1055" s="9" t="str">
        <f>VLOOKUP(Table1[[#This Row],[Address A]],IP_Master[],3,FALSE)</f>
        <v>iFIX Nodes &amp; Ethernet Switches</v>
      </c>
      <c r="V1055" s="9" t="e">
        <f>VLOOKUP(Table1[[#This Row],[Address B]],IP_Master[],3,FALSE)</f>
        <v>#N/A</v>
      </c>
      <c r="W1055" s="9" t="str">
        <f>VLOOKUP(Table1[[#This Row],[Port B]],traffic_types[],2,FALSE)</f>
        <v>HTTP</v>
      </c>
    </row>
    <row r="1056" spans="1:23" x14ac:dyDescent="0.6">
      <c r="A1056" t="s">
        <v>108</v>
      </c>
      <c r="B1056">
        <v>3877</v>
      </c>
      <c r="C1056" t="s">
        <v>99</v>
      </c>
      <c r="D1056">
        <v>80</v>
      </c>
      <c r="E1056">
        <v>3</v>
      </c>
      <c r="F1056" s="13">
        <v>186</v>
      </c>
      <c r="G1056">
        <v>3</v>
      </c>
      <c r="H1056">
        <v>186</v>
      </c>
      <c r="I1056">
        <v>0</v>
      </c>
      <c r="J1056">
        <v>0</v>
      </c>
      <c r="K1056">
        <v>562.53178400000002</v>
      </c>
      <c r="L1056">
        <v>9.290165</v>
      </c>
      <c r="M1056">
        <v>160.16938342860399</v>
      </c>
      <c r="N1056">
        <v>0</v>
      </c>
      <c r="O1056" s="8" t="str">
        <f>formatIP(Table1[[#This Row],[Address A]])</f>
        <v>010.012.000.065</v>
      </c>
      <c r="P1056" s="8" t="str">
        <f>formatIP(Table1[[#This Row],[Address B]])</f>
        <v>010.238.200.037</v>
      </c>
      <c r="Q1056" s="8" t="str">
        <f>VLOOKUP(Table1[[#This Row],[Address A]],IP_Master[],4,FALSE)</f>
        <v>PPPCPET5</v>
      </c>
      <c r="R1056" s="8" t="e">
        <f>VLOOKUP(Table1[[#This Row],[Address B]],IP_Master[],4,FALSE)</f>
        <v>#N/A</v>
      </c>
      <c r="S1056" s="8" t="str">
        <f>VLOOKUP(Table1[[#This Row],[Address A]],IP_Master[],2,FALSE)</f>
        <v>PETs Plant</v>
      </c>
      <c r="T1056" s="8" t="e">
        <f>VLOOKUP(Table1[[#This Row],[Address B]],IP_Master[],2,FALSE)</f>
        <v>#N/A</v>
      </c>
      <c r="U1056" s="9" t="str">
        <f>VLOOKUP(Table1[[#This Row],[Address A]],IP_Master[],3,FALSE)</f>
        <v>iFIX Nodes &amp; Ethernet Switches</v>
      </c>
      <c r="V1056" s="9" t="e">
        <f>VLOOKUP(Table1[[#This Row],[Address B]],IP_Master[],3,FALSE)</f>
        <v>#N/A</v>
      </c>
      <c r="W1056" s="9" t="str">
        <f>VLOOKUP(Table1[[#This Row],[Port B]],traffic_types[],2,FALSE)</f>
        <v>HTTP</v>
      </c>
    </row>
    <row r="1057" spans="1:23" x14ac:dyDescent="0.6">
      <c r="A1057" t="s">
        <v>108</v>
      </c>
      <c r="B1057">
        <v>3877</v>
      </c>
      <c r="C1057" t="s">
        <v>99</v>
      </c>
      <c r="D1057">
        <v>80</v>
      </c>
      <c r="E1057">
        <v>3</v>
      </c>
      <c r="F1057" s="13">
        <v>186</v>
      </c>
      <c r="G1057">
        <v>3</v>
      </c>
      <c r="H1057">
        <v>186</v>
      </c>
      <c r="I1057">
        <v>0</v>
      </c>
      <c r="J1057">
        <v>0</v>
      </c>
      <c r="K1057">
        <v>583.96453399999996</v>
      </c>
      <c r="L1057">
        <v>9.1862829999999995</v>
      </c>
      <c r="M1057">
        <v>161.98064004777601</v>
      </c>
      <c r="N1057">
        <v>0</v>
      </c>
      <c r="O1057" s="8" t="str">
        <f>formatIP(Table1[[#This Row],[Address A]])</f>
        <v>010.012.000.065</v>
      </c>
      <c r="P1057" s="8" t="str">
        <f>formatIP(Table1[[#This Row],[Address B]])</f>
        <v>010.238.200.037</v>
      </c>
      <c r="Q1057" s="8" t="str">
        <f>VLOOKUP(Table1[[#This Row],[Address A]],IP_Master[],4,FALSE)</f>
        <v>PPPCPET5</v>
      </c>
      <c r="R1057" s="8" t="e">
        <f>VLOOKUP(Table1[[#This Row],[Address B]],IP_Master[],4,FALSE)</f>
        <v>#N/A</v>
      </c>
      <c r="S1057" s="8" t="str">
        <f>VLOOKUP(Table1[[#This Row],[Address A]],IP_Master[],2,FALSE)</f>
        <v>PETs Plant</v>
      </c>
      <c r="T1057" s="8" t="e">
        <f>VLOOKUP(Table1[[#This Row],[Address B]],IP_Master[],2,FALSE)</f>
        <v>#N/A</v>
      </c>
      <c r="U1057" s="9" t="str">
        <f>VLOOKUP(Table1[[#This Row],[Address A]],IP_Master[],3,FALSE)</f>
        <v>iFIX Nodes &amp; Ethernet Switches</v>
      </c>
      <c r="V1057" s="9" t="e">
        <f>VLOOKUP(Table1[[#This Row],[Address B]],IP_Master[],3,FALSE)</f>
        <v>#N/A</v>
      </c>
      <c r="W1057" s="9" t="str">
        <f>VLOOKUP(Table1[[#This Row],[Port B]],traffic_types[],2,FALSE)</f>
        <v>HTTP</v>
      </c>
    </row>
    <row r="1058" spans="1:23" x14ac:dyDescent="0.6">
      <c r="A1058" t="s">
        <v>115</v>
      </c>
      <c r="B1058">
        <v>62286</v>
      </c>
      <c r="C1058" t="s">
        <v>106</v>
      </c>
      <c r="D1058">
        <v>80</v>
      </c>
      <c r="E1058">
        <v>1</v>
      </c>
      <c r="F1058" s="13">
        <v>62</v>
      </c>
      <c r="G1058">
        <v>1</v>
      </c>
      <c r="H1058">
        <v>62</v>
      </c>
      <c r="I1058">
        <v>0</v>
      </c>
      <c r="J1058">
        <v>0</v>
      </c>
      <c r="K1058">
        <v>2.2266659999999998</v>
      </c>
      <c r="L1058">
        <v>0</v>
      </c>
      <c r="M1058">
        <v>0</v>
      </c>
      <c r="N1058">
        <v>0</v>
      </c>
      <c r="O1058" s="8" t="str">
        <f>formatIP(Table1[[#This Row],[Address A]])</f>
        <v>010.012.000.071</v>
      </c>
      <c r="P1058" s="8" t="str">
        <f>formatIP(Table1[[#This Row],[Address B]])</f>
        <v>172.217.022.068</v>
      </c>
      <c r="Q1058" s="8" t="str">
        <f>VLOOKUP(Table1[[#This Row],[Address A]],IP_Master[],4,FALSE)</f>
        <v>PPPCSTP1</v>
      </c>
      <c r="R1058" s="8" t="e">
        <f>VLOOKUP(Table1[[#This Row],[Address B]],IP_Master[],4,FALSE)</f>
        <v>#N/A</v>
      </c>
      <c r="S1058" s="8" t="str">
        <f>VLOOKUP(Table1[[#This Row],[Address A]],IP_Master[],2,FALSE)</f>
        <v>PETs Plant</v>
      </c>
      <c r="T1058" s="8" t="e">
        <f>VLOOKUP(Table1[[#This Row],[Address B]],IP_Master[],2,FALSE)</f>
        <v>#N/A</v>
      </c>
      <c r="U1058" s="9" t="str">
        <f>VLOOKUP(Table1[[#This Row],[Address A]],IP_Master[],3,FALSE)</f>
        <v>iFIX Nodes &amp; Ethernet Switches</v>
      </c>
      <c r="V1058" s="9" t="e">
        <f>VLOOKUP(Table1[[#This Row],[Address B]],IP_Master[],3,FALSE)</f>
        <v>#N/A</v>
      </c>
      <c r="W1058" s="9" t="str">
        <f>VLOOKUP(Table1[[#This Row],[Port B]],traffic_types[],2,FALSE)</f>
        <v>HTTP</v>
      </c>
    </row>
    <row r="1059" spans="1:23" x14ac:dyDescent="0.6">
      <c r="A1059" t="s">
        <v>115</v>
      </c>
      <c r="B1059">
        <v>62290</v>
      </c>
      <c r="C1059" t="s">
        <v>101</v>
      </c>
      <c r="D1059">
        <v>80</v>
      </c>
      <c r="E1059">
        <v>3</v>
      </c>
      <c r="F1059" s="13">
        <v>194</v>
      </c>
      <c r="G1059">
        <v>3</v>
      </c>
      <c r="H1059">
        <v>194</v>
      </c>
      <c r="I1059">
        <v>0</v>
      </c>
      <c r="J1059">
        <v>0</v>
      </c>
      <c r="K1059">
        <v>19.25564</v>
      </c>
      <c r="L1059">
        <v>9.0038459999999993</v>
      </c>
      <c r="M1059">
        <v>172.37078466246501</v>
      </c>
      <c r="N1059">
        <v>0</v>
      </c>
      <c r="O1059" s="8" t="str">
        <f>formatIP(Table1[[#This Row],[Address A]])</f>
        <v>010.012.000.071</v>
      </c>
      <c r="P1059" s="8" t="str">
        <f>formatIP(Table1[[#This Row],[Address B]])</f>
        <v>023.000.040.234</v>
      </c>
      <c r="Q1059" s="8" t="str">
        <f>VLOOKUP(Table1[[#This Row],[Address A]],IP_Master[],4,FALSE)</f>
        <v>PPPCSTP1</v>
      </c>
      <c r="R1059" s="8" t="e">
        <f>VLOOKUP(Table1[[#This Row],[Address B]],IP_Master[],4,FALSE)</f>
        <v>#N/A</v>
      </c>
      <c r="S1059" s="8" t="str">
        <f>VLOOKUP(Table1[[#This Row],[Address A]],IP_Master[],2,FALSE)</f>
        <v>PETs Plant</v>
      </c>
      <c r="T1059" s="8" t="e">
        <f>VLOOKUP(Table1[[#This Row],[Address B]],IP_Master[],2,FALSE)</f>
        <v>#N/A</v>
      </c>
      <c r="U1059" s="9" t="str">
        <f>VLOOKUP(Table1[[#This Row],[Address A]],IP_Master[],3,FALSE)</f>
        <v>iFIX Nodes &amp; Ethernet Switches</v>
      </c>
      <c r="V1059" s="9" t="e">
        <f>VLOOKUP(Table1[[#This Row],[Address B]],IP_Master[],3,FALSE)</f>
        <v>#N/A</v>
      </c>
      <c r="W1059" s="9" t="str">
        <f>VLOOKUP(Table1[[#This Row],[Port B]],traffic_types[],2,FALSE)</f>
        <v>HTTP</v>
      </c>
    </row>
    <row r="1060" spans="1:23" x14ac:dyDescent="0.6">
      <c r="A1060" t="s">
        <v>115</v>
      </c>
      <c r="B1060">
        <v>62291</v>
      </c>
      <c r="C1060" t="s">
        <v>106</v>
      </c>
      <c r="D1060">
        <v>80</v>
      </c>
      <c r="E1060">
        <v>3</v>
      </c>
      <c r="F1060" s="13">
        <v>194</v>
      </c>
      <c r="G1060">
        <v>3</v>
      </c>
      <c r="H1060">
        <v>194</v>
      </c>
      <c r="I1060">
        <v>0</v>
      </c>
      <c r="J1060">
        <v>0</v>
      </c>
      <c r="K1060">
        <v>40.255592999999998</v>
      </c>
      <c r="L1060">
        <v>9.001099</v>
      </c>
      <c r="M1060">
        <v>172.423389632755</v>
      </c>
      <c r="N1060">
        <v>0</v>
      </c>
      <c r="O1060" s="8" t="str">
        <f>formatIP(Table1[[#This Row],[Address A]])</f>
        <v>010.012.000.071</v>
      </c>
      <c r="P1060" s="8" t="str">
        <f>formatIP(Table1[[#This Row],[Address B]])</f>
        <v>172.217.022.068</v>
      </c>
      <c r="Q1060" s="8" t="str">
        <f>VLOOKUP(Table1[[#This Row],[Address A]],IP_Master[],4,FALSE)</f>
        <v>PPPCSTP1</v>
      </c>
      <c r="R1060" s="8" t="e">
        <f>VLOOKUP(Table1[[#This Row],[Address B]],IP_Master[],4,FALSE)</f>
        <v>#N/A</v>
      </c>
      <c r="S1060" s="8" t="str">
        <f>VLOOKUP(Table1[[#This Row],[Address A]],IP_Master[],2,FALSE)</f>
        <v>PETs Plant</v>
      </c>
      <c r="T1060" s="8" t="e">
        <f>VLOOKUP(Table1[[#This Row],[Address B]],IP_Master[],2,FALSE)</f>
        <v>#N/A</v>
      </c>
      <c r="U1060" s="9" t="str">
        <f>VLOOKUP(Table1[[#This Row],[Address A]],IP_Master[],3,FALSE)</f>
        <v>iFIX Nodes &amp; Ethernet Switches</v>
      </c>
      <c r="V1060" s="9" t="e">
        <f>VLOOKUP(Table1[[#This Row],[Address B]],IP_Master[],3,FALSE)</f>
        <v>#N/A</v>
      </c>
      <c r="W1060" s="9" t="str">
        <f>VLOOKUP(Table1[[#This Row],[Port B]],traffic_types[],2,FALSE)</f>
        <v>HTTP</v>
      </c>
    </row>
    <row r="1061" spans="1:23" x14ac:dyDescent="0.6">
      <c r="A1061" t="s">
        <v>115</v>
      </c>
      <c r="B1061">
        <v>62295</v>
      </c>
      <c r="C1061" t="s">
        <v>101</v>
      </c>
      <c r="D1061">
        <v>80</v>
      </c>
      <c r="E1061">
        <v>3</v>
      </c>
      <c r="F1061" s="13">
        <v>194</v>
      </c>
      <c r="G1061">
        <v>3</v>
      </c>
      <c r="H1061">
        <v>194</v>
      </c>
      <c r="I1061">
        <v>0</v>
      </c>
      <c r="J1061">
        <v>0</v>
      </c>
      <c r="K1061">
        <v>66.823352</v>
      </c>
      <c r="L1061">
        <v>9.0072179999999893</v>
      </c>
      <c r="M1061">
        <v>172.30625482807201</v>
      </c>
      <c r="N1061">
        <v>0</v>
      </c>
      <c r="O1061" s="8" t="str">
        <f>formatIP(Table1[[#This Row],[Address A]])</f>
        <v>010.012.000.071</v>
      </c>
      <c r="P1061" s="8" t="str">
        <f>formatIP(Table1[[#This Row],[Address B]])</f>
        <v>023.000.040.234</v>
      </c>
      <c r="Q1061" s="8" t="str">
        <f>VLOOKUP(Table1[[#This Row],[Address A]],IP_Master[],4,FALSE)</f>
        <v>PPPCSTP1</v>
      </c>
      <c r="R1061" s="8" t="e">
        <f>VLOOKUP(Table1[[#This Row],[Address B]],IP_Master[],4,FALSE)</f>
        <v>#N/A</v>
      </c>
      <c r="S1061" s="8" t="str">
        <f>VLOOKUP(Table1[[#This Row],[Address A]],IP_Master[],2,FALSE)</f>
        <v>PETs Plant</v>
      </c>
      <c r="T1061" s="8" t="e">
        <f>VLOOKUP(Table1[[#This Row],[Address B]],IP_Master[],2,FALSE)</f>
        <v>#N/A</v>
      </c>
      <c r="U1061" s="9" t="str">
        <f>VLOOKUP(Table1[[#This Row],[Address A]],IP_Master[],3,FALSE)</f>
        <v>iFIX Nodes &amp; Ethernet Switches</v>
      </c>
      <c r="V1061" s="9" t="e">
        <f>VLOOKUP(Table1[[#This Row],[Address B]],IP_Master[],3,FALSE)</f>
        <v>#N/A</v>
      </c>
      <c r="W1061" s="9" t="str">
        <f>VLOOKUP(Table1[[#This Row],[Port B]],traffic_types[],2,FALSE)</f>
        <v>HTTP</v>
      </c>
    </row>
    <row r="1062" spans="1:23" x14ac:dyDescent="0.6">
      <c r="A1062" t="s">
        <v>115</v>
      </c>
      <c r="B1062">
        <v>62299</v>
      </c>
      <c r="C1062" t="s">
        <v>106</v>
      </c>
      <c r="D1062">
        <v>80</v>
      </c>
      <c r="E1062">
        <v>3</v>
      </c>
      <c r="F1062" s="13">
        <v>194</v>
      </c>
      <c r="G1062">
        <v>3</v>
      </c>
      <c r="H1062">
        <v>194</v>
      </c>
      <c r="I1062">
        <v>0</v>
      </c>
      <c r="J1062">
        <v>0</v>
      </c>
      <c r="K1062">
        <v>87.830824000000007</v>
      </c>
      <c r="L1062">
        <v>8.9990239999999897</v>
      </c>
      <c r="M1062">
        <v>172.46314711462099</v>
      </c>
      <c r="N1062">
        <v>0</v>
      </c>
      <c r="O1062" s="8" t="str">
        <f>formatIP(Table1[[#This Row],[Address A]])</f>
        <v>010.012.000.071</v>
      </c>
      <c r="P1062" s="8" t="str">
        <f>formatIP(Table1[[#This Row],[Address B]])</f>
        <v>172.217.022.068</v>
      </c>
      <c r="Q1062" s="8" t="str">
        <f>VLOOKUP(Table1[[#This Row],[Address A]],IP_Master[],4,FALSE)</f>
        <v>PPPCSTP1</v>
      </c>
      <c r="R1062" s="8" t="e">
        <f>VLOOKUP(Table1[[#This Row],[Address B]],IP_Master[],4,FALSE)</f>
        <v>#N/A</v>
      </c>
      <c r="S1062" s="8" t="str">
        <f>VLOOKUP(Table1[[#This Row],[Address A]],IP_Master[],2,FALSE)</f>
        <v>PETs Plant</v>
      </c>
      <c r="T1062" s="8" t="e">
        <f>VLOOKUP(Table1[[#This Row],[Address B]],IP_Master[],2,FALSE)</f>
        <v>#N/A</v>
      </c>
      <c r="U1062" s="9" t="str">
        <f>VLOOKUP(Table1[[#This Row],[Address A]],IP_Master[],3,FALSE)</f>
        <v>iFIX Nodes &amp; Ethernet Switches</v>
      </c>
      <c r="V1062" s="9" t="e">
        <f>VLOOKUP(Table1[[#This Row],[Address B]],IP_Master[],3,FALSE)</f>
        <v>#N/A</v>
      </c>
      <c r="W1062" s="9" t="str">
        <f>VLOOKUP(Table1[[#This Row],[Port B]],traffic_types[],2,FALSE)</f>
        <v>HTTP</v>
      </c>
    </row>
    <row r="1063" spans="1:23" x14ac:dyDescent="0.6">
      <c r="A1063" t="s">
        <v>115</v>
      </c>
      <c r="B1063">
        <v>62303</v>
      </c>
      <c r="C1063" t="s">
        <v>101</v>
      </c>
      <c r="D1063">
        <v>80</v>
      </c>
      <c r="E1063">
        <v>3</v>
      </c>
      <c r="F1063" s="13">
        <v>194</v>
      </c>
      <c r="G1063">
        <v>3</v>
      </c>
      <c r="H1063">
        <v>194</v>
      </c>
      <c r="I1063">
        <v>0</v>
      </c>
      <c r="J1063">
        <v>0</v>
      </c>
      <c r="K1063">
        <v>113.85831399999999</v>
      </c>
      <c r="L1063">
        <v>9.0033560000000001</v>
      </c>
      <c r="M1063">
        <v>172.38016579595401</v>
      </c>
      <c r="N1063">
        <v>0</v>
      </c>
      <c r="O1063" s="8" t="str">
        <f>formatIP(Table1[[#This Row],[Address A]])</f>
        <v>010.012.000.071</v>
      </c>
      <c r="P1063" s="8" t="str">
        <f>formatIP(Table1[[#This Row],[Address B]])</f>
        <v>023.000.040.234</v>
      </c>
      <c r="Q1063" s="8" t="str">
        <f>VLOOKUP(Table1[[#This Row],[Address A]],IP_Master[],4,FALSE)</f>
        <v>PPPCSTP1</v>
      </c>
      <c r="R1063" s="8" t="e">
        <f>VLOOKUP(Table1[[#This Row],[Address B]],IP_Master[],4,FALSE)</f>
        <v>#N/A</v>
      </c>
      <c r="S1063" s="8" t="str">
        <f>VLOOKUP(Table1[[#This Row],[Address A]],IP_Master[],2,FALSE)</f>
        <v>PETs Plant</v>
      </c>
      <c r="T1063" s="8" t="e">
        <f>VLOOKUP(Table1[[#This Row],[Address B]],IP_Master[],2,FALSE)</f>
        <v>#N/A</v>
      </c>
      <c r="U1063" s="9" t="str">
        <f>VLOOKUP(Table1[[#This Row],[Address A]],IP_Master[],3,FALSE)</f>
        <v>iFIX Nodes &amp; Ethernet Switches</v>
      </c>
      <c r="V1063" s="9" t="e">
        <f>VLOOKUP(Table1[[#This Row],[Address B]],IP_Master[],3,FALSE)</f>
        <v>#N/A</v>
      </c>
      <c r="W1063" s="9" t="str">
        <f>VLOOKUP(Table1[[#This Row],[Port B]],traffic_types[],2,FALSE)</f>
        <v>HTTP</v>
      </c>
    </row>
    <row r="1064" spans="1:23" x14ac:dyDescent="0.6">
      <c r="A1064" t="s">
        <v>115</v>
      </c>
      <c r="B1064">
        <v>62304</v>
      </c>
      <c r="C1064" t="s">
        <v>106</v>
      </c>
      <c r="D1064">
        <v>80</v>
      </c>
      <c r="E1064">
        <v>3</v>
      </c>
      <c r="F1064" s="13">
        <v>194</v>
      </c>
      <c r="G1064">
        <v>3</v>
      </c>
      <c r="H1064">
        <v>194</v>
      </c>
      <c r="I1064">
        <v>0</v>
      </c>
      <c r="J1064">
        <v>0</v>
      </c>
      <c r="K1064">
        <v>134.86100999999999</v>
      </c>
      <c r="L1064">
        <v>8.9959810000000004</v>
      </c>
      <c r="M1064">
        <v>172.521484871967</v>
      </c>
      <c r="N1064">
        <v>0</v>
      </c>
      <c r="O1064" s="8" t="str">
        <f>formatIP(Table1[[#This Row],[Address A]])</f>
        <v>010.012.000.071</v>
      </c>
      <c r="P1064" s="8" t="str">
        <f>formatIP(Table1[[#This Row],[Address B]])</f>
        <v>172.217.022.068</v>
      </c>
      <c r="Q1064" s="8" t="str">
        <f>VLOOKUP(Table1[[#This Row],[Address A]],IP_Master[],4,FALSE)</f>
        <v>PPPCSTP1</v>
      </c>
      <c r="R1064" s="8" t="e">
        <f>VLOOKUP(Table1[[#This Row],[Address B]],IP_Master[],4,FALSE)</f>
        <v>#N/A</v>
      </c>
      <c r="S1064" s="8" t="str">
        <f>VLOOKUP(Table1[[#This Row],[Address A]],IP_Master[],2,FALSE)</f>
        <v>PETs Plant</v>
      </c>
      <c r="T1064" s="8" t="e">
        <f>VLOOKUP(Table1[[#This Row],[Address B]],IP_Master[],2,FALSE)</f>
        <v>#N/A</v>
      </c>
      <c r="U1064" s="9" t="str">
        <f>VLOOKUP(Table1[[#This Row],[Address A]],IP_Master[],3,FALSE)</f>
        <v>iFIX Nodes &amp; Ethernet Switches</v>
      </c>
      <c r="V1064" s="9" t="e">
        <f>VLOOKUP(Table1[[#This Row],[Address B]],IP_Master[],3,FALSE)</f>
        <v>#N/A</v>
      </c>
      <c r="W1064" s="9" t="str">
        <f>VLOOKUP(Table1[[#This Row],[Port B]],traffic_types[],2,FALSE)</f>
        <v>HTTP</v>
      </c>
    </row>
    <row r="1065" spans="1:23" x14ac:dyDescent="0.6">
      <c r="A1065" t="s">
        <v>115</v>
      </c>
      <c r="B1065">
        <v>62308</v>
      </c>
      <c r="C1065" t="s">
        <v>101</v>
      </c>
      <c r="D1065">
        <v>80</v>
      </c>
      <c r="E1065">
        <v>3</v>
      </c>
      <c r="F1065" s="13">
        <v>194</v>
      </c>
      <c r="G1065">
        <v>3</v>
      </c>
      <c r="H1065">
        <v>194</v>
      </c>
      <c r="I1065">
        <v>0</v>
      </c>
      <c r="J1065">
        <v>0</v>
      </c>
      <c r="K1065">
        <v>160.888778</v>
      </c>
      <c r="L1065">
        <v>9.0009099999999993</v>
      </c>
      <c r="M1065">
        <v>172.42701015786199</v>
      </c>
      <c r="N1065">
        <v>0</v>
      </c>
      <c r="O1065" s="8" t="str">
        <f>formatIP(Table1[[#This Row],[Address A]])</f>
        <v>010.012.000.071</v>
      </c>
      <c r="P1065" s="8" t="str">
        <f>formatIP(Table1[[#This Row],[Address B]])</f>
        <v>023.000.040.234</v>
      </c>
      <c r="Q1065" s="8" t="str">
        <f>VLOOKUP(Table1[[#This Row],[Address A]],IP_Master[],4,FALSE)</f>
        <v>PPPCSTP1</v>
      </c>
      <c r="R1065" s="8" t="e">
        <f>VLOOKUP(Table1[[#This Row],[Address B]],IP_Master[],4,FALSE)</f>
        <v>#N/A</v>
      </c>
      <c r="S1065" s="8" t="str">
        <f>VLOOKUP(Table1[[#This Row],[Address A]],IP_Master[],2,FALSE)</f>
        <v>PETs Plant</v>
      </c>
      <c r="T1065" s="8" t="e">
        <f>VLOOKUP(Table1[[#This Row],[Address B]],IP_Master[],2,FALSE)</f>
        <v>#N/A</v>
      </c>
      <c r="U1065" s="9" t="str">
        <f>VLOOKUP(Table1[[#This Row],[Address A]],IP_Master[],3,FALSE)</f>
        <v>iFIX Nodes &amp; Ethernet Switches</v>
      </c>
      <c r="V1065" s="9" t="e">
        <f>VLOOKUP(Table1[[#This Row],[Address B]],IP_Master[],3,FALSE)</f>
        <v>#N/A</v>
      </c>
      <c r="W1065" s="9" t="str">
        <f>VLOOKUP(Table1[[#This Row],[Port B]],traffic_types[],2,FALSE)</f>
        <v>HTTP</v>
      </c>
    </row>
    <row r="1066" spans="1:23" x14ac:dyDescent="0.6">
      <c r="A1066" t="s">
        <v>115</v>
      </c>
      <c r="B1066">
        <v>62312</v>
      </c>
      <c r="C1066" t="s">
        <v>106</v>
      </c>
      <c r="D1066">
        <v>80</v>
      </c>
      <c r="E1066">
        <v>3</v>
      </c>
      <c r="F1066" s="13">
        <v>194</v>
      </c>
      <c r="G1066">
        <v>3</v>
      </c>
      <c r="H1066">
        <v>194</v>
      </c>
      <c r="I1066">
        <v>0</v>
      </c>
      <c r="J1066">
        <v>0</v>
      </c>
      <c r="K1066">
        <v>181.89509000000001</v>
      </c>
      <c r="L1066">
        <v>9.0049860000000006</v>
      </c>
      <c r="M1066">
        <v>172.34896311887701</v>
      </c>
      <c r="N1066">
        <v>0</v>
      </c>
      <c r="O1066" s="8" t="str">
        <f>formatIP(Table1[[#This Row],[Address A]])</f>
        <v>010.012.000.071</v>
      </c>
      <c r="P1066" s="8" t="str">
        <f>formatIP(Table1[[#This Row],[Address B]])</f>
        <v>172.217.022.068</v>
      </c>
      <c r="Q1066" s="8" t="str">
        <f>VLOOKUP(Table1[[#This Row],[Address A]],IP_Master[],4,FALSE)</f>
        <v>PPPCSTP1</v>
      </c>
      <c r="R1066" s="8" t="e">
        <f>VLOOKUP(Table1[[#This Row],[Address B]],IP_Master[],4,FALSE)</f>
        <v>#N/A</v>
      </c>
      <c r="S1066" s="8" t="str">
        <f>VLOOKUP(Table1[[#This Row],[Address A]],IP_Master[],2,FALSE)</f>
        <v>PETs Plant</v>
      </c>
      <c r="T1066" s="8" t="e">
        <f>VLOOKUP(Table1[[#This Row],[Address B]],IP_Master[],2,FALSE)</f>
        <v>#N/A</v>
      </c>
      <c r="U1066" s="9" t="str">
        <f>VLOOKUP(Table1[[#This Row],[Address A]],IP_Master[],3,FALSE)</f>
        <v>iFIX Nodes &amp; Ethernet Switches</v>
      </c>
      <c r="V1066" s="9" t="e">
        <f>VLOOKUP(Table1[[#This Row],[Address B]],IP_Master[],3,FALSE)</f>
        <v>#N/A</v>
      </c>
      <c r="W1066" s="9" t="str">
        <f>VLOOKUP(Table1[[#This Row],[Port B]],traffic_types[],2,FALSE)</f>
        <v>HTTP</v>
      </c>
    </row>
    <row r="1067" spans="1:23" x14ac:dyDescent="0.6">
      <c r="A1067" t="s">
        <v>115</v>
      </c>
      <c r="B1067">
        <v>62316</v>
      </c>
      <c r="C1067" t="s">
        <v>101</v>
      </c>
      <c r="D1067">
        <v>80</v>
      </c>
      <c r="E1067">
        <v>3</v>
      </c>
      <c r="F1067" s="13">
        <v>194</v>
      </c>
      <c r="G1067">
        <v>3</v>
      </c>
      <c r="H1067">
        <v>194</v>
      </c>
      <c r="I1067">
        <v>0</v>
      </c>
      <c r="J1067">
        <v>0</v>
      </c>
      <c r="K1067">
        <v>208.306195</v>
      </c>
      <c r="L1067">
        <v>9.0015870000000007</v>
      </c>
      <c r="M1067">
        <v>172.41404210168699</v>
      </c>
      <c r="N1067">
        <v>0</v>
      </c>
      <c r="O1067" s="8" t="str">
        <f>formatIP(Table1[[#This Row],[Address A]])</f>
        <v>010.012.000.071</v>
      </c>
      <c r="P1067" s="8" t="str">
        <f>formatIP(Table1[[#This Row],[Address B]])</f>
        <v>023.000.040.234</v>
      </c>
      <c r="Q1067" s="8" t="str">
        <f>VLOOKUP(Table1[[#This Row],[Address A]],IP_Master[],4,FALSE)</f>
        <v>PPPCSTP1</v>
      </c>
      <c r="R1067" s="8" t="e">
        <f>VLOOKUP(Table1[[#This Row],[Address B]],IP_Master[],4,FALSE)</f>
        <v>#N/A</v>
      </c>
      <c r="S1067" s="8" t="str">
        <f>VLOOKUP(Table1[[#This Row],[Address A]],IP_Master[],2,FALSE)</f>
        <v>PETs Plant</v>
      </c>
      <c r="T1067" s="8" t="e">
        <f>VLOOKUP(Table1[[#This Row],[Address B]],IP_Master[],2,FALSE)</f>
        <v>#N/A</v>
      </c>
      <c r="U1067" s="9" t="str">
        <f>VLOOKUP(Table1[[#This Row],[Address A]],IP_Master[],3,FALSE)</f>
        <v>iFIX Nodes &amp; Ethernet Switches</v>
      </c>
      <c r="V1067" s="9" t="e">
        <f>VLOOKUP(Table1[[#This Row],[Address B]],IP_Master[],3,FALSE)</f>
        <v>#N/A</v>
      </c>
      <c r="W1067" s="9" t="str">
        <f>VLOOKUP(Table1[[#This Row],[Port B]],traffic_types[],2,FALSE)</f>
        <v>HTTP</v>
      </c>
    </row>
    <row r="1068" spans="1:23" x14ac:dyDescent="0.6">
      <c r="A1068" t="s">
        <v>115</v>
      </c>
      <c r="B1068">
        <v>62317</v>
      </c>
      <c r="C1068" t="s">
        <v>106</v>
      </c>
      <c r="D1068">
        <v>80</v>
      </c>
      <c r="E1068">
        <v>3</v>
      </c>
      <c r="F1068" s="13">
        <v>194</v>
      </c>
      <c r="G1068">
        <v>3</v>
      </c>
      <c r="H1068">
        <v>194</v>
      </c>
      <c r="I1068">
        <v>0</v>
      </c>
      <c r="J1068">
        <v>0</v>
      </c>
      <c r="K1068">
        <v>229.316282</v>
      </c>
      <c r="L1068">
        <v>9.0027639999999796</v>
      </c>
      <c r="M1068">
        <v>172.391501098996</v>
      </c>
      <c r="N1068">
        <v>0</v>
      </c>
      <c r="O1068" s="8" t="str">
        <f>formatIP(Table1[[#This Row],[Address A]])</f>
        <v>010.012.000.071</v>
      </c>
      <c r="P1068" s="8" t="str">
        <f>formatIP(Table1[[#This Row],[Address B]])</f>
        <v>172.217.022.068</v>
      </c>
      <c r="Q1068" s="8" t="str">
        <f>VLOOKUP(Table1[[#This Row],[Address A]],IP_Master[],4,FALSE)</f>
        <v>PPPCSTP1</v>
      </c>
      <c r="R1068" s="8" t="e">
        <f>VLOOKUP(Table1[[#This Row],[Address B]],IP_Master[],4,FALSE)</f>
        <v>#N/A</v>
      </c>
      <c r="S1068" s="8" t="str">
        <f>VLOOKUP(Table1[[#This Row],[Address A]],IP_Master[],2,FALSE)</f>
        <v>PETs Plant</v>
      </c>
      <c r="T1068" s="8" t="e">
        <f>VLOOKUP(Table1[[#This Row],[Address B]],IP_Master[],2,FALSE)</f>
        <v>#N/A</v>
      </c>
      <c r="U1068" s="9" t="str">
        <f>VLOOKUP(Table1[[#This Row],[Address A]],IP_Master[],3,FALSE)</f>
        <v>iFIX Nodes &amp; Ethernet Switches</v>
      </c>
      <c r="V1068" s="9" t="e">
        <f>VLOOKUP(Table1[[#This Row],[Address B]],IP_Master[],3,FALSE)</f>
        <v>#N/A</v>
      </c>
      <c r="W1068" s="9" t="str">
        <f>VLOOKUP(Table1[[#This Row],[Port B]],traffic_types[],2,FALSE)</f>
        <v>HTTP</v>
      </c>
    </row>
    <row r="1069" spans="1:23" x14ac:dyDescent="0.6">
      <c r="A1069" t="s">
        <v>115</v>
      </c>
      <c r="B1069">
        <v>62321</v>
      </c>
      <c r="C1069" t="s">
        <v>101</v>
      </c>
      <c r="D1069">
        <v>80</v>
      </c>
      <c r="E1069">
        <v>3</v>
      </c>
      <c r="F1069" s="13">
        <v>194</v>
      </c>
      <c r="G1069">
        <v>3</v>
      </c>
      <c r="H1069">
        <v>194</v>
      </c>
      <c r="I1069">
        <v>0</v>
      </c>
      <c r="J1069">
        <v>0</v>
      </c>
      <c r="K1069">
        <v>255.330029</v>
      </c>
      <c r="L1069">
        <v>8.9998730000000098</v>
      </c>
      <c r="M1069">
        <v>172.44687786149899</v>
      </c>
      <c r="N1069">
        <v>0</v>
      </c>
      <c r="O1069" s="8" t="str">
        <f>formatIP(Table1[[#This Row],[Address A]])</f>
        <v>010.012.000.071</v>
      </c>
      <c r="P1069" s="8" t="str">
        <f>formatIP(Table1[[#This Row],[Address B]])</f>
        <v>023.000.040.234</v>
      </c>
      <c r="Q1069" s="8" t="str">
        <f>VLOOKUP(Table1[[#This Row],[Address A]],IP_Master[],4,FALSE)</f>
        <v>PPPCSTP1</v>
      </c>
      <c r="R1069" s="8" t="e">
        <f>VLOOKUP(Table1[[#This Row],[Address B]],IP_Master[],4,FALSE)</f>
        <v>#N/A</v>
      </c>
      <c r="S1069" s="8" t="str">
        <f>VLOOKUP(Table1[[#This Row],[Address A]],IP_Master[],2,FALSE)</f>
        <v>PETs Plant</v>
      </c>
      <c r="T1069" s="8" t="e">
        <f>VLOOKUP(Table1[[#This Row],[Address B]],IP_Master[],2,FALSE)</f>
        <v>#N/A</v>
      </c>
      <c r="U1069" s="9" t="str">
        <f>VLOOKUP(Table1[[#This Row],[Address A]],IP_Master[],3,FALSE)</f>
        <v>iFIX Nodes &amp; Ethernet Switches</v>
      </c>
      <c r="V1069" s="9" t="e">
        <f>VLOOKUP(Table1[[#This Row],[Address B]],IP_Master[],3,FALSE)</f>
        <v>#N/A</v>
      </c>
      <c r="W1069" s="9" t="str">
        <f>VLOOKUP(Table1[[#This Row],[Port B]],traffic_types[],2,FALSE)</f>
        <v>HTTP</v>
      </c>
    </row>
    <row r="1070" spans="1:23" x14ac:dyDescent="0.6">
      <c r="A1070" t="s">
        <v>115</v>
      </c>
      <c r="B1070">
        <v>62325</v>
      </c>
      <c r="C1070" t="s">
        <v>106</v>
      </c>
      <c r="D1070">
        <v>80</v>
      </c>
      <c r="E1070">
        <v>3</v>
      </c>
      <c r="F1070" s="13">
        <v>194</v>
      </c>
      <c r="G1070">
        <v>3</v>
      </c>
      <c r="H1070">
        <v>194</v>
      </c>
      <c r="I1070">
        <v>0</v>
      </c>
      <c r="J1070">
        <v>0</v>
      </c>
      <c r="K1070">
        <v>276.33733000000001</v>
      </c>
      <c r="L1070">
        <v>9.0009840000000203</v>
      </c>
      <c r="M1070">
        <v>172.42559257965499</v>
      </c>
      <c r="N1070">
        <v>0</v>
      </c>
      <c r="O1070" s="8" t="str">
        <f>formatIP(Table1[[#This Row],[Address A]])</f>
        <v>010.012.000.071</v>
      </c>
      <c r="P1070" s="8" t="str">
        <f>formatIP(Table1[[#This Row],[Address B]])</f>
        <v>172.217.022.068</v>
      </c>
      <c r="Q1070" s="8" t="str">
        <f>VLOOKUP(Table1[[#This Row],[Address A]],IP_Master[],4,FALSE)</f>
        <v>PPPCSTP1</v>
      </c>
      <c r="R1070" s="8" t="e">
        <f>VLOOKUP(Table1[[#This Row],[Address B]],IP_Master[],4,FALSE)</f>
        <v>#N/A</v>
      </c>
      <c r="S1070" s="8" t="str">
        <f>VLOOKUP(Table1[[#This Row],[Address A]],IP_Master[],2,FALSE)</f>
        <v>PETs Plant</v>
      </c>
      <c r="T1070" s="8" t="e">
        <f>VLOOKUP(Table1[[#This Row],[Address B]],IP_Master[],2,FALSE)</f>
        <v>#N/A</v>
      </c>
      <c r="U1070" s="9" t="str">
        <f>VLOOKUP(Table1[[#This Row],[Address A]],IP_Master[],3,FALSE)</f>
        <v>iFIX Nodes &amp; Ethernet Switches</v>
      </c>
      <c r="V1070" s="9" t="e">
        <f>VLOOKUP(Table1[[#This Row],[Address B]],IP_Master[],3,FALSE)</f>
        <v>#N/A</v>
      </c>
      <c r="W1070" s="9" t="str">
        <f>VLOOKUP(Table1[[#This Row],[Port B]],traffic_types[],2,FALSE)</f>
        <v>HTTP</v>
      </c>
    </row>
    <row r="1071" spans="1:23" x14ac:dyDescent="0.6">
      <c r="A1071" t="s">
        <v>115</v>
      </c>
      <c r="B1071">
        <v>62329</v>
      </c>
      <c r="C1071" t="s">
        <v>101</v>
      </c>
      <c r="D1071">
        <v>80</v>
      </c>
      <c r="E1071">
        <v>3</v>
      </c>
      <c r="F1071" s="13">
        <v>194</v>
      </c>
      <c r="G1071">
        <v>3</v>
      </c>
      <c r="H1071">
        <v>194</v>
      </c>
      <c r="I1071">
        <v>0</v>
      </c>
      <c r="J1071">
        <v>0</v>
      </c>
      <c r="K1071">
        <v>302.37392899999998</v>
      </c>
      <c r="L1071">
        <v>9.0011100000000397</v>
      </c>
      <c r="M1071">
        <v>172.42317891904401</v>
      </c>
      <c r="N1071">
        <v>0</v>
      </c>
      <c r="O1071" s="8" t="str">
        <f>formatIP(Table1[[#This Row],[Address A]])</f>
        <v>010.012.000.071</v>
      </c>
      <c r="P1071" s="8" t="str">
        <f>formatIP(Table1[[#This Row],[Address B]])</f>
        <v>023.000.040.234</v>
      </c>
      <c r="Q1071" s="8" t="str">
        <f>VLOOKUP(Table1[[#This Row],[Address A]],IP_Master[],4,FALSE)</f>
        <v>PPPCSTP1</v>
      </c>
      <c r="R1071" s="8" t="e">
        <f>VLOOKUP(Table1[[#This Row],[Address B]],IP_Master[],4,FALSE)</f>
        <v>#N/A</v>
      </c>
      <c r="S1071" s="8" t="str">
        <f>VLOOKUP(Table1[[#This Row],[Address A]],IP_Master[],2,FALSE)</f>
        <v>PETs Plant</v>
      </c>
      <c r="T1071" s="8" t="e">
        <f>VLOOKUP(Table1[[#This Row],[Address B]],IP_Master[],2,FALSE)</f>
        <v>#N/A</v>
      </c>
      <c r="U1071" s="9" t="str">
        <f>VLOOKUP(Table1[[#This Row],[Address A]],IP_Master[],3,FALSE)</f>
        <v>iFIX Nodes &amp; Ethernet Switches</v>
      </c>
      <c r="V1071" s="9" t="e">
        <f>VLOOKUP(Table1[[#This Row],[Address B]],IP_Master[],3,FALSE)</f>
        <v>#N/A</v>
      </c>
      <c r="W1071" s="9" t="str">
        <f>VLOOKUP(Table1[[#This Row],[Port B]],traffic_types[],2,FALSE)</f>
        <v>HTTP</v>
      </c>
    </row>
    <row r="1072" spans="1:23" x14ac:dyDescent="0.6">
      <c r="A1072" t="s">
        <v>115</v>
      </c>
      <c r="B1072">
        <v>62330</v>
      </c>
      <c r="C1072" t="s">
        <v>106</v>
      </c>
      <c r="D1072">
        <v>80</v>
      </c>
      <c r="E1072">
        <v>3</v>
      </c>
      <c r="F1072" s="13">
        <v>194</v>
      </c>
      <c r="G1072">
        <v>3</v>
      </c>
      <c r="H1072">
        <v>194</v>
      </c>
      <c r="I1072">
        <v>0</v>
      </c>
      <c r="J1072">
        <v>0</v>
      </c>
      <c r="K1072">
        <v>323.37035500000002</v>
      </c>
      <c r="L1072">
        <v>9.0069619999999908</v>
      </c>
      <c r="M1072">
        <v>172.31115219538</v>
      </c>
      <c r="N1072">
        <v>0</v>
      </c>
      <c r="O1072" s="8" t="str">
        <f>formatIP(Table1[[#This Row],[Address A]])</f>
        <v>010.012.000.071</v>
      </c>
      <c r="P1072" s="8" t="str">
        <f>formatIP(Table1[[#This Row],[Address B]])</f>
        <v>172.217.022.068</v>
      </c>
      <c r="Q1072" s="8" t="str">
        <f>VLOOKUP(Table1[[#This Row],[Address A]],IP_Master[],4,FALSE)</f>
        <v>PPPCSTP1</v>
      </c>
      <c r="R1072" s="8" t="e">
        <f>VLOOKUP(Table1[[#This Row],[Address B]],IP_Master[],4,FALSE)</f>
        <v>#N/A</v>
      </c>
      <c r="S1072" s="8" t="str">
        <f>VLOOKUP(Table1[[#This Row],[Address A]],IP_Master[],2,FALSE)</f>
        <v>PETs Plant</v>
      </c>
      <c r="T1072" s="8" t="e">
        <f>VLOOKUP(Table1[[#This Row],[Address B]],IP_Master[],2,FALSE)</f>
        <v>#N/A</v>
      </c>
      <c r="U1072" s="9" t="str">
        <f>VLOOKUP(Table1[[#This Row],[Address A]],IP_Master[],3,FALSE)</f>
        <v>iFIX Nodes &amp; Ethernet Switches</v>
      </c>
      <c r="V1072" s="9" t="e">
        <f>VLOOKUP(Table1[[#This Row],[Address B]],IP_Master[],3,FALSE)</f>
        <v>#N/A</v>
      </c>
      <c r="W1072" s="9" t="str">
        <f>VLOOKUP(Table1[[#This Row],[Port B]],traffic_types[],2,FALSE)</f>
        <v>HTTP</v>
      </c>
    </row>
    <row r="1073" spans="1:23" x14ac:dyDescent="0.6">
      <c r="A1073" t="s">
        <v>115</v>
      </c>
      <c r="B1073">
        <v>62334</v>
      </c>
      <c r="C1073" t="s">
        <v>101</v>
      </c>
      <c r="D1073">
        <v>80</v>
      </c>
      <c r="E1073">
        <v>3</v>
      </c>
      <c r="F1073" s="13">
        <v>194</v>
      </c>
      <c r="G1073">
        <v>3</v>
      </c>
      <c r="H1073">
        <v>194</v>
      </c>
      <c r="I1073">
        <v>0</v>
      </c>
      <c r="J1073">
        <v>0</v>
      </c>
      <c r="K1073">
        <v>349.98003899999998</v>
      </c>
      <c r="L1073">
        <v>9.0070830000000193</v>
      </c>
      <c r="M1073">
        <v>172.30883738941901</v>
      </c>
      <c r="N1073">
        <v>0</v>
      </c>
      <c r="O1073" s="8" t="str">
        <f>formatIP(Table1[[#This Row],[Address A]])</f>
        <v>010.012.000.071</v>
      </c>
      <c r="P1073" s="8" t="str">
        <f>formatIP(Table1[[#This Row],[Address B]])</f>
        <v>023.000.040.234</v>
      </c>
      <c r="Q1073" s="8" t="str">
        <f>VLOOKUP(Table1[[#This Row],[Address A]],IP_Master[],4,FALSE)</f>
        <v>PPPCSTP1</v>
      </c>
      <c r="R1073" s="8" t="e">
        <f>VLOOKUP(Table1[[#This Row],[Address B]],IP_Master[],4,FALSE)</f>
        <v>#N/A</v>
      </c>
      <c r="S1073" s="8" t="str">
        <f>VLOOKUP(Table1[[#This Row],[Address A]],IP_Master[],2,FALSE)</f>
        <v>PETs Plant</v>
      </c>
      <c r="T1073" s="8" t="e">
        <f>VLOOKUP(Table1[[#This Row],[Address B]],IP_Master[],2,FALSE)</f>
        <v>#N/A</v>
      </c>
      <c r="U1073" s="9" t="str">
        <f>VLOOKUP(Table1[[#This Row],[Address A]],IP_Master[],3,FALSE)</f>
        <v>iFIX Nodes &amp; Ethernet Switches</v>
      </c>
      <c r="V1073" s="9" t="e">
        <f>VLOOKUP(Table1[[#This Row],[Address B]],IP_Master[],3,FALSE)</f>
        <v>#N/A</v>
      </c>
      <c r="W1073" s="9" t="str">
        <f>VLOOKUP(Table1[[#This Row],[Port B]],traffic_types[],2,FALSE)</f>
        <v>HTTP</v>
      </c>
    </row>
    <row r="1074" spans="1:23" x14ac:dyDescent="0.6">
      <c r="A1074" t="s">
        <v>115</v>
      </c>
      <c r="B1074">
        <v>62340</v>
      </c>
      <c r="C1074" t="s">
        <v>106</v>
      </c>
      <c r="D1074">
        <v>80</v>
      </c>
      <c r="E1074">
        <v>3</v>
      </c>
      <c r="F1074" s="13">
        <v>194</v>
      </c>
      <c r="G1074">
        <v>3</v>
      </c>
      <c r="H1074">
        <v>194</v>
      </c>
      <c r="I1074">
        <v>0</v>
      </c>
      <c r="J1074">
        <v>0</v>
      </c>
      <c r="K1074">
        <v>370.98656999999997</v>
      </c>
      <c r="L1074">
        <v>9.0009650000000097</v>
      </c>
      <c r="M1074">
        <v>172.42595655021401</v>
      </c>
      <c r="N1074">
        <v>0</v>
      </c>
      <c r="O1074" s="8" t="str">
        <f>formatIP(Table1[[#This Row],[Address A]])</f>
        <v>010.012.000.071</v>
      </c>
      <c r="P1074" s="8" t="str">
        <f>formatIP(Table1[[#This Row],[Address B]])</f>
        <v>172.217.022.068</v>
      </c>
      <c r="Q1074" s="8" t="str">
        <f>VLOOKUP(Table1[[#This Row],[Address A]],IP_Master[],4,FALSE)</f>
        <v>PPPCSTP1</v>
      </c>
      <c r="R1074" s="8" t="e">
        <f>VLOOKUP(Table1[[#This Row],[Address B]],IP_Master[],4,FALSE)</f>
        <v>#N/A</v>
      </c>
      <c r="S1074" s="8" t="str">
        <f>VLOOKUP(Table1[[#This Row],[Address A]],IP_Master[],2,FALSE)</f>
        <v>PETs Plant</v>
      </c>
      <c r="T1074" s="8" t="e">
        <f>VLOOKUP(Table1[[#This Row],[Address B]],IP_Master[],2,FALSE)</f>
        <v>#N/A</v>
      </c>
      <c r="U1074" s="9" t="str">
        <f>VLOOKUP(Table1[[#This Row],[Address A]],IP_Master[],3,FALSE)</f>
        <v>iFIX Nodes &amp; Ethernet Switches</v>
      </c>
      <c r="V1074" s="9" t="e">
        <f>VLOOKUP(Table1[[#This Row],[Address B]],IP_Master[],3,FALSE)</f>
        <v>#N/A</v>
      </c>
      <c r="W1074" s="9" t="str">
        <f>VLOOKUP(Table1[[#This Row],[Port B]],traffic_types[],2,FALSE)</f>
        <v>HTTP</v>
      </c>
    </row>
    <row r="1075" spans="1:23" x14ac:dyDescent="0.6">
      <c r="A1075" t="s">
        <v>115</v>
      </c>
      <c r="B1075">
        <v>62344</v>
      </c>
      <c r="C1075" t="s">
        <v>101</v>
      </c>
      <c r="D1075">
        <v>80</v>
      </c>
      <c r="E1075">
        <v>3</v>
      </c>
      <c r="F1075" s="13">
        <v>194</v>
      </c>
      <c r="G1075">
        <v>3</v>
      </c>
      <c r="H1075">
        <v>194</v>
      </c>
      <c r="I1075">
        <v>0</v>
      </c>
      <c r="J1075">
        <v>0</v>
      </c>
      <c r="K1075">
        <v>397.01477299999999</v>
      </c>
      <c r="L1075">
        <v>9.0044690000000305</v>
      </c>
      <c r="M1075">
        <v>172.358858695609</v>
      </c>
      <c r="N1075">
        <v>0</v>
      </c>
      <c r="O1075" s="8" t="str">
        <f>formatIP(Table1[[#This Row],[Address A]])</f>
        <v>010.012.000.071</v>
      </c>
      <c r="P1075" s="8" t="str">
        <f>formatIP(Table1[[#This Row],[Address B]])</f>
        <v>023.000.040.234</v>
      </c>
      <c r="Q1075" s="8" t="str">
        <f>VLOOKUP(Table1[[#This Row],[Address A]],IP_Master[],4,FALSE)</f>
        <v>PPPCSTP1</v>
      </c>
      <c r="R1075" s="8" t="e">
        <f>VLOOKUP(Table1[[#This Row],[Address B]],IP_Master[],4,FALSE)</f>
        <v>#N/A</v>
      </c>
      <c r="S1075" s="8" t="str">
        <f>VLOOKUP(Table1[[#This Row],[Address A]],IP_Master[],2,FALSE)</f>
        <v>PETs Plant</v>
      </c>
      <c r="T1075" s="8" t="e">
        <f>VLOOKUP(Table1[[#This Row],[Address B]],IP_Master[],2,FALSE)</f>
        <v>#N/A</v>
      </c>
      <c r="U1075" s="9" t="str">
        <f>VLOOKUP(Table1[[#This Row],[Address A]],IP_Master[],3,FALSE)</f>
        <v>iFIX Nodes &amp; Ethernet Switches</v>
      </c>
      <c r="V1075" s="9" t="e">
        <f>VLOOKUP(Table1[[#This Row],[Address B]],IP_Master[],3,FALSE)</f>
        <v>#N/A</v>
      </c>
      <c r="W1075" s="9" t="str">
        <f>VLOOKUP(Table1[[#This Row],[Port B]],traffic_types[],2,FALSE)</f>
        <v>HTTP</v>
      </c>
    </row>
    <row r="1076" spans="1:23" x14ac:dyDescent="0.6">
      <c r="A1076" t="s">
        <v>115</v>
      </c>
      <c r="B1076">
        <v>62345</v>
      </c>
      <c r="C1076" t="s">
        <v>106</v>
      </c>
      <c r="D1076">
        <v>80</v>
      </c>
      <c r="E1076">
        <v>3</v>
      </c>
      <c r="F1076" s="13">
        <v>194</v>
      </c>
      <c r="G1076">
        <v>3</v>
      </c>
      <c r="H1076">
        <v>194</v>
      </c>
      <c r="I1076">
        <v>0</v>
      </c>
      <c r="J1076">
        <v>0</v>
      </c>
      <c r="K1076">
        <v>418.01557500000001</v>
      </c>
      <c r="L1076">
        <v>9.0018559999999805</v>
      </c>
      <c r="M1076">
        <v>172.40888990003899</v>
      </c>
      <c r="N1076">
        <v>0</v>
      </c>
      <c r="O1076" s="8" t="str">
        <f>formatIP(Table1[[#This Row],[Address A]])</f>
        <v>010.012.000.071</v>
      </c>
      <c r="P1076" s="8" t="str">
        <f>formatIP(Table1[[#This Row],[Address B]])</f>
        <v>172.217.022.068</v>
      </c>
      <c r="Q1076" s="8" t="str">
        <f>VLOOKUP(Table1[[#This Row],[Address A]],IP_Master[],4,FALSE)</f>
        <v>PPPCSTP1</v>
      </c>
      <c r="R1076" s="8" t="e">
        <f>VLOOKUP(Table1[[#This Row],[Address B]],IP_Master[],4,FALSE)</f>
        <v>#N/A</v>
      </c>
      <c r="S1076" s="8" t="str">
        <f>VLOOKUP(Table1[[#This Row],[Address A]],IP_Master[],2,FALSE)</f>
        <v>PETs Plant</v>
      </c>
      <c r="T1076" s="8" t="e">
        <f>VLOOKUP(Table1[[#This Row],[Address B]],IP_Master[],2,FALSE)</f>
        <v>#N/A</v>
      </c>
      <c r="U1076" s="9" t="str">
        <f>VLOOKUP(Table1[[#This Row],[Address A]],IP_Master[],3,FALSE)</f>
        <v>iFIX Nodes &amp; Ethernet Switches</v>
      </c>
      <c r="V1076" s="9" t="e">
        <f>VLOOKUP(Table1[[#This Row],[Address B]],IP_Master[],3,FALSE)</f>
        <v>#N/A</v>
      </c>
      <c r="W1076" s="9" t="str">
        <f>VLOOKUP(Table1[[#This Row],[Port B]],traffic_types[],2,FALSE)</f>
        <v>HTTP</v>
      </c>
    </row>
    <row r="1077" spans="1:23" x14ac:dyDescent="0.6">
      <c r="A1077" t="s">
        <v>115</v>
      </c>
      <c r="B1077">
        <v>62349</v>
      </c>
      <c r="C1077" t="s">
        <v>101</v>
      </c>
      <c r="D1077">
        <v>80</v>
      </c>
      <c r="E1077">
        <v>3</v>
      </c>
      <c r="F1077" s="13">
        <v>194</v>
      </c>
      <c r="G1077">
        <v>3</v>
      </c>
      <c r="H1077">
        <v>194</v>
      </c>
      <c r="I1077">
        <v>0</v>
      </c>
      <c r="J1077">
        <v>0</v>
      </c>
      <c r="K1077">
        <v>444.03767299999998</v>
      </c>
      <c r="L1077">
        <v>8.9956340000000008</v>
      </c>
      <c r="M1077">
        <v>172.52813976202199</v>
      </c>
      <c r="N1077">
        <v>0</v>
      </c>
      <c r="O1077" s="8" t="str">
        <f>formatIP(Table1[[#This Row],[Address A]])</f>
        <v>010.012.000.071</v>
      </c>
      <c r="P1077" s="8" t="str">
        <f>formatIP(Table1[[#This Row],[Address B]])</f>
        <v>023.000.040.234</v>
      </c>
      <c r="Q1077" s="8" t="str">
        <f>VLOOKUP(Table1[[#This Row],[Address A]],IP_Master[],4,FALSE)</f>
        <v>PPPCSTP1</v>
      </c>
      <c r="R1077" s="8" t="e">
        <f>VLOOKUP(Table1[[#This Row],[Address B]],IP_Master[],4,FALSE)</f>
        <v>#N/A</v>
      </c>
      <c r="S1077" s="8" t="str">
        <f>VLOOKUP(Table1[[#This Row],[Address A]],IP_Master[],2,FALSE)</f>
        <v>PETs Plant</v>
      </c>
      <c r="T1077" s="8" t="e">
        <f>VLOOKUP(Table1[[#This Row],[Address B]],IP_Master[],2,FALSE)</f>
        <v>#N/A</v>
      </c>
      <c r="U1077" s="9" t="str">
        <f>VLOOKUP(Table1[[#This Row],[Address A]],IP_Master[],3,FALSE)</f>
        <v>iFIX Nodes &amp; Ethernet Switches</v>
      </c>
      <c r="V1077" s="9" t="e">
        <f>VLOOKUP(Table1[[#This Row],[Address B]],IP_Master[],3,FALSE)</f>
        <v>#N/A</v>
      </c>
      <c r="W1077" s="9" t="str">
        <f>VLOOKUP(Table1[[#This Row],[Port B]],traffic_types[],2,FALSE)</f>
        <v>HTTP</v>
      </c>
    </row>
    <row r="1078" spans="1:23" x14ac:dyDescent="0.6">
      <c r="A1078" t="s">
        <v>115</v>
      </c>
      <c r="B1078">
        <v>62353</v>
      </c>
      <c r="C1078" t="s">
        <v>106</v>
      </c>
      <c r="D1078">
        <v>80</v>
      </c>
      <c r="E1078">
        <v>3</v>
      </c>
      <c r="F1078" s="13">
        <v>194</v>
      </c>
      <c r="G1078">
        <v>3</v>
      </c>
      <c r="H1078">
        <v>194</v>
      </c>
      <c r="I1078">
        <v>0</v>
      </c>
      <c r="J1078">
        <v>0</v>
      </c>
      <c r="K1078">
        <v>465.038588</v>
      </c>
      <c r="L1078">
        <v>9.0000600000000208</v>
      </c>
      <c r="M1078">
        <v>172.443294822479</v>
      </c>
      <c r="N1078">
        <v>0</v>
      </c>
      <c r="O1078" s="8" t="str">
        <f>formatIP(Table1[[#This Row],[Address A]])</f>
        <v>010.012.000.071</v>
      </c>
      <c r="P1078" s="8" t="str">
        <f>formatIP(Table1[[#This Row],[Address B]])</f>
        <v>172.217.022.068</v>
      </c>
      <c r="Q1078" s="8" t="str">
        <f>VLOOKUP(Table1[[#This Row],[Address A]],IP_Master[],4,FALSE)</f>
        <v>PPPCSTP1</v>
      </c>
      <c r="R1078" s="8" t="e">
        <f>VLOOKUP(Table1[[#This Row],[Address B]],IP_Master[],4,FALSE)</f>
        <v>#N/A</v>
      </c>
      <c r="S1078" s="8" t="str">
        <f>VLOOKUP(Table1[[#This Row],[Address A]],IP_Master[],2,FALSE)</f>
        <v>PETs Plant</v>
      </c>
      <c r="T1078" s="8" t="e">
        <f>VLOOKUP(Table1[[#This Row],[Address B]],IP_Master[],2,FALSE)</f>
        <v>#N/A</v>
      </c>
      <c r="U1078" s="9" t="str">
        <f>VLOOKUP(Table1[[#This Row],[Address A]],IP_Master[],3,FALSE)</f>
        <v>iFIX Nodes &amp; Ethernet Switches</v>
      </c>
      <c r="V1078" s="9" t="e">
        <f>VLOOKUP(Table1[[#This Row],[Address B]],IP_Master[],3,FALSE)</f>
        <v>#N/A</v>
      </c>
      <c r="W1078" s="9" t="str">
        <f>VLOOKUP(Table1[[#This Row],[Port B]],traffic_types[],2,FALSE)</f>
        <v>HTTP</v>
      </c>
    </row>
    <row r="1079" spans="1:23" x14ac:dyDescent="0.6">
      <c r="A1079" t="s">
        <v>115</v>
      </c>
      <c r="B1079">
        <v>62357</v>
      </c>
      <c r="C1079" t="s">
        <v>101</v>
      </c>
      <c r="D1079">
        <v>80</v>
      </c>
      <c r="E1079">
        <v>3</v>
      </c>
      <c r="F1079" s="13">
        <v>194</v>
      </c>
      <c r="G1079">
        <v>3</v>
      </c>
      <c r="H1079">
        <v>194</v>
      </c>
      <c r="I1079">
        <v>0</v>
      </c>
      <c r="J1079">
        <v>0</v>
      </c>
      <c r="K1079">
        <v>491.56643300000002</v>
      </c>
      <c r="L1079">
        <v>9.0008629999999794</v>
      </c>
      <c r="M1079">
        <v>172.427910523691</v>
      </c>
      <c r="N1079">
        <v>0</v>
      </c>
      <c r="O1079" s="8" t="str">
        <f>formatIP(Table1[[#This Row],[Address A]])</f>
        <v>010.012.000.071</v>
      </c>
      <c r="P1079" s="8" t="str">
        <f>formatIP(Table1[[#This Row],[Address B]])</f>
        <v>023.000.040.234</v>
      </c>
      <c r="Q1079" s="8" t="str">
        <f>VLOOKUP(Table1[[#This Row],[Address A]],IP_Master[],4,FALSE)</f>
        <v>PPPCSTP1</v>
      </c>
      <c r="R1079" s="8" t="e">
        <f>VLOOKUP(Table1[[#This Row],[Address B]],IP_Master[],4,FALSE)</f>
        <v>#N/A</v>
      </c>
      <c r="S1079" s="8" t="str">
        <f>VLOOKUP(Table1[[#This Row],[Address A]],IP_Master[],2,FALSE)</f>
        <v>PETs Plant</v>
      </c>
      <c r="T1079" s="8" t="e">
        <f>VLOOKUP(Table1[[#This Row],[Address B]],IP_Master[],2,FALSE)</f>
        <v>#N/A</v>
      </c>
      <c r="U1079" s="9" t="str">
        <f>VLOOKUP(Table1[[#This Row],[Address A]],IP_Master[],3,FALSE)</f>
        <v>iFIX Nodes &amp; Ethernet Switches</v>
      </c>
      <c r="V1079" s="9" t="e">
        <f>VLOOKUP(Table1[[#This Row],[Address B]],IP_Master[],3,FALSE)</f>
        <v>#N/A</v>
      </c>
      <c r="W1079" s="9" t="str">
        <f>VLOOKUP(Table1[[#This Row],[Port B]],traffic_types[],2,FALSE)</f>
        <v>HTTP</v>
      </c>
    </row>
    <row r="1080" spans="1:23" x14ac:dyDescent="0.6">
      <c r="A1080" t="s">
        <v>115</v>
      </c>
      <c r="B1080">
        <v>62361</v>
      </c>
      <c r="C1080" t="s">
        <v>106</v>
      </c>
      <c r="D1080">
        <v>80</v>
      </c>
      <c r="E1080">
        <v>3</v>
      </c>
      <c r="F1080" s="13">
        <v>194</v>
      </c>
      <c r="G1080">
        <v>3</v>
      </c>
      <c r="H1080">
        <v>194</v>
      </c>
      <c r="I1080">
        <v>0</v>
      </c>
      <c r="J1080">
        <v>0</v>
      </c>
      <c r="K1080">
        <v>512.568083</v>
      </c>
      <c r="L1080">
        <v>8.99762999999996</v>
      </c>
      <c r="M1080">
        <v>172.48986677603</v>
      </c>
      <c r="N1080">
        <v>0</v>
      </c>
      <c r="O1080" s="8" t="str">
        <f>formatIP(Table1[[#This Row],[Address A]])</f>
        <v>010.012.000.071</v>
      </c>
      <c r="P1080" s="8" t="str">
        <f>formatIP(Table1[[#This Row],[Address B]])</f>
        <v>172.217.022.068</v>
      </c>
      <c r="Q1080" s="8" t="str">
        <f>VLOOKUP(Table1[[#This Row],[Address A]],IP_Master[],4,FALSE)</f>
        <v>PPPCSTP1</v>
      </c>
      <c r="R1080" s="8" t="e">
        <f>VLOOKUP(Table1[[#This Row],[Address B]],IP_Master[],4,FALSE)</f>
        <v>#N/A</v>
      </c>
      <c r="S1080" s="8" t="str">
        <f>VLOOKUP(Table1[[#This Row],[Address A]],IP_Master[],2,FALSE)</f>
        <v>PETs Plant</v>
      </c>
      <c r="T1080" s="8" t="e">
        <f>VLOOKUP(Table1[[#This Row],[Address B]],IP_Master[],2,FALSE)</f>
        <v>#N/A</v>
      </c>
      <c r="U1080" s="9" t="str">
        <f>VLOOKUP(Table1[[#This Row],[Address A]],IP_Master[],3,FALSE)</f>
        <v>iFIX Nodes &amp; Ethernet Switches</v>
      </c>
      <c r="V1080" s="9" t="e">
        <f>VLOOKUP(Table1[[#This Row],[Address B]],IP_Master[],3,FALSE)</f>
        <v>#N/A</v>
      </c>
      <c r="W1080" s="9" t="str">
        <f>VLOOKUP(Table1[[#This Row],[Port B]],traffic_types[],2,FALSE)</f>
        <v>HTTP</v>
      </c>
    </row>
    <row r="1081" spans="1:23" x14ac:dyDescent="0.6">
      <c r="A1081" t="s">
        <v>115</v>
      </c>
      <c r="B1081">
        <v>62362</v>
      </c>
      <c r="C1081" t="s">
        <v>101</v>
      </c>
      <c r="D1081">
        <v>80</v>
      </c>
      <c r="E1081">
        <v>3</v>
      </c>
      <c r="F1081" s="13">
        <v>194</v>
      </c>
      <c r="G1081">
        <v>3</v>
      </c>
      <c r="H1081">
        <v>194</v>
      </c>
      <c r="I1081">
        <v>0</v>
      </c>
      <c r="J1081">
        <v>0</v>
      </c>
      <c r="K1081">
        <v>538.59595899999999</v>
      </c>
      <c r="L1081">
        <v>9.0003930000000292</v>
      </c>
      <c r="M1081">
        <v>172.43691469916899</v>
      </c>
      <c r="N1081">
        <v>0</v>
      </c>
      <c r="O1081" s="8" t="str">
        <f>formatIP(Table1[[#This Row],[Address A]])</f>
        <v>010.012.000.071</v>
      </c>
      <c r="P1081" s="8" t="str">
        <f>formatIP(Table1[[#This Row],[Address B]])</f>
        <v>023.000.040.234</v>
      </c>
      <c r="Q1081" s="8" t="str">
        <f>VLOOKUP(Table1[[#This Row],[Address A]],IP_Master[],4,FALSE)</f>
        <v>PPPCSTP1</v>
      </c>
      <c r="R1081" s="8" t="e">
        <f>VLOOKUP(Table1[[#This Row],[Address B]],IP_Master[],4,FALSE)</f>
        <v>#N/A</v>
      </c>
      <c r="S1081" s="8" t="str">
        <f>VLOOKUP(Table1[[#This Row],[Address A]],IP_Master[],2,FALSE)</f>
        <v>PETs Plant</v>
      </c>
      <c r="T1081" s="8" t="e">
        <f>VLOOKUP(Table1[[#This Row],[Address B]],IP_Master[],2,FALSE)</f>
        <v>#N/A</v>
      </c>
      <c r="U1081" s="9" t="str">
        <f>VLOOKUP(Table1[[#This Row],[Address A]],IP_Master[],3,FALSE)</f>
        <v>iFIX Nodes &amp; Ethernet Switches</v>
      </c>
      <c r="V1081" s="9" t="e">
        <f>VLOOKUP(Table1[[#This Row],[Address B]],IP_Master[],3,FALSE)</f>
        <v>#N/A</v>
      </c>
      <c r="W1081" s="9" t="str">
        <f>VLOOKUP(Table1[[#This Row],[Port B]],traffic_types[],2,FALSE)</f>
        <v>HTTP</v>
      </c>
    </row>
    <row r="1082" spans="1:23" x14ac:dyDescent="0.6">
      <c r="A1082" t="s">
        <v>115</v>
      </c>
      <c r="B1082">
        <v>62366</v>
      </c>
      <c r="C1082" t="s">
        <v>106</v>
      </c>
      <c r="D1082">
        <v>80</v>
      </c>
      <c r="E1082">
        <v>3</v>
      </c>
      <c r="F1082" s="13">
        <v>194</v>
      </c>
      <c r="G1082">
        <v>3</v>
      </c>
      <c r="H1082">
        <v>194</v>
      </c>
      <c r="I1082">
        <v>0</v>
      </c>
      <c r="J1082">
        <v>0</v>
      </c>
      <c r="K1082">
        <v>559.60093800000004</v>
      </c>
      <c r="L1082">
        <v>9.0009269999999297</v>
      </c>
      <c r="M1082">
        <v>172.42668449594299</v>
      </c>
      <c r="N1082">
        <v>0</v>
      </c>
      <c r="O1082" s="8" t="str">
        <f>formatIP(Table1[[#This Row],[Address A]])</f>
        <v>010.012.000.071</v>
      </c>
      <c r="P1082" s="8" t="str">
        <f>formatIP(Table1[[#This Row],[Address B]])</f>
        <v>172.217.022.068</v>
      </c>
      <c r="Q1082" s="8" t="str">
        <f>VLOOKUP(Table1[[#This Row],[Address A]],IP_Master[],4,FALSE)</f>
        <v>PPPCSTP1</v>
      </c>
      <c r="R1082" s="8" t="e">
        <f>VLOOKUP(Table1[[#This Row],[Address B]],IP_Master[],4,FALSE)</f>
        <v>#N/A</v>
      </c>
      <c r="S1082" s="8" t="str">
        <f>VLOOKUP(Table1[[#This Row],[Address A]],IP_Master[],2,FALSE)</f>
        <v>PETs Plant</v>
      </c>
      <c r="T1082" s="8" t="e">
        <f>VLOOKUP(Table1[[#This Row],[Address B]],IP_Master[],2,FALSE)</f>
        <v>#N/A</v>
      </c>
      <c r="U1082" s="9" t="str">
        <f>VLOOKUP(Table1[[#This Row],[Address A]],IP_Master[],3,FALSE)</f>
        <v>iFIX Nodes &amp; Ethernet Switches</v>
      </c>
      <c r="V1082" s="9" t="e">
        <f>VLOOKUP(Table1[[#This Row],[Address B]],IP_Master[],3,FALSE)</f>
        <v>#N/A</v>
      </c>
      <c r="W1082" s="9" t="str">
        <f>VLOOKUP(Table1[[#This Row],[Port B]],traffic_types[],2,FALSE)</f>
        <v>HTTP</v>
      </c>
    </row>
    <row r="1083" spans="1:23" x14ac:dyDescent="0.6">
      <c r="A1083" t="s">
        <v>115</v>
      </c>
      <c r="B1083">
        <v>62370</v>
      </c>
      <c r="C1083" t="s">
        <v>101</v>
      </c>
      <c r="D1083">
        <v>80</v>
      </c>
      <c r="E1083">
        <v>3</v>
      </c>
      <c r="F1083" s="13">
        <v>194</v>
      </c>
      <c r="G1083">
        <v>3</v>
      </c>
      <c r="H1083">
        <v>194</v>
      </c>
      <c r="I1083">
        <v>0</v>
      </c>
      <c r="J1083">
        <v>0</v>
      </c>
      <c r="K1083">
        <v>585.63493500000004</v>
      </c>
      <c r="L1083">
        <v>9.0025479999999298</v>
      </c>
      <c r="M1083">
        <v>172.395637324012</v>
      </c>
      <c r="N1083">
        <v>0</v>
      </c>
      <c r="O1083" s="8" t="str">
        <f>formatIP(Table1[[#This Row],[Address A]])</f>
        <v>010.012.000.071</v>
      </c>
      <c r="P1083" s="8" t="str">
        <f>formatIP(Table1[[#This Row],[Address B]])</f>
        <v>023.000.040.234</v>
      </c>
      <c r="Q1083" s="8" t="str">
        <f>VLOOKUP(Table1[[#This Row],[Address A]],IP_Master[],4,FALSE)</f>
        <v>PPPCSTP1</v>
      </c>
      <c r="R1083" s="8" t="e">
        <f>VLOOKUP(Table1[[#This Row],[Address B]],IP_Master[],4,FALSE)</f>
        <v>#N/A</v>
      </c>
      <c r="S1083" s="8" t="str">
        <f>VLOOKUP(Table1[[#This Row],[Address A]],IP_Master[],2,FALSE)</f>
        <v>PETs Plant</v>
      </c>
      <c r="T1083" s="8" t="e">
        <f>VLOOKUP(Table1[[#This Row],[Address B]],IP_Master[],2,FALSE)</f>
        <v>#N/A</v>
      </c>
      <c r="U1083" s="9" t="str">
        <f>VLOOKUP(Table1[[#This Row],[Address A]],IP_Master[],3,FALSE)</f>
        <v>iFIX Nodes &amp; Ethernet Switches</v>
      </c>
      <c r="V1083" s="9" t="e">
        <f>VLOOKUP(Table1[[#This Row],[Address B]],IP_Master[],3,FALSE)</f>
        <v>#N/A</v>
      </c>
      <c r="W1083" s="9" t="str">
        <f>VLOOKUP(Table1[[#This Row],[Port B]],traffic_types[],2,FALSE)</f>
        <v>HTTP</v>
      </c>
    </row>
    <row r="1084" spans="1:23" x14ac:dyDescent="0.6">
      <c r="A1084" t="s">
        <v>115</v>
      </c>
      <c r="B1084">
        <v>62374</v>
      </c>
      <c r="C1084" t="s">
        <v>106</v>
      </c>
      <c r="D1084">
        <v>80</v>
      </c>
      <c r="E1084">
        <v>3</v>
      </c>
      <c r="F1084" s="13">
        <v>194</v>
      </c>
      <c r="G1084">
        <v>3</v>
      </c>
      <c r="H1084">
        <v>194</v>
      </c>
      <c r="I1084">
        <v>0</v>
      </c>
      <c r="J1084">
        <v>0</v>
      </c>
      <c r="K1084">
        <v>606.64690700000006</v>
      </c>
      <c r="L1084">
        <v>9.0039839999999494</v>
      </c>
      <c r="M1084">
        <v>172.368142813227</v>
      </c>
      <c r="N1084">
        <v>0</v>
      </c>
      <c r="O1084" s="8" t="str">
        <f>formatIP(Table1[[#This Row],[Address A]])</f>
        <v>010.012.000.071</v>
      </c>
      <c r="P1084" s="8" t="str">
        <f>formatIP(Table1[[#This Row],[Address B]])</f>
        <v>172.217.022.068</v>
      </c>
      <c r="Q1084" s="8" t="str">
        <f>VLOOKUP(Table1[[#This Row],[Address A]],IP_Master[],4,FALSE)</f>
        <v>PPPCSTP1</v>
      </c>
      <c r="R1084" s="8" t="e">
        <f>VLOOKUP(Table1[[#This Row],[Address B]],IP_Master[],4,FALSE)</f>
        <v>#N/A</v>
      </c>
      <c r="S1084" s="8" t="str">
        <f>VLOOKUP(Table1[[#This Row],[Address A]],IP_Master[],2,FALSE)</f>
        <v>PETs Plant</v>
      </c>
      <c r="T1084" s="8" t="e">
        <f>VLOOKUP(Table1[[#This Row],[Address B]],IP_Master[],2,FALSE)</f>
        <v>#N/A</v>
      </c>
      <c r="U1084" s="9" t="str">
        <f>VLOOKUP(Table1[[#This Row],[Address A]],IP_Master[],3,FALSE)</f>
        <v>iFIX Nodes &amp; Ethernet Switches</v>
      </c>
      <c r="V1084" s="9" t="e">
        <f>VLOOKUP(Table1[[#This Row],[Address B]],IP_Master[],3,FALSE)</f>
        <v>#N/A</v>
      </c>
      <c r="W1084" s="9" t="str">
        <f>VLOOKUP(Table1[[#This Row],[Port B]],traffic_types[],2,FALSE)</f>
        <v>HTTP</v>
      </c>
    </row>
    <row r="1085" spans="1:23" x14ac:dyDescent="0.6">
      <c r="A1085" t="s">
        <v>115</v>
      </c>
      <c r="B1085">
        <v>62375</v>
      </c>
      <c r="C1085" t="s">
        <v>101</v>
      </c>
      <c r="D1085">
        <v>80</v>
      </c>
      <c r="E1085">
        <v>3</v>
      </c>
      <c r="F1085" s="13">
        <v>194</v>
      </c>
      <c r="G1085">
        <v>3</v>
      </c>
      <c r="H1085">
        <v>194</v>
      </c>
      <c r="I1085">
        <v>0</v>
      </c>
      <c r="J1085">
        <v>0</v>
      </c>
      <c r="K1085">
        <v>632.67842499999995</v>
      </c>
      <c r="L1085">
        <v>9.0000410000000102</v>
      </c>
      <c r="M1085">
        <v>172.44365886777601</v>
      </c>
      <c r="N1085">
        <v>0</v>
      </c>
      <c r="O1085" s="8" t="str">
        <f>formatIP(Table1[[#This Row],[Address A]])</f>
        <v>010.012.000.071</v>
      </c>
      <c r="P1085" s="8" t="str">
        <f>formatIP(Table1[[#This Row],[Address B]])</f>
        <v>023.000.040.234</v>
      </c>
      <c r="Q1085" s="8" t="str">
        <f>VLOOKUP(Table1[[#This Row],[Address A]],IP_Master[],4,FALSE)</f>
        <v>PPPCSTP1</v>
      </c>
      <c r="R1085" s="8" t="e">
        <f>VLOOKUP(Table1[[#This Row],[Address B]],IP_Master[],4,FALSE)</f>
        <v>#N/A</v>
      </c>
      <c r="S1085" s="8" t="str">
        <f>VLOOKUP(Table1[[#This Row],[Address A]],IP_Master[],2,FALSE)</f>
        <v>PETs Plant</v>
      </c>
      <c r="T1085" s="8" t="e">
        <f>VLOOKUP(Table1[[#This Row],[Address B]],IP_Master[],2,FALSE)</f>
        <v>#N/A</v>
      </c>
      <c r="U1085" s="9" t="str">
        <f>VLOOKUP(Table1[[#This Row],[Address A]],IP_Master[],3,FALSE)</f>
        <v>iFIX Nodes &amp; Ethernet Switches</v>
      </c>
      <c r="V1085" s="9" t="e">
        <f>VLOOKUP(Table1[[#This Row],[Address B]],IP_Master[],3,FALSE)</f>
        <v>#N/A</v>
      </c>
      <c r="W1085" s="9" t="str">
        <f>VLOOKUP(Table1[[#This Row],[Port B]],traffic_types[],2,FALSE)</f>
        <v>HTTP</v>
      </c>
    </row>
    <row r="1086" spans="1:23" x14ac:dyDescent="0.6">
      <c r="A1086" t="s">
        <v>115</v>
      </c>
      <c r="B1086">
        <v>62379</v>
      </c>
      <c r="C1086" t="s">
        <v>106</v>
      </c>
      <c r="D1086">
        <v>80</v>
      </c>
      <c r="E1086">
        <v>3</v>
      </c>
      <c r="F1086" s="13">
        <v>194</v>
      </c>
      <c r="G1086">
        <v>3</v>
      </c>
      <c r="H1086">
        <v>194</v>
      </c>
      <c r="I1086">
        <v>0</v>
      </c>
      <c r="J1086">
        <v>0</v>
      </c>
      <c r="K1086">
        <v>653.68689600000005</v>
      </c>
      <c r="L1086">
        <v>9.0030739999999696</v>
      </c>
      <c r="M1086">
        <v>172.38556519695399</v>
      </c>
      <c r="N1086">
        <v>0</v>
      </c>
      <c r="O1086" s="8" t="str">
        <f>formatIP(Table1[[#This Row],[Address A]])</f>
        <v>010.012.000.071</v>
      </c>
      <c r="P1086" s="8" t="str">
        <f>formatIP(Table1[[#This Row],[Address B]])</f>
        <v>172.217.022.068</v>
      </c>
      <c r="Q1086" s="8" t="str">
        <f>VLOOKUP(Table1[[#This Row],[Address A]],IP_Master[],4,FALSE)</f>
        <v>PPPCSTP1</v>
      </c>
      <c r="R1086" s="8" t="e">
        <f>VLOOKUP(Table1[[#This Row],[Address B]],IP_Master[],4,FALSE)</f>
        <v>#N/A</v>
      </c>
      <c r="S1086" s="8" t="str">
        <f>VLOOKUP(Table1[[#This Row],[Address A]],IP_Master[],2,FALSE)</f>
        <v>PETs Plant</v>
      </c>
      <c r="T1086" s="8" t="e">
        <f>VLOOKUP(Table1[[#This Row],[Address B]],IP_Master[],2,FALSE)</f>
        <v>#N/A</v>
      </c>
      <c r="U1086" s="9" t="str">
        <f>VLOOKUP(Table1[[#This Row],[Address A]],IP_Master[],3,FALSE)</f>
        <v>iFIX Nodes &amp; Ethernet Switches</v>
      </c>
      <c r="V1086" s="9" t="e">
        <f>VLOOKUP(Table1[[#This Row],[Address B]],IP_Master[],3,FALSE)</f>
        <v>#N/A</v>
      </c>
      <c r="W1086" s="9" t="str">
        <f>VLOOKUP(Table1[[#This Row],[Port B]],traffic_types[],2,FALSE)</f>
        <v>HTTP</v>
      </c>
    </row>
    <row r="1087" spans="1:23" x14ac:dyDescent="0.6">
      <c r="A1087" t="s">
        <v>115</v>
      </c>
      <c r="B1087">
        <v>62383</v>
      </c>
      <c r="C1087" t="s">
        <v>101</v>
      </c>
      <c r="D1087">
        <v>80</v>
      </c>
      <c r="E1087">
        <v>3</v>
      </c>
      <c r="F1087" s="13">
        <v>194</v>
      </c>
      <c r="G1087">
        <v>3</v>
      </c>
      <c r="H1087">
        <v>194</v>
      </c>
      <c r="I1087">
        <v>0</v>
      </c>
      <c r="J1087">
        <v>0</v>
      </c>
      <c r="K1087">
        <v>679.72052900000006</v>
      </c>
      <c r="L1087">
        <v>9.0031489999998904</v>
      </c>
      <c r="M1087">
        <v>172.38412915303499</v>
      </c>
      <c r="N1087">
        <v>0</v>
      </c>
      <c r="O1087" s="8" t="str">
        <f>formatIP(Table1[[#This Row],[Address A]])</f>
        <v>010.012.000.071</v>
      </c>
      <c r="P1087" s="8" t="str">
        <f>formatIP(Table1[[#This Row],[Address B]])</f>
        <v>023.000.040.234</v>
      </c>
      <c r="Q1087" s="8" t="str">
        <f>VLOOKUP(Table1[[#This Row],[Address A]],IP_Master[],4,FALSE)</f>
        <v>PPPCSTP1</v>
      </c>
      <c r="R1087" s="8" t="e">
        <f>VLOOKUP(Table1[[#This Row],[Address B]],IP_Master[],4,FALSE)</f>
        <v>#N/A</v>
      </c>
      <c r="S1087" s="8" t="str">
        <f>VLOOKUP(Table1[[#This Row],[Address A]],IP_Master[],2,FALSE)</f>
        <v>PETs Plant</v>
      </c>
      <c r="T1087" s="8" t="e">
        <f>VLOOKUP(Table1[[#This Row],[Address B]],IP_Master[],2,FALSE)</f>
        <v>#N/A</v>
      </c>
      <c r="U1087" s="9" t="str">
        <f>VLOOKUP(Table1[[#This Row],[Address A]],IP_Master[],3,FALSE)</f>
        <v>iFIX Nodes &amp; Ethernet Switches</v>
      </c>
      <c r="V1087" s="9" t="e">
        <f>VLOOKUP(Table1[[#This Row],[Address B]],IP_Master[],3,FALSE)</f>
        <v>#N/A</v>
      </c>
      <c r="W1087" s="9" t="str">
        <f>VLOOKUP(Table1[[#This Row],[Port B]],traffic_types[],2,FALSE)</f>
        <v>HTTP</v>
      </c>
    </row>
    <row r="1088" spans="1:23" x14ac:dyDescent="0.6">
      <c r="A1088" t="s">
        <v>115</v>
      </c>
      <c r="B1088">
        <v>62384</v>
      </c>
      <c r="C1088" t="s">
        <v>116</v>
      </c>
      <c r="D1088">
        <v>443</v>
      </c>
      <c r="E1088">
        <v>3</v>
      </c>
      <c r="F1088" s="13">
        <v>194</v>
      </c>
      <c r="G1088">
        <v>3</v>
      </c>
      <c r="H1088">
        <v>194</v>
      </c>
      <c r="I1088">
        <v>0</v>
      </c>
      <c r="J1088">
        <v>0</v>
      </c>
      <c r="K1088">
        <v>682.80805599999997</v>
      </c>
      <c r="L1088">
        <v>9.0068670000000601</v>
      </c>
      <c r="M1088">
        <v>172.31296964860101</v>
      </c>
      <c r="N1088">
        <v>0</v>
      </c>
      <c r="O1088" s="8" t="str">
        <f>formatIP(Table1[[#This Row],[Address A]])</f>
        <v>010.012.000.071</v>
      </c>
      <c r="P1088" s="8" t="str">
        <f>formatIP(Table1[[#This Row],[Address B]])</f>
        <v>040.077.226.249</v>
      </c>
      <c r="Q1088" s="8" t="str">
        <f>VLOOKUP(Table1[[#This Row],[Address A]],IP_Master[],4,FALSE)</f>
        <v>PPPCSTP1</v>
      </c>
      <c r="R1088" s="8" t="e">
        <f>VLOOKUP(Table1[[#This Row],[Address B]],IP_Master[],4,FALSE)</f>
        <v>#N/A</v>
      </c>
      <c r="S1088" s="8" t="str">
        <f>VLOOKUP(Table1[[#This Row],[Address A]],IP_Master[],2,FALSE)</f>
        <v>PETs Plant</v>
      </c>
      <c r="T1088" s="8" t="e">
        <f>VLOOKUP(Table1[[#This Row],[Address B]],IP_Master[],2,FALSE)</f>
        <v>#N/A</v>
      </c>
      <c r="U1088" s="9" t="str">
        <f>VLOOKUP(Table1[[#This Row],[Address A]],IP_Master[],3,FALSE)</f>
        <v>iFIX Nodes &amp; Ethernet Switches</v>
      </c>
      <c r="V1088" s="9" t="e">
        <f>VLOOKUP(Table1[[#This Row],[Address B]],IP_Master[],3,FALSE)</f>
        <v>#N/A</v>
      </c>
      <c r="W1088" s="9" t="str">
        <f>VLOOKUP(Table1[[#This Row],[Port B]],traffic_types[],2,FALSE)</f>
        <v>HTTP/S</v>
      </c>
    </row>
    <row r="1089" spans="1:23" x14ac:dyDescent="0.6">
      <c r="A1089" t="s">
        <v>115</v>
      </c>
      <c r="B1089">
        <v>62385</v>
      </c>
      <c r="C1089" t="s">
        <v>117</v>
      </c>
      <c r="D1089">
        <v>443</v>
      </c>
      <c r="E1089">
        <v>3</v>
      </c>
      <c r="F1089" s="13">
        <v>194</v>
      </c>
      <c r="G1089">
        <v>3</v>
      </c>
      <c r="H1089">
        <v>194</v>
      </c>
      <c r="I1089">
        <v>0</v>
      </c>
      <c r="J1089">
        <v>0</v>
      </c>
      <c r="K1089">
        <v>682.80805899999996</v>
      </c>
      <c r="L1089">
        <v>9.0068660000000609</v>
      </c>
      <c r="M1089">
        <v>172.31298877989201</v>
      </c>
      <c r="N1089">
        <v>0</v>
      </c>
      <c r="O1089" s="8" t="str">
        <f>formatIP(Table1[[#This Row],[Address A]])</f>
        <v>010.012.000.071</v>
      </c>
      <c r="P1089" s="8" t="str">
        <f>formatIP(Table1[[#This Row],[Address B]])</f>
        <v>040.077.226.250</v>
      </c>
      <c r="Q1089" s="8" t="str">
        <f>VLOOKUP(Table1[[#This Row],[Address A]],IP_Master[],4,FALSE)</f>
        <v>PPPCSTP1</v>
      </c>
      <c r="R1089" s="8" t="e">
        <f>VLOOKUP(Table1[[#This Row],[Address B]],IP_Master[],4,FALSE)</f>
        <v>#N/A</v>
      </c>
      <c r="S1089" s="8" t="str">
        <f>VLOOKUP(Table1[[#This Row],[Address A]],IP_Master[],2,FALSE)</f>
        <v>PETs Plant</v>
      </c>
      <c r="T1089" s="8" t="e">
        <f>VLOOKUP(Table1[[#This Row],[Address B]],IP_Master[],2,FALSE)</f>
        <v>#N/A</v>
      </c>
      <c r="U1089" s="9" t="str">
        <f>VLOOKUP(Table1[[#This Row],[Address A]],IP_Master[],3,FALSE)</f>
        <v>iFIX Nodes &amp; Ethernet Switches</v>
      </c>
      <c r="V1089" s="9" t="e">
        <f>VLOOKUP(Table1[[#This Row],[Address B]],IP_Master[],3,FALSE)</f>
        <v>#N/A</v>
      </c>
      <c r="W1089" s="9" t="str">
        <f>VLOOKUP(Table1[[#This Row],[Port B]],traffic_types[],2,FALSE)</f>
        <v>HTTP/S</v>
      </c>
    </row>
    <row r="1090" spans="1:23" x14ac:dyDescent="0.6">
      <c r="A1090" t="s">
        <v>115</v>
      </c>
      <c r="B1090">
        <v>62389</v>
      </c>
      <c r="C1090" t="s">
        <v>106</v>
      </c>
      <c r="D1090">
        <v>80</v>
      </c>
      <c r="E1090">
        <v>3</v>
      </c>
      <c r="F1090" s="13">
        <v>194</v>
      </c>
      <c r="G1090">
        <v>3</v>
      </c>
      <c r="H1090">
        <v>194</v>
      </c>
      <c r="I1090">
        <v>0</v>
      </c>
      <c r="J1090">
        <v>0</v>
      </c>
      <c r="K1090">
        <v>700.72803799999997</v>
      </c>
      <c r="L1090">
        <v>9.0009939999999897</v>
      </c>
      <c r="M1090">
        <v>172.42540101682101</v>
      </c>
      <c r="N1090">
        <v>0</v>
      </c>
      <c r="O1090" s="8" t="str">
        <f>formatIP(Table1[[#This Row],[Address A]])</f>
        <v>010.012.000.071</v>
      </c>
      <c r="P1090" s="8" t="str">
        <f>formatIP(Table1[[#This Row],[Address B]])</f>
        <v>172.217.022.068</v>
      </c>
      <c r="Q1090" s="8" t="str">
        <f>VLOOKUP(Table1[[#This Row],[Address A]],IP_Master[],4,FALSE)</f>
        <v>PPPCSTP1</v>
      </c>
      <c r="R1090" s="8" t="e">
        <f>VLOOKUP(Table1[[#This Row],[Address B]],IP_Master[],4,FALSE)</f>
        <v>#N/A</v>
      </c>
      <c r="S1090" s="8" t="str">
        <f>VLOOKUP(Table1[[#This Row],[Address A]],IP_Master[],2,FALSE)</f>
        <v>PETs Plant</v>
      </c>
      <c r="T1090" s="8" t="e">
        <f>VLOOKUP(Table1[[#This Row],[Address B]],IP_Master[],2,FALSE)</f>
        <v>#N/A</v>
      </c>
      <c r="U1090" s="9" t="str">
        <f>VLOOKUP(Table1[[#This Row],[Address A]],IP_Master[],3,FALSE)</f>
        <v>iFIX Nodes &amp; Ethernet Switches</v>
      </c>
      <c r="V1090" s="9" t="e">
        <f>VLOOKUP(Table1[[#This Row],[Address B]],IP_Master[],3,FALSE)</f>
        <v>#N/A</v>
      </c>
      <c r="W1090" s="9" t="str">
        <f>VLOOKUP(Table1[[#This Row],[Port B]],traffic_types[],2,FALSE)</f>
        <v>HTTP</v>
      </c>
    </row>
    <row r="1091" spans="1:23" x14ac:dyDescent="0.6">
      <c r="A1091" t="s">
        <v>115</v>
      </c>
      <c r="B1091">
        <v>62390</v>
      </c>
      <c r="C1091" t="s">
        <v>116</v>
      </c>
      <c r="D1091">
        <v>443</v>
      </c>
      <c r="E1091">
        <v>3</v>
      </c>
      <c r="F1091" s="13">
        <v>194</v>
      </c>
      <c r="G1091">
        <v>3</v>
      </c>
      <c r="H1091">
        <v>194</v>
      </c>
      <c r="I1091">
        <v>0</v>
      </c>
      <c r="J1091">
        <v>0</v>
      </c>
      <c r="K1091">
        <v>706.38986899999998</v>
      </c>
      <c r="L1091">
        <v>9.0035740000000697</v>
      </c>
      <c r="M1091">
        <v>172.37599202272199</v>
      </c>
      <c r="N1091">
        <v>0</v>
      </c>
      <c r="O1091" s="8" t="str">
        <f>formatIP(Table1[[#This Row],[Address A]])</f>
        <v>010.012.000.071</v>
      </c>
      <c r="P1091" s="8" t="str">
        <f>formatIP(Table1[[#This Row],[Address B]])</f>
        <v>040.077.226.249</v>
      </c>
      <c r="Q1091" s="8" t="str">
        <f>VLOOKUP(Table1[[#This Row],[Address A]],IP_Master[],4,FALSE)</f>
        <v>PPPCSTP1</v>
      </c>
      <c r="R1091" s="8" t="e">
        <f>VLOOKUP(Table1[[#This Row],[Address B]],IP_Master[],4,FALSE)</f>
        <v>#N/A</v>
      </c>
      <c r="S1091" s="8" t="str">
        <f>VLOOKUP(Table1[[#This Row],[Address A]],IP_Master[],2,FALSE)</f>
        <v>PETs Plant</v>
      </c>
      <c r="T1091" s="8" t="e">
        <f>VLOOKUP(Table1[[#This Row],[Address B]],IP_Master[],2,FALSE)</f>
        <v>#N/A</v>
      </c>
      <c r="U1091" s="9" t="str">
        <f>VLOOKUP(Table1[[#This Row],[Address A]],IP_Master[],3,FALSE)</f>
        <v>iFIX Nodes &amp; Ethernet Switches</v>
      </c>
      <c r="V1091" s="9" t="e">
        <f>VLOOKUP(Table1[[#This Row],[Address B]],IP_Master[],3,FALSE)</f>
        <v>#N/A</v>
      </c>
      <c r="W1091" s="9" t="str">
        <f>VLOOKUP(Table1[[#This Row],[Port B]],traffic_types[],2,FALSE)</f>
        <v>HTTP/S</v>
      </c>
    </row>
    <row r="1092" spans="1:23" x14ac:dyDescent="0.6">
      <c r="A1092" t="s">
        <v>115</v>
      </c>
      <c r="B1092">
        <v>62391</v>
      </c>
      <c r="C1092" t="s">
        <v>101</v>
      </c>
      <c r="D1092">
        <v>80</v>
      </c>
      <c r="E1092">
        <v>3</v>
      </c>
      <c r="F1092" s="13">
        <v>194</v>
      </c>
      <c r="G1092">
        <v>3</v>
      </c>
      <c r="H1092">
        <v>194</v>
      </c>
      <c r="I1092">
        <v>0</v>
      </c>
      <c r="J1092">
        <v>0</v>
      </c>
      <c r="K1092">
        <v>726.76395100000002</v>
      </c>
      <c r="L1092">
        <v>9.0017490000000198</v>
      </c>
      <c r="M1092">
        <v>172.41093925191601</v>
      </c>
      <c r="N1092">
        <v>0</v>
      </c>
      <c r="O1092" s="8" t="str">
        <f>formatIP(Table1[[#This Row],[Address A]])</f>
        <v>010.012.000.071</v>
      </c>
      <c r="P1092" s="8" t="str">
        <f>formatIP(Table1[[#This Row],[Address B]])</f>
        <v>023.000.040.234</v>
      </c>
      <c r="Q1092" s="8" t="str">
        <f>VLOOKUP(Table1[[#This Row],[Address A]],IP_Master[],4,FALSE)</f>
        <v>PPPCSTP1</v>
      </c>
      <c r="R1092" s="8" t="e">
        <f>VLOOKUP(Table1[[#This Row],[Address B]],IP_Master[],4,FALSE)</f>
        <v>#N/A</v>
      </c>
      <c r="S1092" s="8" t="str">
        <f>VLOOKUP(Table1[[#This Row],[Address A]],IP_Master[],2,FALSE)</f>
        <v>PETs Plant</v>
      </c>
      <c r="T1092" s="8" t="e">
        <f>VLOOKUP(Table1[[#This Row],[Address B]],IP_Master[],2,FALSE)</f>
        <v>#N/A</v>
      </c>
      <c r="U1092" s="9" t="str">
        <f>VLOOKUP(Table1[[#This Row],[Address A]],IP_Master[],3,FALSE)</f>
        <v>iFIX Nodes &amp; Ethernet Switches</v>
      </c>
      <c r="V1092" s="9" t="e">
        <f>VLOOKUP(Table1[[#This Row],[Address B]],IP_Master[],3,FALSE)</f>
        <v>#N/A</v>
      </c>
      <c r="W1092" s="9" t="str">
        <f>VLOOKUP(Table1[[#This Row],[Port B]],traffic_types[],2,FALSE)</f>
        <v>HTTP</v>
      </c>
    </row>
    <row r="1093" spans="1:23" x14ac:dyDescent="0.6">
      <c r="A1093" t="s">
        <v>115</v>
      </c>
      <c r="B1093">
        <v>62395</v>
      </c>
      <c r="C1093" t="s">
        <v>106</v>
      </c>
      <c r="D1093">
        <v>80</v>
      </c>
      <c r="E1093">
        <v>3</v>
      </c>
      <c r="F1093" s="13">
        <v>194</v>
      </c>
      <c r="G1093">
        <v>3</v>
      </c>
      <c r="H1093">
        <v>194</v>
      </c>
      <c r="I1093">
        <v>0</v>
      </c>
      <c r="J1093">
        <v>0</v>
      </c>
      <c r="K1093">
        <v>747.76531299999999</v>
      </c>
      <c r="L1093">
        <v>8.9957799999999697</v>
      </c>
      <c r="M1093">
        <v>172.52533965926301</v>
      </c>
      <c r="N1093">
        <v>0</v>
      </c>
      <c r="O1093" s="8" t="str">
        <f>formatIP(Table1[[#This Row],[Address A]])</f>
        <v>010.012.000.071</v>
      </c>
      <c r="P1093" s="8" t="str">
        <f>formatIP(Table1[[#This Row],[Address B]])</f>
        <v>172.217.022.068</v>
      </c>
      <c r="Q1093" s="8" t="str">
        <f>VLOOKUP(Table1[[#This Row],[Address A]],IP_Master[],4,FALSE)</f>
        <v>PPPCSTP1</v>
      </c>
      <c r="R1093" s="8" t="e">
        <f>VLOOKUP(Table1[[#This Row],[Address B]],IP_Master[],4,FALSE)</f>
        <v>#N/A</v>
      </c>
      <c r="S1093" s="8" t="str">
        <f>VLOOKUP(Table1[[#This Row],[Address A]],IP_Master[],2,FALSE)</f>
        <v>PETs Plant</v>
      </c>
      <c r="T1093" s="8" t="e">
        <f>VLOOKUP(Table1[[#This Row],[Address B]],IP_Master[],2,FALSE)</f>
        <v>#N/A</v>
      </c>
      <c r="U1093" s="9" t="str">
        <f>VLOOKUP(Table1[[#This Row],[Address A]],IP_Master[],3,FALSE)</f>
        <v>iFIX Nodes &amp; Ethernet Switches</v>
      </c>
      <c r="V1093" s="9" t="e">
        <f>VLOOKUP(Table1[[#This Row],[Address B]],IP_Master[],3,FALSE)</f>
        <v>#N/A</v>
      </c>
      <c r="W1093" s="9" t="str">
        <f>VLOOKUP(Table1[[#This Row],[Port B]],traffic_types[],2,FALSE)</f>
        <v>HTTP</v>
      </c>
    </row>
    <row r="1094" spans="1:23" x14ac:dyDescent="0.6">
      <c r="A1094" t="s">
        <v>115</v>
      </c>
      <c r="B1094">
        <v>62399</v>
      </c>
      <c r="C1094" t="s">
        <v>101</v>
      </c>
      <c r="D1094">
        <v>80</v>
      </c>
      <c r="E1094">
        <v>3</v>
      </c>
      <c r="F1094" s="13">
        <v>194</v>
      </c>
      <c r="G1094">
        <v>3</v>
      </c>
      <c r="H1094">
        <v>194</v>
      </c>
      <c r="I1094">
        <v>0</v>
      </c>
      <c r="J1094">
        <v>0</v>
      </c>
      <c r="K1094">
        <v>773.80334800000003</v>
      </c>
      <c r="L1094">
        <v>8.9973430000000008</v>
      </c>
      <c r="M1094">
        <v>172.49536891057701</v>
      </c>
      <c r="N1094">
        <v>0</v>
      </c>
      <c r="O1094" s="8" t="str">
        <f>formatIP(Table1[[#This Row],[Address A]])</f>
        <v>010.012.000.071</v>
      </c>
      <c r="P1094" s="8" t="str">
        <f>formatIP(Table1[[#This Row],[Address B]])</f>
        <v>023.000.040.234</v>
      </c>
      <c r="Q1094" s="8" t="str">
        <f>VLOOKUP(Table1[[#This Row],[Address A]],IP_Master[],4,FALSE)</f>
        <v>PPPCSTP1</v>
      </c>
      <c r="R1094" s="8" t="e">
        <f>VLOOKUP(Table1[[#This Row],[Address B]],IP_Master[],4,FALSE)</f>
        <v>#N/A</v>
      </c>
      <c r="S1094" s="8" t="str">
        <f>VLOOKUP(Table1[[#This Row],[Address A]],IP_Master[],2,FALSE)</f>
        <v>PETs Plant</v>
      </c>
      <c r="T1094" s="8" t="e">
        <f>VLOOKUP(Table1[[#This Row],[Address B]],IP_Master[],2,FALSE)</f>
        <v>#N/A</v>
      </c>
      <c r="U1094" s="9" t="str">
        <f>VLOOKUP(Table1[[#This Row],[Address A]],IP_Master[],3,FALSE)</f>
        <v>iFIX Nodes &amp; Ethernet Switches</v>
      </c>
      <c r="V1094" s="9" t="e">
        <f>VLOOKUP(Table1[[#This Row],[Address B]],IP_Master[],3,FALSE)</f>
        <v>#N/A</v>
      </c>
      <c r="W1094" s="9" t="str">
        <f>VLOOKUP(Table1[[#This Row],[Port B]],traffic_types[],2,FALSE)</f>
        <v>HTTP</v>
      </c>
    </row>
    <row r="1095" spans="1:23" x14ac:dyDescent="0.6">
      <c r="A1095" t="s">
        <v>115</v>
      </c>
      <c r="B1095">
        <v>62403</v>
      </c>
      <c r="C1095" t="s">
        <v>106</v>
      </c>
      <c r="D1095">
        <v>80</v>
      </c>
      <c r="E1095">
        <v>3</v>
      </c>
      <c r="F1095" s="13">
        <v>194</v>
      </c>
      <c r="G1095">
        <v>3</v>
      </c>
      <c r="H1095">
        <v>194</v>
      </c>
      <c r="I1095">
        <v>0</v>
      </c>
      <c r="J1095">
        <v>0</v>
      </c>
      <c r="K1095">
        <v>794.81352100000004</v>
      </c>
      <c r="L1095">
        <v>8.9976179999999903</v>
      </c>
      <c r="M1095">
        <v>172.490096823404</v>
      </c>
      <c r="N1095">
        <v>0</v>
      </c>
      <c r="O1095" s="8" t="str">
        <f>formatIP(Table1[[#This Row],[Address A]])</f>
        <v>010.012.000.071</v>
      </c>
      <c r="P1095" s="8" t="str">
        <f>formatIP(Table1[[#This Row],[Address B]])</f>
        <v>172.217.022.068</v>
      </c>
      <c r="Q1095" s="8" t="str">
        <f>VLOOKUP(Table1[[#This Row],[Address A]],IP_Master[],4,FALSE)</f>
        <v>PPPCSTP1</v>
      </c>
      <c r="R1095" s="8" t="e">
        <f>VLOOKUP(Table1[[#This Row],[Address B]],IP_Master[],4,FALSE)</f>
        <v>#N/A</v>
      </c>
      <c r="S1095" s="8" t="str">
        <f>VLOOKUP(Table1[[#This Row],[Address A]],IP_Master[],2,FALSE)</f>
        <v>PETs Plant</v>
      </c>
      <c r="T1095" s="8" t="e">
        <f>VLOOKUP(Table1[[#This Row],[Address B]],IP_Master[],2,FALSE)</f>
        <v>#N/A</v>
      </c>
      <c r="U1095" s="9" t="str">
        <f>VLOOKUP(Table1[[#This Row],[Address A]],IP_Master[],3,FALSE)</f>
        <v>iFIX Nodes &amp; Ethernet Switches</v>
      </c>
      <c r="V1095" s="9" t="e">
        <f>VLOOKUP(Table1[[#This Row],[Address B]],IP_Master[],3,FALSE)</f>
        <v>#N/A</v>
      </c>
      <c r="W1095" s="9" t="str">
        <f>VLOOKUP(Table1[[#This Row],[Port B]],traffic_types[],2,FALSE)</f>
        <v>HTTP</v>
      </c>
    </row>
    <row r="1096" spans="1:23" x14ac:dyDescent="0.6">
      <c r="A1096" t="s">
        <v>115</v>
      </c>
      <c r="B1096">
        <v>62407</v>
      </c>
      <c r="C1096" t="s">
        <v>101</v>
      </c>
      <c r="D1096">
        <v>80</v>
      </c>
      <c r="E1096">
        <v>3</v>
      </c>
      <c r="F1096" s="13">
        <v>194</v>
      </c>
      <c r="G1096">
        <v>3</v>
      </c>
      <c r="H1096">
        <v>194</v>
      </c>
      <c r="I1096">
        <v>0</v>
      </c>
      <c r="J1096">
        <v>0</v>
      </c>
      <c r="K1096">
        <v>820.84961199999998</v>
      </c>
      <c r="L1096">
        <v>8.9942510000000802</v>
      </c>
      <c r="M1096">
        <v>172.55466853215299</v>
      </c>
      <c r="N1096">
        <v>0</v>
      </c>
      <c r="O1096" s="8" t="str">
        <f>formatIP(Table1[[#This Row],[Address A]])</f>
        <v>010.012.000.071</v>
      </c>
      <c r="P1096" s="8" t="str">
        <f>formatIP(Table1[[#This Row],[Address B]])</f>
        <v>023.000.040.234</v>
      </c>
      <c r="Q1096" s="8" t="str">
        <f>VLOOKUP(Table1[[#This Row],[Address A]],IP_Master[],4,FALSE)</f>
        <v>PPPCSTP1</v>
      </c>
      <c r="R1096" s="8" t="e">
        <f>VLOOKUP(Table1[[#This Row],[Address B]],IP_Master[],4,FALSE)</f>
        <v>#N/A</v>
      </c>
      <c r="S1096" s="8" t="str">
        <f>VLOOKUP(Table1[[#This Row],[Address A]],IP_Master[],2,FALSE)</f>
        <v>PETs Plant</v>
      </c>
      <c r="T1096" s="8" t="e">
        <f>VLOOKUP(Table1[[#This Row],[Address B]],IP_Master[],2,FALSE)</f>
        <v>#N/A</v>
      </c>
      <c r="U1096" s="9" t="str">
        <f>VLOOKUP(Table1[[#This Row],[Address A]],IP_Master[],3,FALSE)</f>
        <v>iFIX Nodes &amp; Ethernet Switches</v>
      </c>
      <c r="V1096" s="9" t="e">
        <f>VLOOKUP(Table1[[#This Row],[Address B]],IP_Master[],3,FALSE)</f>
        <v>#N/A</v>
      </c>
      <c r="W1096" s="9" t="str">
        <f>VLOOKUP(Table1[[#This Row],[Port B]],traffic_types[],2,FALSE)</f>
        <v>HTTP</v>
      </c>
    </row>
    <row r="1097" spans="1:23" x14ac:dyDescent="0.6">
      <c r="A1097" t="s">
        <v>115</v>
      </c>
      <c r="B1097">
        <v>62408</v>
      </c>
      <c r="C1097" t="s">
        <v>106</v>
      </c>
      <c r="D1097">
        <v>80</v>
      </c>
      <c r="E1097">
        <v>3</v>
      </c>
      <c r="F1097" s="13">
        <v>194</v>
      </c>
      <c r="G1097">
        <v>3</v>
      </c>
      <c r="H1097">
        <v>194</v>
      </c>
      <c r="I1097">
        <v>0</v>
      </c>
      <c r="J1097">
        <v>0</v>
      </c>
      <c r="K1097">
        <v>841.84637299999997</v>
      </c>
      <c r="L1097">
        <v>8.9958070000000099</v>
      </c>
      <c r="M1097">
        <v>172.524821841998</v>
      </c>
      <c r="N1097">
        <v>0</v>
      </c>
      <c r="O1097" s="8" t="str">
        <f>formatIP(Table1[[#This Row],[Address A]])</f>
        <v>010.012.000.071</v>
      </c>
      <c r="P1097" s="8" t="str">
        <f>formatIP(Table1[[#This Row],[Address B]])</f>
        <v>172.217.022.068</v>
      </c>
      <c r="Q1097" s="8" t="str">
        <f>VLOOKUP(Table1[[#This Row],[Address A]],IP_Master[],4,FALSE)</f>
        <v>PPPCSTP1</v>
      </c>
      <c r="R1097" s="8" t="e">
        <f>VLOOKUP(Table1[[#This Row],[Address B]],IP_Master[],4,FALSE)</f>
        <v>#N/A</v>
      </c>
      <c r="S1097" s="8" t="str">
        <f>VLOOKUP(Table1[[#This Row],[Address A]],IP_Master[],2,FALSE)</f>
        <v>PETs Plant</v>
      </c>
      <c r="T1097" s="8" t="e">
        <f>VLOOKUP(Table1[[#This Row],[Address B]],IP_Master[],2,FALSE)</f>
        <v>#N/A</v>
      </c>
      <c r="U1097" s="9" t="str">
        <f>VLOOKUP(Table1[[#This Row],[Address A]],IP_Master[],3,FALSE)</f>
        <v>iFIX Nodes &amp; Ethernet Switches</v>
      </c>
      <c r="V1097" s="9" t="e">
        <f>VLOOKUP(Table1[[#This Row],[Address B]],IP_Master[],3,FALSE)</f>
        <v>#N/A</v>
      </c>
      <c r="W1097" s="9" t="str">
        <f>VLOOKUP(Table1[[#This Row],[Port B]],traffic_types[],2,FALSE)</f>
        <v>HTTP</v>
      </c>
    </row>
    <row r="1098" spans="1:23" x14ac:dyDescent="0.6">
      <c r="A1098" t="s">
        <v>115</v>
      </c>
      <c r="B1098">
        <v>62412</v>
      </c>
      <c r="C1098" t="s">
        <v>101</v>
      </c>
      <c r="D1098">
        <v>80</v>
      </c>
      <c r="E1098">
        <v>3</v>
      </c>
      <c r="F1098" s="13">
        <v>194</v>
      </c>
      <c r="G1098">
        <v>3</v>
      </c>
      <c r="H1098">
        <v>194</v>
      </c>
      <c r="I1098">
        <v>0</v>
      </c>
      <c r="J1098">
        <v>0</v>
      </c>
      <c r="K1098">
        <v>867.86020199999996</v>
      </c>
      <c r="L1098">
        <v>8.9937469999999795</v>
      </c>
      <c r="M1098">
        <v>172.56433831194099</v>
      </c>
      <c r="N1098">
        <v>0</v>
      </c>
      <c r="O1098" s="8" t="str">
        <f>formatIP(Table1[[#This Row],[Address A]])</f>
        <v>010.012.000.071</v>
      </c>
      <c r="P1098" s="8" t="str">
        <f>formatIP(Table1[[#This Row],[Address B]])</f>
        <v>023.000.040.234</v>
      </c>
      <c r="Q1098" s="8" t="str">
        <f>VLOOKUP(Table1[[#This Row],[Address A]],IP_Master[],4,FALSE)</f>
        <v>PPPCSTP1</v>
      </c>
      <c r="R1098" s="8" t="e">
        <f>VLOOKUP(Table1[[#This Row],[Address B]],IP_Master[],4,FALSE)</f>
        <v>#N/A</v>
      </c>
      <c r="S1098" s="8" t="str">
        <f>VLOOKUP(Table1[[#This Row],[Address A]],IP_Master[],2,FALSE)</f>
        <v>PETs Plant</v>
      </c>
      <c r="T1098" s="8" t="e">
        <f>VLOOKUP(Table1[[#This Row],[Address B]],IP_Master[],2,FALSE)</f>
        <v>#N/A</v>
      </c>
      <c r="U1098" s="9" t="str">
        <f>VLOOKUP(Table1[[#This Row],[Address A]],IP_Master[],3,FALSE)</f>
        <v>iFIX Nodes &amp; Ethernet Switches</v>
      </c>
      <c r="V1098" s="9" t="e">
        <f>VLOOKUP(Table1[[#This Row],[Address B]],IP_Master[],3,FALSE)</f>
        <v>#N/A</v>
      </c>
      <c r="W1098" s="9" t="str">
        <f>VLOOKUP(Table1[[#This Row],[Port B]],traffic_types[],2,FALSE)</f>
        <v>HTTP</v>
      </c>
    </row>
    <row r="1099" spans="1:23" x14ac:dyDescent="0.6">
      <c r="A1099" t="s">
        <v>115</v>
      </c>
      <c r="B1099">
        <v>62416</v>
      </c>
      <c r="C1099" t="s">
        <v>106</v>
      </c>
      <c r="D1099">
        <v>80</v>
      </c>
      <c r="E1099">
        <v>3</v>
      </c>
      <c r="F1099" s="13">
        <v>194</v>
      </c>
      <c r="G1099">
        <v>3</v>
      </c>
      <c r="H1099">
        <v>194</v>
      </c>
      <c r="I1099">
        <v>0</v>
      </c>
      <c r="J1099">
        <v>0</v>
      </c>
      <c r="K1099">
        <v>888.86029399999995</v>
      </c>
      <c r="L1099">
        <v>8.9980639999999994</v>
      </c>
      <c r="M1099">
        <v>172.48154714169601</v>
      </c>
      <c r="N1099">
        <v>0</v>
      </c>
      <c r="O1099" s="8" t="str">
        <f>formatIP(Table1[[#This Row],[Address A]])</f>
        <v>010.012.000.071</v>
      </c>
      <c r="P1099" s="8" t="str">
        <f>formatIP(Table1[[#This Row],[Address B]])</f>
        <v>172.217.022.068</v>
      </c>
      <c r="Q1099" s="8" t="str">
        <f>VLOOKUP(Table1[[#This Row],[Address A]],IP_Master[],4,FALSE)</f>
        <v>PPPCSTP1</v>
      </c>
      <c r="R1099" s="8" t="e">
        <f>VLOOKUP(Table1[[#This Row],[Address B]],IP_Master[],4,FALSE)</f>
        <v>#N/A</v>
      </c>
      <c r="S1099" s="8" t="str">
        <f>VLOOKUP(Table1[[#This Row],[Address A]],IP_Master[],2,FALSE)</f>
        <v>PETs Plant</v>
      </c>
      <c r="T1099" s="8" t="e">
        <f>VLOOKUP(Table1[[#This Row],[Address B]],IP_Master[],2,FALSE)</f>
        <v>#N/A</v>
      </c>
      <c r="U1099" s="9" t="str">
        <f>VLOOKUP(Table1[[#This Row],[Address A]],IP_Master[],3,FALSE)</f>
        <v>iFIX Nodes &amp; Ethernet Switches</v>
      </c>
      <c r="V1099" s="9" t="e">
        <f>VLOOKUP(Table1[[#This Row],[Address B]],IP_Master[],3,FALSE)</f>
        <v>#N/A</v>
      </c>
      <c r="W1099" s="9" t="str">
        <f>VLOOKUP(Table1[[#This Row],[Port B]],traffic_types[],2,FALSE)</f>
        <v>HTTP</v>
      </c>
    </row>
    <row r="1100" spans="1:23" x14ac:dyDescent="0.6">
      <c r="A1100" t="s">
        <v>118</v>
      </c>
      <c r="B1100">
        <v>64131</v>
      </c>
      <c r="C1100" t="s">
        <v>119</v>
      </c>
      <c r="D1100">
        <v>443</v>
      </c>
      <c r="E1100">
        <v>3</v>
      </c>
      <c r="F1100" s="13">
        <v>194</v>
      </c>
      <c r="G1100">
        <v>3</v>
      </c>
      <c r="H1100">
        <v>194</v>
      </c>
      <c r="I1100">
        <v>0</v>
      </c>
      <c r="J1100">
        <v>0</v>
      </c>
      <c r="K1100">
        <v>338.40831700000001</v>
      </c>
      <c r="L1100">
        <v>8.9996769999999593</v>
      </c>
      <c r="M1100">
        <v>172.45063350607001</v>
      </c>
      <c r="N1100">
        <v>0</v>
      </c>
      <c r="O1100" s="8" t="str">
        <f>formatIP(Table1[[#This Row],[Address A]])</f>
        <v>010.012.000.122</v>
      </c>
      <c r="P1100" s="8" t="str">
        <f>formatIP(Table1[[#This Row],[Address B]])</f>
        <v>191.238.240.012</v>
      </c>
      <c r="Q1100" s="8" t="str">
        <f>VLOOKUP(Table1[[#This Row],[Address A]],IP_Master[],4,FALSE)</f>
        <v>PPPCSF2</v>
      </c>
      <c r="R1100" s="8" t="e">
        <f>VLOOKUP(Table1[[#This Row],[Address B]],IP_Master[],4,FALSE)</f>
        <v>#N/A</v>
      </c>
      <c r="S1100" s="8" t="str">
        <f>VLOOKUP(Table1[[#This Row],[Address A]],IP_Master[],2,FALSE)</f>
        <v>Slag Fumer</v>
      </c>
      <c r="T1100" s="8" t="e">
        <f>VLOOKUP(Table1[[#This Row],[Address B]],IP_Master[],2,FALSE)</f>
        <v>#N/A</v>
      </c>
      <c r="U1100" s="9" t="str">
        <f>VLOOKUP(Table1[[#This Row],[Address A]],IP_Master[],3,FALSE)</f>
        <v>iFIX Nodes &amp; Ethernet Switches</v>
      </c>
      <c r="V1100" s="9" t="e">
        <f>VLOOKUP(Table1[[#This Row],[Address B]],IP_Master[],3,FALSE)</f>
        <v>#N/A</v>
      </c>
      <c r="W1100" s="9" t="str">
        <f>VLOOKUP(Table1[[#This Row],[Port B]],traffic_types[],2,FALSE)</f>
        <v>HTTP/S</v>
      </c>
    </row>
    <row r="1101" spans="1:23" x14ac:dyDescent="0.6">
      <c r="A1101" t="s">
        <v>120</v>
      </c>
      <c r="B1101">
        <v>51592</v>
      </c>
      <c r="C1101" t="s">
        <v>121</v>
      </c>
      <c r="D1101">
        <v>1433</v>
      </c>
      <c r="E1101">
        <v>317</v>
      </c>
      <c r="F1101" s="13">
        <v>57111</v>
      </c>
      <c r="G1101">
        <v>166</v>
      </c>
      <c r="H1101">
        <v>30981</v>
      </c>
      <c r="I1101">
        <v>151</v>
      </c>
      <c r="J1101">
        <v>26130</v>
      </c>
      <c r="K1101">
        <v>6.2121000000000003E-2</v>
      </c>
      <c r="L1101">
        <v>900.16999199999998</v>
      </c>
      <c r="M1101">
        <v>275.33466145581099</v>
      </c>
      <c r="N1101">
        <v>232.22280442336699</v>
      </c>
      <c r="O1101" s="8" t="str">
        <f>formatIP(Table1[[#This Row],[Address A]])</f>
        <v>010.012.000.141</v>
      </c>
      <c r="P1101" s="8" t="str">
        <f>formatIP(Table1[[#This Row],[Address B]])</f>
        <v>010.011.001.149</v>
      </c>
      <c r="Q1101" s="8" t="str">
        <f>VLOOKUP(Table1[[#This Row],[Address A]],IP_Master[],4,FALSE)</f>
        <v>PPPCCP1</v>
      </c>
      <c r="R1101" s="8" t="e">
        <f>VLOOKUP(Table1[[#This Row],[Address B]],IP_Master[],4,FALSE)</f>
        <v>#N/A</v>
      </c>
      <c r="S1101" s="8" t="str">
        <f>VLOOKUP(Table1[[#This Row],[Address A]],IP_Master[],2,FALSE)</f>
        <v>Copper Plant</v>
      </c>
      <c r="T1101" s="8" t="e">
        <f>VLOOKUP(Table1[[#This Row],[Address B]],IP_Master[],2,FALSE)</f>
        <v>#N/A</v>
      </c>
      <c r="U1101" s="9" t="str">
        <f>VLOOKUP(Table1[[#This Row],[Address A]],IP_Master[],3,FALSE)</f>
        <v>iFIX Nodes &amp; Ethernet Switches</v>
      </c>
      <c r="V1101" s="9" t="e">
        <f>VLOOKUP(Table1[[#This Row],[Address B]],IP_Master[],3,FALSE)</f>
        <v>#N/A</v>
      </c>
      <c r="W1101" s="9" t="str">
        <f>VLOOKUP(Table1[[#This Row],[Port B]],traffic_types[],2,FALSE)</f>
        <v>SQL-Server</v>
      </c>
    </row>
    <row r="1102" spans="1:23" x14ac:dyDescent="0.6">
      <c r="A1102" t="s">
        <v>120</v>
      </c>
      <c r="B1102">
        <v>50470</v>
      </c>
      <c r="C1102" t="s">
        <v>101</v>
      </c>
      <c r="D1102">
        <v>80</v>
      </c>
      <c r="E1102">
        <v>3</v>
      </c>
      <c r="F1102" s="13">
        <v>194</v>
      </c>
      <c r="G1102">
        <v>3</v>
      </c>
      <c r="H1102">
        <v>194</v>
      </c>
      <c r="I1102">
        <v>0</v>
      </c>
      <c r="J1102">
        <v>0</v>
      </c>
      <c r="K1102">
        <v>140.34112200000001</v>
      </c>
      <c r="L1102">
        <v>8.9987649999999899</v>
      </c>
      <c r="M1102">
        <v>172.46811090188501</v>
      </c>
      <c r="N1102">
        <v>0</v>
      </c>
      <c r="O1102" s="8" t="str">
        <f>formatIP(Table1[[#This Row],[Address A]])</f>
        <v>010.012.000.141</v>
      </c>
      <c r="P1102" s="8" t="str">
        <f>formatIP(Table1[[#This Row],[Address B]])</f>
        <v>023.000.040.234</v>
      </c>
      <c r="Q1102" s="8" t="str">
        <f>VLOOKUP(Table1[[#This Row],[Address A]],IP_Master[],4,FALSE)</f>
        <v>PPPCCP1</v>
      </c>
      <c r="R1102" s="8" t="e">
        <f>VLOOKUP(Table1[[#This Row],[Address B]],IP_Master[],4,FALSE)</f>
        <v>#N/A</v>
      </c>
      <c r="S1102" s="8" t="str">
        <f>VLOOKUP(Table1[[#This Row],[Address A]],IP_Master[],2,FALSE)</f>
        <v>Copper Plant</v>
      </c>
      <c r="T1102" s="8" t="e">
        <f>VLOOKUP(Table1[[#This Row],[Address B]],IP_Master[],2,FALSE)</f>
        <v>#N/A</v>
      </c>
      <c r="U1102" s="9" t="str">
        <f>VLOOKUP(Table1[[#This Row],[Address A]],IP_Master[],3,FALSE)</f>
        <v>iFIX Nodes &amp; Ethernet Switches</v>
      </c>
      <c r="V1102" s="9" t="e">
        <f>VLOOKUP(Table1[[#This Row],[Address B]],IP_Master[],3,FALSE)</f>
        <v>#N/A</v>
      </c>
      <c r="W1102" s="9" t="str">
        <f>VLOOKUP(Table1[[#This Row],[Port B]],traffic_types[],2,FALSE)</f>
        <v>HTTP</v>
      </c>
    </row>
    <row r="1103" spans="1:23" x14ac:dyDescent="0.6">
      <c r="A1103" t="s">
        <v>120</v>
      </c>
      <c r="B1103">
        <v>50527</v>
      </c>
      <c r="C1103" t="s">
        <v>101</v>
      </c>
      <c r="D1103">
        <v>80</v>
      </c>
      <c r="E1103">
        <v>3</v>
      </c>
      <c r="F1103" s="13">
        <v>194</v>
      </c>
      <c r="G1103">
        <v>3</v>
      </c>
      <c r="H1103">
        <v>194</v>
      </c>
      <c r="I1103">
        <v>0</v>
      </c>
      <c r="J1103">
        <v>0</v>
      </c>
      <c r="K1103">
        <v>461.35178999999999</v>
      </c>
      <c r="L1103">
        <v>9.0067900000000201</v>
      </c>
      <c r="M1103">
        <v>172.31444277039799</v>
      </c>
      <c r="N1103">
        <v>0</v>
      </c>
      <c r="O1103" s="8" t="str">
        <f>formatIP(Table1[[#This Row],[Address A]])</f>
        <v>010.012.000.141</v>
      </c>
      <c r="P1103" s="8" t="str">
        <f>formatIP(Table1[[#This Row],[Address B]])</f>
        <v>023.000.040.234</v>
      </c>
      <c r="Q1103" s="8" t="str">
        <f>VLOOKUP(Table1[[#This Row],[Address A]],IP_Master[],4,FALSE)</f>
        <v>PPPCCP1</v>
      </c>
      <c r="R1103" s="8" t="e">
        <f>VLOOKUP(Table1[[#This Row],[Address B]],IP_Master[],4,FALSE)</f>
        <v>#N/A</v>
      </c>
      <c r="S1103" s="8" t="str">
        <f>VLOOKUP(Table1[[#This Row],[Address A]],IP_Master[],2,FALSE)</f>
        <v>Copper Plant</v>
      </c>
      <c r="T1103" s="8" t="e">
        <f>VLOOKUP(Table1[[#This Row],[Address B]],IP_Master[],2,FALSE)</f>
        <v>#N/A</v>
      </c>
      <c r="U1103" s="9" t="str">
        <f>VLOOKUP(Table1[[#This Row],[Address A]],IP_Master[],3,FALSE)</f>
        <v>iFIX Nodes &amp; Ethernet Switches</v>
      </c>
      <c r="V1103" s="9" t="e">
        <f>VLOOKUP(Table1[[#This Row],[Address B]],IP_Master[],3,FALSE)</f>
        <v>#N/A</v>
      </c>
      <c r="W1103" s="9" t="str">
        <f>VLOOKUP(Table1[[#This Row],[Port B]],traffic_types[],2,FALSE)</f>
        <v>HTTP</v>
      </c>
    </row>
    <row r="1104" spans="1:23" x14ac:dyDescent="0.6">
      <c r="A1104" t="s">
        <v>120</v>
      </c>
      <c r="B1104">
        <v>50587</v>
      </c>
      <c r="C1104" t="s">
        <v>101</v>
      </c>
      <c r="D1104">
        <v>80</v>
      </c>
      <c r="E1104">
        <v>3</v>
      </c>
      <c r="F1104" s="13">
        <v>194</v>
      </c>
      <c r="G1104">
        <v>3</v>
      </c>
      <c r="H1104">
        <v>194</v>
      </c>
      <c r="I1104">
        <v>0</v>
      </c>
      <c r="J1104">
        <v>0</v>
      </c>
      <c r="K1104">
        <v>782.37565600000005</v>
      </c>
      <c r="L1104">
        <v>9.0055619999999408</v>
      </c>
      <c r="M1104">
        <v>172.33793959777401</v>
      </c>
      <c r="N1104">
        <v>0</v>
      </c>
      <c r="O1104" s="8" t="str">
        <f>formatIP(Table1[[#This Row],[Address A]])</f>
        <v>010.012.000.141</v>
      </c>
      <c r="P1104" s="8" t="str">
        <f>formatIP(Table1[[#This Row],[Address B]])</f>
        <v>023.000.040.234</v>
      </c>
      <c r="Q1104" s="8" t="str">
        <f>VLOOKUP(Table1[[#This Row],[Address A]],IP_Master[],4,FALSE)</f>
        <v>PPPCCP1</v>
      </c>
      <c r="R1104" s="8" t="e">
        <f>VLOOKUP(Table1[[#This Row],[Address B]],IP_Master[],4,FALSE)</f>
        <v>#N/A</v>
      </c>
      <c r="S1104" s="8" t="str">
        <f>VLOOKUP(Table1[[#This Row],[Address A]],IP_Master[],2,FALSE)</f>
        <v>Copper Plant</v>
      </c>
      <c r="T1104" s="8" t="e">
        <f>VLOOKUP(Table1[[#This Row],[Address B]],IP_Master[],2,FALSE)</f>
        <v>#N/A</v>
      </c>
      <c r="U1104" s="9" t="str">
        <f>VLOOKUP(Table1[[#This Row],[Address A]],IP_Master[],3,FALSE)</f>
        <v>iFIX Nodes &amp; Ethernet Switches</v>
      </c>
      <c r="V1104" s="9" t="e">
        <f>VLOOKUP(Table1[[#This Row],[Address B]],IP_Master[],3,FALSE)</f>
        <v>#N/A</v>
      </c>
      <c r="W1104" s="9" t="str">
        <f>VLOOKUP(Table1[[#This Row],[Port B]],traffic_types[],2,FALSE)</f>
        <v>HTTP</v>
      </c>
    </row>
    <row r="1105" spans="1:23" x14ac:dyDescent="0.6">
      <c r="A1105" t="s">
        <v>122</v>
      </c>
      <c r="B1105">
        <v>54611</v>
      </c>
      <c r="C1105" t="s">
        <v>123</v>
      </c>
      <c r="D1105">
        <v>443</v>
      </c>
      <c r="E1105">
        <v>3</v>
      </c>
      <c r="F1105" s="13">
        <v>194</v>
      </c>
      <c r="G1105">
        <v>3</v>
      </c>
      <c r="H1105">
        <v>194</v>
      </c>
      <c r="I1105">
        <v>0</v>
      </c>
      <c r="J1105">
        <v>0</v>
      </c>
      <c r="K1105">
        <v>728.23948399999995</v>
      </c>
      <c r="L1105">
        <v>9.0033130000000501</v>
      </c>
      <c r="M1105">
        <v>172.38098908701599</v>
      </c>
      <c r="N1105">
        <v>0</v>
      </c>
      <c r="O1105" s="8" t="str">
        <f>formatIP(Table1[[#This Row],[Address A]])</f>
        <v>010.012.000.162</v>
      </c>
      <c r="P1105" s="8" t="str">
        <f>formatIP(Table1[[#This Row],[Address B]])</f>
        <v>023.032.124.029</v>
      </c>
      <c r="Q1105" s="8" t="str">
        <f>VLOOKUP(Table1[[#This Row],[Address A]],IP_Master[],4,FALSE)</f>
        <v>PPPCSP2</v>
      </c>
      <c r="R1105" s="8" t="e">
        <f>VLOOKUP(Table1[[#This Row],[Address B]],IP_Master[],4,FALSE)</f>
        <v>#N/A</v>
      </c>
      <c r="S1105" s="8" t="str">
        <f>VLOOKUP(Table1[[#This Row],[Address A]],IP_Master[],2,FALSE)</f>
        <v>Sinter Plant</v>
      </c>
      <c r="T1105" s="8" t="e">
        <f>VLOOKUP(Table1[[#This Row],[Address B]],IP_Master[],2,FALSE)</f>
        <v>#N/A</v>
      </c>
      <c r="U1105" s="9" t="str">
        <f>VLOOKUP(Table1[[#This Row],[Address A]],IP_Master[],3,FALSE)</f>
        <v>iFIX Nodes &amp; Ethernet Switches</v>
      </c>
      <c r="V1105" s="9" t="e">
        <f>VLOOKUP(Table1[[#This Row],[Address B]],IP_Master[],3,FALSE)</f>
        <v>#N/A</v>
      </c>
      <c r="W1105" s="9" t="str">
        <f>VLOOKUP(Table1[[#This Row],[Port B]],traffic_types[],2,FALSE)</f>
        <v>HTTP/S</v>
      </c>
    </row>
    <row r="1106" spans="1:23" x14ac:dyDescent="0.6">
      <c r="A1106" t="s">
        <v>124</v>
      </c>
      <c r="B1106">
        <v>4176</v>
      </c>
      <c r="C1106" t="s">
        <v>125</v>
      </c>
      <c r="D1106">
        <v>443</v>
      </c>
      <c r="E1106">
        <v>3</v>
      </c>
      <c r="F1106" s="13">
        <v>186</v>
      </c>
      <c r="G1106">
        <v>3</v>
      </c>
      <c r="H1106">
        <v>186</v>
      </c>
      <c r="I1106">
        <v>0</v>
      </c>
      <c r="J1106">
        <v>0</v>
      </c>
      <c r="K1106">
        <v>457.64479</v>
      </c>
      <c r="L1106">
        <v>8.9721860000000202</v>
      </c>
      <c r="M1106">
        <v>165.84587078332899</v>
      </c>
      <c r="N1106">
        <v>0</v>
      </c>
      <c r="O1106" s="8" t="str">
        <f>formatIP(Table1[[#This Row],[Address A]])</f>
        <v>010.012.000.163</v>
      </c>
      <c r="P1106" s="8" t="str">
        <f>formatIP(Table1[[#This Row],[Address B]])</f>
        <v>010.238.101.079</v>
      </c>
      <c r="Q1106" s="8" t="str">
        <f>VLOOKUP(Table1[[#This Row],[Address A]],IP_Master[],4,FALSE)</f>
        <v>PPPCSP3</v>
      </c>
      <c r="R1106" s="8" t="e">
        <f>VLOOKUP(Table1[[#This Row],[Address B]],IP_Master[],4,FALSE)</f>
        <v>#N/A</v>
      </c>
      <c r="S1106" s="8" t="str">
        <f>VLOOKUP(Table1[[#This Row],[Address A]],IP_Master[],2,FALSE)</f>
        <v>Sinter Plant</v>
      </c>
      <c r="T1106" s="8" t="e">
        <f>VLOOKUP(Table1[[#This Row],[Address B]],IP_Master[],2,FALSE)</f>
        <v>#N/A</v>
      </c>
      <c r="U1106" s="9" t="str">
        <f>VLOOKUP(Table1[[#This Row],[Address A]],IP_Master[],3,FALSE)</f>
        <v>iFIX Nodes &amp; Ethernet Switches</v>
      </c>
      <c r="V1106" s="9" t="e">
        <f>VLOOKUP(Table1[[#This Row],[Address B]],IP_Master[],3,FALSE)</f>
        <v>#N/A</v>
      </c>
      <c r="W1106" s="9" t="str">
        <f>VLOOKUP(Table1[[#This Row],[Port B]],traffic_types[],2,FALSE)</f>
        <v>HTTP/S</v>
      </c>
    </row>
    <row r="1107" spans="1:23" x14ac:dyDescent="0.6">
      <c r="A1107" t="s">
        <v>124</v>
      </c>
      <c r="B1107">
        <v>4186</v>
      </c>
      <c r="C1107" t="s">
        <v>125</v>
      </c>
      <c r="D1107">
        <v>80</v>
      </c>
      <c r="E1107">
        <v>3</v>
      </c>
      <c r="F1107" s="13">
        <v>186</v>
      </c>
      <c r="G1107">
        <v>3</v>
      </c>
      <c r="H1107">
        <v>186</v>
      </c>
      <c r="I1107">
        <v>0</v>
      </c>
      <c r="J1107">
        <v>0</v>
      </c>
      <c r="K1107">
        <v>501.32419099999998</v>
      </c>
      <c r="L1107">
        <v>9.0430709999999994</v>
      </c>
      <c r="M1107">
        <v>164.545871640287</v>
      </c>
      <c r="N1107">
        <v>0</v>
      </c>
      <c r="O1107" s="8" t="str">
        <f>formatIP(Table1[[#This Row],[Address A]])</f>
        <v>010.012.000.163</v>
      </c>
      <c r="P1107" s="8" t="str">
        <f>formatIP(Table1[[#This Row],[Address B]])</f>
        <v>010.238.101.079</v>
      </c>
      <c r="Q1107" s="8" t="str">
        <f>VLOOKUP(Table1[[#This Row],[Address A]],IP_Master[],4,FALSE)</f>
        <v>PPPCSP3</v>
      </c>
      <c r="R1107" s="8" t="e">
        <f>VLOOKUP(Table1[[#This Row],[Address B]],IP_Master[],4,FALSE)</f>
        <v>#N/A</v>
      </c>
      <c r="S1107" s="8" t="str">
        <f>VLOOKUP(Table1[[#This Row],[Address A]],IP_Master[],2,FALSE)</f>
        <v>Sinter Plant</v>
      </c>
      <c r="T1107" s="8" t="e">
        <f>VLOOKUP(Table1[[#This Row],[Address B]],IP_Master[],2,FALSE)</f>
        <v>#N/A</v>
      </c>
      <c r="U1107" s="9" t="str">
        <f>VLOOKUP(Table1[[#This Row],[Address A]],IP_Master[],3,FALSE)</f>
        <v>iFIX Nodes &amp; Ethernet Switches</v>
      </c>
      <c r="V1107" s="9" t="e">
        <f>VLOOKUP(Table1[[#This Row],[Address B]],IP_Master[],3,FALSE)</f>
        <v>#N/A</v>
      </c>
      <c r="W1107" s="9" t="str">
        <f>VLOOKUP(Table1[[#This Row],[Port B]],traffic_types[],2,FALSE)</f>
        <v>HTTP</v>
      </c>
    </row>
    <row r="1108" spans="1:23" x14ac:dyDescent="0.6">
      <c r="A1108" t="s">
        <v>124</v>
      </c>
      <c r="B1108">
        <v>4219</v>
      </c>
      <c r="C1108" t="s">
        <v>125</v>
      </c>
      <c r="D1108">
        <v>443</v>
      </c>
      <c r="E1108">
        <v>3</v>
      </c>
      <c r="F1108" s="13">
        <v>186</v>
      </c>
      <c r="G1108">
        <v>3</v>
      </c>
      <c r="H1108">
        <v>186</v>
      </c>
      <c r="I1108">
        <v>0</v>
      </c>
      <c r="J1108">
        <v>0</v>
      </c>
      <c r="K1108">
        <v>685.21353299999998</v>
      </c>
      <c r="L1108">
        <v>9.2328440000000001</v>
      </c>
      <c r="M1108">
        <v>161.16377575533599</v>
      </c>
      <c r="N1108">
        <v>0</v>
      </c>
      <c r="O1108" s="8" t="str">
        <f>formatIP(Table1[[#This Row],[Address A]])</f>
        <v>010.012.000.163</v>
      </c>
      <c r="P1108" s="8" t="str">
        <f>formatIP(Table1[[#This Row],[Address B]])</f>
        <v>010.238.101.079</v>
      </c>
      <c r="Q1108" s="8" t="str">
        <f>VLOOKUP(Table1[[#This Row],[Address A]],IP_Master[],4,FALSE)</f>
        <v>PPPCSP3</v>
      </c>
      <c r="R1108" s="8" t="e">
        <f>VLOOKUP(Table1[[#This Row],[Address B]],IP_Master[],4,FALSE)</f>
        <v>#N/A</v>
      </c>
      <c r="S1108" s="8" t="str">
        <f>VLOOKUP(Table1[[#This Row],[Address A]],IP_Master[],2,FALSE)</f>
        <v>Sinter Plant</v>
      </c>
      <c r="T1108" s="8" t="e">
        <f>VLOOKUP(Table1[[#This Row],[Address B]],IP_Master[],2,FALSE)</f>
        <v>#N/A</v>
      </c>
      <c r="U1108" s="9" t="str">
        <f>VLOOKUP(Table1[[#This Row],[Address A]],IP_Master[],3,FALSE)</f>
        <v>iFIX Nodes &amp; Ethernet Switches</v>
      </c>
      <c r="V1108" s="9" t="e">
        <f>VLOOKUP(Table1[[#This Row],[Address B]],IP_Master[],3,FALSE)</f>
        <v>#N/A</v>
      </c>
      <c r="W1108" s="9" t="str">
        <f>VLOOKUP(Table1[[#This Row],[Port B]],traffic_types[],2,FALSE)</f>
        <v>HTTP/S</v>
      </c>
    </row>
    <row r="1109" spans="1:23" x14ac:dyDescent="0.6">
      <c r="A1109" t="s">
        <v>124</v>
      </c>
      <c r="B1109">
        <v>4223</v>
      </c>
      <c r="C1109" t="s">
        <v>125</v>
      </c>
      <c r="D1109">
        <v>443</v>
      </c>
      <c r="E1109">
        <v>3</v>
      </c>
      <c r="F1109" s="13">
        <v>186</v>
      </c>
      <c r="G1109">
        <v>3</v>
      </c>
      <c r="H1109">
        <v>186</v>
      </c>
      <c r="I1109">
        <v>0</v>
      </c>
      <c r="J1109">
        <v>0</v>
      </c>
      <c r="K1109">
        <v>708.89069600000005</v>
      </c>
      <c r="L1109">
        <v>9.0714539999998998</v>
      </c>
      <c r="M1109">
        <v>164.031036259459</v>
      </c>
      <c r="N1109">
        <v>0</v>
      </c>
      <c r="O1109" s="8" t="str">
        <f>formatIP(Table1[[#This Row],[Address A]])</f>
        <v>010.012.000.163</v>
      </c>
      <c r="P1109" s="8" t="str">
        <f>formatIP(Table1[[#This Row],[Address B]])</f>
        <v>010.238.101.079</v>
      </c>
      <c r="Q1109" s="8" t="str">
        <f>VLOOKUP(Table1[[#This Row],[Address A]],IP_Master[],4,FALSE)</f>
        <v>PPPCSP3</v>
      </c>
      <c r="R1109" s="8" t="e">
        <f>VLOOKUP(Table1[[#This Row],[Address B]],IP_Master[],4,FALSE)</f>
        <v>#N/A</v>
      </c>
      <c r="S1109" s="8" t="str">
        <f>VLOOKUP(Table1[[#This Row],[Address A]],IP_Master[],2,FALSE)</f>
        <v>Sinter Plant</v>
      </c>
      <c r="T1109" s="8" t="e">
        <f>VLOOKUP(Table1[[#This Row],[Address B]],IP_Master[],2,FALSE)</f>
        <v>#N/A</v>
      </c>
      <c r="U1109" s="9" t="str">
        <f>VLOOKUP(Table1[[#This Row],[Address A]],IP_Master[],3,FALSE)</f>
        <v>iFIX Nodes &amp; Ethernet Switches</v>
      </c>
      <c r="V1109" s="9" t="e">
        <f>VLOOKUP(Table1[[#This Row],[Address B]],IP_Master[],3,FALSE)</f>
        <v>#N/A</v>
      </c>
      <c r="W1109" s="9" t="str">
        <f>VLOOKUP(Table1[[#This Row],[Port B]],traffic_types[],2,FALSE)</f>
        <v>HTTP/S</v>
      </c>
    </row>
    <row r="1110" spans="1:23" x14ac:dyDescent="0.6">
      <c r="A1110" t="s">
        <v>124</v>
      </c>
      <c r="B1110">
        <v>4227</v>
      </c>
      <c r="C1110" t="s">
        <v>125</v>
      </c>
      <c r="D1110">
        <v>443</v>
      </c>
      <c r="E1110">
        <v>3</v>
      </c>
      <c r="F1110" s="13">
        <v>186</v>
      </c>
      <c r="G1110">
        <v>3</v>
      </c>
      <c r="H1110">
        <v>186</v>
      </c>
      <c r="I1110">
        <v>0</v>
      </c>
      <c r="J1110">
        <v>0</v>
      </c>
      <c r="K1110">
        <v>733.60144700000001</v>
      </c>
      <c r="L1110">
        <v>8.9702650000000403</v>
      </c>
      <c r="M1110">
        <v>165.88138700473101</v>
      </c>
      <c r="N1110">
        <v>0</v>
      </c>
      <c r="O1110" s="8" t="str">
        <f>formatIP(Table1[[#This Row],[Address A]])</f>
        <v>010.012.000.163</v>
      </c>
      <c r="P1110" s="8" t="str">
        <f>formatIP(Table1[[#This Row],[Address B]])</f>
        <v>010.238.101.079</v>
      </c>
      <c r="Q1110" s="8" t="str">
        <f>VLOOKUP(Table1[[#This Row],[Address A]],IP_Master[],4,FALSE)</f>
        <v>PPPCSP3</v>
      </c>
      <c r="R1110" s="8" t="e">
        <f>VLOOKUP(Table1[[#This Row],[Address B]],IP_Master[],4,FALSE)</f>
        <v>#N/A</v>
      </c>
      <c r="S1110" s="8" t="str">
        <f>VLOOKUP(Table1[[#This Row],[Address A]],IP_Master[],2,FALSE)</f>
        <v>Sinter Plant</v>
      </c>
      <c r="T1110" s="8" t="e">
        <f>VLOOKUP(Table1[[#This Row],[Address B]],IP_Master[],2,FALSE)</f>
        <v>#N/A</v>
      </c>
      <c r="U1110" s="9" t="str">
        <f>VLOOKUP(Table1[[#This Row],[Address A]],IP_Master[],3,FALSE)</f>
        <v>iFIX Nodes &amp; Ethernet Switches</v>
      </c>
      <c r="V1110" s="9" t="e">
        <f>VLOOKUP(Table1[[#This Row],[Address B]],IP_Master[],3,FALSE)</f>
        <v>#N/A</v>
      </c>
      <c r="W1110" s="9" t="str">
        <f>VLOOKUP(Table1[[#This Row],[Port B]],traffic_types[],2,FALSE)</f>
        <v>HTTP/S</v>
      </c>
    </row>
    <row r="1111" spans="1:23" x14ac:dyDescent="0.6">
      <c r="A1111" t="s">
        <v>124</v>
      </c>
      <c r="B1111">
        <v>4228</v>
      </c>
      <c r="C1111" t="s">
        <v>125</v>
      </c>
      <c r="D1111">
        <v>443</v>
      </c>
      <c r="E1111">
        <v>3</v>
      </c>
      <c r="F1111" s="13">
        <v>186</v>
      </c>
      <c r="G1111">
        <v>3</v>
      </c>
      <c r="H1111">
        <v>186</v>
      </c>
      <c r="I1111">
        <v>0</v>
      </c>
      <c r="J1111">
        <v>0</v>
      </c>
      <c r="K1111">
        <v>756.98096699999996</v>
      </c>
      <c r="L1111">
        <v>9.1065350000000098</v>
      </c>
      <c r="M1111">
        <v>163.39914138582901</v>
      </c>
      <c r="N1111">
        <v>0</v>
      </c>
      <c r="O1111" s="8" t="str">
        <f>formatIP(Table1[[#This Row],[Address A]])</f>
        <v>010.012.000.163</v>
      </c>
      <c r="P1111" s="8" t="str">
        <f>formatIP(Table1[[#This Row],[Address B]])</f>
        <v>010.238.101.079</v>
      </c>
      <c r="Q1111" s="8" t="str">
        <f>VLOOKUP(Table1[[#This Row],[Address A]],IP_Master[],4,FALSE)</f>
        <v>PPPCSP3</v>
      </c>
      <c r="R1111" s="8" t="e">
        <f>VLOOKUP(Table1[[#This Row],[Address B]],IP_Master[],4,FALSE)</f>
        <v>#N/A</v>
      </c>
      <c r="S1111" s="8" t="str">
        <f>VLOOKUP(Table1[[#This Row],[Address A]],IP_Master[],2,FALSE)</f>
        <v>Sinter Plant</v>
      </c>
      <c r="T1111" s="8" t="e">
        <f>VLOOKUP(Table1[[#This Row],[Address B]],IP_Master[],2,FALSE)</f>
        <v>#N/A</v>
      </c>
      <c r="U1111" s="9" t="str">
        <f>VLOOKUP(Table1[[#This Row],[Address A]],IP_Master[],3,FALSE)</f>
        <v>iFIX Nodes &amp; Ethernet Switches</v>
      </c>
      <c r="V1111" s="9" t="e">
        <f>VLOOKUP(Table1[[#This Row],[Address B]],IP_Master[],3,FALSE)</f>
        <v>#N/A</v>
      </c>
      <c r="W1111" s="9" t="str">
        <f>VLOOKUP(Table1[[#This Row],[Port B]],traffic_types[],2,FALSE)</f>
        <v>HTTP/S</v>
      </c>
    </row>
    <row r="1112" spans="1:23" x14ac:dyDescent="0.6">
      <c r="A1112" t="s">
        <v>124</v>
      </c>
      <c r="B1112">
        <v>4232</v>
      </c>
      <c r="C1112" t="s">
        <v>125</v>
      </c>
      <c r="D1112">
        <v>443</v>
      </c>
      <c r="E1112">
        <v>3</v>
      </c>
      <c r="F1112" s="13">
        <v>186</v>
      </c>
      <c r="G1112">
        <v>3</v>
      </c>
      <c r="H1112">
        <v>186</v>
      </c>
      <c r="I1112">
        <v>0</v>
      </c>
      <c r="J1112">
        <v>0</v>
      </c>
      <c r="K1112">
        <v>780.56521799999996</v>
      </c>
      <c r="L1112">
        <v>9.1473560000000607</v>
      </c>
      <c r="M1112">
        <v>162.66995621466901</v>
      </c>
      <c r="N1112">
        <v>0</v>
      </c>
      <c r="O1112" s="8" t="str">
        <f>formatIP(Table1[[#This Row],[Address A]])</f>
        <v>010.012.000.163</v>
      </c>
      <c r="P1112" s="8" t="str">
        <f>formatIP(Table1[[#This Row],[Address B]])</f>
        <v>010.238.101.079</v>
      </c>
      <c r="Q1112" s="8" t="str">
        <f>VLOOKUP(Table1[[#This Row],[Address A]],IP_Master[],4,FALSE)</f>
        <v>PPPCSP3</v>
      </c>
      <c r="R1112" s="8" t="e">
        <f>VLOOKUP(Table1[[#This Row],[Address B]],IP_Master[],4,FALSE)</f>
        <v>#N/A</v>
      </c>
      <c r="S1112" s="8" t="str">
        <f>VLOOKUP(Table1[[#This Row],[Address A]],IP_Master[],2,FALSE)</f>
        <v>Sinter Plant</v>
      </c>
      <c r="T1112" s="8" t="e">
        <f>VLOOKUP(Table1[[#This Row],[Address B]],IP_Master[],2,FALSE)</f>
        <v>#N/A</v>
      </c>
      <c r="U1112" s="9" t="str">
        <f>VLOOKUP(Table1[[#This Row],[Address A]],IP_Master[],3,FALSE)</f>
        <v>iFIX Nodes &amp; Ethernet Switches</v>
      </c>
      <c r="V1112" s="9" t="e">
        <f>VLOOKUP(Table1[[#This Row],[Address B]],IP_Master[],3,FALSE)</f>
        <v>#N/A</v>
      </c>
      <c r="W1112" s="9" t="str">
        <f>VLOOKUP(Table1[[#This Row],[Port B]],traffic_types[],2,FALSE)</f>
        <v>HTTP/S</v>
      </c>
    </row>
    <row r="1113" spans="1:23" x14ac:dyDescent="0.6">
      <c r="A1113" t="s">
        <v>124</v>
      </c>
      <c r="B1113">
        <v>4236</v>
      </c>
      <c r="C1113" t="s">
        <v>125</v>
      </c>
      <c r="D1113">
        <v>443</v>
      </c>
      <c r="E1113">
        <v>3</v>
      </c>
      <c r="F1113" s="13">
        <v>186</v>
      </c>
      <c r="G1113">
        <v>3</v>
      </c>
      <c r="H1113">
        <v>186</v>
      </c>
      <c r="I1113">
        <v>0</v>
      </c>
      <c r="J1113">
        <v>0</v>
      </c>
      <c r="K1113">
        <v>807.63632500000006</v>
      </c>
      <c r="L1113">
        <v>8.9826889999999402</v>
      </c>
      <c r="M1113">
        <v>165.65195566717401</v>
      </c>
      <c r="N1113">
        <v>0</v>
      </c>
      <c r="O1113" s="8" t="str">
        <f>formatIP(Table1[[#This Row],[Address A]])</f>
        <v>010.012.000.163</v>
      </c>
      <c r="P1113" s="8" t="str">
        <f>formatIP(Table1[[#This Row],[Address B]])</f>
        <v>010.238.101.079</v>
      </c>
      <c r="Q1113" s="8" t="str">
        <f>VLOOKUP(Table1[[#This Row],[Address A]],IP_Master[],4,FALSE)</f>
        <v>PPPCSP3</v>
      </c>
      <c r="R1113" s="8" t="e">
        <f>VLOOKUP(Table1[[#This Row],[Address B]],IP_Master[],4,FALSE)</f>
        <v>#N/A</v>
      </c>
      <c r="S1113" s="8" t="str">
        <f>VLOOKUP(Table1[[#This Row],[Address A]],IP_Master[],2,FALSE)</f>
        <v>Sinter Plant</v>
      </c>
      <c r="T1113" s="8" t="e">
        <f>VLOOKUP(Table1[[#This Row],[Address B]],IP_Master[],2,FALSE)</f>
        <v>#N/A</v>
      </c>
      <c r="U1113" s="9" t="str">
        <f>VLOOKUP(Table1[[#This Row],[Address A]],IP_Master[],3,FALSE)</f>
        <v>iFIX Nodes &amp; Ethernet Switches</v>
      </c>
      <c r="V1113" s="9" t="e">
        <f>VLOOKUP(Table1[[#This Row],[Address B]],IP_Master[],3,FALSE)</f>
        <v>#N/A</v>
      </c>
      <c r="W1113" s="9" t="str">
        <f>VLOOKUP(Table1[[#This Row],[Port B]],traffic_types[],2,FALSE)</f>
        <v>HTTP/S</v>
      </c>
    </row>
    <row r="1114" spans="1:23" x14ac:dyDescent="0.6">
      <c r="A1114" t="s">
        <v>126</v>
      </c>
      <c r="B1114">
        <v>1392</v>
      </c>
      <c r="C1114" t="s">
        <v>48</v>
      </c>
      <c r="D1114">
        <v>443</v>
      </c>
      <c r="E1114">
        <v>3</v>
      </c>
      <c r="F1114" s="13">
        <v>186</v>
      </c>
      <c r="G1114">
        <v>3</v>
      </c>
      <c r="H1114">
        <v>186</v>
      </c>
      <c r="I1114">
        <v>0</v>
      </c>
      <c r="J1114">
        <v>0</v>
      </c>
      <c r="K1114">
        <v>4.6805289999999999</v>
      </c>
      <c r="L1114">
        <v>9.0776420000000009</v>
      </c>
      <c r="M1114">
        <v>163.919220431914</v>
      </c>
      <c r="N1114">
        <v>0</v>
      </c>
      <c r="O1114" s="8" t="str">
        <f>formatIP(Table1[[#This Row],[Address A]])</f>
        <v>010.012.000.184</v>
      </c>
      <c r="P1114" s="8" t="str">
        <f>formatIP(Table1[[#This Row],[Address B]])</f>
        <v>010.001.001.012</v>
      </c>
      <c r="Q1114" s="8" t="str">
        <f>VLOOKUP(Table1[[#This Row],[Address A]],IP_Master[],4,FALSE)</f>
        <v>PPPCRF4</v>
      </c>
      <c r="R1114" s="8" t="e">
        <f>VLOOKUP(Table1[[#This Row],[Address B]],IP_Master[],4,FALSE)</f>
        <v>#N/A</v>
      </c>
      <c r="S1114" s="8" t="str">
        <f>VLOOKUP(Table1[[#This Row],[Address A]],IP_Master[],2,FALSE)</f>
        <v>Refinery</v>
      </c>
      <c r="T1114" s="8" t="e">
        <f>VLOOKUP(Table1[[#This Row],[Address B]],IP_Master[],2,FALSE)</f>
        <v>#N/A</v>
      </c>
      <c r="U1114" s="9" t="str">
        <f>VLOOKUP(Table1[[#This Row],[Address A]],IP_Master[],3,FALSE)</f>
        <v>iFIX Nodes &amp; Ethernet Switches</v>
      </c>
      <c r="V1114" s="9" t="e">
        <f>VLOOKUP(Table1[[#This Row],[Address B]],IP_Master[],3,FALSE)</f>
        <v>#N/A</v>
      </c>
      <c r="W1114" s="9" t="str">
        <f>VLOOKUP(Table1[[#This Row],[Port B]],traffic_types[],2,FALSE)</f>
        <v>HTTP/S</v>
      </c>
    </row>
    <row r="1115" spans="1:23" x14ac:dyDescent="0.6">
      <c r="A1115" t="s">
        <v>126</v>
      </c>
      <c r="B1115">
        <v>1393</v>
      </c>
      <c r="C1115" t="s">
        <v>127</v>
      </c>
      <c r="D1115">
        <v>443</v>
      </c>
      <c r="E1115">
        <v>3</v>
      </c>
      <c r="F1115" s="13">
        <v>186</v>
      </c>
      <c r="G1115">
        <v>3</v>
      </c>
      <c r="H1115">
        <v>186</v>
      </c>
      <c r="I1115">
        <v>0</v>
      </c>
      <c r="J1115">
        <v>0</v>
      </c>
      <c r="K1115">
        <v>25.899433999999999</v>
      </c>
      <c r="L1115">
        <v>9.0775469999999991</v>
      </c>
      <c r="M1115">
        <v>163.92093590922701</v>
      </c>
      <c r="N1115">
        <v>0</v>
      </c>
      <c r="O1115" s="8" t="str">
        <f>formatIP(Table1[[#This Row],[Address A]])</f>
        <v>010.012.000.184</v>
      </c>
      <c r="P1115" s="8" t="str">
        <f>formatIP(Table1[[#This Row],[Address B]])</f>
        <v>010.114.001.100</v>
      </c>
      <c r="Q1115" s="8" t="str">
        <f>VLOOKUP(Table1[[#This Row],[Address A]],IP_Master[],4,FALSE)</f>
        <v>PPPCRF4</v>
      </c>
      <c r="R1115" s="8" t="e">
        <f>VLOOKUP(Table1[[#This Row],[Address B]],IP_Master[],4,FALSE)</f>
        <v>#N/A</v>
      </c>
      <c r="S1115" s="8" t="str">
        <f>VLOOKUP(Table1[[#This Row],[Address A]],IP_Master[],2,FALSE)</f>
        <v>Refinery</v>
      </c>
      <c r="T1115" s="8" t="e">
        <f>VLOOKUP(Table1[[#This Row],[Address B]],IP_Master[],2,FALSE)</f>
        <v>#N/A</v>
      </c>
      <c r="U1115" s="9" t="str">
        <f>VLOOKUP(Table1[[#This Row],[Address A]],IP_Master[],3,FALSE)</f>
        <v>iFIX Nodes &amp; Ethernet Switches</v>
      </c>
      <c r="V1115" s="9" t="e">
        <f>VLOOKUP(Table1[[#This Row],[Address B]],IP_Master[],3,FALSE)</f>
        <v>#N/A</v>
      </c>
      <c r="W1115" s="9" t="str">
        <f>VLOOKUP(Table1[[#This Row],[Port B]],traffic_types[],2,FALSE)</f>
        <v>HTTP/S</v>
      </c>
    </row>
    <row r="1116" spans="1:23" x14ac:dyDescent="0.6">
      <c r="A1116" t="s">
        <v>126</v>
      </c>
      <c r="B1116">
        <v>1394</v>
      </c>
      <c r="C1116" t="s">
        <v>128</v>
      </c>
      <c r="D1116">
        <v>443</v>
      </c>
      <c r="E1116">
        <v>3</v>
      </c>
      <c r="F1116" s="13">
        <v>186</v>
      </c>
      <c r="G1116">
        <v>3</v>
      </c>
      <c r="H1116">
        <v>186</v>
      </c>
      <c r="I1116">
        <v>0</v>
      </c>
      <c r="J1116">
        <v>0</v>
      </c>
      <c r="K1116">
        <v>47.008816000000003</v>
      </c>
      <c r="L1116">
        <v>9.0775959999999998</v>
      </c>
      <c r="M1116">
        <v>163.92005107960301</v>
      </c>
      <c r="N1116">
        <v>0</v>
      </c>
      <c r="O1116" s="8" t="str">
        <f>formatIP(Table1[[#This Row],[Address A]])</f>
        <v>010.012.000.184</v>
      </c>
      <c r="P1116" s="8" t="str">
        <f>formatIP(Table1[[#This Row],[Address B]])</f>
        <v>010.134.001.011</v>
      </c>
      <c r="Q1116" s="8" t="str">
        <f>VLOOKUP(Table1[[#This Row],[Address A]],IP_Master[],4,FALSE)</f>
        <v>PPPCRF4</v>
      </c>
      <c r="R1116" s="8" t="e">
        <f>VLOOKUP(Table1[[#This Row],[Address B]],IP_Master[],4,FALSE)</f>
        <v>#N/A</v>
      </c>
      <c r="S1116" s="8" t="str">
        <f>VLOOKUP(Table1[[#This Row],[Address A]],IP_Master[],2,FALSE)</f>
        <v>Refinery</v>
      </c>
      <c r="T1116" s="8" t="e">
        <f>VLOOKUP(Table1[[#This Row],[Address B]],IP_Master[],2,FALSE)</f>
        <v>#N/A</v>
      </c>
      <c r="U1116" s="9" t="str">
        <f>VLOOKUP(Table1[[#This Row],[Address A]],IP_Master[],3,FALSE)</f>
        <v>iFIX Nodes &amp; Ethernet Switches</v>
      </c>
      <c r="V1116" s="9" t="e">
        <f>VLOOKUP(Table1[[#This Row],[Address B]],IP_Master[],3,FALSE)</f>
        <v>#N/A</v>
      </c>
      <c r="W1116" s="9" t="str">
        <f>VLOOKUP(Table1[[#This Row],[Port B]],traffic_types[],2,FALSE)</f>
        <v>HTTP/S</v>
      </c>
    </row>
    <row r="1117" spans="1:23" x14ac:dyDescent="0.6">
      <c r="A1117" t="s">
        <v>126</v>
      </c>
      <c r="B1117">
        <v>1395</v>
      </c>
      <c r="C1117" t="s">
        <v>129</v>
      </c>
      <c r="D1117">
        <v>443</v>
      </c>
      <c r="E1117">
        <v>3</v>
      </c>
      <c r="F1117" s="13">
        <v>186</v>
      </c>
      <c r="G1117">
        <v>3</v>
      </c>
      <c r="H1117">
        <v>186</v>
      </c>
      <c r="I1117">
        <v>0</v>
      </c>
      <c r="J1117">
        <v>0</v>
      </c>
      <c r="K1117">
        <v>68.008857000000006</v>
      </c>
      <c r="L1117">
        <v>9.2963869999999993</v>
      </c>
      <c r="M1117">
        <v>160.06218329766199</v>
      </c>
      <c r="N1117">
        <v>0</v>
      </c>
      <c r="O1117" s="8" t="str">
        <f>formatIP(Table1[[#This Row],[Address A]])</f>
        <v>010.012.000.184</v>
      </c>
      <c r="P1117" s="8" t="str">
        <f>formatIP(Table1[[#This Row],[Address B]])</f>
        <v>010.112.001.011</v>
      </c>
      <c r="Q1117" s="8" t="str">
        <f>VLOOKUP(Table1[[#This Row],[Address A]],IP_Master[],4,FALSE)</f>
        <v>PPPCRF4</v>
      </c>
      <c r="R1117" s="8" t="e">
        <f>VLOOKUP(Table1[[#This Row],[Address B]],IP_Master[],4,FALSE)</f>
        <v>#N/A</v>
      </c>
      <c r="S1117" s="8" t="str">
        <f>VLOOKUP(Table1[[#This Row],[Address A]],IP_Master[],2,FALSE)</f>
        <v>Refinery</v>
      </c>
      <c r="T1117" s="8" t="e">
        <f>VLOOKUP(Table1[[#This Row],[Address B]],IP_Master[],2,FALSE)</f>
        <v>#N/A</v>
      </c>
      <c r="U1117" s="9" t="str">
        <f>VLOOKUP(Table1[[#This Row],[Address A]],IP_Master[],3,FALSE)</f>
        <v>iFIX Nodes &amp; Ethernet Switches</v>
      </c>
      <c r="V1117" s="9" t="e">
        <f>VLOOKUP(Table1[[#This Row],[Address B]],IP_Master[],3,FALSE)</f>
        <v>#N/A</v>
      </c>
      <c r="W1117" s="9" t="str">
        <f>VLOOKUP(Table1[[#This Row],[Port B]],traffic_types[],2,FALSE)</f>
        <v>HTTP/S</v>
      </c>
    </row>
    <row r="1118" spans="1:23" x14ac:dyDescent="0.6">
      <c r="A1118" t="s">
        <v>126</v>
      </c>
      <c r="B1118">
        <v>1396</v>
      </c>
      <c r="C1118" t="s">
        <v>130</v>
      </c>
      <c r="D1118">
        <v>443</v>
      </c>
      <c r="E1118">
        <v>3</v>
      </c>
      <c r="F1118" s="13">
        <v>186</v>
      </c>
      <c r="G1118">
        <v>3</v>
      </c>
      <c r="H1118">
        <v>186</v>
      </c>
      <c r="I1118">
        <v>0</v>
      </c>
      <c r="J1118">
        <v>0</v>
      </c>
      <c r="K1118">
        <v>89.446434999999994</v>
      </c>
      <c r="L1118">
        <v>9.0775170000000003</v>
      </c>
      <c r="M1118">
        <v>163.92147764636499</v>
      </c>
      <c r="N1118">
        <v>0</v>
      </c>
      <c r="O1118" s="8" t="str">
        <f>formatIP(Table1[[#This Row],[Address A]])</f>
        <v>010.012.000.184</v>
      </c>
      <c r="P1118" s="8" t="str">
        <f>formatIP(Table1[[#This Row],[Address B]])</f>
        <v>010.120.001.001</v>
      </c>
      <c r="Q1118" s="8" t="str">
        <f>VLOOKUP(Table1[[#This Row],[Address A]],IP_Master[],4,FALSE)</f>
        <v>PPPCRF4</v>
      </c>
      <c r="R1118" s="8" t="e">
        <f>VLOOKUP(Table1[[#This Row],[Address B]],IP_Master[],4,FALSE)</f>
        <v>#N/A</v>
      </c>
      <c r="S1118" s="8" t="str">
        <f>VLOOKUP(Table1[[#This Row],[Address A]],IP_Master[],2,FALSE)</f>
        <v>Refinery</v>
      </c>
      <c r="T1118" s="8" t="e">
        <f>VLOOKUP(Table1[[#This Row],[Address B]],IP_Master[],2,FALSE)</f>
        <v>#N/A</v>
      </c>
      <c r="U1118" s="9" t="str">
        <f>VLOOKUP(Table1[[#This Row],[Address A]],IP_Master[],3,FALSE)</f>
        <v>iFIX Nodes &amp; Ethernet Switches</v>
      </c>
      <c r="V1118" s="9" t="e">
        <f>VLOOKUP(Table1[[#This Row],[Address B]],IP_Master[],3,FALSE)</f>
        <v>#N/A</v>
      </c>
      <c r="W1118" s="9" t="str">
        <f>VLOOKUP(Table1[[#This Row],[Port B]],traffic_types[],2,FALSE)</f>
        <v>HTTP/S</v>
      </c>
    </row>
    <row r="1119" spans="1:23" x14ac:dyDescent="0.6">
      <c r="A1119" t="s">
        <v>126</v>
      </c>
      <c r="B1119">
        <v>1397</v>
      </c>
      <c r="C1119" t="s">
        <v>131</v>
      </c>
      <c r="D1119">
        <v>443</v>
      </c>
      <c r="E1119">
        <v>3</v>
      </c>
      <c r="F1119" s="13">
        <v>186</v>
      </c>
      <c r="G1119">
        <v>3</v>
      </c>
      <c r="H1119">
        <v>186</v>
      </c>
      <c r="I1119">
        <v>0</v>
      </c>
      <c r="J1119">
        <v>0</v>
      </c>
      <c r="K1119">
        <v>110.55591200000001</v>
      </c>
      <c r="L1119">
        <v>9.0775179999999995</v>
      </c>
      <c r="M1119">
        <v>163.921459588403</v>
      </c>
      <c r="N1119">
        <v>0</v>
      </c>
      <c r="O1119" s="8" t="str">
        <f>formatIP(Table1[[#This Row],[Address A]])</f>
        <v>010.012.000.184</v>
      </c>
      <c r="P1119" s="8" t="str">
        <f>formatIP(Table1[[#This Row],[Address B]])</f>
        <v>010.115.001.006</v>
      </c>
      <c r="Q1119" s="8" t="str">
        <f>VLOOKUP(Table1[[#This Row],[Address A]],IP_Master[],4,FALSE)</f>
        <v>PPPCRF4</v>
      </c>
      <c r="R1119" s="8" t="e">
        <f>VLOOKUP(Table1[[#This Row],[Address B]],IP_Master[],4,FALSE)</f>
        <v>#N/A</v>
      </c>
      <c r="S1119" s="8" t="str">
        <f>VLOOKUP(Table1[[#This Row],[Address A]],IP_Master[],2,FALSE)</f>
        <v>Refinery</v>
      </c>
      <c r="T1119" s="8" t="e">
        <f>VLOOKUP(Table1[[#This Row],[Address B]],IP_Master[],2,FALSE)</f>
        <v>#N/A</v>
      </c>
      <c r="U1119" s="9" t="str">
        <f>VLOOKUP(Table1[[#This Row],[Address A]],IP_Master[],3,FALSE)</f>
        <v>iFIX Nodes &amp; Ethernet Switches</v>
      </c>
      <c r="V1119" s="9" t="e">
        <f>VLOOKUP(Table1[[#This Row],[Address B]],IP_Master[],3,FALSE)</f>
        <v>#N/A</v>
      </c>
      <c r="W1119" s="9" t="str">
        <f>VLOOKUP(Table1[[#This Row],[Port B]],traffic_types[],2,FALSE)</f>
        <v>HTTP/S</v>
      </c>
    </row>
    <row r="1120" spans="1:23" x14ac:dyDescent="0.6">
      <c r="A1120" t="s">
        <v>126</v>
      </c>
      <c r="B1120">
        <v>1398</v>
      </c>
      <c r="C1120" t="s">
        <v>132</v>
      </c>
      <c r="D1120">
        <v>443</v>
      </c>
      <c r="E1120">
        <v>3</v>
      </c>
      <c r="F1120" s="13">
        <v>186</v>
      </c>
      <c r="G1120">
        <v>3</v>
      </c>
      <c r="H1120">
        <v>186</v>
      </c>
      <c r="I1120">
        <v>0</v>
      </c>
      <c r="J1120">
        <v>0</v>
      </c>
      <c r="K1120">
        <v>131.774958</v>
      </c>
      <c r="L1120">
        <v>9.0771770000000096</v>
      </c>
      <c r="M1120">
        <v>163.92761758418899</v>
      </c>
      <c r="N1120">
        <v>0</v>
      </c>
      <c r="O1120" s="8" t="str">
        <f>formatIP(Table1[[#This Row],[Address A]])</f>
        <v>010.012.000.184</v>
      </c>
      <c r="P1120" s="8" t="str">
        <f>formatIP(Table1[[#This Row],[Address B]])</f>
        <v>010.082.001.030</v>
      </c>
      <c r="Q1120" s="8" t="str">
        <f>VLOOKUP(Table1[[#This Row],[Address A]],IP_Master[],4,FALSE)</f>
        <v>PPPCRF4</v>
      </c>
      <c r="R1120" s="8" t="e">
        <f>VLOOKUP(Table1[[#This Row],[Address B]],IP_Master[],4,FALSE)</f>
        <v>#N/A</v>
      </c>
      <c r="S1120" s="8" t="str">
        <f>VLOOKUP(Table1[[#This Row],[Address A]],IP_Master[],2,FALSE)</f>
        <v>Refinery</v>
      </c>
      <c r="T1120" s="8" t="e">
        <f>VLOOKUP(Table1[[#This Row],[Address B]],IP_Master[],2,FALSE)</f>
        <v>#N/A</v>
      </c>
      <c r="U1120" s="9" t="str">
        <f>VLOOKUP(Table1[[#This Row],[Address A]],IP_Master[],3,FALSE)</f>
        <v>iFIX Nodes &amp; Ethernet Switches</v>
      </c>
      <c r="V1120" s="9" t="e">
        <f>VLOOKUP(Table1[[#This Row],[Address B]],IP_Master[],3,FALSE)</f>
        <v>#N/A</v>
      </c>
      <c r="W1120" s="9" t="str">
        <f>VLOOKUP(Table1[[#This Row],[Port B]],traffic_types[],2,FALSE)</f>
        <v>HTTP/S</v>
      </c>
    </row>
    <row r="1121" spans="1:23" x14ac:dyDescent="0.6">
      <c r="A1121" t="s">
        <v>126</v>
      </c>
      <c r="B1121">
        <v>1399</v>
      </c>
      <c r="C1121" t="s">
        <v>58</v>
      </c>
      <c r="D1121">
        <v>443</v>
      </c>
      <c r="E1121">
        <v>3</v>
      </c>
      <c r="F1121" s="13">
        <v>186</v>
      </c>
      <c r="G1121">
        <v>3</v>
      </c>
      <c r="H1121">
        <v>186</v>
      </c>
      <c r="I1121">
        <v>0</v>
      </c>
      <c r="J1121">
        <v>0</v>
      </c>
      <c r="K1121">
        <v>152.99358100000001</v>
      </c>
      <c r="L1121">
        <v>9.2960779999999907</v>
      </c>
      <c r="M1121">
        <v>160.06750373652201</v>
      </c>
      <c r="N1121">
        <v>0</v>
      </c>
      <c r="O1121" s="8" t="str">
        <f>formatIP(Table1[[#This Row],[Address A]])</f>
        <v>010.012.000.184</v>
      </c>
      <c r="P1121" s="8" t="str">
        <f>formatIP(Table1[[#This Row],[Address B]])</f>
        <v>010.011.001.012</v>
      </c>
      <c r="Q1121" s="8" t="str">
        <f>VLOOKUP(Table1[[#This Row],[Address A]],IP_Master[],4,FALSE)</f>
        <v>PPPCRF4</v>
      </c>
      <c r="R1121" s="8" t="e">
        <f>VLOOKUP(Table1[[#This Row],[Address B]],IP_Master[],4,FALSE)</f>
        <v>#N/A</v>
      </c>
      <c r="S1121" s="8" t="str">
        <f>VLOOKUP(Table1[[#This Row],[Address A]],IP_Master[],2,FALSE)</f>
        <v>Refinery</v>
      </c>
      <c r="T1121" s="8" t="e">
        <f>VLOOKUP(Table1[[#This Row],[Address B]],IP_Master[],2,FALSE)</f>
        <v>#N/A</v>
      </c>
      <c r="U1121" s="9" t="str">
        <f>VLOOKUP(Table1[[#This Row],[Address A]],IP_Master[],3,FALSE)</f>
        <v>iFIX Nodes &amp; Ethernet Switches</v>
      </c>
      <c r="V1121" s="9" t="e">
        <f>VLOOKUP(Table1[[#This Row],[Address B]],IP_Master[],3,FALSE)</f>
        <v>#N/A</v>
      </c>
      <c r="W1121" s="9" t="str">
        <f>VLOOKUP(Table1[[#This Row],[Port B]],traffic_types[],2,FALSE)</f>
        <v>HTTP/S</v>
      </c>
    </row>
    <row r="1122" spans="1:23" x14ac:dyDescent="0.6">
      <c r="A1122" t="s">
        <v>126</v>
      </c>
      <c r="B1122">
        <v>1400</v>
      </c>
      <c r="C1122" t="s">
        <v>133</v>
      </c>
      <c r="D1122">
        <v>443</v>
      </c>
      <c r="E1122">
        <v>3</v>
      </c>
      <c r="F1122" s="13">
        <v>186</v>
      </c>
      <c r="G1122">
        <v>3</v>
      </c>
      <c r="H1122">
        <v>186</v>
      </c>
      <c r="I1122">
        <v>0</v>
      </c>
      <c r="J1122">
        <v>0</v>
      </c>
      <c r="K1122">
        <v>174.32133400000001</v>
      </c>
      <c r="L1122">
        <v>9.0778509999999795</v>
      </c>
      <c r="M1122">
        <v>163.91544650821001</v>
      </c>
      <c r="N1122">
        <v>0</v>
      </c>
      <c r="O1122" s="8" t="str">
        <f>formatIP(Table1[[#This Row],[Address A]])</f>
        <v>010.012.000.184</v>
      </c>
      <c r="P1122" s="8" t="str">
        <f>formatIP(Table1[[#This Row],[Address B]])</f>
        <v>010.080.001.065</v>
      </c>
      <c r="Q1122" s="8" t="str">
        <f>VLOOKUP(Table1[[#This Row],[Address A]],IP_Master[],4,FALSE)</f>
        <v>PPPCRF4</v>
      </c>
      <c r="R1122" s="8" t="e">
        <f>VLOOKUP(Table1[[#This Row],[Address B]],IP_Master[],4,FALSE)</f>
        <v>#N/A</v>
      </c>
      <c r="S1122" s="8" t="str">
        <f>VLOOKUP(Table1[[#This Row],[Address A]],IP_Master[],2,FALSE)</f>
        <v>Refinery</v>
      </c>
      <c r="T1122" s="8" t="e">
        <f>VLOOKUP(Table1[[#This Row],[Address B]],IP_Master[],2,FALSE)</f>
        <v>#N/A</v>
      </c>
      <c r="U1122" s="9" t="str">
        <f>VLOOKUP(Table1[[#This Row],[Address A]],IP_Master[],3,FALSE)</f>
        <v>iFIX Nodes &amp; Ethernet Switches</v>
      </c>
      <c r="V1122" s="9" t="e">
        <f>VLOOKUP(Table1[[#This Row],[Address B]],IP_Master[],3,FALSE)</f>
        <v>#N/A</v>
      </c>
      <c r="W1122" s="9" t="str">
        <f>VLOOKUP(Table1[[#This Row],[Port B]],traffic_types[],2,FALSE)</f>
        <v>HTTP/S</v>
      </c>
    </row>
    <row r="1123" spans="1:23" x14ac:dyDescent="0.6">
      <c r="A1123" t="s">
        <v>126</v>
      </c>
      <c r="B1123">
        <v>1401</v>
      </c>
      <c r="C1123" t="s">
        <v>134</v>
      </c>
      <c r="D1123">
        <v>443</v>
      </c>
      <c r="E1123">
        <v>3</v>
      </c>
      <c r="F1123" s="13">
        <v>186</v>
      </c>
      <c r="G1123">
        <v>3</v>
      </c>
      <c r="H1123">
        <v>186</v>
      </c>
      <c r="I1123">
        <v>0</v>
      </c>
      <c r="J1123">
        <v>0</v>
      </c>
      <c r="K1123">
        <v>195.430836</v>
      </c>
      <c r="L1123">
        <v>9.2964599999999997</v>
      </c>
      <c r="M1123">
        <v>160.06092641715199</v>
      </c>
      <c r="N1123">
        <v>0</v>
      </c>
      <c r="O1123" s="8" t="str">
        <f>formatIP(Table1[[#This Row],[Address A]])</f>
        <v>010.012.000.184</v>
      </c>
      <c r="P1123" s="8" t="str">
        <f>formatIP(Table1[[#This Row],[Address B]])</f>
        <v>010.121.001.005</v>
      </c>
      <c r="Q1123" s="8" t="str">
        <f>VLOOKUP(Table1[[#This Row],[Address A]],IP_Master[],4,FALSE)</f>
        <v>PPPCRF4</v>
      </c>
      <c r="R1123" s="8" t="e">
        <f>VLOOKUP(Table1[[#This Row],[Address B]],IP_Master[],4,FALSE)</f>
        <v>#N/A</v>
      </c>
      <c r="S1123" s="8" t="str">
        <f>VLOOKUP(Table1[[#This Row],[Address A]],IP_Master[],2,FALSE)</f>
        <v>Refinery</v>
      </c>
      <c r="T1123" s="8" t="e">
        <f>VLOOKUP(Table1[[#This Row],[Address B]],IP_Master[],2,FALSE)</f>
        <v>#N/A</v>
      </c>
      <c r="U1123" s="9" t="str">
        <f>VLOOKUP(Table1[[#This Row],[Address A]],IP_Master[],3,FALSE)</f>
        <v>iFIX Nodes &amp; Ethernet Switches</v>
      </c>
      <c r="V1123" s="9" t="e">
        <f>VLOOKUP(Table1[[#This Row],[Address B]],IP_Master[],3,FALSE)</f>
        <v>#N/A</v>
      </c>
      <c r="W1123" s="9" t="str">
        <f>VLOOKUP(Table1[[#This Row],[Port B]],traffic_types[],2,FALSE)</f>
        <v>HTTP/S</v>
      </c>
    </row>
    <row r="1124" spans="1:23" x14ac:dyDescent="0.6">
      <c r="A1124" t="s">
        <v>126</v>
      </c>
      <c r="B1124">
        <v>1402</v>
      </c>
      <c r="C1124" t="s">
        <v>135</v>
      </c>
      <c r="D1124">
        <v>443</v>
      </c>
      <c r="E1124">
        <v>3</v>
      </c>
      <c r="F1124" s="13">
        <v>186</v>
      </c>
      <c r="G1124">
        <v>3</v>
      </c>
      <c r="H1124">
        <v>186</v>
      </c>
      <c r="I1124">
        <v>0</v>
      </c>
      <c r="J1124">
        <v>0</v>
      </c>
      <c r="K1124">
        <v>216.868438</v>
      </c>
      <c r="L1124">
        <v>8.9682610000000107</v>
      </c>
      <c r="M1124">
        <v>165.918453978982</v>
      </c>
      <c r="N1124">
        <v>0</v>
      </c>
      <c r="O1124" s="8" t="str">
        <f>formatIP(Table1[[#This Row],[Address A]])</f>
        <v>010.012.000.184</v>
      </c>
      <c r="P1124" s="8" t="str">
        <f>formatIP(Table1[[#This Row],[Address B]])</f>
        <v>010.086.001.012</v>
      </c>
      <c r="Q1124" s="8" t="str">
        <f>VLOOKUP(Table1[[#This Row],[Address A]],IP_Master[],4,FALSE)</f>
        <v>PPPCRF4</v>
      </c>
      <c r="R1124" s="8" t="e">
        <f>VLOOKUP(Table1[[#This Row],[Address B]],IP_Master[],4,FALSE)</f>
        <v>#N/A</v>
      </c>
      <c r="S1124" s="8" t="str">
        <f>VLOOKUP(Table1[[#This Row],[Address A]],IP_Master[],2,FALSE)</f>
        <v>Refinery</v>
      </c>
      <c r="T1124" s="8" t="e">
        <f>VLOOKUP(Table1[[#This Row],[Address B]],IP_Master[],2,FALSE)</f>
        <v>#N/A</v>
      </c>
      <c r="U1124" s="9" t="str">
        <f>VLOOKUP(Table1[[#This Row],[Address A]],IP_Master[],3,FALSE)</f>
        <v>iFIX Nodes &amp; Ethernet Switches</v>
      </c>
      <c r="V1124" s="9" t="e">
        <f>VLOOKUP(Table1[[#This Row],[Address B]],IP_Master[],3,FALSE)</f>
        <v>#N/A</v>
      </c>
      <c r="W1124" s="9" t="str">
        <f>VLOOKUP(Table1[[#This Row],[Port B]],traffic_types[],2,FALSE)</f>
        <v>HTTP/S</v>
      </c>
    </row>
    <row r="1125" spans="1:23" x14ac:dyDescent="0.6">
      <c r="A1125" t="s">
        <v>126</v>
      </c>
      <c r="B1125">
        <v>1403</v>
      </c>
      <c r="C1125" t="s">
        <v>136</v>
      </c>
      <c r="D1125">
        <v>443</v>
      </c>
      <c r="E1125">
        <v>3</v>
      </c>
      <c r="F1125" s="13">
        <v>186</v>
      </c>
      <c r="G1125">
        <v>3</v>
      </c>
      <c r="H1125">
        <v>186</v>
      </c>
      <c r="I1125">
        <v>0</v>
      </c>
      <c r="J1125">
        <v>0</v>
      </c>
      <c r="K1125">
        <v>237.86866599999999</v>
      </c>
      <c r="L1125">
        <v>8.9680110000000202</v>
      </c>
      <c r="M1125">
        <v>165.92307926473299</v>
      </c>
      <c r="N1125">
        <v>0</v>
      </c>
      <c r="O1125" s="8" t="str">
        <f>formatIP(Table1[[#This Row],[Address A]])</f>
        <v>010.012.000.184</v>
      </c>
      <c r="P1125" s="8" t="str">
        <f>formatIP(Table1[[#This Row],[Address B]])</f>
        <v>010.119.001.003</v>
      </c>
      <c r="Q1125" s="8" t="str">
        <f>VLOOKUP(Table1[[#This Row],[Address A]],IP_Master[],4,FALSE)</f>
        <v>PPPCRF4</v>
      </c>
      <c r="R1125" s="8" t="e">
        <f>VLOOKUP(Table1[[#This Row],[Address B]],IP_Master[],4,FALSE)</f>
        <v>#N/A</v>
      </c>
      <c r="S1125" s="8" t="str">
        <f>VLOOKUP(Table1[[#This Row],[Address A]],IP_Master[],2,FALSE)</f>
        <v>Refinery</v>
      </c>
      <c r="T1125" s="8" t="e">
        <f>VLOOKUP(Table1[[#This Row],[Address B]],IP_Master[],2,FALSE)</f>
        <v>#N/A</v>
      </c>
      <c r="U1125" s="9" t="str">
        <f>VLOOKUP(Table1[[#This Row],[Address A]],IP_Master[],3,FALSE)</f>
        <v>iFIX Nodes &amp; Ethernet Switches</v>
      </c>
      <c r="V1125" s="9" t="e">
        <f>VLOOKUP(Table1[[#This Row],[Address B]],IP_Master[],3,FALSE)</f>
        <v>#N/A</v>
      </c>
      <c r="W1125" s="9" t="str">
        <f>VLOOKUP(Table1[[#This Row],[Port B]],traffic_types[],2,FALSE)</f>
        <v>HTTP/S</v>
      </c>
    </row>
    <row r="1126" spans="1:23" x14ac:dyDescent="0.6">
      <c r="A1126" t="s">
        <v>126</v>
      </c>
      <c r="B1126">
        <v>1404</v>
      </c>
      <c r="C1126" t="s">
        <v>137</v>
      </c>
      <c r="D1126">
        <v>443</v>
      </c>
      <c r="E1126">
        <v>3</v>
      </c>
      <c r="F1126" s="13">
        <v>186</v>
      </c>
      <c r="G1126">
        <v>3</v>
      </c>
      <c r="H1126">
        <v>186</v>
      </c>
      <c r="I1126">
        <v>0</v>
      </c>
      <c r="J1126">
        <v>0</v>
      </c>
      <c r="K1126">
        <v>258.86832099999998</v>
      </c>
      <c r="L1126">
        <v>8.9683280000000405</v>
      </c>
      <c r="M1126">
        <v>165.91721444621501</v>
      </c>
      <c r="N1126">
        <v>0</v>
      </c>
      <c r="O1126" s="8" t="str">
        <f>formatIP(Table1[[#This Row],[Address A]])</f>
        <v>010.012.000.184</v>
      </c>
      <c r="P1126" s="8" t="str">
        <f>formatIP(Table1[[#This Row],[Address B]])</f>
        <v>010.130.001.003</v>
      </c>
      <c r="Q1126" s="8" t="str">
        <f>VLOOKUP(Table1[[#This Row],[Address A]],IP_Master[],4,FALSE)</f>
        <v>PPPCRF4</v>
      </c>
      <c r="R1126" s="8" t="e">
        <f>VLOOKUP(Table1[[#This Row],[Address B]],IP_Master[],4,FALSE)</f>
        <v>#N/A</v>
      </c>
      <c r="S1126" s="8" t="str">
        <f>VLOOKUP(Table1[[#This Row],[Address A]],IP_Master[],2,FALSE)</f>
        <v>Refinery</v>
      </c>
      <c r="T1126" s="8" t="e">
        <f>VLOOKUP(Table1[[#This Row],[Address B]],IP_Master[],2,FALSE)</f>
        <v>#N/A</v>
      </c>
      <c r="U1126" s="9" t="str">
        <f>VLOOKUP(Table1[[#This Row],[Address A]],IP_Master[],3,FALSE)</f>
        <v>iFIX Nodes &amp; Ethernet Switches</v>
      </c>
      <c r="V1126" s="9" t="e">
        <f>VLOOKUP(Table1[[#This Row],[Address B]],IP_Master[],3,FALSE)</f>
        <v>#N/A</v>
      </c>
      <c r="W1126" s="9" t="str">
        <f>VLOOKUP(Table1[[#This Row],[Port B]],traffic_types[],2,FALSE)</f>
        <v>HTTP/S</v>
      </c>
    </row>
    <row r="1127" spans="1:23" x14ac:dyDescent="0.6">
      <c r="A1127" t="s">
        <v>126</v>
      </c>
      <c r="B1127">
        <v>1405</v>
      </c>
      <c r="C1127" t="s">
        <v>138</v>
      </c>
      <c r="D1127">
        <v>443</v>
      </c>
      <c r="E1127">
        <v>3</v>
      </c>
      <c r="F1127" s="13">
        <v>186</v>
      </c>
      <c r="G1127">
        <v>3</v>
      </c>
      <c r="H1127">
        <v>186</v>
      </c>
      <c r="I1127">
        <v>0</v>
      </c>
      <c r="J1127">
        <v>0</v>
      </c>
      <c r="K1127">
        <v>279.869192</v>
      </c>
      <c r="L1127">
        <v>9.0769869999999706</v>
      </c>
      <c r="M1127">
        <v>163.931048926258</v>
      </c>
      <c r="N1127">
        <v>0</v>
      </c>
      <c r="O1127" s="8" t="str">
        <f>formatIP(Table1[[#This Row],[Address A]])</f>
        <v>010.012.000.184</v>
      </c>
      <c r="P1127" s="8" t="str">
        <f>formatIP(Table1[[#This Row],[Address B]])</f>
        <v>010.136.001.001</v>
      </c>
      <c r="Q1127" s="8" t="str">
        <f>VLOOKUP(Table1[[#This Row],[Address A]],IP_Master[],4,FALSE)</f>
        <v>PPPCRF4</v>
      </c>
      <c r="R1127" s="8" t="e">
        <f>VLOOKUP(Table1[[#This Row],[Address B]],IP_Master[],4,FALSE)</f>
        <v>#N/A</v>
      </c>
      <c r="S1127" s="8" t="str">
        <f>VLOOKUP(Table1[[#This Row],[Address A]],IP_Master[],2,FALSE)</f>
        <v>Refinery</v>
      </c>
      <c r="T1127" s="8" t="e">
        <f>VLOOKUP(Table1[[#This Row],[Address B]],IP_Master[],2,FALSE)</f>
        <v>#N/A</v>
      </c>
      <c r="U1127" s="9" t="str">
        <f>VLOOKUP(Table1[[#This Row],[Address A]],IP_Master[],3,FALSE)</f>
        <v>iFIX Nodes &amp; Ethernet Switches</v>
      </c>
      <c r="V1127" s="9" t="e">
        <f>VLOOKUP(Table1[[#This Row],[Address B]],IP_Master[],3,FALSE)</f>
        <v>#N/A</v>
      </c>
      <c r="W1127" s="9" t="str">
        <f>VLOOKUP(Table1[[#This Row],[Port B]],traffic_types[],2,FALSE)</f>
        <v>HTTP/S</v>
      </c>
    </row>
    <row r="1128" spans="1:23" x14ac:dyDescent="0.6">
      <c r="A1128" t="s">
        <v>126</v>
      </c>
      <c r="B1128">
        <v>1406</v>
      </c>
      <c r="C1128" t="s">
        <v>125</v>
      </c>
      <c r="D1128">
        <v>443</v>
      </c>
      <c r="E1128">
        <v>3</v>
      </c>
      <c r="F1128" s="13">
        <v>186</v>
      </c>
      <c r="G1128">
        <v>3</v>
      </c>
      <c r="H1128">
        <v>186</v>
      </c>
      <c r="I1128">
        <v>0</v>
      </c>
      <c r="J1128">
        <v>0</v>
      </c>
      <c r="K1128">
        <v>301.087399</v>
      </c>
      <c r="L1128">
        <v>8.9681309999999694</v>
      </c>
      <c r="M1128">
        <v>165.92085909539099</v>
      </c>
      <c r="N1128">
        <v>0</v>
      </c>
      <c r="O1128" s="8" t="str">
        <f>formatIP(Table1[[#This Row],[Address A]])</f>
        <v>010.012.000.184</v>
      </c>
      <c r="P1128" s="8" t="str">
        <f>formatIP(Table1[[#This Row],[Address B]])</f>
        <v>010.238.101.079</v>
      </c>
      <c r="Q1128" s="8" t="str">
        <f>VLOOKUP(Table1[[#This Row],[Address A]],IP_Master[],4,FALSE)</f>
        <v>PPPCRF4</v>
      </c>
      <c r="R1128" s="8" t="e">
        <f>VLOOKUP(Table1[[#This Row],[Address B]],IP_Master[],4,FALSE)</f>
        <v>#N/A</v>
      </c>
      <c r="S1128" s="8" t="str">
        <f>VLOOKUP(Table1[[#This Row],[Address A]],IP_Master[],2,FALSE)</f>
        <v>Refinery</v>
      </c>
      <c r="T1128" s="8" t="e">
        <f>VLOOKUP(Table1[[#This Row],[Address B]],IP_Master[],2,FALSE)</f>
        <v>#N/A</v>
      </c>
      <c r="U1128" s="9" t="str">
        <f>VLOOKUP(Table1[[#This Row],[Address A]],IP_Master[],3,FALSE)</f>
        <v>iFIX Nodes &amp; Ethernet Switches</v>
      </c>
      <c r="V1128" s="9" t="e">
        <f>VLOOKUP(Table1[[#This Row],[Address B]],IP_Master[],3,FALSE)</f>
        <v>#N/A</v>
      </c>
      <c r="W1128" s="9" t="str">
        <f>VLOOKUP(Table1[[#This Row],[Port B]],traffic_types[],2,FALSE)</f>
        <v>HTTP/S</v>
      </c>
    </row>
    <row r="1129" spans="1:23" x14ac:dyDescent="0.6">
      <c r="A1129" t="s">
        <v>126</v>
      </c>
      <c r="B1129">
        <v>1407</v>
      </c>
      <c r="C1129" t="s">
        <v>139</v>
      </c>
      <c r="D1129">
        <v>443</v>
      </c>
      <c r="E1129">
        <v>3</v>
      </c>
      <c r="F1129" s="13">
        <v>186</v>
      </c>
      <c r="G1129">
        <v>3</v>
      </c>
      <c r="H1129">
        <v>186</v>
      </c>
      <c r="I1129">
        <v>0</v>
      </c>
      <c r="J1129">
        <v>0</v>
      </c>
      <c r="K1129">
        <v>367.14270599999998</v>
      </c>
      <c r="L1129">
        <v>8.9754100000000108</v>
      </c>
      <c r="M1129">
        <v>165.78629834180299</v>
      </c>
      <c r="N1129">
        <v>0</v>
      </c>
      <c r="O1129" s="8" t="str">
        <f>formatIP(Table1[[#This Row],[Address A]])</f>
        <v>010.012.000.184</v>
      </c>
      <c r="P1129" s="8" t="str">
        <f>formatIP(Table1[[#This Row],[Address B]])</f>
        <v>010.095.001.018</v>
      </c>
      <c r="Q1129" s="8" t="str">
        <f>VLOOKUP(Table1[[#This Row],[Address A]],IP_Master[],4,FALSE)</f>
        <v>PPPCRF4</v>
      </c>
      <c r="R1129" s="8" t="e">
        <f>VLOOKUP(Table1[[#This Row],[Address B]],IP_Master[],4,FALSE)</f>
        <v>#N/A</v>
      </c>
      <c r="S1129" s="8" t="str">
        <f>VLOOKUP(Table1[[#This Row],[Address A]],IP_Master[],2,FALSE)</f>
        <v>Refinery</v>
      </c>
      <c r="T1129" s="8" t="e">
        <f>VLOOKUP(Table1[[#This Row],[Address B]],IP_Master[],2,FALSE)</f>
        <v>#N/A</v>
      </c>
      <c r="U1129" s="9" t="str">
        <f>VLOOKUP(Table1[[#This Row],[Address A]],IP_Master[],3,FALSE)</f>
        <v>iFIX Nodes &amp; Ethernet Switches</v>
      </c>
      <c r="V1129" s="9" t="e">
        <f>VLOOKUP(Table1[[#This Row],[Address B]],IP_Master[],3,FALSE)</f>
        <v>#N/A</v>
      </c>
      <c r="W1129" s="9" t="str">
        <f>VLOOKUP(Table1[[#This Row],[Port B]],traffic_types[],2,FALSE)</f>
        <v>HTTP/S</v>
      </c>
    </row>
    <row r="1130" spans="1:23" x14ac:dyDescent="0.6">
      <c r="A1130" t="s">
        <v>126</v>
      </c>
      <c r="B1130">
        <v>1408</v>
      </c>
      <c r="C1130" t="s">
        <v>140</v>
      </c>
      <c r="D1130">
        <v>443</v>
      </c>
      <c r="E1130">
        <v>3</v>
      </c>
      <c r="F1130" s="13">
        <v>186</v>
      </c>
      <c r="G1130">
        <v>3</v>
      </c>
      <c r="H1130">
        <v>186</v>
      </c>
      <c r="I1130">
        <v>0</v>
      </c>
      <c r="J1130">
        <v>0</v>
      </c>
      <c r="K1130">
        <v>390.40260799999999</v>
      </c>
      <c r="L1130">
        <v>9.0123510000000202</v>
      </c>
      <c r="M1130">
        <v>165.106751834232</v>
      </c>
      <c r="N1130">
        <v>0</v>
      </c>
      <c r="O1130" s="8" t="str">
        <f>formatIP(Table1[[#This Row],[Address A]])</f>
        <v>010.012.000.184</v>
      </c>
      <c r="P1130" s="8" t="str">
        <f>formatIP(Table1[[#This Row],[Address B]])</f>
        <v>010.116.001.001</v>
      </c>
      <c r="Q1130" s="8" t="str">
        <f>VLOOKUP(Table1[[#This Row],[Address A]],IP_Master[],4,FALSE)</f>
        <v>PPPCRF4</v>
      </c>
      <c r="R1130" s="8" t="e">
        <f>VLOOKUP(Table1[[#This Row],[Address B]],IP_Master[],4,FALSE)</f>
        <v>#N/A</v>
      </c>
      <c r="S1130" s="8" t="str">
        <f>VLOOKUP(Table1[[#This Row],[Address A]],IP_Master[],2,FALSE)</f>
        <v>Refinery</v>
      </c>
      <c r="T1130" s="8" t="e">
        <f>VLOOKUP(Table1[[#This Row],[Address B]],IP_Master[],2,FALSE)</f>
        <v>#N/A</v>
      </c>
      <c r="U1130" s="9" t="str">
        <f>VLOOKUP(Table1[[#This Row],[Address A]],IP_Master[],3,FALSE)</f>
        <v>iFIX Nodes &amp; Ethernet Switches</v>
      </c>
      <c r="V1130" s="9" t="e">
        <f>VLOOKUP(Table1[[#This Row],[Address B]],IP_Master[],3,FALSE)</f>
        <v>#N/A</v>
      </c>
      <c r="W1130" s="9" t="str">
        <f>VLOOKUP(Table1[[#This Row],[Port B]],traffic_types[],2,FALSE)</f>
        <v>HTTP/S</v>
      </c>
    </row>
    <row r="1131" spans="1:23" x14ac:dyDescent="0.6">
      <c r="A1131" t="s">
        <v>126</v>
      </c>
      <c r="B1131">
        <v>1409</v>
      </c>
      <c r="C1131" t="s">
        <v>141</v>
      </c>
      <c r="D1131">
        <v>443</v>
      </c>
      <c r="E1131">
        <v>3</v>
      </c>
      <c r="F1131" s="13">
        <v>186</v>
      </c>
      <c r="G1131">
        <v>3</v>
      </c>
      <c r="H1131">
        <v>186</v>
      </c>
      <c r="I1131">
        <v>0</v>
      </c>
      <c r="J1131">
        <v>0</v>
      </c>
      <c r="K1131">
        <v>413.69965400000001</v>
      </c>
      <c r="L1131">
        <v>9.0122630000000203</v>
      </c>
      <c r="M1131">
        <v>165.108364014676</v>
      </c>
      <c r="N1131">
        <v>0</v>
      </c>
      <c r="O1131" s="8" t="str">
        <f>formatIP(Table1[[#This Row],[Address A]])</f>
        <v>010.012.000.184</v>
      </c>
      <c r="P1131" s="8" t="str">
        <f>formatIP(Table1[[#This Row],[Address B]])</f>
        <v>010.113.010.001</v>
      </c>
      <c r="Q1131" s="8" t="str">
        <f>VLOOKUP(Table1[[#This Row],[Address A]],IP_Master[],4,FALSE)</f>
        <v>PPPCRF4</v>
      </c>
      <c r="R1131" s="8" t="e">
        <f>VLOOKUP(Table1[[#This Row],[Address B]],IP_Master[],4,FALSE)</f>
        <v>#N/A</v>
      </c>
      <c r="S1131" s="8" t="str">
        <f>VLOOKUP(Table1[[#This Row],[Address A]],IP_Master[],2,FALSE)</f>
        <v>Refinery</v>
      </c>
      <c r="T1131" s="8" t="e">
        <f>VLOOKUP(Table1[[#This Row],[Address B]],IP_Master[],2,FALSE)</f>
        <v>#N/A</v>
      </c>
      <c r="U1131" s="9" t="str">
        <f>VLOOKUP(Table1[[#This Row],[Address A]],IP_Master[],3,FALSE)</f>
        <v>iFIX Nodes &amp; Ethernet Switches</v>
      </c>
      <c r="V1131" s="9" t="e">
        <f>VLOOKUP(Table1[[#This Row],[Address B]],IP_Master[],3,FALSE)</f>
        <v>#N/A</v>
      </c>
      <c r="W1131" s="9" t="str">
        <f>VLOOKUP(Table1[[#This Row],[Port B]],traffic_types[],2,FALSE)</f>
        <v>HTTP/S</v>
      </c>
    </row>
    <row r="1132" spans="1:23" x14ac:dyDescent="0.6">
      <c r="A1132" t="s">
        <v>126</v>
      </c>
      <c r="B1132">
        <v>1410</v>
      </c>
      <c r="C1132" t="s">
        <v>142</v>
      </c>
      <c r="D1132">
        <v>443</v>
      </c>
      <c r="E1132">
        <v>3</v>
      </c>
      <c r="F1132" s="13">
        <v>186</v>
      </c>
      <c r="G1132">
        <v>3</v>
      </c>
      <c r="H1132">
        <v>186</v>
      </c>
      <c r="I1132">
        <v>0</v>
      </c>
      <c r="J1132">
        <v>0</v>
      </c>
      <c r="K1132">
        <v>436.99633699999998</v>
      </c>
      <c r="L1132">
        <v>9.2312370000000197</v>
      </c>
      <c r="M1132">
        <v>161.191831603933</v>
      </c>
      <c r="N1132">
        <v>0</v>
      </c>
      <c r="O1132" s="8" t="str">
        <f>formatIP(Table1[[#This Row],[Address A]])</f>
        <v>010.012.000.184</v>
      </c>
      <c r="P1132" s="8" t="str">
        <f>formatIP(Table1[[#This Row],[Address B]])</f>
        <v>010.033.010.008</v>
      </c>
      <c r="Q1132" s="8" t="str">
        <f>VLOOKUP(Table1[[#This Row],[Address A]],IP_Master[],4,FALSE)</f>
        <v>PPPCRF4</v>
      </c>
      <c r="R1132" s="8" t="e">
        <f>VLOOKUP(Table1[[#This Row],[Address B]],IP_Master[],4,FALSE)</f>
        <v>#N/A</v>
      </c>
      <c r="S1132" s="8" t="str">
        <f>VLOOKUP(Table1[[#This Row],[Address A]],IP_Master[],2,FALSE)</f>
        <v>Refinery</v>
      </c>
      <c r="T1132" s="8" t="e">
        <f>VLOOKUP(Table1[[#This Row],[Address B]],IP_Master[],2,FALSE)</f>
        <v>#N/A</v>
      </c>
      <c r="U1132" s="9" t="str">
        <f>VLOOKUP(Table1[[#This Row],[Address A]],IP_Master[],3,FALSE)</f>
        <v>iFIX Nodes &amp; Ethernet Switches</v>
      </c>
      <c r="V1132" s="9" t="e">
        <f>VLOOKUP(Table1[[#This Row],[Address B]],IP_Master[],3,FALSE)</f>
        <v>#N/A</v>
      </c>
      <c r="W1132" s="9" t="str">
        <f>VLOOKUP(Table1[[#This Row],[Port B]],traffic_types[],2,FALSE)</f>
        <v>HTTP/S</v>
      </c>
    </row>
    <row r="1133" spans="1:23" x14ac:dyDescent="0.6">
      <c r="A1133" t="s">
        <v>126</v>
      </c>
      <c r="B1133">
        <v>1411</v>
      </c>
      <c r="C1133" t="s">
        <v>48</v>
      </c>
      <c r="D1133">
        <v>443</v>
      </c>
      <c r="E1133">
        <v>3</v>
      </c>
      <c r="F1133" s="13">
        <v>186</v>
      </c>
      <c r="G1133">
        <v>3</v>
      </c>
      <c r="H1133">
        <v>186</v>
      </c>
      <c r="I1133">
        <v>0</v>
      </c>
      <c r="J1133">
        <v>0</v>
      </c>
      <c r="K1133">
        <v>460.62114700000001</v>
      </c>
      <c r="L1133">
        <v>8.9033959999999901</v>
      </c>
      <c r="M1133">
        <v>167.12723998797799</v>
      </c>
      <c r="N1133">
        <v>0</v>
      </c>
      <c r="O1133" s="8" t="str">
        <f>formatIP(Table1[[#This Row],[Address A]])</f>
        <v>010.012.000.184</v>
      </c>
      <c r="P1133" s="8" t="str">
        <f>formatIP(Table1[[#This Row],[Address B]])</f>
        <v>010.001.001.012</v>
      </c>
      <c r="Q1133" s="8" t="str">
        <f>VLOOKUP(Table1[[#This Row],[Address A]],IP_Master[],4,FALSE)</f>
        <v>PPPCRF4</v>
      </c>
      <c r="R1133" s="8" t="e">
        <f>VLOOKUP(Table1[[#This Row],[Address B]],IP_Master[],4,FALSE)</f>
        <v>#N/A</v>
      </c>
      <c r="S1133" s="8" t="str">
        <f>VLOOKUP(Table1[[#This Row],[Address A]],IP_Master[],2,FALSE)</f>
        <v>Refinery</v>
      </c>
      <c r="T1133" s="8" t="e">
        <f>VLOOKUP(Table1[[#This Row],[Address B]],IP_Master[],2,FALSE)</f>
        <v>#N/A</v>
      </c>
      <c r="U1133" s="9" t="str">
        <f>VLOOKUP(Table1[[#This Row],[Address A]],IP_Master[],3,FALSE)</f>
        <v>iFIX Nodes &amp; Ethernet Switches</v>
      </c>
      <c r="V1133" s="9" t="e">
        <f>VLOOKUP(Table1[[#This Row],[Address B]],IP_Master[],3,FALSE)</f>
        <v>#N/A</v>
      </c>
      <c r="W1133" s="9" t="str">
        <f>VLOOKUP(Table1[[#This Row],[Port B]],traffic_types[],2,FALSE)</f>
        <v>HTTP/S</v>
      </c>
    </row>
    <row r="1134" spans="1:23" x14ac:dyDescent="0.6">
      <c r="A1134" t="s">
        <v>126</v>
      </c>
      <c r="B1134">
        <v>1412</v>
      </c>
      <c r="C1134" t="s">
        <v>127</v>
      </c>
      <c r="D1134">
        <v>443</v>
      </c>
      <c r="E1134">
        <v>3</v>
      </c>
      <c r="F1134" s="13">
        <v>186</v>
      </c>
      <c r="G1134">
        <v>3</v>
      </c>
      <c r="H1134">
        <v>186</v>
      </c>
      <c r="I1134">
        <v>0</v>
      </c>
      <c r="J1134">
        <v>0</v>
      </c>
      <c r="K1134">
        <v>483.81016899999997</v>
      </c>
      <c r="L1134">
        <v>9.0112550000000091</v>
      </c>
      <c r="M1134">
        <v>165.126833054885</v>
      </c>
      <c r="N1134">
        <v>0</v>
      </c>
      <c r="O1134" s="8" t="str">
        <f>formatIP(Table1[[#This Row],[Address A]])</f>
        <v>010.012.000.184</v>
      </c>
      <c r="P1134" s="8" t="str">
        <f>formatIP(Table1[[#This Row],[Address B]])</f>
        <v>010.114.001.100</v>
      </c>
      <c r="Q1134" s="8" t="str">
        <f>VLOOKUP(Table1[[#This Row],[Address A]],IP_Master[],4,FALSE)</f>
        <v>PPPCRF4</v>
      </c>
      <c r="R1134" s="8" t="e">
        <f>VLOOKUP(Table1[[#This Row],[Address B]],IP_Master[],4,FALSE)</f>
        <v>#N/A</v>
      </c>
      <c r="S1134" s="8" t="str">
        <f>VLOOKUP(Table1[[#This Row],[Address A]],IP_Master[],2,FALSE)</f>
        <v>Refinery</v>
      </c>
      <c r="T1134" s="8" t="e">
        <f>VLOOKUP(Table1[[#This Row],[Address B]],IP_Master[],2,FALSE)</f>
        <v>#N/A</v>
      </c>
      <c r="U1134" s="9" t="str">
        <f>VLOOKUP(Table1[[#This Row],[Address A]],IP_Master[],3,FALSE)</f>
        <v>iFIX Nodes &amp; Ethernet Switches</v>
      </c>
      <c r="V1134" s="9" t="e">
        <f>VLOOKUP(Table1[[#This Row],[Address B]],IP_Master[],3,FALSE)</f>
        <v>#N/A</v>
      </c>
      <c r="W1134" s="9" t="str">
        <f>VLOOKUP(Table1[[#This Row],[Port B]],traffic_types[],2,FALSE)</f>
        <v>HTTP/S</v>
      </c>
    </row>
    <row r="1135" spans="1:23" x14ac:dyDescent="0.6">
      <c r="A1135" t="s">
        <v>126</v>
      </c>
      <c r="B1135">
        <v>1413</v>
      </c>
      <c r="C1135" t="s">
        <v>128</v>
      </c>
      <c r="D1135">
        <v>443</v>
      </c>
      <c r="E1135">
        <v>3</v>
      </c>
      <c r="F1135" s="13">
        <v>186</v>
      </c>
      <c r="G1135">
        <v>3</v>
      </c>
      <c r="H1135">
        <v>186</v>
      </c>
      <c r="I1135">
        <v>0</v>
      </c>
      <c r="J1135">
        <v>0</v>
      </c>
      <c r="K1135">
        <v>507.10747800000001</v>
      </c>
      <c r="L1135">
        <v>9.1201670000000394</v>
      </c>
      <c r="M1135">
        <v>163.15490714150201</v>
      </c>
      <c r="N1135">
        <v>0</v>
      </c>
      <c r="O1135" s="8" t="str">
        <f>formatIP(Table1[[#This Row],[Address A]])</f>
        <v>010.012.000.184</v>
      </c>
      <c r="P1135" s="8" t="str">
        <f>formatIP(Table1[[#This Row],[Address B]])</f>
        <v>010.134.001.011</v>
      </c>
      <c r="Q1135" s="8" t="str">
        <f>VLOOKUP(Table1[[#This Row],[Address A]],IP_Master[],4,FALSE)</f>
        <v>PPPCRF4</v>
      </c>
      <c r="R1135" s="8" t="e">
        <f>VLOOKUP(Table1[[#This Row],[Address B]],IP_Master[],4,FALSE)</f>
        <v>#N/A</v>
      </c>
      <c r="S1135" s="8" t="str">
        <f>VLOOKUP(Table1[[#This Row],[Address A]],IP_Master[],2,FALSE)</f>
        <v>Refinery</v>
      </c>
      <c r="T1135" s="8" t="e">
        <f>VLOOKUP(Table1[[#This Row],[Address B]],IP_Master[],2,FALSE)</f>
        <v>#N/A</v>
      </c>
      <c r="U1135" s="9" t="str">
        <f>VLOOKUP(Table1[[#This Row],[Address A]],IP_Master[],3,FALSE)</f>
        <v>iFIX Nodes &amp; Ethernet Switches</v>
      </c>
      <c r="V1135" s="9" t="e">
        <f>VLOOKUP(Table1[[#This Row],[Address B]],IP_Master[],3,FALSE)</f>
        <v>#N/A</v>
      </c>
      <c r="W1135" s="9" t="str">
        <f>VLOOKUP(Table1[[#This Row],[Port B]],traffic_types[],2,FALSE)</f>
        <v>HTTP/S</v>
      </c>
    </row>
    <row r="1136" spans="1:23" x14ac:dyDescent="0.6">
      <c r="A1136" t="s">
        <v>126</v>
      </c>
      <c r="B1136">
        <v>1414</v>
      </c>
      <c r="C1136" t="s">
        <v>129</v>
      </c>
      <c r="D1136">
        <v>443</v>
      </c>
      <c r="E1136">
        <v>3</v>
      </c>
      <c r="F1136" s="13">
        <v>186</v>
      </c>
      <c r="G1136">
        <v>3</v>
      </c>
      <c r="H1136">
        <v>186</v>
      </c>
      <c r="I1136">
        <v>0</v>
      </c>
      <c r="J1136">
        <v>0</v>
      </c>
      <c r="K1136">
        <v>530.62163799999996</v>
      </c>
      <c r="L1136">
        <v>9.0130420000000395</v>
      </c>
      <c r="M1136">
        <v>165.09409364784901</v>
      </c>
      <c r="N1136">
        <v>0</v>
      </c>
      <c r="O1136" s="8" t="str">
        <f>formatIP(Table1[[#This Row],[Address A]])</f>
        <v>010.012.000.184</v>
      </c>
      <c r="P1136" s="8" t="str">
        <f>formatIP(Table1[[#This Row],[Address B]])</f>
        <v>010.112.001.011</v>
      </c>
      <c r="Q1136" s="8" t="str">
        <f>VLOOKUP(Table1[[#This Row],[Address A]],IP_Master[],4,FALSE)</f>
        <v>PPPCRF4</v>
      </c>
      <c r="R1136" s="8" t="e">
        <f>VLOOKUP(Table1[[#This Row],[Address B]],IP_Master[],4,FALSE)</f>
        <v>#N/A</v>
      </c>
      <c r="S1136" s="8" t="str">
        <f>VLOOKUP(Table1[[#This Row],[Address A]],IP_Master[],2,FALSE)</f>
        <v>Refinery</v>
      </c>
      <c r="T1136" s="8" t="e">
        <f>VLOOKUP(Table1[[#This Row],[Address B]],IP_Master[],2,FALSE)</f>
        <v>#N/A</v>
      </c>
      <c r="U1136" s="9" t="str">
        <f>VLOOKUP(Table1[[#This Row],[Address A]],IP_Master[],3,FALSE)</f>
        <v>iFIX Nodes &amp; Ethernet Switches</v>
      </c>
      <c r="V1136" s="9" t="e">
        <f>VLOOKUP(Table1[[#This Row],[Address B]],IP_Master[],3,FALSE)</f>
        <v>#N/A</v>
      </c>
      <c r="W1136" s="9" t="str">
        <f>VLOOKUP(Table1[[#This Row],[Port B]],traffic_types[],2,FALSE)</f>
        <v>HTTP/S</v>
      </c>
    </row>
    <row r="1137" spans="1:23" x14ac:dyDescent="0.6">
      <c r="A1137" t="s">
        <v>126</v>
      </c>
      <c r="B1137">
        <v>1415</v>
      </c>
      <c r="C1137" t="s">
        <v>143</v>
      </c>
      <c r="D1137">
        <v>443</v>
      </c>
      <c r="E1137">
        <v>3</v>
      </c>
      <c r="F1137" s="13">
        <v>186</v>
      </c>
      <c r="G1137">
        <v>3</v>
      </c>
      <c r="H1137">
        <v>186</v>
      </c>
      <c r="I1137">
        <v>0</v>
      </c>
      <c r="J1137">
        <v>0</v>
      </c>
      <c r="K1137">
        <v>554.02761799999996</v>
      </c>
      <c r="L1137">
        <v>8.9032270000000207</v>
      </c>
      <c r="M1137">
        <v>167.130412377444</v>
      </c>
      <c r="N1137">
        <v>0</v>
      </c>
      <c r="O1137" s="8" t="str">
        <f>formatIP(Table1[[#This Row],[Address A]])</f>
        <v>010.012.000.184</v>
      </c>
      <c r="P1137" s="8" t="str">
        <f>formatIP(Table1[[#This Row],[Address B]])</f>
        <v>010.095.032.032</v>
      </c>
      <c r="Q1137" s="8" t="str">
        <f>VLOOKUP(Table1[[#This Row],[Address A]],IP_Master[],4,FALSE)</f>
        <v>PPPCRF4</v>
      </c>
      <c r="R1137" s="8" t="e">
        <f>VLOOKUP(Table1[[#This Row],[Address B]],IP_Master[],4,FALSE)</f>
        <v>#N/A</v>
      </c>
      <c r="S1137" s="8" t="str">
        <f>VLOOKUP(Table1[[#This Row],[Address A]],IP_Master[],2,FALSE)</f>
        <v>Refinery</v>
      </c>
      <c r="T1137" s="8" t="e">
        <f>VLOOKUP(Table1[[#This Row],[Address B]],IP_Master[],2,FALSE)</f>
        <v>#N/A</v>
      </c>
      <c r="U1137" s="9" t="str">
        <f>VLOOKUP(Table1[[#This Row],[Address A]],IP_Master[],3,FALSE)</f>
        <v>iFIX Nodes &amp; Ethernet Switches</v>
      </c>
      <c r="V1137" s="9" t="e">
        <f>VLOOKUP(Table1[[#This Row],[Address B]],IP_Master[],3,FALSE)</f>
        <v>#N/A</v>
      </c>
      <c r="W1137" s="9" t="str">
        <f>VLOOKUP(Table1[[#This Row],[Port B]],traffic_types[],2,FALSE)</f>
        <v>HTTP/S</v>
      </c>
    </row>
    <row r="1138" spans="1:23" x14ac:dyDescent="0.6">
      <c r="A1138" t="s">
        <v>126</v>
      </c>
      <c r="B1138">
        <v>1416</v>
      </c>
      <c r="C1138" t="s">
        <v>130</v>
      </c>
      <c r="D1138">
        <v>443</v>
      </c>
      <c r="E1138">
        <v>3</v>
      </c>
      <c r="F1138" s="13">
        <v>186</v>
      </c>
      <c r="G1138">
        <v>3</v>
      </c>
      <c r="H1138">
        <v>186</v>
      </c>
      <c r="I1138">
        <v>0</v>
      </c>
      <c r="J1138">
        <v>0</v>
      </c>
      <c r="K1138">
        <v>577.21503299999995</v>
      </c>
      <c r="L1138">
        <v>8.9034900000000299</v>
      </c>
      <c r="M1138">
        <v>167.12547551578001</v>
      </c>
      <c r="N1138">
        <v>0</v>
      </c>
      <c r="O1138" s="8" t="str">
        <f>formatIP(Table1[[#This Row],[Address A]])</f>
        <v>010.012.000.184</v>
      </c>
      <c r="P1138" s="8" t="str">
        <f>formatIP(Table1[[#This Row],[Address B]])</f>
        <v>010.120.001.001</v>
      </c>
      <c r="Q1138" s="8" t="str">
        <f>VLOOKUP(Table1[[#This Row],[Address A]],IP_Master[],4,FALSE)</f>
        <v>PPPCRF4</v>
      </c>
      <c r="R1138" s="8" t="e">
        <f>VLOOKUP(Table1[[#This Row],[Address B]],IP_Master[],4,FALSE)</f>
        <v>#N/A</v>
      </c>
      <c r="S1138" s="8" t="str">
        <f>VLOOKUP(Table1[[#This Row],[Address A]],IP_Master[],2,FALSE)</f>
        <v>Refinery</v>
      </c>
      <c r="T1138" s="8" t="e">
        <f>VLOOKUP(Table1[[#This Row],[Address B]],IP_Master[],2,FALSE)</f>
        <v>#N/A</v>
      </c>
      <c r="U1138" s="9" t="str">
        <f>VLOOKUP(Table1[[#This Row],[Address A]],IP_Master[],3,FALSE)</f>
        <v>iFIX Nodes &amp; Ethernet Switches</v>
      </c>
      <c r="V1138" s="9" t="e">
        <f>VLOOKUP(Table1[[#This Row],[Address B]],IP_Master[],3,FALSE)</f>
        <v>#N/A</v>
      </c>
      <c r="W1138" s="9" t="str">
        <f>VLOOKUP(Table1[[#This Row],[Port B]],traffic_types[],2,FALSE)</f>
        <v>HTTP/S</v>
      </c>
    </row>
    <row r="1139" spans="1:23" x14ac:dyDescent="0.6">
      <c r="A1139" t="s">
        <v>126</v>
      </c>
      <c r="B1139">
        <v>1417</v>
      </c>
      <c r="C1139" t="s">
        <v>131</v>
      </c>
      <c r="D1139">
        <v>443</v>
      </c>
      <c r="E1139">
        <v>3</v>
      </c>
      <c r="F1139" s="13">
        <v>186</v>
      </c>
      <c r="G1139">
        <v>3</v>
      </c>
      <c r="H1139">
        <v>186</v>
      </c>
      <c r="I1139">
        <v>0</v>
      </c>
      <c r="J1139">
        <v>0</v>
      </c>
      <c r="K1139">
        <v>600.40296899999998</v>
      </c>
      <c r="L1139">
        <v>9.0123670000000402</v>
      </c>
      <c r="M1139">
        <v>165.10645871389801</v>
      </c>
      <c r="N1139">
        <v>0</v>
      </c>
      <c r="O1139" s="8" t="str">
        <f>formatIP(Table1[[#This Row],[Address A]])</f>
        <v>010.012.000.184</v>
      </c>
      <c r="P1139" s="8" t="str">
        <f>formatIP(Table1[[#This Row],[Address B]])</f>
        <v>010.115.001.006</v>
      </c>
      <c r="Q1139" s="8" t="str">
        <f>VLOOKUP(Table1[[#This Row],[Address A]],IP_Master[],4,FALSE)</f>
        <v>PPPCRF4</v>
      </c>
      <c r="R1139" s="8" t="e">
        <f>VLOOKUP(Table1[[#This Row],[Address B]],IP_Master[],4,FALSE)</f>
        <v>#N/A</v>
      </c>
      <c r="S1139" s="8" t="str">
        <f>VLOOKUP(Table1[[#This Row],[Address A]],IP_Master[],2,FALSE)</f>
        <v>Refinery</v>
      </c>
      <c r="T1139" s="8" t="e">
        <f>VLOOKUP(Table1[[#This Row],[Address B]],IP_Master[],2,FALSE)</f>
        <v>#N/A</v>
      </c>
      <c r="U1139" s="9" t="str">
        <f>VLOOKUP(Table1[[#This Row],[Address A]],IP_Master[],3,FALSE)</f>
        <v>iFIX Nodes &amp; Ethernet Switches</v>
      </c>
      <c r="V1139" s="9" t="e">
        <f>VLOOKUP(Table1[[#This Row],[Address B]],IP_Master[],3,FALSE)</f>
        <v>#N/A</v>
      </c>
      <c r="W1139" s="9" t="str">
        <f>VLOOKUP(Table1[[#This Row],[Port B]],traffic_types[],2,FALSE)</f>
        <v>HTTP/S</v>
      </c>
    </row>
    <row r="1140" spans="1:23" x14ac:dyDescent="0.6">
      <c r="A1140" t="s">
        <v>126</v>
      </c>
      <c r="B1140">
        <v>1418</v>
      </c>
      <c r="C1140" t="s">
        <v>132</v>
      </c>
      <c r="D1140">
        <v>443</v>
      </c>
      <c r="E1140">
        <v>3</v>
      </c>
      <c r="F1140" s="13">
        <v>186</v>
      </c>
      <c r="G1140">
        <v>3</v>
      </c>
      <c r="H1140">
        <v>186</v>
      </c>
      <c r="I1140">
        <v>0</v>
      </c>
      <c r="J1140">
        <v>0</v>
      </c>
      <c r="K1140">
        <v>623.70002599999998</v>
      </c>
      <c r="L1140">
        <v>9.0122280000000501</v>
      </c>
      <c r="M1140">
        <v>165.109005231558</v>
      </c>
      <c r="N1140">
        <v>0</v>
      </c>
      <c r="O1140" s="8" t="str">
        <f>formatIP(Table1[[#This Row],[Address A]])</f>
        <v>010.012.000.184</v>
      </c>
      <c r="P1140" s="8" t="str">
        <f>formatIP(Table1[[#This Row],[Address B]])</f>
        <v>010.082.001.030</v>
      </c>
      <c r="Q1140" s="8" t="str">
        <f>VLOOKUP(Table1[[#This Row],[Address A]],IP_Master[],4,FALSE)</f>
        <v>PPPCRF4</v>
      </c>
      <c r="R1140" s="8" t="e">
        <f>VLOOKUP(Table1[[#This Row],[Address B]],IP_Master[],4,FALSE)</f>
        <v>#N/A</v>
      </c>
      <c r="S1140" s="8" t="str">
        <f>VLOOKUP(Table1[[#This Row],[Address A]],IP_Master[],2,FALSE)</f>
        <v>Refinery</v>
      </c>
      <c r="T1140" s="8" t="e">
        <f>VLOOKUP(Table1[[#This Row],[Address B]],IP_Master[],2,FALSE)</f>
        <v>#N/A</v>
      </c>
      <c r="U1140" s="9" t="str">
        <f>VLOOKUP(Table1[[#This Row],[Address A]],IP_Master[],3,FALSE)</f>
        <v>iFIX Nodes &amp; Ethernet Switches</v>
      </c>
      <c r="V1140" s="9" t="e">
        <f>VLOOKUP(Table1[[#This Row],[Address B]],IP_Master[],3,FALSE)</f>
        <v>#N/A</v>
      </c>
      <c r="W1140" s="9" t="str">
        <f>VLOOKUP(Table1[[#This Row],[Port B]],traffic_types[],2,FALSE)</f>
        <v>HTTP/S</v>
      </c>
    </row>
    <row r="1141" spans="1:23" x14ac:dyDescent="0.6">
      <c r="A1141" t="s">
        <v>126</v>
      </c>
      <c r="B1141">
        <v>1419</v>
      </c>
      <c r="C1141" t="s">
        <v>58</v>
      </c>
      <c r="D1141">
        <v>443</v>
      </c>
      <c r="E1141">
        <v>3</v>
      </c>
      <c r="F1141" s="13">
        <v>186</v>
      </c>
      <c r="G1141">
        <v>3</v>
      </c>
      <c r="H1141">
        <v>186</v>
      </c>
      <c r="I1141">
        <v>0</v>
      </c>
      <c r="J1141">
        <v>0</v>
      </c>
      <c r="K1141">
        <v>646.99655700000005</v>
      </c>
      <c r="L1141">
        <v>9.2314279999999407</v>
      </c>
      <c r="M1141">
        <v>161.1884965143</v>
      </c>
      <c r="N1141">
        <v>0</v>
      </c>
      <c r="O1141" s="8" t="str">
        <f>formatIP(Table1[[#This Row],[Address A]])</f>
        <v>010.012.000.184</v>
      </c>
      <c r="P1141" s="8" t="str">
        <f>formatIP(Table1[[#This Row],[Address B]])</f>
        <v>010.011.001.012</v>
      </c>
      <c r="Q1141" s="8" t="str">
        <f>VLOOKUP(Table1[[#This Row],[Address A]],IP_Master[],4,FALSE)</f>
        <v>PPPCRF4</v>
      </c>
      <c r="R1141" s="8" t="e">
        <f>VLOOKUP(Table1[[#This Row],[Address B]],IP_Master[],4,FALSE)</f>
        <v>#N/A</v>
      </c>
      <c r="S1141" s="8" t="str">
        <f>VLOOKUP(Table1[[#This Row],[Address A]],IP_Master[],2,FALSE)</f>
        <v>Refinery</v>
      </c>
      <c r="T1141" s="8" t="e">
        <f>VLOOKUP(Table1[[#This Row],[Address B]],IP_Master[],2,FALSE)</f>
        <v>#N/A</v>
      </c>
      <c r="U1141" s="9" t="str">
        <f>VLOOKUP(Table1[[#This Row],[Address A]],IP_Master[],3,FALSE)</f>
        <v>iFIX Nodes &amp; Ethernet Switches</v>
      </c>
      <c r="V1141" s="9" t="e">
        <f>VLOOKUP(Table1[[#This Row],[Address B]],IP_Master[],3,FALSE)</f>
        <v>#N/A</v>
      </c>
      <c r="W1141" s="9" t="str">
        <f>VLOOKUP(Table1[[#This Row],[Port B]],traffic_types[],2,FALSE)</f>
        <v>HTTP/S</v>
      </c>
    </row>
    <row r="1142" spans="1:23" x14ac:dyDescent="0.6">
      <c r="A1142" t="s">
        <v>126</v>
      </c>
      <c r="B1142">
        <v>1420</v>
      </c>
      <c r="C1142" t="s">
        <v>133</v>
      </c>
      <c r="D1142">
        <v>443</v>
      </c>
      <c r="E1142">
        <v>3</v>
      </c>
      <c r="F1142" s="13">
        <v>186</v>
      </c>
      <c r="G1142">
        <v>3</v>
      </c>
      <c r="H1142">
        <v>186</v>
      </c>
      <c r="I1142">
        <v>0</v>
      </c>
      <c r="J1142">
        <v>0</v>
      </c>
      <c r="K1142">
        <v>670.62162799999999</v>
      </c>
      <c r="L1142">
        <v>8.9031290000000407</v>
      </c>
      <c r="M1142">
        <v>167.13225204307301</v>
      </c>
      <c r="N1142">
        <v>0</v>
      </c>
      <c r="O1142" s="8" t="str">
        <f>formatIP(Table1[[#This Row],[Address A]])</f>
        <v>010.012.000.184</v>
      </c>
      <c r="P1142" s="8" t="str">
        <f>formatIP(Table1[[#This Row],[Address B]])</f>
        <v>010.080.001.065</v>
      </c>
      <c r="Q1142" s="8" t="str">
        <f>VLOOKUP(Table1[[#This Row],[Address A]],IP_Master[],4,FALSE)</f>
        <v>PPPCRF4</v>
      </c>
      <c r="R1142" s="8" t="e">
        <f>VLOOKUP(Table1[[#This Row],[Address B]],IP_Master[],4,FALSE)</f>
        <v>#N/A</v>
      </c>
      <c r="S1142" s="8" t="str">
        <f>VLOOKUP(Table1[[#This Row],[Address A]],IP_Master[],2,FALSE)</f>
        <v>Refinery</v>
      </c>
      <c r="T1142" s="8" t="e">
        <f>VLOOKUP(Table1[[#This Row],[Address B]],IP_Master[],2,FALSE)</f>
        <v>#N/A</v>
      </c>
      <c r="U1142" s="9" t="str">
        <f>VLOOKUP(Table1[[#This Row],[Address A]],IP_Master[],3,FALSE)</f>
        <v>iFIX Nodes &amp; Ethernet Switches</v>
      </c>
      <c r="V1142" s="9" t="e">
        <f>VLOOKUP(Table1[[#This Row],[Address B]],IP_Master[],3,FALSE)</f>
        <v>#N/A</v>
      </c>
      <c r="W1142" s="9" t="str">
        <f>VLOOKUP(Table1[[#This Row],[Port B]],traffic_types[],2,FALSE)</f>
        <v>HTTP/S</v>
      </c>
    </row>
    <row r="1143" spans="1:23" x14ac:dyDescent="0.6">
      <c r="A1143" t="s">
        <v>126</v>
      </c>
      <c r="B1143">
        <v>1421</v>
      </c>
      <c r="C1143" t="s">
        <v>134</v>
      </c>
      <c r="D1143">
        <v>443</v>
      </c>
      <c r="E1143">
        <v>3</v>
      </c>
      <c r="F1143" s="13">
        <v>186</v>
      </c>
      <c r="G1143">
        <v>3</v>
      </c>
      <c r="H1143">
        <v>186</v>
      </c>
      <c r="I1143">
        <v>0</v>
      </c>
      <c r="J1143">
        <v>0</v>
      </c>
      <c r="K1143">
        <v>693.91828999999996</v>
      </c>
      <c r="L1143">
        <v>9.1221679999999896</v>
      </c>
      <c r="M1143">
        <v>163.11911817453901</v>
      </c>
      <c r="N1143">
        <v>0</v>
      </c>
      <c r="O1143" s="8" t="str">
        <f>formatIP(Table1[[#This Row],[Address A]])</f>
        <v>010.012.000.184</v>
      </c>
      <c r="P1143" s="8" t="str">
        <f>formatIP(Table1[[#This Row],[Address B]])</f>
        <v>010.121.001.005</v>
      </c>
      <c r="Q1143" s="8" t="str">
        <f>VLOOKUP(Table1[[#This Row],[Address A]],IP_Master[],4,FALSE)</f>
        <v>PPPCRF4</v>
      </c>
      <c r="R1143" s="8" t="e">
        <f>VLOOKUP(Table1[[#This Row],[Address B]],IP_Master[],4,FALSE)</f>
        <v>#N/A</v>
      </c>
      <c r="S1143" s="8" t="str">
        <f>VLOOKUP(Table1[[#This Row],[Address A]],IP_Master[],2,FALSE)</f>
        <v>Refinery</v>
      </c>
      <c r="T1143" s="8" t="e">
        <f>VLOOKUP(Table1[[#This Row],[Address B]],IP_Master[],2,FALSE)</f>
        <v>#N/A</v>
      </c>
      <c r="U1143" s="9" t="str">
        <f>VLOOKUP(Table1[[#This Row],[Address A]],IP_Master[],3,FALSE)</f>
        <v>iFIX Nodes &amp; Ethernet Switches</v>
      </c>
      <c r="V1143" s="9" t="e">
        <f>VLOOKUP(Table1[[#This Row],[Address B]],IP_Master[],3,FALSE)</f>
        <v>#N/A</v>
      </c>
      <c r="W1143" s="9" t="str">
        <f>VLOOKUP(Table1[[#This Row],[Port B]],traffic_types[],2,FALSE)</f>
        <v>HTTP/S</v>
      </c>
    </row>
    <row r="1144" spans="1:23" x14ac:dyDescent="0.6">
      <c r="A1144" t="s">
        <v>126</v>
      </c>
      <c r="B1144">
        <v>1422</v>
      </c>
      <c r="C1144" t="s">
        <v>135</v>
      </c>
      <c r="D1144">
        <v>443</v>
      </c>
      <c r="E1144">
        <v>3</v>
      </c>
      <c r="F1144" s="13">
        <v>186</v>
      </c>
      <c r="G1144">
        <v>3</v>
      </c>
      <c r="H1144">
        <v>186</v>
      </c>
      <c r="I1144">
        <v>0</v>
      </c>
      <c r="J1144">
        <v>0</v>
      </c>
      <c r="K1144">
        <v>717.32481499999994</v>
      </c>
      <c r="L1144">
        <v>8.9032270000000207</v>
      </c>
      <c r="M1144">
        <v>167.130412377444</v>
      </c>
      <c r="N1144">
        <v>0</v>
      </c>
      <c r="O1144" s="8" t="str">
        <f>formatIP(Table1[[#This Row],[Address A]])</f>
        <v>010.012.000.184</v>
      </c>
      <c r="P1144" s="8" t="str">
        <f>formatIP(Table1[[#This Row],[Address B]])</f>
        <v>010.086.001.012</v>
      </c>
      <c r="Q1144" s="8" t="str">
        <f>VLOOKUP(Table1[[#This Row],[Address A]],IP_Master[],4,FALSE)</f>
        <v>PPPCRF4</v>
      </c>
      <c r="R1144" s="8" t="e">
        <f>VLOOKUP(Table1[[#This Row],[Address B]],IP_Master[],4,FALSE)</f>
        <v>#N/A</v>
      </c>
      <c r="S1144" s="8" t="str">
        <f>VLOOKUP(Table1[[#This Row],[Address A]],IP_Master[],2,FALSE)</f>
        <v>Refinery</v>
      </c>
      <c r="T1144" s="8" t="e">
        <f>VLOOKUP(Table1[[#This Row],[Address B]],IP_Master[],2,FALSE)</f>
        <v>#N/A</v>
      </c>
      <c r="U1144" s="9" t="str">
        <f>VLOOKUP(Table1[[#This Row],[Address A]],IP_Master[],3,FALSE)</f>
        <v>iFIX Nodes &amp; Ethernet Switches</v>
      </c>
      <c r="V1144" s="9" t="e">
        <f>VLOOKUP(Table1[[#This Row],[Address B]],IP_Master[],3,FALSE)</f>
        <v>#N/A</v>
      </c>
      <c r="W1144" s="9" t="str">
        <f>VLOOKUP(Table1[[#This Row],[Port B]],traffic_types[],2,FALSE)</f>
        <v>HTTP/S</v>
      </c>
    </row>
    <row r="1145" spans="1:23" x14ac:dyDescent="0.6">
      <c r="A1145" t="s">
        <v>126</v>
      </c>
      <c r="B1145">
        <v>1423</v>
      </c>
      <c r="C1145" t="s">
        <v>136</v>
      </c>
      <c r="D1145">
        <v>443</v>
      </c>
      <c r="E1145">
        <v>3</v>
      </c>
      <c r="F1145" s="13">
        <v>186</v>
      </c>
      <c r="G1145">
        <v>3</v>
      </c>
      <c r="H1145">
        <v>186</v>
      </c>
      <c r="I1145">
        <v>0</v>
      </c>
      <c r="J1145">
        <v>0</v>
      </c>
      <c r="K1145">
        <v>740.51220699999999</v>
      </c>
      <c r="L1145">
        <v>9.0126139999999904</v>
      </c>
      <c r="M1145">
        <v>165.10193380078201</v>
      </c>
      <c r="N1145">
        <v>0</v>
      </c>
      <c r="O1145" s="8" t="str">
        <f>formatIP(Table1[[#This Row],[Address A]])</f>
        <v>010.012.000.184</v>
      </c>
      <c r="P1145" s="8" t="str">
        <f>formatIP(Table1[[#This Row],[Address B]])</f>
        <v>010.119.001.003</v>
      </c>
      <c r="Q1145" s="8" t="str">
        <f>VLOOKUP(Table1[[#This Row],[Address A]],IP_Master[],4,FALSE)</f>
        <v>PPPCRF4</v>
      </c>
      <c r="R1145" s="8" t="e">
        <f>VLOOKUP(Table1[[#This Row],[Address B]],IP_Master[],4,FALSE)</f>
        <v>#N/A</v>
      </c>
      <c r="S1145" s="8" t="str">
        <f>VLOOKUP(Table1[[#This Row],[Address A]],IP_Master[],2,FALSE)</f>
        <v>Refinery</v>
      </c>
      <c r="T1145" s="8" t="e">
        <f>VLOOKUP(Table1[[#This Row],[Address B]],IP_Master[],2,FALSE)</f>
        <v>#N/A</v>
      </c>
      <c r="U1145" s="9" t="str">
        <f>VLOOKUP(Table1[[#This Row],[Address A]],IP_Master[],3,FALSE)</f>
        <v>iFIX Nodes &amp; Ethernet Switches</v>
      </c>
      <c r="V1145" s="9" t="e">
        <f>VLOOKUP(Table1[[#This Row],[Address B]],IP_Master[],3,FALSE)</f>
        <v>#N/A</v>
      </c>
      <c r="W1145" s="9" t="str">
        <f>VLOOKUP(Table1[[#This Row],[Port B]],traffic_types[],2,FALSE)</f>
        <v>HTTP/S</v>
      </c>
    </row>
    <row r="1146" spans="1:23" x14ac:dyDescent="0.6">
      <c r="A1146" t="s">
        <v>126</v>
      </c>
      <c r="B1146">
        <v>1424</v>
      </c>
      <c r="C1146" t="s">
        <v>137</v>
      </c>
      <c r="D1146">
        <v>443</v>
      </c>
      <c r="E1146">
        <v>3</v>
      </c>
      <c r="F1146" s="13">
        <v>186</v>
      </c>
      <c r="G1146">
        <v>3</v>
      </c>
      <c r="H1146">
        <v>186</v>
      </c>
      <c r="I1146">
        <v>0</v>
      </c>
      <c r="J1146">
        <v>0</v>
      </c>
      <c r="K1146">
        <v>763.80917599999998</v>
      </c>
      <c r="L1146">
        <v>9.0126539999999995</v>
      </c>
      <c r="M1146">
        <v>165.101201044665</v>
      </c>
      <c r="N1146">
        <v>0</v>
      </c>
      <c r="O1146" s="8" t="str">
        <f>formatIP(Table1[[#This Row],[Address A]])</f>
        <v>010.012.000.184</v>
      </c>
      <c r="P1146" s="8" t="str">
        <f>formatIP(Table1[[#This Row],[Address B]])</f>
        <v>010.130.001.003</v>
      </c>
      <c r="Q1146" s="8" t="str">
        <f>VLOOKUP(Table1[[#This Row],[Address A]],IP_Master[],4,FALSE)</f>
        <v>PPPCRF4</v>
      </c>
      <c r="R1146" s="8" t="e">
        <f>VLOOKUP(Table1[[#This Row],[Address B]],IP_Master[],4,FALSE)</f>
        <v>#N/A</v>
      </c>
      <c r="S1146" s="8" t="str">
        <f>VLOOKUP(Table1[[#This Row],[Address A]],IP_Master[],2,FALSE)</f>
        <v>Refinery</v>
      </c>
      <c r="T1146" s="8" t="e">
        <f>VLOOKUP(Table1[[#This Row],[Address B]],IP_Master[],2,FALSE)</f>
        <v>#N/A</v>
      </c>
      <c r="U1146" s="9" t="str">
        <f>VLOOKUP(Table1[[#This Row],[Address A]],IP_Master[],3,FALSE)</f>
        <v>iFIX Nodes &amp; Ethernet Switches</v>
      </c>
      <c r="V1146" s="9" t="e">
        <f>VLOOKUP(Table1[[#This Row],[Address B]],IP_Master[],3,FALSE)</f>
        <v>#N/A</v>
      </c>
      <c r="W1146" s="9" t="str">
        <f>VLOOKUP(Table1[[#This Row],[Port B]],traffic_types[],2,FALSE)</f>
        <v>HTTP/S</v>
      </c>
    </row>
    <row r="1147" spans="1:23" x14ac:dyDescent="0.6">
      <c r="A1147" t="s">
        <v>126</v>
      </c>
      <c r="B1147">
        <v>1425</v>
      </c>
      <c r="C1147" t="s">
        <v>138</v>
      </c>
      <c r="D1147">
        <v>443</v>
      </c>
      <c r="E1147">
        <v>3</v>
      </c>
      <c r="F1147" s="13">
        <v>186</v>
      </c>
      <c r="G1147">
        <v>3</v>
      </c>
      <c r="H1147">
        <v>186</v>
      </c>
      <c r="I1147">
        <v>0</v>
      </c>
      <c r="J1147">
        <v>0</v>
      </c>
      <c r="K1147">
        <v>787.21534599999995</v>
      </c>
      <c r="L1147">
        <v>8.9032760000000106</v>
      </c>
      <c r="M1147">
        <v>167.12949255981701</v>
      </c>
      <c r="N1147">
        <v>0</v>
      </c>
      <c r="O1147" s="8" t="str">
        <f>formatIP(Table1[[#This Row],[Address A]])</f>
        <v>010.012.000.184</v>
      </c>
      <c r="P1147" s="8" t="str">
        <f>formatIP(Table1[[#This Row],[Address B]])</f>
        <v>010.136.001.001</v>
      </c>
      <c r="Q1147" s="8" t="str">
        <f>VLOOKUP(Table1[[#This Row],[Address A]],IP_Master[],4,FALSE)</f>
        <v>PPPCRF4</v>
      </c>
      <c r="R1147" s="8" t="e">
        <f>VLOOKUP(Table1[[#This Row],[Address B]],IP_Master[],4,FALSE)</f>
        <v>#N/A</v>
      </c>
      <c r="S1147" s="8" t="str">
        <f>VLOOKUP(Table1[[#This Row],[Address A]],IP_Master[],2,FALSE)</f>
        <v>Refinery</v>
      </c>
      <c r="T1147" s="8" t="e">
        <f>VLOOKUP(Table1[[#This Row],[Address B]],IP_Master[],2,FALSE)</f>
        <v>#N/A</v>
      </c>
      <c r="U1147" s="9" t="str">
        <f>VLOOKUP(Table1[[#This Row],[Address A]],IP_Master[],3,FALSE)</f>
        <v>iFIX Nodes &amp; Ethernet Switches</v>
      </c>
      <c r="V1147" s="9" t="e">
        <f>VLOOKUP(Table1[[#This Row],[Address B]],IP_Master[],3,FALSE)</f>
        <v>#N/A</v>
      </c>
      <c r="W1147" s="9" t="str">
        <f>VLOOKUP(Table1[[#This Row],[Port B]],traffic_types[],2,FALSE)</f>
        <v>HTTP/S</v>
      </c>
    </row>
    <row r="1148" spans="1:23" x14ac:dyDescent="0.6">
      <c r="A1148" t="s">
        <v>126</v>
      </c>
      <c r="B1148">
        <v>1426</v>
      </c>
      <c r="C1148" t="s">
        <v>125</v>
      </c>
      <c r="D1148">
        <v>443</v>
      </c>
      <c r="E1148">
        <v>3</v>
      </c>
      <c r="F1148" s="13">
        <v>186</v>
      </c>
      <c r="G1148">
        <v>3</v>
      </c>
      <c r="H1148">
        <v>186</v>
      </c>
      <c r="I1148">
        <v>0</v>
      </c>
      <c r="J1148">
        <v>0</v>
      </c>
      <c r="K1148">
        <v>810.40328999999997</v>
      </c>
      <c r="L1148">
        <v>9.0122840000000206</v>
      </c>
      <c r="M1148">
        <v>165.107979286937</v>
      </c>
      <c r="N1148">
        <v>0</v>
      </c>
      <c r="O1148" s="8" t="str">
        <f>formatIP(Table1[[#This Row],[Address A]])</f>
        <v>010.012.000.184</v>
      </c>
      <c r="P1148" s="8" t="str">
        <f>formatIP(Table1[[#This Row],[Address B]])</f>
        <v>010.238.101.079</v>
      </c>
      <c r="Q1148" s="8" t="str">
        <f>VLOOKUP(Table1[[#This Row],[Address A]],IP_Master[],4,FALSE)</f>
        <v>PPPCRF4</v>
      </c>
      <c r="R1148" s="8" t="e">
        <f>VLOOKUP(Table1[[#This Row],[Address B]],IP_Master[],4,FALSE)</f>
        <v>#N/A</v>
      </c>
      <c r="S1148" s="8" t="str">
        <f>VLOOKUP(Table1[[#This Row],[Address A]],IP_Master[],2,FALSE)</f>
        <v>Refinery</v>
      </c>
      <c r="T1148" s="8" t="e">
        <f>VLOOKUP(Table1[[#This Row],[Address B]],IP_Master[],2,FALSE)</f>
        <v>#N/A</v>
      </c>
      <c r="U1148" s="9" t="str">
        <f>VLOOKUP(Table1[[#This Row],[Address A]],IP_Master[],3,FALSE)</f>
        <v>iFIX Nodes &amp; Ethernet Switches</v>
      </c>
      <c r="V1148" s="9" t="e">
        <f>VLOOKUP(Table1[[#This Row],[Address B]],IP_Master[],3,FALSE)</f>
        <v>#N/A</v>
      </c>
      <c r="W1148" s="9" t="str">
        <f>VLOOKUP(Table1[[#This Row],[Port B]],traffic_types[],2,FALSE)</f>
        <v>HTTP/S</v>
      </c>
    </row>
    <row r="1149" spans="1:23" x14ac:dyDescent="0.6">
      <c r="A1149" t="s">
        <v>126</v>
      </c>
      <c r="B1149">
        <v>1427</v>
      </c>
      <c r="C1149" t="s">
        <v>143</v>
      </c>
      <c r="D1149">
        <v>443</v>
      </c>
      <c r="E1149">
        <v>3</v>
      </c>
      <c r="F1149" s="13">
        <v>186</v>
      </c>
      <c r="G1149">
        <v>3</v>
      </c>
      <c r="H1149">
        <v>186</v>
      </c>
      <c r="I1149">
        <v>0</v>
      </c>
      <c r="J1149">
        <v>0</v>
      </c>
      <c r="K1149">
        <v>834.35796900000003</v>
      </c>
      <c r="L1149">
        <v>9.0107669999999906</v>
      </c>
      <c r="M1149">
        <v>165.135775900098</v>
      </c>
      <c r="N1149">
        <v>0</v>
      </c>
      <c r="O1149" s="8" t="str">
        <f>formatIP(Table1[[#This Row],[Address A]])</f>
        <v>010.012.000.184</v>
      </c>
      <c r="P1149" s="8" t="str">
        <f>formatIP(Table1[[#This Row],[Address B]])</f>
        <v>010.095.032.032</v>
      </c>
      <c r="Q1149" s="8" t="str">
        <f>VLOOKUP(Table1[[#This Row],[Address A]],IP_Master[],4,FALSE)</f>
        <v>PPPCRF4</v>
      </c>
      <c r="R1149" s="8" t="e">
        <f>VLOOKUP(Table1[[#This Row],[Address B]],IP_Master[],4,FALSE)</f>
        <v>#N/A</v>
      </c>
      <c r="S1149" s="8" t="str">
        <f>VLOOKUP(Table1[[#This Row],[Address A]],IP_Master[],2,FALSE)</f>
        <v>Refinery</v>
      </c>
      <c r="T1149" s="8" t="e">
        <f>VLOOKUP(Table1[[#This Row],[Address B]],IP_Master[],2,FALSE)</f>
        <v>#N/A</v>
      </c>
      <c r="U1149" s="9" t="str">
        <f>VLOOKUP(Table1[[#This Row],[Address A]],IP_Master[],3,FALSE)</f>
        <v>iFIX Nodes &amp; Ethernet Switches</v>
      </c>
      <c r="V1149" s="9" t="e">
        <f>VLOOKUP(Table1[[#This Row],[Address B]],IP_Master[],3,FALSE)</f>
        <v>#N/A</v>
      </c>
      <c r="W1149" s="9" t="str">
        <f>VLOOKUP(Table1[[#This Row],[Port B]],traffic_types[],2,FALSE)</f>
        <v>HTTP/S</v>
      </c>
    </row>
    <row r="1150" spans="1:23" x14ac:dyDescent="0.6">
      <c r="A1150" t="s">
        <v>126</v>
      </c>
      <c r="B1150">
        <v>1428</v>
      </c>
      <c r="C1150" t="s">
        <v>139</v>
      </c>
      <c r="D1150">
        <v>443</v>
      </c>
      <c r="E1150">
        <v>3</v>
      </c>
      <c r="F1150" s="13">
        <v>186</v>
      </c>
      <c r="G1150">
        <v>3</v>
      </c>
      <c r="H1150">
        <v>186</v>
      </c>
      <c r="I1150">
        <v>0</v>
      </c>
      <c r="J1150">
        <v>0</v>
      </c>
      <c r="K1150">
        <v>855.40136800000005</v>
      </c>
      <c r="L1150">
        <v>9.0767619999999205</v>
      </c>
      <c r="M1150">
        <v>163.935112543439</v>
      </c>
      <c r="N1150">
        <v>0</v>
      </c>
      <c r="O1150" s="8" t="str">
        <f>formatIP(Table1[[#This Row],[Address A]])</f>
        <v>010.012.000.184</v>
      </c>
      <c r="P1150" s="8" t="str">
        <f>formatIP(Table1[[#This Row],[Address B]])</f>
        <v>010.095.001.018</v>
      </c>
      <c r="Q1150" s="8" t="str">
        <f>VLOOKUP(Table1[[#This Row],[Address A]],IP_Master[],4,FALSE)</f>
        <v>PPPCRF4</v>
      </c>
      <c r="R1150" s="8" t="e">
        <f>VLOOKUP(Table1[[#This Row],[Address B]],IP_Master[],4,FALSE)</f>
        <v>#N/A</v>
      </c>
      <c r="S1150" s="8" t="str">
        <f>VLOOKUP(Table1[[#This Row],[Address A]],IP_Master[],2,FALSE)</f>
        <v>Refinery</v>
      </c>
      <c r="T1150" s="8" t="e">
        <f>VLOOKUP(Table1[[#This Row],[Address B]],IP_Master[],2,FALSE)</f>
        <v>#N/A</v>
      </c>
      <c r="U1150" s="9" t="str">
        <f>VLOOKUP(Table1[[#This Row],[Address A]],IP_Master[],3,FALSE)</f>
        <v>iFIX Nodes &amp; Ethernet Switches</v>
      </c>
      <c r="V1150" s="9" t="e">
        <f>VLOOKUP(Table1[[#This Row],[Address B]],IP_Master[],3,FALSE)</f>
        <v>#N/A</v>
      </c>
      <c r="W1150" s="9" t="str">
        <f>VLOOKUP(Table1[[#This Row],[Port B]],traffic_types[],2,FALSE)</f>
        <v>HTTP/S</v>
      </c>
    </row>
    <row r="1151" spans="1:23" x14ac:dyDescent="0.6">
      <c r="A1151" t="s">
        <v>126</v>
      </c>
      <c r="B1151">
        <v>1429</v>
      </c>
      <c r="C1151" t="s">
        <v>140</v>
      </c>
      <c r="D1151">
        <v>443</v>
      </c>
      <c r="E1151">
        <v>3</v>
      </c>
      <c r="F1151" s="13">
        <v>186</v>
      </c>
      <c r="G1151">
        <v>3</v>
      </c>
      <c r="H1151">
        <v>186</v>
      </c>
      <c r="I1151">
        <v>0</v>
      </c>
      <c r="J1151">
        <v>0</v>
      </c>
      <c r="K1151">
        <v>876.50991999999997</v>
      </c>
      <c r="L1151">
        <v>9.2964190000000109</v>
      </c>
      <c r="M1151">
        <v>160.061632333912</v>
      </c>
      <c r="N1151">
        <v>0</v>
      </c>
      <c r="O1151" s="8" t="str">
        <f>formatIP(Table1[[#This Row],[Address A]])</f>
        <v>010.012.000.184</v>
      </c>
      <c r="P1151" s="8" t="str">
        <f>formatIP(Table1[[#This Row],[Address B]])</f>
        <v>010.116.001.001</v>
      </c>
      <c r="Q1151" s="8" t="str">
        <f>VLOOKUP(Table1[[#This Row],[Address A]],IP_Master[],4,FALSE)</f>
        <v>PPPCRF4</v>
      </c>
      <c r="R1151" s="8" t="e">
        <f>VLOOKUP(Table1[[#This Row],[Address B]],IP_Master[],4,FALSE)</f>
        <v>#N/A</v>
      </c>
      <c r="S1151" s="8" t="str">
        <f>VLOOKUP(Table1[[#This Row],[Address A]],IP_Master[],2,FALSE)</f>
        <v>Refinery</v>
      </c>
      <c r="T1151" s="8" t="e">
        <f>VLOOKUP(Table1[[#This Row],[Address B]],IP_Master[],2,FALSE)</f>
        <v>#N/A</v>
      </c>
      <c r="U1151" s="9" t="str">
        <f>VLOOKUP(Table1[[#This Row],[Address A]],IP_Master[],3,FALSE)</f>
        <v>iFIX Nodes &amp; Ethernet Switches</v>
      </c>
      <c r="V1151" s="9" t="e">
        <f>VLOOKUP(Table1[[#This Row],[Address B]],IP_Master[],3,FALSE)</f>
        <v>#N/A</v>
      </c>
      <c r="W1151" s="9" t="str">
        <f>VLOOKUP(Table1[[#This Row],[Port B]],traffic_types[],2,FALSE)</f>
        <v>HTTP/S</v>
      </c>
    </row>
    <row r="1152" spans="1:23" x14ac:dyDescent="0.6">
      <c r="A1152" t="s">
        <v>126</v>
      </c>
      <c r="B1152">
        <v>1430</v>
      </c>
      <c r="C1152" t="s">
        <v>141</v>
      </c>
      <c r="D1152">
        <v>443</v>
      </c>
      <c r="E1152">
        <v>2</v>
      </c>
      <c r="F1152" s="13">
        <v>124</v>
      </c>
      <c r="G1152">
        <v>2</v>
      </c>
      <c r="H1152">
        <v>124</v>
      </c>
      <c r="I1152">
        <v>0</v>
      </c>
      <c r="J1152">
        <v>0</v>
      </c>
      <c r="K1152">
        <v>897.94750499999998</v>
      </c>
      <c r="L1152">
        <v>3.0619149999999999</v>
      </c>
      <c r="M1152">
        <v>323.98025418733101</v>
      </c>
      <c r="N1152">
        <v>0</v>
      </c>
      <c r="O1152" s="8" t="str">
        <f>formatIP(Table1[[#This Row],[Address A]])</f>
        <v>010.012.000.184</v>
      </c>
      <c r="P1152" s="8" t="str">
        <f>formatIP(Table1[[#This Row],[Address B]])</f>
        <v>010.113.010.001</v>
      </c>
      <c r="Q1152" s="8" t="str">
        <f>VLOOKUP(Table1[[#This Row],[Address A]],IP_Master[],4,FALSE)</f>
        <v>PPPCRF4</v>
      </c>
      <c r="R1152" s="8" t="e">
        <f>VLOOKUP(Table1[[#This Row],[Address B]],IP_Master[],4,FALSE)</f>
        <v>#N/A</v>
      </c>
      <c r="S1152" s="8" t="str">
        <f>VLOOKUP(Table1[[#This Row],[Address A]],IP_Master[],2,FALSE)</f>
        <v>Refinery</v>
      </c>
      <c r="T1152" s="8" t="e">
        <f>VLOOKUP(Table1[[#This Row],[Address B]],IP_Master[],2,FALSE)</f>
        <v>#N/A</v>
      </c>
      <c r="U1152" s="9" t="str">
        <f>VLOOKUP(Table1[[#This Row],[Address A]],IP_Master[],3,FALSE)</f>
        <v>iFIX Nodes &amp; Ethernet Switches</v>
      </c>
      <c r="V1152" s="9" t="e">
        <f>VLOOKUP(Table1[[#This Row],[Address B]],IP_Master[],3,FALSE)</f>
        <v>#N/A</v>
      </c>
      <c r="W1152" s="9" t="str">
        <f>VLOOKUP(Table1[[#This Row],[Port B]],traffic_types[],2,FALSE)</f>
        <v>HTTP/S</v>
      </c>
    </row>
    <row r="1153" spans="1:23" x14ac:dyDescent="0.6">
      <c r="A1153" t="s">
        <v>49</v>
      </c>
      <c r="B1153">
        <v>4381</v>
      </c>
      <c r="C1153" t="s">
        <v>143</v>
      </c>
      <c r="D1153">
        <v>443</v>
      </c>
      <c r="E1153">
        <v>3</v>
      </c>
      <c r="F1153" s="13">
        <v>186</v>
      </c>
      <c r="G1153">
        <v>3</v>
      </c>
      <c r="H1153">
        <v>186</v>
      </c>
      <c r="I1153">
        <v>0</v>
      </c>
      <c r="J1153">
        <v>0</v>
      </c>
      <c r="K1153">
        <v>113.749146</v>
      </c>
      <c r="L1153">
        <v>9.07437800000001</v>
      </c>
      <c r="M1153">
        <v>163.97818120426501</v>
      </c>
      <c r="N1153">
        <v>0</v>
      </c>
      <c r="O1153" s="8" t="str">
        <f>formatIP(Table1[[#This Row],[Address A]])</f>
        <v>010.012.000.190</v>
      </c>
      <c r="P1153" s="8" t="str">
        <f>formatIP(Table1[[#This Row],[Address B]])</f>
        <v>010.095.032.032</v>
      </c>
      <c r="Q1153" s="8" t="str">
        <f>VLOOKUP(Table1[[#This Row],[Address A]],IP_Master[],4,FALSE)</f>
        <v>PPPCRF10</v>
      </c>
      <c r="R1153" s="8" t="e">
        <f>VLOOKUP(Table1[[#This Row],[Address B]],IP_Master[],4,FALSE)</f>
        <v>#N/A</v>
      </c>
      <c r="S1153" s="8" t="str">
        <f>VLOOKUP(Table1[[#This Row],[Address A]],IP_Master[],2,FALSE)</f>
        <v>Refinery</v>
      </c>
      <c r="T1153" s="8" t="e">
        <f>VLOOKUP(Table1[[#This Row],[Address B]],IP_Master[],2,FALSE)</f>
        <v>#N/A</v>
      </c>
      <c r="U1153" s="9" t="str">
        <f>VLOOKUP(Table1[[#This Row],[Address A]],IP_Master[],3,FALSE)</f>
        <v>iFIX Nodes &amp; Ethernet Switches</v>
      </c>
      <c r="V1153" s="9" t="e">
        <f>VLOOKUP(Table1[[#This Row],[Address B]],IP_Master[],3,FALSE)</f>
        <v>#N/A</v>
      </c>
      <c r="W1153" s="9" t="str">
        <f>VLOOKUP(Table1[[#This Row],[Port B]],traffic_types[],2,FALSE)</f>
        <v>HTTP/S</v>
      </c>
    </row>
    <row r="1154" spans="1:23" x14ac:dyDescent="0.6">
      <c r="A1154" t="s">
        <v>49</v>
      </c>
      <c r="B1154">
        <v>4382</v>
      </c>
      <c r="C1154" t="s">
        <v>133</v>
      </c>
      <c r="D1154">
        <v>443</v>
      </c>
      <c r="E1154">
        <v>3</v>
      </c>
      <c r="F1154" s="13">
        <v>186</v>
      </c>
      <c r="G1154">
        <v>3</v>
      </c>
      <c r="H1154">
        <v>186</v>
      </c>
      <c r="I1154">
        <v>0</v>
      </c>
      <c r="J1154">
        <v>0</v>
      </c>
      <c r="K1154">
        <v>134.85530299999999</v>
      </c>
      <c r="L1154">
        <v>9.2966969999999893</v>
      </c>
      <c r="M1154">
        <v>160.056845995949</v>
      </c>
      <c r="N1154">
        <v>0</v>
      </c>
      <c r="O1154" s="8" t="str">
        <f>formatIP(Table1[[#This Row],[Address A]])</f>
        <v>010.012.000.190</v>
      </c>
      <c r="P1154" s="8" t="str">
        <f>formatIP(Table1[[#This Row],[Address B]])</f>
        <v>010.080.001.065</v>
      </c>
      <c r="Q1154" s="8" t="str">
        <f>VLOOKUP(Table1[[#This Row],[Address A]],IP_Master[],4,FALSE)</f>
        <v>PPPCRF10</v>
      </c>
      <c r="R1154" s="8" t="e">
        <f>VLOOKUP(Table1[[#This Row],[Address B]],IP_Master[],4,FALSE)</f>
        <v>#N/A</v>
      </c>
      <c r="S1154" s="8" t="str">
        <f>VLOOKUP(Table1[[#This Row],[Address A]],IP_Master[],2,FALSE)</f>
        <v>Refinery</v>
      </c>
      <c r="T1154" s="8" t="e">
        <f>VLOOKUP(Table1[[#This Row],[Address B]],IP_Master[],2,FALSE)</f>
        <v>#N/A</v>
      </c>
      <c r="U1154" s="9" t="str">
        <f>VLOOKUP(Table1[[#This Row],[Address A]],IP_Master[],3,FALSE)</f>
        <v>iFIX Nodes &amp; Ethernet Switches</v>
      </c>
      <c r="V1154" s="9" t="e">
        <f>VLOOKUP(Table1[[#This Row],[Address B]],IP_Master[],3,FALSE)</f>
        <v>#N/A</v>
      </c>
      <c r="W1154" s="9" t="str">
        <f>VLOOKUP(Table1[[#This Row],[Port B]],traffic_types[],2,FALSE)</f>
        <v>HTTP/S</v>
      </c>
    </row>
    <row r="1155" spans="1:23" x14ac:dyDescent="0.6">
      <c r="A1155" t="s">
        <v>144</v>
      </c>
      <c r="B1155">
        <v>58137</v>
      </c>
      <c r="C1155" t="s">
        <v>106</v>
      </c>
      <c r="D1155">
        <v>80</v>
      </c>
      <c r="E1155">
        <v>1</v>
      </c>
      <c r="F1155" s="13">
        <v>62</v>
      </c>
      <c r="G1155">
        <v>1</v>
      </c>
      <c r="H1155">
        <v>62</v>
      </c>
      <c r="I1155">
        <v>0</v>
      </c>
      <c r="J1155">
        <v>0</v>
      </c>
      <c r="K1155">
        <v>4.2765399999999998</v>
      </c>
      <c r="L1155">
        <v>0</v>
      </c>
      <c r="M1155">
        <v>0</v>
      </c>
      <c r="N1155">
        <v>0</v>
      </c>
      <c r="O1155" s="8" t="str">
        <f>formatIP(Table1[[#This Row],[Address A]])</f>
        <v>010.012.000.201</v>
      </c>
      <c r="P1155" s="8" t="str">
        <f>formatIP(Table1[[#This Row],[Address B]])</f>
        <v>172.217.022.068</v>
      </c>
      <c r="Q1155" s="8" t="str">
        <f>VLOOKUP(Table1[[#This Row],[Address A]],IP_Master[],4,FALSE)</f>
        <v>PPPCKDR1</v>
      </c>
      <c r="R1155" s="8" t="e">
        <f>VLOOKUP(Table1[[#This Row],[Address B]],IP_Master[],4,FALSE)</f>
        <v>#N/A</v>
      </c>
      <c r="S1155" s="8" t="str">
        <f>VLOOKUP(Table1[[#This Row],[Address A]],IP_Master[],2,FALSE)</f>
        <v>Kilns/KDR</v>
      </c>
      <c r="T1155" s="8" t="e">
        <f>VLOOKUP(Table1[[#This Row],[Address B]],IP_Master[],2,FALSE)</f>
        <v>#N/A</v>
      </c>
      <c r="U1155" s="9" t="str">
        <f>VLOOKUP(Table1[[#This Row],[Address A]],IP_Master[],3,FALSE)</f>
        <v>iFIX Nodes &amp; Ethernet Switches</v>
      </c>
      <c r="V1155" s="9" t="e">
        <f>VLOOKUP(Table1[[#This Row],[Address B]],IP_Master[],3,FALSE)</f>
        <v>#N/A</v>
      </c>
      <c r="W1155" s="9" t="str">
        <f>VLOOKUP(Table1[[#This Row],[Port B]],traffic_types[],2,FALSE)</f>
        <v>HTTP</v>
      </c>
    </row>
    <row r="1156" spans="1:23" x14ac:dyDescent="0.6">
      <c r="A1156" t="s">
        <v>144</v>
      </c>
      <c r="B1156">
        <v>58141</v>
      </c>
      <c r="C1156" t="s">
        <v>101</v>
      </c>
      <c r="D1156">
        <v>80</v>
      </c>
      <c r="E1156">
        <v>3</v>
      </c>
      <c r="F1156" s="13">
        <v>194</v>
      </c>
      <c r="G1156">
        <v>3</v>
      </c>
      <c r="H1156">
        <v>194</v>
      </c>
      <c r="I1156">
        <v>0</v>
      </c>
      <c r="J1156">
        <v>0</v>
      </c>
      <c r="K1156">
        <v>21.306025000000002</v>
      </c>
      <c r="L1156">
        <v>9.0025410000000008</v>
      </c>
      <c r="M1156">
        <v>172.39577137166</v>
      </c>
      <c r="N1156">
        <v>0</v>
      </c>
      <c r="O1156" s="8" t="str">
        <f>formatIP(Table1[[#This Row],[Address A]])</f>
        <v>010.012.000.201</v>
      </c>
      <c r="P1156" s="8" t="str">
        <f>formatIP(Table1[[#This Row],[Address B]])</f>
        <v>023.000.040.234</v>
      </c>
      <c r="Q1156" s="8" t="str">
        <f>VLOOKUP(Table1[[#This Row],[Address A]],IP_Master[],4,FALSE)</f>
        <v>PPPCKDR1</v>
      </c>
      <c r="R1156" s="8" t="e">
        <f>VLOOKUP(Table1[[#This Row],[Address B]],IP_Master[],4,FALSE)</f>
        <v>#N/A</v>
      </c>
      <c r="S1156" s="8" t="str">
        <f>VLOOKUP(Table1[[#This Row],[Address A]],IP_Master[],2,FALSE)</f>
        <v>Kilns/KDR</v>
      </c>
      <c r="T1156" s="8" t="e">
        <f>VLOOKUP(Table1[[#This Row],[Address B]],IP_Master[],2,FALSE)</f>
        <v>#N/A</v>
      </c>
      <c r="U1156" s="9" t="str">
        <f>VLOOKUP(Table1[[#This Row],[Address A]],IP_Master[],3,FALSE)</f>
        <v>iFIX Nodes &amp; Ethernet Switches</v>
      </c>
      <c r="V1156" s="9" t="e">
        <f>VLOOKUP(Table1[[#This Row],[Address B]],IP_Master[],3,FALSE)</f>
        <v>#N/A</v>
      </c>
      <c r="W1156" s="9" t="str">
        <f>VLOOKUP(Table1[[#This Row],[Port B]],traffic_types[],2,FALSE)</f>
        <v>HTTP</v>
      </c>
    </row>
    <row r="1157" spans="1:23" x14ac:dyDescent="0.6">
      <c r="A1157" t="s">
        <v>144</v>
      </c>
      <c r="B1157">
        <v>58145</v>
      </c>
      <c r="C1157" t="s">
        <v>106</v>
      </c>
      <c r="D1157">
        <v>80</v>
      </c>
      <c r="E1157">
        <v>3</v>
      </c>
      <c r="F1157" s="13">
        <v>194</v>
      </c>
      <c r="G1157">
        <v>3</v>
      </c>
      <c r="H1157">
        <v>194</v>
      </c>
      <c r="I1157">
        <v>0</v>
      </c>
      <c r="J1157">
        <v>0</v>
      </c>
      <c r="K1157">
        <v>42.312409000000002</v>
      </c>
      <c r="L1157">
        <v>9.0059070000000006</v>
      </c>
      <c r="M1157">
        <v>172.331337643171</v>
      </c>
      <c r="N1157">
        <v>0</v>
      </c>
      <c r="O1157" s="8" t="str">
        <f>formatIP(Table1[[#This Row],[Address A]])</f>
        <v>010.012.000.201</v>
      </c>
      <c r="P1157" s="8" t="str">
        <f>formatIP(Table1[[#This Row],[Address B]])</f>
        <v>172.217.022.068</v>
      </c>
      <c r="Q1157" s="8" t="str">
        <f>VLOOKUP(Table1[[#This Row],[Address A]],IP_Master[],4,FALSE)</f>
        <v>PPPCKDR1</v>
      </c>
      <c r="R1157" s="8" t="e">
        <f>VLOOKUP(Table1[[#This Row],[Address B]],IP_Master[],4,FALSE)</f>
        <v>#N/A</v>
      </c>
      <c r="S1157" s="8" t="str">
        <f>VLOOKUP(Table1[[#This Row],[Address A]],IP_Master[],2,FALSE)</f>
        <v>Kilns/KDR</v>
      </c>
      <c r="T1157" s="8" t="e">
        <f>VLOOKUP(Table1[[#This Row],[Address B]],IP_Master[],2,FALSE)</f>
        <v>#N/A</v>
      </c>
      <c r="U1157" s="9" t="str">
        <f>VLOOKUP(Table1[[#This Row],[Address A]],IP_Master[],3,FALSE)</f>
        <v>iFIX Nodes &amp; Ethernet Switches</v>
      </c>
      <c r="V1157" s="9" t="e">
        <f>VLOOKUP(Table1[[#This Row],[Address B]],IP_Master[],3,FALSE)</f>
        <v>#N/A</v>
      </c>
      <c r="W1157" s="9" t="str">
        <f>VLOOKUP(Table1[[#This Row],[Port B]],traffic_types[],2,FALSE)</f>
        <v>HTTP</v>
      </c>
    </row>
    <row r="1158" spans="1:23" x14ac:dyDescent="0.6">
      <c r="A1158" t="s">
        <v>144</v>
      </c>
      <c r="B1158">
        <v>58151</v>
      </c>
      <c r="C1158" t="s">
        <v>101</v>
      </c>
      <c r="D1158">
        <v>80</v>
      </c>
      <c r="E1158">
        <v>3</v>
      </c>
      <c r="F1158" s="13">
        <v>194</v>
      </c>
      <c r="G1158">
        <v>3</v>
      </c>
      <c r="H1158">
        <v>194</v>
      </c>
      <c r="I1158">
        <v>0</v>
      </c>
      <c r="J1158">
        <v>0</v>
      </c>
      <c r="K1158">
        <v>68.343446</v>
      </c>
      <c r="L1158">
        <v>9.0028219999999894</v>
      </c>
      <c r="M1158">
        <v>172.390390479785</v>
      </c>
      <c r="N1158">
        <v>0</v>
      </c>
      <c r="O1158" s="8" t="str">
        <f>formatIP(Table1[[#This Row],[Address A]])</f>
        <v>010.012.000.201</v>
      </c>
      <c r="P1158" s="8" t="str">
        <f>formatIP(Table1[[#This Row],[Address B]])</f>
        <v>023.000.040.234</v>
      </c>
      <c r="Q1158" s="8" t="str">
        <f>VLOOKUP(Table1[[#This Row],[Address A]],IP_Master[],4,FALSE)</f>
        <v>PPPCKDR1</v>
      </c>
      <c r="R1158" s="8" t="e">
        <f>VLOOKUP(Table1[[#This Row],[Address B]],IP_Master[],4,FALSE)</f>
        <v>#N/A</v>
      </c>
      <c r="S1158" s="8" t="str">
        <f>VLOOKUP(Table1[[#This Row],[Address A]],IP_Master[],2,FALSE)</f>
        <v>Kilns/KDR</v>
      </c>
      <c r="T1158" s="8" t="e">
        <f>VLOOKUP(Table1[[#This Row],[Address B]],IP_Master[],2,FALSE)</f>
        <v>#N/A</v>
      </c>
      <c r="U1158" s="9" t="str">
        <f>VLOOKUP(Table1[[#This Row],[Address A]],IP_Master[],3,FALSE)</f>
        <v>iFIX Nodes &amp; Ethernet Switches</v>
      </c>
      <c r="V1158" s="9" t="e">
        <f>VLOOKUP(Table1[[#This Row],[Address B]],IP_Master[],3,FALSE)</f>
        <v>#N/A</v>
      </c>
      <c r="W1158" s="9" t="str">
        <f>VLOOKUP(Table1[[#This Row],[Port B]],traffic_types[],2,FALSE)</f>
        <v>HTTP</v>
      </c>
    </row>
    <row r="1159" spans="1:23" x14ac:dyDescent="0.6">
      <c r="A1159" t="s">
        <v>144</v>
      </c>
      <c r="B1159">
        <v>58152</v>
      </c>
      <c r="C1159" t="s">
        <v>106</v>
      </c>
      <c r="D1159">
        <v>80</v>
      </c>
      <c r="E1159">
        <v>3</v>
      </c>
      <c r="F1159" s="13">
        <v>194</v>
      </c>
      <c r="G1159">
        <v>3</v>
      </c>
      <c r="H1159">
        <v>194</v>
      </c>
      <c r="I1159">
        <v>0</v>
      </c>
      <c r="J1159">
        <v>0</v>
      </c>
      <c r="K1159">
        <v>89.353988999999999</v>
      </c>
      <c r="L1159">
        <v>9.0007889999999993</v>
      </c>
      <c r="M1159">
        <v>172.42932814001099</v>
      </c>
      <c r="N1159">
        <v>0</v>
      </c>
      <c r="O1159" s="8" t="str">
        <f>formatIP(Table1[[#This Row],[Address A]])</f>
        <v>010.012.000.201</v>
      </c>
      <c r="P1159" s="8" t="str">
        <f>formatIP(Table1[[#This Row],[Address B]])</f>
        <v>172.217.022.068</v>
      </c>
      <c r="Q1159" s="8" t="str">
        <f>VLOOKUP(Table1[[#This Row],[Address A]],IP_Master[],4,FALSE)</f>
        <v>PPPCKDR1</v>
      </c>
      <c r="R1159" s="8" t="e">
        <f>VLOOKUP(Table1[[#This Row],[Address B]],IP_Master[],4,FALSE)</f>
        <v>#N/A</v>
      </c>
      <c r="S1159" s="8" t="str">
        <f>VLOOKUP(Table1[[#This Row],[Address A]],IP_Master[],2,FALSE)</f>
        <v>Kilns/KDR</v>
      </c>
      <c r="T1159" s="8" t="e">
        <f>VLOOKUP(Table1[[#This Row],[Address B]],IP_Master[],2,FALSE)</f>
        <v>#N/A</v>
      </c>
      <c r="U1159" s="9" t="str">
        <f>VLOOKUP(Table1[[#This Row],[Address A]],IP_Master[],3,FALSE)</f>
        <v>iFIX Nodes &amp; Ethernet Switches</v>
      </c>
      <c r="V1159" s="9" t="e">
        <f>VLOOKUP(Table1[[#This Row],[Address B]],IP_Master[],3,FALSE)</f>
        <v>#N/A</v>
      </c>
      <c r="W1159" s="9" t="str">
        <f>VLOOKUP(Table1[[#This Row],[Port B]],traffic_types[],2,FALSE)</f>
        <v>HTTP</v>
      </c>
    </row>
    <row r="1160" spans="1:23" x14ac:dyDescent="0.6">
      <c r="A1160" t="s">
        <v>144</v>
      </c>
      <c r="B1160">
        <v>58158</v>
      </c>
      <c r="C1160" t="s">
        <v>101</v>
      </c>
      <c r="D1160">
        <v>80</v>
      </c>
      <c r="E1160">
        <v>3</v>
      </c>
      <c r="F1160" s="13">
        <v>194</v>
      </c>
      <c r="G1160">
        <v>3</v>
      </c>
      <c r="H1160">
        <v>194</v>
      </c>
      <c r="I1160">
        <v>0</v>
      </c>
      <c r="J1160">
        <v>0</v>
      </c>
      <c r="K1160">
        <v>115.90282500000001</v>
      </c>
      <c r="L1160">
        <v>8.9981189999999902</v>
      </c>
      <c r="M1160">
        <v>172.48049286745399</v>
      </c>
      <c r="N1160">
        <v>0</v>
      </c>
      <c r="O1160" s="8" t="str">
        <f>formatIP(Table1[[#This Row],[Address A]])</f>
        <v>010.012.000.201</v>
      </c>
      <c r="P1160" s="8" t="str">
        <f>formatIP(Table1[[#This Row],[Address B]])</f>
        <v>023.000.040.234</v>
      </c>
      <c r="Q1160" s="8" t="str">
        <f>VLOOKUP(Table1[[#This Row],[Address A]],IP_Master[],4,FALSE)</f>
        <v>PPPCKDR1</v>
      </c>
      <c r="R1160" s="8" t="e">
        <f>VLOOKUP(Table1[[#This Row],[Address B]],IP_Master[],4,FALSE)</f>
        <v>#N/A</v>
      </c>
      <c r="S1160" s="8" t="str">
        <f>VLOOKUP(Table1[[#This Row],[Address A]],IP_Master[],2,FALSE)</f>
        <v>Kilns/KDR</v>
      </c>
      <c r="T1160" s="8" t="e">
        <f>VLOOKUP(Table1[[#This Row],[Address B]],IP_Master[],2,FALSE)</f>
        <v>#N/A</v>
      </c>
      <c r="U1160" s="9" t="str">
        <f>VLOOKUP(Table1[[#This Row],[Address A]],IP_Master[],3,FALSE)</f>
        <v>iFIX Nodes &amp; Ethernet Switches</v>
      </c>
      <c r="V1160" s="9" t="e">
        <f>VLOOKUP(Table1[[#This Row],[Address B]],IP_Master[],3,FALSE)</f>
        <v>#N/A</v>
      </c>
      <c r="W1160" s="9" t="str">
        <f>VLOOKUP(Table1[[#This Row],[Port B]],traffic_types[],2,FALSE)</f>
        <v>HTTP</v>
      </c>
    </row>
    <row r="1161" spans="1:23" x14ac:dyDescent="0.6">
      <c r="A1161" t="s">
        <v>144</v>
      </c>
      <c r="B1161">
        <v>58162</v>
      </c>
      <c r="C1161" t="s">
        <v>106</v>
      </c>
      <c r="D1161">
        <v>80</v>
      </c>
      <c r="E1161">
        <v>3</v>
      </c>
      <c r="F1161" s="13">
        <v>194</v>
      </c>
      <c r="G1161">
        <v>3</v>
      </c>
      <c r="H1161">
        <v>194</v>
      </c>
      <c r="I1161">
        <v>0</v>
      </c>
      <c r="J1161">
        <v>0</v>
      </c>
      <c r="K1161">
        <v>136.90744599999999</v>
      </c>
      <c r="L1161">
        <v>9.0080230000000103</v>
      </c>
      <c r="M1161">
        <v>172.290856717395</v>
      </c>
      <c r="N1161">
        <v>0</v>
      </c>
      <c r="O1161" s="8" t="str">
        <f>formatIP(Table1[[#This Row],[Address A]])</f>
        <v>010.012.000.201</v>
      </c>
      <c r="P1161" s="8" t="str">
        <f>formatIP(Table1[[#This Row],[Address B]])</f>
        <v>172.217.022.068</v>
      </c>
      <c r="Q1161" s="8" t="str">
        <f>VLOOKUP(Table1[[#This Row],[Address A]],IP_Master[],4,FALSE)</f>
        <v>PPPCKDR1</v>
      </c>
      <c r="R1161" s="8" t="e">
        <f>VLOOKUP(Table1[[#This Row],[Address B]],IP_Master[],4,FALSE)</f>
        <v>#N/A</v>
      </c>
      <c r="S1161" s="8" t="str">
        <f>VLOOKUP(Table1[[#This Row],[Address A]],IP_Master[],2,FALSE)</f>
        <v>Kilns/KDR</v>
      </c>
      <c r="T1161" s="8" t="e">
        <f>VLOOKUP(Table1[[#This Row],[Address B]],IP_Master[],2,FALSE)</f>
        <v>#N/A</v>
      </c>
      <c r="U1161" s="9" t="str">
        <f>VLOOKUP(Table1[[#This Row],[Address A]],IP_Master[],3,FALSE)</f>
        <v>iFIX Nodes &amp; Ethernet Switches</v>
      </c>
      <c r="V1161" s="9" t="e">
        <f>VLOOKUP(Table1[[#This Row],[Address B]],IP_Master[],3,FALSE)</f>
        <v>#N/A</v>
      </c>
      <c r="W1161" s="9" t="str">
        <f>VLOOKUP(Table1[[#This Row],[Port B]],traffic_types[],2,FALSE)</f>
        <v>HTTP</v>
      </c>
    </row>
    <row r="1162" spans="1:23" x14ac:dyDescent="0.6">
      <c r="A1162" t="s">
        <v>144</v>
      </c>
      <c r="B1162">
        <v>58166</v>
      </c>
      <c r="C1162" t="s">
        <v>101</v>
      </c>
      <c r="D1162">
        <v>80</v>
      </c>
      <c r="E1162">
        <v>3</v>
      </c>
      <c r="F1162" s="13">
        <v>194</v>
      </c>
      <c r="G1162">
        <v>3</v>
      </c>
      <c r="H1162">
        <v>194</v>
      </c>
      <c r="I1162">
        <v>0</v>
      </c>
      <c r="J1162">
        <v>0</v>
      </c>
      <c r="K1162">
        <v>162.95216300000001</v>
      </c>
      <c r="L1162">
        <v>9.0063069999999907</v>
      </c>
      <c r="M1162">
        <v>172.32368383622699</v>
      </c>
      <c r="N1162">
        <v>0</v>
      </c>
      <c r="O1162" s="8" t="str">
        <f>formatIP(Table1[[#This Row],[Address A]])</f>
        <v>010.012.000.201</v>
      </c>
      <c r="P1162" s="8" t="str">
        <f>formatIP(Table1[[#This Row],[Address B]])</f>
        <v>023.000.040.234</v>
      </c>
      <c r="Q1162" s="8" t="str">
        <f>VLOOKUP(Table1[[#This Row],[Address A]],IP_Master[],4,FALSE)</f>
        <v>PPPCKDR1</v>
      </c>
      <c r="R1162" s="8" t="e">
        <f>VLOOKUP(Table1[[#This Row],[Address B]],IP_Master[],4,FALSE)</f>
        <v>#N/A</v>
      </c>
      <c r="S1162" s="8" t="str">
        <f>VLOOKUP(Table1[[#This Row],[Address A]],IP_Master[],2,FALSE)</f>
        <v>Kilns/KDR</v>
      </c>
      <c r="T1162" s="8" t="e">
        <f>VLOOKUP(Table1[[#This Row],[Address B]],IP_Master[],2,FALSE)</f>
        <v>#N/A</v>
      </c>
      <c r="U1162" s="9" t="str">
        <f>VLOOKUP(Table1[[#This Row],[Address A]],IP_Master[],3,FALSE)</f>
        <v>iFIX Nodes &amp; Ethernet Switches</v>
      </c>
      <c r="V1162" s="9" t="e">
        <f>VLOOKUP(Table1[[#This Row],[Address B]],IP_Master[],3,FALSE)</f>
        <v>#N/A</v>
      </c>
      <c r="W1162" s="9" t="str">
        <f>VLOOKUP(Table1[[#This Row],[Port B]],traffic_types[],2,FALSE)</f>
        <v>HTTP</v>
      </c>
    </row>
    <row r="1163" spans="1:23" x14ac:dyDescent="0.6">
      <c r="A1163" t="s">
        <v>144</v>
      </c>
      <c r="B1163">
        <v>58167</v>
      </c>
      <c r="C1163" t="s">
        <v>106</v>
      </c>
      <c r="D1163">
        <v>80</v>
      </c>
      <c r="E1163">
        <v>3</v>
      </c>
      <c r="F1163" s="13">
        <v>194</v>
      </c>
      <c r="G1163">
        <v>3</v>
      </c>
      <c r="H1163">
        <v>194</v>
      </c>
      <c r="I1163">
        <v>0</v>
      </c>
      <c r="J1163">
        <v>0</v>
      </c>
      <c r="K1163">
        <v>183.95907199999999</v>
      </c>
      <c r="L1163">
        <v>9.0000260000000196</v>
      </c>
      <c r="M1163">
        <v>172.44394627304399</v>
      </c>
      <c r="N1163">
        <v>0</v>
      </c>
      <c r="O1163" s="8" t="str">
        <f>formatIP(Table1[[#This Row],[Address A]])</f>
        <v>010.012.000.201</v>
      </c>
      <c r="P1163" s="8" t="str">
        <f>formatIP(Table1[[#This Row],[Address B]])</f>
        <v>172.217.022.068</v>
      </c>
      <c r="Q1163" s="8" t="str">
        <f>VLOOKUP(Table1[[#This Row],[Address A]],IP_Master[],4,FALSE)</f>
        <v>PPPCKDR1</v>
      </c>
      <c r="R1163" s="8" t="e">
        <f>VLOOKUP(Table1[[#This Row],[Address B]],IP_Master[],4,FALSE)</f>
        <v>#N/A</v>
      </c>
      <c r="S1163" s="8" t="str">
        <f>VLOOKUP(Table1[[#This Row],[Address A]],IP_Master[],2,FALSE)</f>
        <v>Kilns/KDR</v>
      </c>
      <c r="T1163" s="8" t="e">
        <f>VLOOKUP(Table1[[#This Row],[Address B]],IP_Master[],2,FALSE)</f>
        <v>#N/A</v>
      </c>
      <c r="U1163" s="9" t="str">
        <f>VLOOKUP(Table1[[#This Row],[Address A]],IP_Master[],3,FALSE)</f>
        <v>iFIX Nodes &amp; Ethernet Switches</v>
      </c>
      <c r="V1163" s="9" t="e">
        <f>VLOOKUP(Table1[[#This Row],[Address B]],IP_Master[],3,FALSE)</f>
        <v>#N/A</v>
      </c>
      <c r="W1163" s="9" t="str">
        <f>VLOOKUP(Table1[[#This Row],[Port B]],traffic_types[],2,FALSE)</f>
        <v>HTTP</v>
      </c>
    </row>
    <row r="1164" spans="1:23" x14ac:dyDescent="0.6">
      <c r="A1164" t="s">
        <v>144</v>
      </c>
      <c r="B1164">
        <v>58171</v>
      </c>
      <c r="C1164" t="s">
        <v>101</v>
      </c>
      <c r="D1164">
        <v>80</v>
      </c>
      <c r="E1164">
        <v>3</v>
      </c>
      <c r="F1164" s="13">
        <v>194</v>
      </c>
      <c r="G1164">
        <v>3</v>
      </c>
      <c r="H1164">
        <v>194</v>
      </c>
      <c r="I1164">
        <v>0</v>
      </c>
      <c r="J1164">
        <v>0</v>
      </c>
      <c r="K1164">
        <v>209.99709300000001</v>
      </c>
      <c r="L1164">
        <v>9.0000609999999899</v>
      </c>
      <c r="M1164">
        <v>172.443275662243</v>
      </c>
      <c r="N1164">
        <v>0</v>
      </c>
      <c r="O1164" s="8" t="str">
        <f>formatIP(Table1[[#This Row],[Address A]])</f>
        <v>010.012.000.201</v>
      </c>
      <c r="P1164" s="8" t="str">
        <f>formatIP(Table1[[#This Row],[Address B]])</f>
        <v>023.000.040.234</v>
      </c>
      <c r="Q1164" s="8" t="str">
        <f>VLOOKUP(Table1[[#This Row],[Address A]],IP_Master[],4,FALSE)</f>
        <v>PPPCKDR1</v>
      </c>
      <c r="R1164" s="8" t="e">
        <f>VLOOKUP(Table1[[#This Row],[Address B]],IP_Master[],4,FALSE)</f>
        <v>#N/A</v>
      </c>
      <c r="S1164" s="8" t="str">
        <f>VLOOKUP(Table1[[#This Row],[Address A]],IP_Master[],2,FALSE)</f>
        <v>Kilns/KDR</v>
      </c>
      <c r="T1164" s="8" t="e">
        <f>VLOOKUP(Table1[[#This Row],[Address B]],IP_Master[],2,FALSE)</f>
        <v>#N/A</v>
      </c>
      <c r="U1164" s="9" t="str">
        <f>VLOOKUP(Table1[[#This Row],[Address A]],IP_Master[],3,FALSE)</f>
        <v>iFIX Nodes &amp; Ethernet Switches</v>
      </c>
      <c r="V1164" s="9" t="e">
        <f>VLOOKUP(Table1[[#This Row],[Address B]],IP_Master[],3,FALSE)</f>
        <v>#N/A</v>
      </c>
      <c r="W1164" s="9" t="str">
        <f>VLOOKUP(Table1[[#This Row],[Port B]],traffic_types[],2,FALSE)</f>
        <v>HTTP</v>
      </c>
    </row>
    <row r="1165" spans="1:23" x14ac:dyDescent="0.6">
      <c r="A1165" t="s">
        <v>144</v>
      </c>
      <c r="B1165">
        <v>58175</v>
      </c>
      <c r="C1165" t="s">
        <v>106</v>
      </c>
      <c r="D1165">
        <v>80</v>
      </c>
      <c r="E1165">
        <v>3</v>
      </c>
      <c r="F1165" s="13">
        <v>194</v>
      </c>
      <c r="G1165">
        <v>3</v>
      </c>
      <c r="H1165">
        <v>194</v>
      </c>
      <c r="I1165">
        <v>0</v>
      </c>
      <c r="J1165">
        <v>0</v>
      </c>
      <c r="K1165">
        <v>231.00176200000001</v>
      </c>
      <c r="L1165">
        <v>8.9969129999999797</v>
      </c>
      <c r="M1165">
        <v>172.50361318376699</v>
      </c>
      <c r="N1165">
        <v>0</v>
      </c>
      <c r="O1165" s="8" t="str">
        <f>formatIP(Table1[[#This Row],[Address A]])</f>
        <v>010.012.000.201</v>
      </c>
      <c r="P1165" s="8" t="str">
        <f>formatIP(Table1[[#This Row],[Address B]])</f>
        <v>172.217.022.068</v>
      </c>
      <c r="Q1165" s="8" t="str">
        <f>VLOOKUP(Table1[[#This Row],[Address A]],IP_Master[],4,FALSE)</f>
        <v>PPPCKDR1</v>
      </c>
      <c r="R1165" s="8" t="e">
        <f>VLOOKUP(Table1[[#This Row],[Address B]],IP_Master[],4,FALSE)</f>
        <v>#N/A</v>
      </c>
      <c r="S1165" s="8" t="str">
        <f>VLOOKUP(Table1[[#This Row],[Address A]],IP_Master[],2,FALSE)</f>
        <v>Kilns/KDR</v>
      </c>
      <c r="T1165" s="8" t="e">
        <f>VLOOKUP(Table1[[#This Row],[Address B]],IP_Master[],2,FALSE)</f>
        <v>#N/A</v>
      </c>
      <c r="U1165" s="9" t="str">
        <f>VLOOKUP(Table1[[#This Row],[Address A]],IP_Master[],3,FALSE)</f>
        <v>iFIX Nodes &amp; Ethernet Switches</v>
      </c>
      <c r="V1165" s="9" t="e">
        <f>VLOOKUP(Table1[[#This Row],[Address B]],IP_Master[],3,FALSE)</f>
        <v>#N/A</v>
      </c>
      <c r="W1165" s="9" t="str">
        <f>VLOOKUP(Table1[[#This Row],[Port B]],traffic_types[],2,FALSE)</f>
        <v>HTTP</v>
      </c>
    </row>
    <row r="1166" spans="1:23" x14ac:dyDescent="0.6">
      <c r="A1166" t="s">
        <v>144</v>
      </c>
      <c r="B1166">
        <v>58179</v>
      </c>
      <c r="C1166" t="s">
        <v>101</v>
      </c>
      <c r="D1166">
        <v>80</v>
      </c>
      <c r="E1166">
        <v>3</v>
      </c>
      <c r="F1166" s="13">
        <v>194</v>
      </c>
      <c r="G1166">
        <v>3</v>
      </c>
      <c r="H1166">
        <v>194</v>
      </c>
      <c r="I1166">
        <v>0</v>
      </c>
      <c r="J1166">
        <v>0</v>
      </c>
      <c r="K1166">
        <v>257.54502300000001</v>
      </c>
      <c r="L1166">
        <v>8.9999019999999597</v>
      </c>
      <c r="M1166">
        <v>172.44632219328699</v>
      </c>
      <c r="N1166">
        <v>0</v>
      </c>
      <c r="O1166" s="8" t="str">
        <f>formatIP(Table1[[#This Row],[Address A]])</f>
        <v>010.012.000.201</v>
      </c>
      <c r="P1166" s="8" t="str">
        <f>formatIP(Table1[[#This Row],[Address B]])</f>
        <v>023.000.040.234</v>
      </c>
      <c r="Q1166" s="8" t="str">
        <f>VLOOKUP(Table1[[#This Row],[Address A]],IP_Master[],4,FALSE)</f>
        <v>PPPCKDR1</v>
      </c>
      <c r="R1166" s="8" t="e">
        <f>VLOOKUP(Table1[[#This Row],[Address B]],IP_Master[],4,FALSE)</f>
        <v>#N/A</v>
      </c>
      <c r="S1166" s="8" t="str">
        <f>VLOOKUP(Table1[[#This Row],[Address A]],IP_Master[],2,FALSE)</f>
        <v>Kilns/KDR</v>
      </c>
      <c r="T1166" s="8" t="e">
        <f>VLOOKUP(Table1[[#This Row],[Address B]],IP_Master[],2,FALSE)</f>
        <v>#N/A</v>
      </c>
      <c r="U1166" s="9" t="str">
        <f>VLOOKUP(Table1[[#This Row],[Address A]],IP_Master[],3,FALSE)</f>
        <v>iFIX Nodes &amp; Ethernet Switches</v>
      </c>
      <c r="V1166" s="9" t="e">
        <f>VLOOKUP(Table1[[#This Row],[Address B]],IP_Master[],3,FALSE)</f>
        <v>#N/A</v>
      </c>
      <c r="W1166" s="9" t="str">
        <f>VLOOKUP(Table1[[#This Row],[Port B]],traffic_types[],2,FALSE)</f>
        <v>HTTP</v>
      </c>
    </row>
    <row r="1167" spans="1:23" x14ac:dyDescent="0.6">
      <c r="A1167" t="s">
        <v>144</v>
      </c>
      <c r="B1167">
        <v>58180</v>
      </c>
      <c r="C1167" t="s">
        <v>106</v>
      </c>
      <c r="D1167">
        <v>80</v>
      </c>
      <c r="E1167">
        <v>3</v>
      </c>
      <c r="F1167" s="13">
        <v>194</v>
      </c>
      <c r="G1167">
        <v>3</v>
      </c>
      <c r="H1167">
        <v>194</v>
      </c>
      <c r="I1167">
        <v>0</v>
      </c>
      <c r="J1167">
        <v>0</v>
      </c>
      <c r="K1167">
        <v>278.55079000000001</v>
      </c>
      <c r="L1167">
        <v>9.0005419999999994</v>
      </c>
      <c r="M1167">
        <v>172.43406008215999</v>
      </c>
      <c r="N1167">
        <v>0</v>
      </c>
      <c r="O1167" s="8" t="str">
        <f>formatIP(Table1[[#This Row],[Address A]])</f>
        <v>010.012.000.201</v>
      </c>
      <c r="P1167" s="8" t="str">
        <f>formatIP(Table1[[#This Row],[Address B]])</f>
        <v>172.217.022.068</v>
      </c>
      <c r="Q1167" s="8" t="str">
        <f>VLOOKUP(Table1[[#This Row],[Address A]],IP_Master[],4,FALSE)</f>
        <v>PPPCKDR1</v>
      </c>
      <c r="R1167" s="8" t="e">
        <f>VLOOKUP(Table1[[#This Row],[Address B]],IP_Master[],4,FALSE)</f>
        <v>#N/A</v>
      </c>
      <c r="S1167" s="8" t="str">
        <f>VLOOKUP(Table1[[#This Row],[Address A]],IP_Master[],2,FALSE)</f>
        <v>Kilns/KDR</v>
      </c>
      <c r="T1167" s="8" t="e">
        <f>VLOOKUP(Table1[[#This Row],[Address B]],IP_Master[],2,FALSE)</f>
        <v>#N/A</v>
      </c>
      <c r="U1167" s="9" t="str">
        <f>VLOOKUP(Table1[[#This Row],[Address A]],IP_Master[],3,FALSE)</f>
        <v>iFIX Nodes &amp; Ethernet Switches</v>
      </c>
      <c r="V1167" s="9" t="e">
        <f>VLOOKUP(Table1[[#This Row],[Address B]],IP_Master[],3,FALSE)</f>
        <v>#N/A</v>
      </c>
      <c r="W1167" s="9" t="str">
        <f>VLOOKUP(Table1[[#This Row],[Port B]],traffic_types[],2,FALSE)</f>
        <v>HTTP</v>
      </c>
    </row>
    <row r="1168" spans="1:23" x14ac:dyDescent="0.6">
      <c r="A1168" t="s">
        <v>144</v>
      </c>
      <c r="B1168">
        <v>58184</v>
      </c>
      <c r="C1168" t="s">
        <v>101</v>
      </c>
      <c r="D1168">
        <v>80</v>
      </c>
      <c r="E1168">
        <v>3</v>
      </c>
      <c r="F1168" s="13">
        <v>194</v>
      </c>
      <c r="G1168">
        <v>3</v>
      </c>
      <c r="H1168">
        <v>194</v>
      </c>
      <c r="I1168">
        <v>0</v>
      </c>
      <c r="J1168">
        <v>0</v>
      </c>
      <c r="K1168">
        <v>304.58868100000001</v>
      </c>
      <c r="L1168">
        <v>8.9947409999999799</v>
      </c>
      <c r="M1168">
        <v>172.545268396278</v>
      </c>
      <c r="N1168">
        <v>0</v>
      </c>
      <c r="O1168" s="8" t="str">
        <f>formatIP(Table1[[#This Row],[Address A]])</f>
        <v>010.012.000.201</v>
      </c>
      <c r="P1168" s="8" t="str">
        <f>formatIP(Table1[[#This Row],[Address B]])</f>
        <v>023.000.040.234</v>
      </c>
      <c r="Q1168" s="8" t="str">
        <f>VLOOKUP(Table1[[#This Row],[Address A]],IP_Master[],4,FALSE)</f>
        <v>PPPCKDR1</v>
      </c>
      <c r="R1168" s="8" t="e">
        <f>VLOOKUP(Table1[[#This Row],[Address B]],IP_Master[],4,FALSE)</f>
        <v>#N/A</v>
      </c>
      <c r="S1168" s="8" t="str">
        <f>VLOOKUP(Table1[[#This Row],[Address A]],IP_Master[],2,FALSE)</f>
        <v>Kilns/KDR</v>
      </c>
      <c r="T1168" s="8" t="e">
        <f>VLOOKUP(Table1[[#This Row],[Address B]],IP_Master[],2,FALSE)</f>
        <v>#N/A</v>
      </c>
      <c r="U1168" s="9" t="str">
        <f>VLOOKUP(Table1[[#This Row],[Address A]],IP_Master[],3,FALSE)</f>
        <v>iFIX Nodes &amp; Ethernet Switches</v>
      </c>
      <c r="V1168" s="9" t="e">
        <f>VLOOKUP(Table1[[#This Row],[Address B]],IP_Master[],3,FALSE)</f>
        <v>#N/A</v>
      </c>
      <c r="W1168" s="9" t="str">
        <f>VLOOKUP(Table1[[#This Row],[Port B]],traffic_types[],2,FALSE)</f>
        <v>HTTP</v>
      </c>
    </row>
    <row r="1169" spans="1:23" x14ac:dyDescent="0.6">
      <c r="A1169" t="s">
        <v>144</v>
      </c>
      <c r="B1169">
        <v>58188</v>
      </c>
      <c r="C1169" t="s">
        <v>106</v>
      </c>
      <c r="D1169">
        <v>80</v>
      </c>
      <c r="E1169">
        <v>3</v>
      </c>
      <c r="F1169" s="13">
        <v>194</v>
      </c>
      <c r="G1169">
        <v>3</v>
      </c>
      <c r="H1169">
        <v>194</v>
      </c>
      <c r="I1169">
        <v>0</v>
      </c>
      <c r="J1169">
        <v>0</v>
      </c>
      <c r="K1169">
        <v>325.58518199999997</v>
      </c>
      <c r="L1169">
        <v>9.0058690000000201</v>
      </c>
      <c r="M1169">
        <v>172.33206479019401</v>
      </c>
      <c r="N1169">
        <v>0</v>
      </c>
      <c r="O1169" s="8" t="str">
        <f>formatIP(Table1[[#This Row],[Address A]])</f>
        <v>010.012.000.201</v>
      </c>
      <c r="P1169" s="8" t="str">
        <f>formatIP(Table1[[#This Row],[Address B]])</f>
        <v>172.217.022.068</v>
      </c>
      <c r="Q1169" s="8" t="str">
        <f>VLOOKUP(Table1[[#This Row],[Address A]],IP_Master[],4,FALSE)</f>
        <v>PPPCKDR1</v>
      </c>
      <c r="R1169" s="8" t="e">
        <f>VLOOKUP(Table1[[#This Row],[Address B]],IP_Master[],4,FALSE)</f>
        <v>#N/A</v>
      </c>
      <c r="S1169" s="8" t="str">
        <f>VLOOKUP(Table1[[#This Row],[Address A]],IP_Master[],2,FALSE)</f>
        <v>Kilns/KDR</v>
      </c>
      <c r="T1169" s="8" t="e">
        <f>VLOOKUP(Table1[[#This Row],[Address B]],IP_Master[],2,FALSE)</f>
        <v>#N/A</v>
      </c>
      <c r="U1169" s="9" t="str">
        <f>VLOOKUP(Table1[[#This Row],[Address A]],IP_Master[],3,FALSE)</f>
        <v>iFIX Nodes &amp; Ethernet Switches</v>
      </c>
      <c r="V1169" s="9" t="e">
        <f>VLOOKUP(Table1[[#This Row],[Address B]],IP_Master[],3,FALSE)</f>
        <v>#N/A</v>
      </c>
      <c r="W1169" s="9" t="str">
        <f>VLOOKUP(Table1[[#This Row],[Port B]],traffic_types[],2,FALSE)</f>
        <v>HTTP</v>
      </c>
    </row>
    <row r="1170" spans="1:23" x14ac:dyDescent="0.6">
      <c r="A1170" t="s">
        <v>144</v>
      </c>
      <c r="B1170">
        <v>58192</v>
      </c>
      <c r="C1170" t="s">
        <v>101</v>
      </c>
      <c r="D1170">
        <v>80</v>
      </c>
      <c r="E1170">
        <v>3</v>
      </c>
      <c r="F1170" s="13">
        <v>194</v>
      </c>
      <c r="G1170">
        <v>3</v>
      </c>
      <c r="H1170">
        <v>194</v>
      </c>
      <c r="I1170">
        <v>0</v>
      </c>
      <c r="J1170">
        <v>0</v>
      </c>
      <c r="K1170">
        <v>351.62789400000003</v>
      </c>
      <c r="L1170">
        <v>9.0021389999999997</v>
      </c>
      <c r="M1170">
        <v>172.403469886435</v>
      </c>
      <c r="N1170">
        <v>0</v>
      </c>
      <c r="O1170" s="8" t="str">
        <f>formatIP(Table1[[#This Row],[Address A]])</f>
        <v>010.012.000.201</v>
      </c>
      <c r="P1170" s="8" t="str">
        <f>formatIP(Table1[[#This Row],[Address B]])</f>
        <v>023.000.040.234</v>
      </c>
      <c r="Q1170" s="8" t="str">
        <f>VLOOKUP(Table1[[#This Row],[Address A]],IP_Master[],4,FALSE)</f>
        <v>PPPCKDR1</v>
      </c>
      <c r="R1170" s="8" t="e">
        <f>VLOOKUP(Table1[[#This Row],[Address B]],IP_Master[],4,FALSE)</f>
        <v>#N/A</v>
      </c>
      <c r="S1170" s="8" t="str">
        <f>VLOOKUP(Table1[[#This Row],[Address A]],IP_Master[],2,FALSE)</f>
        <v>Kilns/KDR</v>
      </c>
      <c r="T1170" s="8" t="e">
        <f>VLOOKUP(Table1[[#This Row],[Address B]],IP_Master[],2,FALSE)</f>
        <v>#N/A</v>
      </c>
      <c r="U1170" s="9" t="str">
        <f>VLOOKUP(Table1[[#This Row],[Address A]],IP_Master[],3,FALSE)</f>
        <v>iFIX Nodes &amp; Ethernet Switches</v>
      </c>
      <c r="V1170" s="9" t="e">
        <f>VLOOKUP(Table1[[#This Row],[Address B]],IP_Master[],3,FALSE)</f>
        <v>#N/A</v>
      </c>
      <c r="W1170" s="9" t="str">
        <f>VLOOKUP(Table1[[#This Row],[Port B]],traffic_types[],2,FALSE)</f>
        <v>HTTP</v>
      </c>
    </row>
    <row r="1171" spans="1:23" x14ac:dyDescent="0.6">
      <c r="A1171" t="s">
        <v>144</v>
      </c>
      <c r="B1171">
        <v>58195</v>
      </c>
      <c r="C1171" t="s">
        <v>106</v>
      </c>
      <c r="D1171">
        <v>80</v>
      </c>
      <c r="E1171">
        <v>3</v>
      </c>
      <c r="F1171" s="13">
        <v>194</v>
      </c>
      <c r="G1171">
        <v>3</v>
      </c>
      <c r="H1171">
        <v>194</v>
      </c>
      <c r="I1171">
        <v>0</v>
      </c>
      <c r="J1171">
        <v>0</v>
      </c>
      <c r="K1171">
        <v>372.63580000000002</v>
      </c>
      <c r="L1171">
        <v>9.0018709999999906</v>
      </c>
      <c r="M1171">
        <v>172.40860261161299</v>
      </c>
      <c r="N1171">
        <v>0</v>
      </c>
      <c r="O1171" s="8" t="str">
        <f>formatIP(Table1[[#This Row],[Address A]])</f>
        <v>010.012.000.201</v>
      </c>
      <c r="P1171" s="8" t="str">
        <f>formatIP(Table1[[#This Row],[Address B]])</f>
        <v>172.217.022.068</v>
      </c>
      <c r="Q1171" s="8" t="str">
        <f>VLOOKUP(Table1[[#This Row],[Address A]],IP_Master[],4,FALSE)</f>
        <v>PPPCKDR1</v>
      </c>
      <c r="R1171" s="8" t="e">
        <f>VLOOKUP(Table1[[#This Row],[Address B]],IP_Master[],4,FALSE)</f>
        <v>#N/A</v>
      </c>
      <c r="S1171" s="8" t="str">
        <f>VLOOKUP(Table1[[#This Row],[Address A]],IP_Master[],2,FALSE)</f>
        <v>Kilns/KDR</v>
      </c>
      <c r="T1171" s="8" t="e">
        <f>VLOOKUP(Table1[[#This Row],[Address B]],IP_Master[],2,FALSE)</f>
        <v>#N/A</v>
      </c>
      <c r="U1171" s="9" t="str">
        <f>VLOOKUP(Table1[[#This Row],[Address A]],IP_Master[],3,FALSE)</f>
        <v>iFIX Nodes &amp; Ethernet Switches</v>
      </c>
      <c r="V1171" s="9" t="e">
        <f>VLOOKUP(Table1[[#This Row],[Address B]],IP_Master[],3,FALSE)</f>
        <v>#N/A</v>
      </c>
      <c r="W1171" s="9" t="str">
        <f>VLOOKUP(Table1[[#This Row],[Port B]],traffic_types[],2,FALSE)</f>
        <v>HTTP</v>
      </c>
    </row>
    <row r="1172" spans="1:23" x14ac:dyDescent="0.6">
      <c r="A1172" t="s">
        <v>144</v>
      </c>
      <c r="B1172">
        <v>58199</v>
      </c>
      <c r="C1172" t="s">
        <v>101</v>
      </c>
      <c r="D1172">
        <v>80</v>
      </c>
      <c r="E1172">
        <v>3</v>
      </c>
      <c r="F1172" s="13">
        <v>194</v>
      </c>
      <c r="G1172">
        <v>3</v>
      </c>
      <c r="H1172">
        <v>194</v>
      </c>
      <c r="I1172">
        <v>0</v>
      </c>
      <c r="J1172">
        <v>0</v>
      </c>
      <c r="K1172">
        <v>398.67640299999999</v>
      </c>
      <c r="L1172">
        <v>8.9981710000000099</v>
      </c>
      <c r="M1172">
        <v>172.47949611093199</v>
      </c>
      <c r="N1172">
        <v>0</v>
      </c>
      <c r="O1172" s="8" t="str">
        <f>formatIP(Table1[[#This Row],[Address A]])</f>
        <v>010.012.000.201</v>
      </c>
      <c r="P1172" s="8" t="str">
        <f>formatIP(Table1[[#This Row],[Address B]])</f>
        <v>023.000.040.234</v>
      </c>
      <c r="Q1172" s="8" t="str">
        <f>VLOOKUP(Table1[[#This Row],[Address A]],IP_Master[],4,FALSE)</f>
        <v>PPPCKDR1</v>
      </c>
      <c r="R1172" s="8" t="e">
        <f>VLOOKUP(Table1[[#This Row],[Address B]],IP_Master[],4,FALSE)</f>
        <v>#N/A</v>
      </c>
      <c r="S1172" s="8" t="str">
        <f>VLOOKUP(Table1[[#This Row],[Address A]],IP_Master[],2,FALSE)</f>
        <v>Kilns/KDR</v>
      </c>
      <c r="T1172" s="8" t="e">
        <f>VLOOKUP(Table1[[#This Row],[Address B]],IP_Master[],2,FALSE)</f>
        <v>#N/A</v>
      </c>
      <c r="U1172" s="9" t="str">
        <f>VLOOKUP(Table1[[#This Row],[Address A]],IP_Master[],3,FALSE)</f>
        <v>iFIX Nodes &amp; Ethernet Switches</v>
      </c>
      <c r="V1172" s="9" t="e">
        <f>VLOOKUP(Table1[[#This Row],[Address B]],IP_Master[],3,FALSE)</f>
        <v>#N/A</v>
      </c>
      <c r="W1172" s="9" t="str">
        <f>VLOOKUP(Table1[[#This Row],[Port B]],traffic_types[],2,FALSE)</f>
        <v>HTTP</v>
      </c>
    </row>
    <row r="1173" spans="1:23" x14ac:dyDescent="0.6">
      <c r="A1173" t="s">
        <v>144</v>
      </c>
      <c r="B1173">
        <v>58203</v>
      </c>
      <c r="C1173" t="s">
        <v>106</v>
      </c>
      <c r="D1173">
        <v>80</v>
      </c>
      <c r="E1173">
        <v>3</v>
      </c>
      <c r="F1173" s="13">
        <v>194</v>
      </c>
      <c r="G1173">
        <v>3</v>
      </c>
      <c r="H1173">
        <v>194</v>
      </c>
      <c r="I1173">
        <v>0</v>
      </c>
      <c r="J1173">
        <v>0</v>
      </c>
      <c r="K1173">
        <v>419.67751700000002</v>
      </c>
      <c r="L1173">
        <v>8.9928009999999894</v>
      </c>
      <c r="M1173">
        <v>172.58249126162201</v>
      </c>
      <c r="N1173">
        <v>0</v>
      </c>
      <c r="O1173" s="8" t="str">
        <f>formatIP(Table1[[#This Row],[Address A]])</f>
        <v>010.012.000.201</v>
      </c>
      <c r="P1173" s="8" t="str">
        <f>formatIP(Table1[[#This Row],[Address B]])</f>
        <v>172.217.022.068</v>
      </c>
      <c r="Q1173" s="8" t="str">
        <f>VLOOKUP(Table1[[#This Row],[Address A]],IP_Master[],4,FALSE)</f>
        <v>PPPCKDR1</v>
      </c>
      <c r="R1173" s="8" t="e">
        <f>VLOOKUP(Table1[[#This Row],[Address B]],IP_Master[],4,FALSE)</f>
        <v>#N/A</v>
      </c>
      <c r="S1173" s="8" t="str">
        <f>VLOOKUP(Table1[[#This Row],[Address A]],IP_Master[],2,FALSE)</f>
        <v>Kilns/KDR</v>
      </c>
      <c r="T1173" s="8" t="e">
        <f>VLOOKUP(Table1[[#This Row],[Address B]],IP_Master[],2,FALSE)</f>
        <v>#N/A</v>
      </c>
      <c r="U1173" s="9" t="str">
        <f>VLOOKUP(Table1[[#This Row],[Address A]],IP_Master[],3,FALSE)</f>
        <v>iFIX Nodes &amp; Ethernet Switches</v>
      </c>
      <c r="V1173" s="9" t="e">
        <f>VLOOKUP(Table1[[#This Row],[Address B]],IP_Master[],3,FALSE)</f>
        <v>#N/A</v>
      </c>
      <c r="W1173" s="9" t="str">
        <f>VLOOKUP(Table1[[#This Row],[Port B]],traffic_types[],2,FALSE)</f>
        <v>HTTP</v>
      </c>
    </row>
    <row r="1174" spans="1:23" x14ac:dyDescent="0.6">
      <c r="A1174" t="s">
        <v>144</v>
      </c>
      <c r="B1174">
        <v>58207</v>
      </c>
      <c r="C1174" t="s">
        <v>101</v>
      </c>
      <c r="D1174">
        <v>80</v>
      </c>
      <c r="E1174">
        <v>3</v>
      </c>
      <c r="F1174" s="13">
        <v>194</v>
      </c>
      <c r="G1174">
        <v>3</v>
      </c>
      <c r="H1174">
        <v>194</v>
      </c>
      <c r="I1174">
        <v>0</v>
      </c>
      <c r="J1174">
        <v>0</v>
      </c>
      <c r="K1174">
        <v>445.68339400000002</v>
      </c>
      <c r="L1174">
        <v>9.0069529999999496</v>
      </c>
      <c r="M1174">
        <v>172.31132437351499</v>
      </c>
      <c r="N1174">
        <v>0</v>
      </c>
      <c r="O1174" s="8" t="str">
        <f>formatIP(Table1[[#This Row],[Address A]])</f>
        <v>010.012.000.201</v>
      </c>
      <c r="P1174" s="8" t="str">
        <f>formatIP(Table1[[#This Row],[Address B]])</f>
        <v>023.000.040.234</v>
      </c>
      <c r="Q1174" s="8" t="str">
        <f>VLOOKUP(Table1[[#This Row],[Address A]],IP_Master[],4,FALSE)</f>
        <v>PPPCKDR1</v>
      </c>
      <c r="R1174" s="8" t="e">
        <f>VLOOKUP(Table1[[#This Row],[Address B]],IP_Master[],4,FALSE)</f>
        <v>#N/A</v>
      </c>
      <c r="S1174" s="8" t="str">
        <f>VLOOKUP(Table1[[#This Row],[Address A]],IP_Master[],2,FALSE)</f>
        <v>Kilns/KDR</v>
      </c>
      <c r="T1174" s="8" t="e">
        <f>VLOOKUP(Table1[[#This Row],[Address B]],IP_Master[],2,FALSE)</f>
        <v>#N/A</v>
      </c>
      <c r="U1174" s="9" t="str">
        <f>VLOOKUP(Table1[[#This Row],[Address A]],IP_Master[],3,FALSE)</f>
        <v>iFIX Nodes &amp; Ethernet Switches</v>
      </c>
      <c r="V1174" s="9" t="e">
        <f>VLOOKUP(Table1[[#This Row],[Address B]],IP_Master[],3,FALSE)</f>
        <v>#N/A</v>
      </c>
      <c r="W1174" s="9" t="str">
        <f>VLOOKUP(Table1[[#This Row],[Port B]],traffic_types[],2,FALSE)</f>
        <v>HTTP</v>
      </c>
    </row>
    <row r="1175" spans="1:23" x14ac:dyDescent="0.6">
      <c r="A1175" t="s">
        <v>144</v>
      </c>
      <c r="B1175">
        <v>58208</v>
      </c>
      <c r="C1175" t="s">
        <v>106</v>
      </c>
      <c r="D1175">
        <v>80</v>
      </c>
      <c r="E1175">
        <v>3</v>
      </c>
      <c r="F1175" s="13">
        <v>194</v>
      </c>
      <c r="G1175">
        <v>3</v>
      </c>
      <c r="H1175">
        <v>194</v>
      </c>
      <c r="I1175">
        <v>0</v>
      </c>
      <c r="J1175">
        <v>0</v>
      </c>
      <c r="K1175">
        <v>466.68595699999997</v>
      </c>
      <c r="L1175">
        <v>9.0009350000000303</v>
      </c>
      <c r="M1175">
        <v>172.42653124369801</v>
      </c>
      <c r="N1175">
        <v>0</v>
      </c>
      <c r="O1175" s="8" t="str">
        <f>formatIP(Table1[[#This Row],[Address A]])</f>
        <v>010.012.000.201</v>
      </c>
      <c r="P1175" s="8" t="str">
        <f>formatIP(Table1[[#This Row],[Address B]])</f>
        <v>172.217.022.068</v>
      </c>
      <c r="Q1175" s="8" t="str">
        <f>VLOOKUP(Table1[[#This Row],[Address A]],IP_Master[],4,FALSE)</f>
        <v>PPPCKDR1</v>
      </c>
      <c r="R1175" s="8" t="e">
        <f>VLOOKUP(Table1[[#This Row],[Address B]],IP_Master[],4,FALSE)</f>
        <v>#N/A</v>
      </c>
      <c r="S1175" s="8" t="str">
        <f>VLOOKUP(Table1[[#This Row],[Address A]],IP_Master[],2,FALSE)</f>
        <v>Kilns/KDR</v>
      </c>
      <c r="T1175" s="8" t="e">
        <f>VLOOKUP(Table1[[#This Row],[Address B]],IP_Master[],2,FALSE)</f>
        <v>#N/A</v>
      </c>
      <c r="U1175" s="9" t="str">
        <f>VLOOKUP(Table1[[#This Row],[Address A]],IP_Master[],3,FALSE)</f>
        <v>iFIX Nodes &amp; Ethernet Switches</v>
      </c>
      <c r="V1175" s="9" t="e">
        <f>VLOOKUP(Table1[[#This Row],[Address B]],IP_Master[],3,FALSE)</f>
        <v>#N/A</v>
      </c>
      <c r="W1175" s="9" t="str">
        <f>VLOOKUP(Table1[[#This Row],[Port B]],traffic_types[],2,FALSE)</f>
        <v>HTTP</v>
      </c>
    </row>
    <row r="1176" spans="1:23" x14ac:dyDescent="0.6">
      <c r="A1176" t="s">
        <v>144</v>
      </c>
      <c r="B1176">
        <v>58212</v>
      </c>
      <c r="C1176" t="s">
        <v>101</v>
      </c>
      <c r="D1176">
        <v>80</v>
      </c>
      <c r="E1176">
        <v>3</v>
      </c>
      <c r="F1176" s="13">
        <v>194</v>
      </c>
      <c r="G1176">
        <v>3</v>
      </c>
      <c r="H1176">
        <v>194</v>
      </c>
      <c r="I1176">
        <v>0</v>
      </c>
      <c r="J1176">
        <v>0</v>
      </c>
      <c r="K1176">
        <v>492.70522099999999</v>
      </c>
      <c r="L1176">
        <v>8.9996909999999808</v>
      </c>
      <c r="M1176">
        <v>172.45036524031801</v>
      </c>
      <c r="N1176">
        <v>0</v>
      </c>
      <c r="O1176" s="8" t="str">
        <f>formatIP(Table1[[#This Row],[Address A]])</f>
        <v>010.012.000.201</v>
      </c>
      <c r="P1176" s="8" t="str">
        <f>formatIP(Table1[[#This Row],[Address B]])</f>
        <v>023.000.040.234</v>
      </c>
      <c r="Q1176" s="8" t="str">
        <f>VLOOKUP(Table1[[#This Row],[Address A]],IP_Master[],4,FALSE)</f>
        <v>PPPCKDR1</v>
      </c>
      <c r="R1176" s="8" t="e">
        <f>VLOOKUP(Table1[[#This Row],[Address B]],IP_Master[],4,FALSE)</f>
        <v>#N/A</v>
      </c>
      <c r="S1176" s="8" t="str">
        <f>VLOOKUP(Table1[[#This Row],[Address A]],IP_Master[],2,FALSE)</f>
        <v>Kilns/KDR</v>
      </c>
      <c r="T1176" s="8" t="e">
        <f>VLOOKUP(Table1[[#This Row],[Address B]],IP_Master[],2,FALSE)</f>
        <v>#N/A</v>
      </c>
      <c r="U1176" s="9" t="str">
        <f>VLOOKUP(Table1[[#This Row],[Address A]],IP_Master[],3,FALSE)</f>
        <v>iFIX Nodes &amp; Ethernet Switches</v>
      </c>
      <c r="V1176" s="9" t="e">
        <f>VLOOKUP(Table1[[#This Row],[Address B]],IP_Master[],3,FALSE)</f>
        <v>#N/A</v>
      </c>
      <c r="W1176" s="9" t="str">
        <f>VLOOKUP(Table1[[#This Row],[Port B]],traffic_types[],2,FALSE)</f>
        <v>HTTP</v>
      </c>
    </row>
    <row r="1177" spans="1:23" x14ac:dyDescent="0.6">
      <c r="A1177" t="s">
        <v>144</v>
      </c>
      <c r="B1177">
        <v>58216</v>
      </c>
      <c r="C1177" t="s">
        <v>106</v>
      </c>
      <c r="D1177">
        <v>80</v>
      </c>
      <c r="E1177">
        <v>3</v>
      </c>
      <c r="F1177" s="13">
        <v>194</v>
      </c>
      <c r="G1177">
        <v>3</v>
      </c>
      <c r="H1177">
        <v>194</v>
      </c>
      <c r="I1177">
        <v>0</v>
      </c>
      <c r="J1177">
        <v>0</v>
      </c>
      <c r="K1177">
        <v>513.71469500000001</v>
      </c>
      <c r="L1177">
        <v>8.9987670000000399</v>
      </c>
      <c r="M1177">
        <v>172.468072570386</v>
      </c>
      <c r="N1177">
        <v>0</v>
      </c>
      <c r="O1177" s="8" t="str">
        <f>formatIP(Table1[[#This Row],[Address A]])</f>
        <v>010.012.000.201</v>
      </c>
      <c r="P1177" s="8" t="str">
        <f>formatIP(Table1[[#This Row],[Address B]])</f>
        <v>172.217.022.068</v>
      </c>
      <c r="Q1177" s="8" t="str">
        <f>VLOOKUP(Table1[[#This Row],[Address A]],IP_Master[],4,FALSE)</f>
        <v>PPPCKDR1</v>
      </c>
      <c r="R1177" s="8" t="e">
        <f>VLOOKUP(Table1[[#This Row],[Address B]],IP_Master[],4,FALSE)</f>
        <v>#N/A</v>
      </c>
      <c r="S1177" s="8" t="str">
        <f>VLOOKUP(Table1[[#This Row],[Address A]],IP_Master[],2,FALSE)</f>
        <v>Kilns/KDR</v>
      </c>
      <c r="T1177" s="8" t="e">
        <f>VLOOKUP(Table1[[#This Row],[Address B]],IP_Master[],2,FALSE)</f>
        <v>#N/A</v>
      </c>
      <c r="U1177" s="9" t="str">
        <f>VLOOKUP(Table1[[#This Row],[Address A]],IP_Master[],3,FALSE)</f>
        <v>iFIX Nodes &amp; Ethernet Switches</v>
      </c>
      <c r="V1177" s="9" t="e">
        <f>VLOOKUP(Table1[[#This Row],[Address B]],IP_Master[],3,FALSE)</f>
        <v>#N/A</v>
      </c>
      <c r="W1177" s="9" t="str">
        <f>VLOOKUP(Table1[[#This Row],[Port B]],traffic_types[],2,FALSE)</f>
        <v>HTTP</v>
      </c>
    </row>
    <row r="1178" spans="1:23" x14ac:dyDescent="0.6">
      <c r="A1178" t="s">
        <v>144</v>
      </c>
      <c r="B1178">
        <v>58217</v>
      </c>
      <c r="C1178" t="s">
        <v>123</v>
      </c>
      <c r="D1178">
        <v>443</v>
      </c>
      <c r="E1178">
        <v>3</v>
      </c>
      <c r="F1178" s="13">
        <v>194</v>
      </c>
      <c r="G1178">
        <v>3</v>
      </c>
      <c r="H1178">
        <v>194</v>
      </c>
      <c r="I1178">
        <v>0</v>
      </c>
      <c r="J1178">
        <v>0</v>
      </c>
      <c r="K1178">
        <v>523.43836699999997</v>
      </c>
      <c r="L1178">
        <v>9.0070299999999897</v>
      </c>
      <c r="M1178">
        <v>172.30985130503601</v>
      </c>
      <c r="N1178">
        <v>0</v>
      </c>
      <c r="O1178" s="8" t="str">
        <f>formatIP(Table1[[#This Row],[Address A]])</f>
        <v>010.012.000.201</v>
      </c>
      <c r="P1178" s="8" t="str">
        <f>formatIP(Table1[[#This Row],[Address B]])</f>
        <v>023.032.124.029</v>
      </c>
      <c r="Q1178" s="8" t="str">
        <f>VLOOKUP(Table1[[#This Row],[Address A]],IP_Master[],4,FALSE)</f>
        <v>PPPCKDR1</v>
      </c>
      <c r="R1178" s="8" t="e">
        <f>VLOOKUP(Table1[[#This Row],[Address B]],IP_Master[],4,FALSE)</f>
        <v>#N/A</v>
      </c>
      <c r="S1178" s="8" t="str">
        <f>VLOOKUP(Table1[[#This Row],[Address A]],IP_Master[],2,FALSE)</f>
        <v>Kilns/KDR</v>
      </c>
      <c r="T1178" s="8" t="e">
        <f>VLOOKUP(Table1[[#This Row],[Address B]],IP_Master[],2,FALSE)</f>
        <v>#N/A</v>
      </c>
      <c r="U1178" s="9" t="str">
        <f>VLOOKUP(Table1[[#This Row],[Address A]],IP_Master[],3,FALSE)</f>
        <v>iFIX Nodes &amp; Ethernet Switches</v>
      </c>
      <c r="V1178" s="9" t="e">
        <f>VLOOKUP(Table1[[#This Row],[Address B]],IP_Master[],3,FALSE)</f>
        <v>#N/A</v>
      </c>
      <c r="W1178" s="9" t="str">
        <f>VLOOKUP(Table1[[#This Row],[Port B]],traffic_types[],2,FALSE)</f>
        <v>HTTP/S</v>
      </c>
    </row>
    <row r="1179" spans="1:23" x14ac:dyDescent="0.6">
      <c r="A1179" t="s">
        <v>144</v>
      </c>
      <c r="B1179">
        <v>58221</v>
      </c>
      <c r="C1179" t="s">
        <v>101</v>
      </c>
      <c r="D1179">
        <v>80</v>
      </c>
      <c r="E1179">
        <v>3</v>
      </c>
      <c r="F1179" s="13">
        <v>194</v>
      </c>
      <c r="G1179">
        <v>3</v>
      </c>
      <c r="H1179">
        <v>194</v>
      </c>
      <c r="I1179">
        <v>0</v>
      </c>
      <c r="J1179">
        <v>0</v>
      </c>
      <c r="K1179">
        <v>540.11372600000004</v>
      </c>
      <c r="L1179">
        <v>8.9988069999999407</v>
      </c>
      <c r="M1179">
        <v>172.467305944</v>
      </c>
      <c r="N1179">
        <v>0</v>
      </c>
      <c r="O1179" s="8" t="str">
        <f>formatIP(Table1[[#This Row],[Address A]])</f>
        <v>010.012.000.201</v>
      </c>
      <c r="P1179" s="8" t="str">
        <f>formatIP(Table1[[#This Row],[Address B]])</f>
        <v>023.000.040.234</v>
      </c>
      <c r="Q1179" s="8" t="str">
        <f>VLOOKUP(Table1[[#This Row],[Address A]],IP_Master[],4,FALSE)</f>
        <v>PPPCKDR1</v>
      </c>
      <c r="R1179" s="8" t="e">
        <f>VLOOKUP(Table1[[#This Row],[Address B]],IP_Master[],4,FALSE)</f>
        <v>#N/A</v>
      </c>
      <c r="S1179" s="8" t="str">
        <f>VLOOKUP(Table1[[#This Row],[Address A]],IP_Master[],2,FALSE)</f>
        <v>Kilns/KDR</v>
      </c>
      <c r="T1179" s="8" t="e">
        <f>VLOOKUP(Table1[[#This Row],[Address B]],IP_Master[],2,FALSE)</f>
        <v>#N/A</v>
      </c>
      <c r="U1179" s="9" t="str">
        <f>VLOOKUP(Table1[[#This Row],[Address A]],IP_Master[],3,FALSE)</f>
        <v>iFIX Nodes &amp; Ethernet Switches</v>
      </c>
      <c r="V1179" s="9" t="e">
        <f>VLOOKUP(Table1[[#This Row],[Address B]],IP_Master[],3,FALSE)</f>
        <v>#N/A</v>
      </c>
      <c r="W1179" s="9" t="str">
        <f>VLOOKUP(Table1[[#This Row],[Port B]],traffic_types[],2,FALSE)</f>
        <v>HTTP</v>
      </c>
    </row>
    <row r="1180" spans="1:23" x14ac:dyDescent="0.6">
      <c r="A1180" t="s">
        <v>144</v>
      </c>
      <c r="B1180">
        <v>58225</v>
      </c>
      <c r="C1180" t="s">
        <v>106</v>
      </c>
      <c r="D1180">
        <v>80</v>
      </c>
      <c r="E1180">
        <v>3</v>
      </c>
      <c r="F1180" s="13">
        <v>194</v>
      </c>
      <c r="G1180">
        <v>3</v>
      </c>
      <c r="H1180">
        <v>194</v>
      </c>
      <c r="I1180">
        <v>0</v>
      </c>
      <c r="J1180">
        <v>0</v>
      </c>
      <c r="K1180">
        <v>561.11937399999999</v>
      </c>
      <c r="L1180">
        <v>9.0097940000000598</v>
      </c>
      <c r="M1180">
        <v>172.25699055938401</v>
      </c>
      <c r="N1180">
        <v>0</v>
      </c>
      <c r="O1180" s="8" t="str">
        <f>formatIP(Table1[[#This Row],[Address A]])</f>
        <v>010.012.000.201</v>
      </c>
      <c r="P1180" s="8" t="str">
        <f>formatIP(Table1[[#This Row],[Address B]])</f>
        <v>172.217.022.068</v>
      </c>
      <c r="Q1180" s="8" t="str">
        <f>VLOOKUP(Table1[[#This Row],[Address A]],IP_Master[],4,FALSE)</f>
        <v>PPPCKDR1</v>
      </c>
      <c r="R1180" s="8" t="e">
        <f>VLOOKUP(Table1[[#This Row],[Address B]],IP_Master[],4,FALSE)</f>
        <v>#N/A</v>
      </c>
      <c r="S1180" s="8" t="str">
        <f>VLOOKUP(Table1[[#This Row],[Address A]],IP_Master[],2,FALSE)</f>
        <v>Kilns/KDR</v>
      </c>
      <c r="T1180" s="8" t="e">
        <f>VLOOKUP(Table1[[#This Row],[Address B]],IP_Master[],2,FALSE)</f>
        <v>#N/A</v>
      </c>
      <c r="U1180" s="9" t="str">
        <f>VLOOKUP(Table1[[#This Row],[Address A]],IP_Master[],3,FALSE)</f>
        <v>iFIX Nodes &amp; Ethernet Switches</v>
      </c>
      <c r="V1180" s="9" t="e">
        <f>VLOOKUP(Table1[[#This Row],[Address B]],IP_Master[],3,FALSE)</f>
        <v>#N/A</v>
      </c>
      <c r="W1180" s="9" t="str">
        <f>VLOOKUP(Table1[[#This Row],[Port B]],traffic_types[],2,FALSE)</f>
        <v>HTTP</v>
      </c>
    </row>
    <row r="1181" spans="1:23" x14ac:dyDescent="0.6">
      <c r="A1181" t="s">
        <v>144</v>
      </c>
      <c r="B1181">
        <v>58226</v>
      </c>
      <c r="C1181" t="s">
        <v>101</v>
      </c>
      <c r="D1181">
        <v>80</v>
      </c>
      <c r="E1181">
        <v>3</v>
      </c>
      <c r="F1181" s="13">
        <v>194</v>
      </c>
      <c r="G1181">
        <v>3</v>
      </c>
      <c r="H1181">
        <v>194</v>
      </c>
      <c r="I1181">
        <v>0</v>
      </c>
      <c r="J1181">
        <v>0</v>
      </c>
      <c r="K1181">
        <v>587.15416300000004</v>
      </c>
      <c r="L1181">
        <v>8.9989669999999897</v>
      </c>
      <c r="M1181">
        <v>172.46423950660099</v>
      </c>
      <c r="N1181">
        <v>0</v>
      </c>
      <c r="O1181" s="8" t="str">
        <f>formatIP(Table1[[#This Row],[Address A]])</f>
        <v>010.012.000.201</v>
      </c>
      <c r="P1181" s="8" t="str">
        <f>formatIP(Table1[[#This Row],[Address B]])</f>
        <v>023.000.040.234</v>
      </c>
      <c r="Q1181" s="8" t="str">
        <f>VLOOKUP(Table1[[#This Row],[Address A]],IP_Master[],4,FALSE)</f>
        <v>PPPCKDR1</v>
      </c>
      <c r="R1181" s="8" t="e">
        <f>VLOOKUP(Table1[[#This Row],[Address B]],IP_Master[],4,FALSE)</f>
        <v>#N/A</v>
      </c>
      <c r="S1181" s="8" t="str">
        <f>VLOOKUP(Table1[[#This Row],[Address A]],IP_Master[],2,FALSE)</f>
        <v>Kilns/KDR</v>
      </c>
      <c r="T1181" s="8" t="e">
        <f>VLOOKUP(Table1[[#This Row],[Address B]],IP_Master[],2,FALSE)</f>
        <v>#N/A</v>
      </c>
      <c r="U1181" s="9" t="str">
        <f>VLOOKUP(Table1[[#This Row],[Address A]],IP_Master[],3,FALSE)</f>
        <v>iFIX Nodes &amp; Ethernet Switches</v>
      </c>
      <c r="V1181" s="9" t="e">
        <f>VLOOKUP(Table1[[#This Row],[Address B]],IP_Master[],3,FALSE)</f>
        <v>#N/A</v>
      </c>
      <c r="W1181" s="9" t="str">
        <f>VLOOKUP(Table1[[#This Row],[Port B]],traffic_types[],2,FALSE)</f>
        <v>HTTP</v>
      </c>
    </row>
    <row r="1182" spans="1:23" x14ac:dyDescent="0.6">
      <c r="A1182" t="s">
        <v>144</v>
      </c>
      <c r="B1182">
        <v>58230</v>
      </c>
      <c r="C1182" t="s">
        <v>106</v>
      </c>
      <c r="D1182">
        <v>80</v>
      </c>
      <c r="E1182">
        <v>3</v>
      </c>
      <c r="F1182" s="13">
        <v>194</v>
      </c>
      <c r="G1182">
        <v>3</v>
      </c>
      <c r="H1182">
        <v>194</v>
      </c>
      <c r="I1182">
        <v>0</v>
      </c>
      <c r="J1182">
        <v>0</v>
      </c>
      <c r="K1182">
        <v>608.156882</v>
      </c>
      <c r="L1182">
        <v>8.9988710000000101</v>
      </c>
      <c r="M1182">
        <v>172.466079355955</v>
      </c>
      <c r="N1182">
        <v>0</v>
      </c>
      <c r="O1182" s="8" t="str">
        <f>formatIP(Table1[[#This Row],[Address A]])</f>
        <v>010.012.000.201</v>
      </c>
      <c r="P1182" s="8" t="str">
        <f>formatIP(Table1[[#This Row],[Address B]])</f>
        <v>172.217.022.068</v>
      </c>
      <c r="Q1182" s="8" t="str">
        <f>VLOOKUP(Table1[[#This Row],[Address A]],IP_Master[],4,FALSE)</f>
        <v>PPPCKDR1</v>
      </c>
      <c r="R1182" s="8" t="e">
        <f>VLOOKUP(Table1[[#This Row],[Address B]],IP_Master[],4,FALSE)</f>
        <v>#N/A</v>
      </c>
      <c r="S1182" s="8" t="str">
        <f>VLOOKUP(Table1[[#This Row],[Address A]],IP_Master[],2,FALSE)</f>
        <v>Kilns/KDR</v>
      </c>
      <c r="T1182" s="8" t="e">
        <f>VLOOKUP(Table1[[#This Row],[Address B]],IP_Master[],2,FALSE)</f>
        <v>#N/A</v>
      </c>
      <c r="U1182" s="9" t="str">
        <f>VLOOKUP(Table1[[#This Row],[Address A]],IP_Master[],3,FALSE)</f>
        <v>iFIX Nodes &amp; Ethernet Switches</v>
      </c>
      <c r="V1182" s="9" t="e">
        <f>VLOOKUP(Table1[[#This Row],[Address B]],IP_Master[],3,FALSE)</f>
        <v>#N/A</v>
      </c>
      <c r="W1182" s="9" t="str">
        <f>VLOOKUP(Table1[[#This Row],[Port B]],traffic_types[],2,FALSE)</f>
        <v>HTTP</v>
      </c>
    </row>
    <row r="1183" spans="1:23" x14ac:dyDescent="0.6">
      <c r="A1183" t="s">
        <v>144</v>
      </c>
      <c r="B1183">
        <v>58234</v>
      </c>
      <c r="C1183" t="s">
        <v>101</v>
      </c>
      <c r="D1183">
        <v>80</v>
      </c>
      <c r="E1183">
        <v>3</v>
      </c>
      <c r="F1183" s="13">
        <v>194</v>
      </c>
      <c r="G1183">
        <v>3</v>
      </c>
      <c r="H1183">
        <v>194</v>
      </c>
      <c r="I1183">
        <v>0</v>
      </c>
      <c r="J1183">
        <v>0</v>
      </c>
      <c r="K1183">
        <v>634.17248700000005</v>
      </c>
      <c r="L1183">
        <v>9.0012509999999093</v>
      </c>
      <c r="M1183">
        <v>172.420477998004</v>
      </c>
      <c r="N1183">
        <v>0</v>
      </c>
      <c r="O1183" s="8" t="str">
        <f>formatIP(Table1[[#This Row],[Address A]])</f>
        <v>010.012.000.201</v>
      </c>
      <c r="P1183" s="8" t="str">
        <f>formatIP(Table1[[#This Row],[Address B]])</f>
        <v>023.000.040.234</v>
      </c>
      <c r="Q1183" s="8" t="str">
        <f>VLOOKUP(Table1[[#This Row],[Address A]],IP_Master[],4,FALSE)</f>
        <v>PPPCKDR1</v>
      </c>
      <c r="R1183" s="8" t="e">
        <f>VLOOKUP(Table1[[#This Row],[Address B]],IP_Master[],4,FALSE)</f>
        <v>#N/A</v>
      </c>
      <c r="S1183" s="8" t="str">
        <f>VLOOKUP(Table1[[#This Row],[Address A]],IP_Master[],2,FALSE)</f>
        <v>Kilns/KDR</v>
      </c>
      <c r="T1183" s="8" t="e">
        <f>VLOOKUP(Table1[[#This Row],[Address B]],IP_Master[],2,FALSE)</f>
        <v>#N/A</v>
      </c>
      <c r="U1183" s="9" t="str">
        <f>VLOOKUP(Table1[[#This Row],[Address A]],IP_Master[],3,FALSE)</f>
        <v>iFIX Nodes &amp; Ethernet Switches</v>
      </c>
      <c r="V1183" s="9" t="e">
        <f>VLOOKUP(Table1[[#This Row],[Address B]],IP_Master[],3,FALSE)</f>
        <v>#N/A</v>
      </c>
      <c r="W1183" s="9" t="str">
        <f>VLOOKUP(Table1[[#This Row],[Port B]],traffic_types[],2,FALSE)</f>
        <v>HTTP</v>
      </c>
    </row>
    <row r="1184" spans="1:23" x14ac:dyDescent="0.6">
      <c r="A1184" t="s">
        <v>144</v>
      </c>
      <c r="B1184">
        <v>58238</v>
      </c>
      <c r="C1184" t="s">
        <v>106</v>
      </c>
      <c r="D1184">
        <v>80</v>
      </c>
      <c r="E1184">
        <v>3</v>
      </c>
      <c r="F1184" s="13">
        <v>194</v>
      </c>
      <c r="G1184">
        <v>3</v>
      </c>
      <c r="H1184">
        <v>194</v>
      </c>
      <c r="I1184">
        <v>0</v>
      </c>
      <c r="J1184">
        <v>0</v>
      </c>
      <c r="K1184">
        <v>655.17759999999998</v>
      </c>
      <c r="L1184">
        <v>9.0067500000000091</v>
      </c>
      <c r="M1184">
        <v>172.31520803841499</v>
      </c>
      <c r="N1184">
        <v>0</v>
      </c>
      <c r="O1184" s="8" t="str">
        <f>formatIP(Table1[[#This Row],[Address A]])</f>
        <v>010.012.000.201</v>
      </c>
      <c r="P1184" s="8" t="str">
        <f>formatIP(Table1[[#This Row],[Address B]])</f>
        <v>172.217.022.068</v>
      </c>
      <c r="Q1184" s="8" t="str">
        <f>VLOOKUP(Table1[[#This Row],[Address A]],IP_Master[],4,FALSE)</f>
        <v>PPPCKDR1</v>
      </c>
      <c r="R1184" s="8" t="e">
        <f>VLOOKUP(Table1[[#This Row],[Address B]],IP_Master[],4,FALSE)</f>
        <v>#N/A</v>
      </c>
      <c r="S1184" s="8" t="str">
        <f>VLOOKUP(Table1[[#This Row],[Address A]],IP_Master[],2,FALSE)</f>
        <v>Kilns/KDR</v>
      </c>
      <c r="T1184" s="8" t="e">
        <f>VLOOKUP(Table1[[#This Row],[Address B]],IP_Master[],2,FALSE)</f>
        <v>#N/A</v>
      </c>
      <c r="U1184" s="9" t="str">
        <f>VLOOKUP(Table1[[#This Row],[Address A]],IP_Master[],3,FALSE)</f>
        <v>iFIX Nodes &amp; Ethernet Switches</v>
      </c>
      <c r="V1184" s="9" t="e">
        <f>VLOOKUP(Table1[[#This Row],[Address B]],IP_Master[],3,FALSE)</f>
        <v>#N/A</v>
      </c>
      <c r="W1184" s="9" t="str">
        <f>VLOOKUP(Table1[[#This Row],[Port B]],traffic_types[],2,FALSE)</f>
        <v>HTTP</v>
      </c>
    </row>
    <row r="1185" spans="1:23" x14ac:dyDescent="0.6">
      <c r="A1185" t="s">
        <v>144</v>
      </c>
      <c r="B1185">
        <v>58241</v>
      </c>
      <c r="C1185" t="s">
        <v>101</v>
      </c>
      <c r="D1185">
        <v>80</v>
      </c>
      <c r="E1185">
        <v>3</v>
      </c>
      <c r="F1185" s="13">
        <v>194</v>
      </c>
      <c r="G1185">
        <v>3</v>
      </c>
      <c r="H1185">
        <v>194</v>
      </c>
      <c r="I1185">
        <v>0</v>
      </c>
      <c r="J1185">
        <v>0</v>
      </c>
      <c r="K1185">
        <v>681.58780200000001</v>
      </c>
      <c r="L1185">
        <v>8.9954729999999508</v>
      </c>
      <c r="M1185">
        <v>172.531227651954</v>
      </c>
      <c r="N1185">
        <v>0</v>
      </c>
      <c r="O1185" s="8" t="str">
        <f>formatIP(Table1[[#This Row],[Address A]])</f>
        <v>010.012.000.201</v>
      </c>
      <c r="P1185" s="8" t="str">
        <f>formatIP(Table1[[#This Row],[Address B]])</f>
        <v>023.000.040.234</v>
      </c>
      <c r="Q1185" s="8" t="str">
        <f>VLOOKUP(Table1[[#This Row],[Address A]],IP_Master[],4,FALSE)</f>
        <v>PPPCKDR1</v>
      </c>
      <c r="R1185" s="8" t="e">
        <f>VLOOKUP(Table1[[#This Row],[Address B]],IP_Master[],4,FALSE)</f>
        <v>#N/A</v>
      </c>
      <c r="S1185" s="8" t="str">
        <f>VLOOKUP(Table1[[#This Row],[Address A]],IP_Master[],2,FALSE)</f>
        <v>Kilns/KDR</v>
      </c>
      <c r="T1185" s="8" t="e">
        <f>VLOOKUP(Table1[[#This Row],[Address B]],IP_Master[],2,FALSE)</f>
        <v>#N/A</v>
      </c>
      <c r="U1185" s="9" t="str">
        <f>VLOOKUP(Table1[[#This Row],[Address A]],IP_Master[],3,FALSE)</f>
        <v>iFIX Nodes &amp; Ethernet Switches</v>
      </c>
      <c r="V1185" s="9" t="e">
        <f>VLOOKUP(Table1[[#This Row],[Address B]],IP_Master[],3,FALSE)</f>
        <v>#N/A</v>
      </c>
      <c r="W1185" s="9" t="str">
        <f>VLOOKUP(Table1[[#This Row],[Port B]],traffic_types[],2,FALSE)</f>
        <v>HTTP</v>
      </c>
    </row>
    <row r="1186" spans="1:23" x14ac:dyDescent="0.6">
      <c r="A1186" t="s">
        <v>144</v>
      </c>
      <c r="B1186">
        <v>58245</v>
      </c>
      <c r="C1186" t="s">
        <v>106</v>
      </c>
      <c r="D1186">
        <v>80</v>
      </c>
      <c r="E1186">
        <v>3</v>
      </c>
      <c r="F1186" s="13">
        <v>194</v>
      </c>
      <c r="G1186">
        <v>3</v>
      </c>
      <c r="H1186">
        <v>194</v>
      </c>
      <c r="I1186">
        <v>0</v>
      </c>
      <c r="J1186">
        <v>0</v>
      </c>
      <c r="K1186">
        <v>702.58990500000004</v>
      </c>
      <c r="L1186">
        <v>9.0080589999999994</v>
      </c>
      <c r="M1186">
        <v>172.290168170524</v>
      </c>
      <c r="N1186">
        <v>0</v>
      </c>
      <c r="O1186" s="8" t="str">
        <f>formatIP(Table1[[#This Row],[Address A]])</f>
        <v>010.012.000.201</v>
      </c>
      <c r="P1186" s="8" t="str">
        <f>formatIP(Table1[[#This Row],[Address B]])</f>
        <v>172.217.022.068</v>
      </c>
      <c r="Q1186" s="8" t="str">
        <f>VLOOKUP(Table1[[#This Row],[Address A]],IP_Master[],4,FALSE)</f>
        <v>PPPCKDR1</v>
      </c>
      <c r="R1186" s="8" t="e">
        <f>VLOOKUP(Table1[[#This Row],[Address B]],IP_Master[],4,FALSE)</f>
        <v>#N/A</v>
      </c>
      <c r="S1186" s="8" t="str">
        <f>VLOOKUP(Table1[[#This Row],[Address A]],IP_Master[],2,FALSE)</f>
        <v>Kilns/KDR</v>
      </c>
      <c r="T1186" s="8" t="e">
        <f>VLOOKUP(Table1[[#This Row],[Address B]],IP_Master[],2,FALSE)</f>
        <v>#N/A</v>
      </c>
      <c r="U1186" s="9" t="str">
        <f>VLOOKUP(Table1[[#This Row],[Address A]],IP_Master[],3,FALSE)</f>
        <v>iFIX Nodes &amp; Ethernet Switches</v>
      </c>
      <c r="V1186" s="9" t="e">
        <f>VLOOKUP(Table1[[#This Row],[Address B]],IP_Master[],3,FALSE)</f>
        <v>#N/A</v>
      </c>
      <c r="W1186" s="9" t="str">
        <f>VLOOKUP(Table1[[#This Row],[Port B]],traffic_types[],2,FALSE)</f>
        <v>HTTP</v>
      </c>
    </row>
    <row r="1187" spans="1:23" x14ac:dyDescent="0.6">
      <c r="A1187" t="s">
        <v>144</v>
      </c>
      <c r="B1187">
        <v>58249</v>
      </c>
      <c r="C1187" t="s">
        <v>101</v>
      </c>
      <c r="D1187">
        <v>80</v>
      </c>
      <c r="E1187">
        <v>3</v>
      </c>
      <c r="F1187" s="13">
        <v>194</v>
      </c>
      <c r="G1187">
        <v>3</v>
      </c>
      <c r="H1187">
        <v>194</v>
      </c>
      <c r="I1187">
        <v>0</v>
      </c>
      <c r="J1187">
        <v>0</v>
      </c>
      <c r="K1187">
        <v>728.64123500000005</v>
      </c>
      <c r="L1187">
        <v>8.9986829999999092</v>
      </c>
      <c r="M1187">
        <v>172.46968250798599</v>
      </c>
      <c r="N1187">
        <v>0</v>
      </c>
      <c r="O1187" s="8" t="str">
        <f>formatIP(Table1[[#This Row],[Address A]])</f>
        <v>010.012.000.201</v>
      </c>
      <c r="P1187" s="8" t="str">
        <f>formatIP(Table1[[#This Row],[Address B]])</f>
        <v>023.000.040.234</v>
      </c>
      <c r="Q1187" s="8" t="str">
        <f>VLOOKUP(Table1[[#This Row],[Address A]],IP_Master[],4,FALSE)</f>
        <v>PPPCKDR1</v>
      </c>
      <c r="R1187" s="8" t="e">
        <f>VLOOKUP(Table1[[#This Row],[Address B]],IP_Master[],4,FALSE)</f>
        <v>#N/A</v>
      </c>
      <c r="S1187" s="8" t="str">
        <f>VLOOKUP(Table1[[#This Row],[Address A]],IP_Master[],2,FALSE)</f>
        <v>Kilns/KDR</v>
      </c>
      <c r="T1187" s="8" t="e">
        <f>VLOOKUP(Table1[[#This Row],[Address B]],IP_Master[],2,FALSE)</f>
        <v>#N/A</v>
      </c>
      <c r="U1187" s="9" t="str">
        <f>VLOOKUP(Table1[[#This Row],[Address A]],IP_Master[],3,FALSE)</f>
        <v>iFIX Nodes &amp; Ethernet Switches</v>
      </c>
      <c r="V1187" s="9" t="e">
        <f>VLOOKUP(Table1[[#This Row],[Address B]],IP_Master[],3,FALSE)</f>
        <v>#N/A</v>
      </c>
      <c r="W1187" s="9" t="str">
        <f>VLOOKUP(Table1[[#This Row],[Port B]],traffic_types[],2,FALSE)</f>
        <v>HTTP</v>
      </c>
    </row>
    <row r="1188" spans="1:23" x14ac:dyDescent="0.6">
      <c r="A1188" t="s">
        <v>144</v>
      </c>
      <c r="B1188">
        <v>58253</v>
      </c>
      <c r="C1188" t="s">
        <v>106</v>
      </c>
      <c r="D1188">
        <v>80</v>
      </c>
      <c r="E1188">
        <v>3</v>
      </c>
      <c r="F1188" s="13">
        <v>194</v>
      </c>
      <c r="G1188">
        <v>3</v>
      </c>
      <c r="H1188">
        <v>194</v>
      </c>
      <c r="I1188">
        <v>0</v>
      </c>
      <c r="J1188">
        <v>0</v>
      </c>
      <c r="K1188">
        <v>749.63759800000003</v>
      </c>
      <c r="L1188">
        <v>9.0000149999999604</v>
      </c>
      <c r="M1188">
        <v>172.44415703751699</v>
      </c>
      <c r="N1188">
        <v>0</v>
      </c>
      <c r="O1188" s="8" t="str">
        <f>formatIP(Table1[[#This Row],[Address A]])</f>
        <v>010.012.000.201</v>
      </c>
      <c r="P1188" s="8" t="str">
        <f>formatIP(Table1[[#This Row],[Address B]])</f>
        <v>172.217.022.068</v>
      </c>
      <c r="Q1188" s="8" t="str">
        <f>VLOOKUP(Table1[[#This Row],[Address A]],IP_Master[],4,FALSE)</f>
        <v>PPPCKDR1</v>
      </c>
      <c r="R1188" s="8" t="e">
        <f>VLOOKUP(Table1[[#This Row],[Address B]],IP_Master[],4,FALSE)</f>
        <v>#N/A</v>
      </c>
      <c r="S1188" s="8" t="str">
        <f>VLOOKUP(Table1[[#This Row],[Address A]],IP_Master[],2,FALSE)</f>
        <v>Kilns/KDR</v>
      </c>
      <c r="T1188" s="8" t="e">
        <f>VLOOKUP(Table1[[#This Row],[Address B]],IP_Master[],2,FALSE)</f>
        <v>#N/A</v>
      </c>
      <c r="U1188" s="9" t="str">
        <f>VLOOKUP(Table1[[#This Row],[Address A]],IP_Master[],3,FALSE)</f>
        <v>iFIX Nodes &amp; Ethernet Switches</v>
      </c>
      <c r="V1188" s="9" t="e">
        <f>VLOOKUP(Table1[[#This Row],[Address B]],IP_Master[],3,FALSE)</f>
        <v>#N/A</v>
      </c>
      <c r="W1188" s="9" t="str">
        <f>VLOOKUP(Table1[[#This Row],[Port B]],traffic_types[],2,FALSE)</f>
        <v>HTTP</v>
      </c>
    </row>
    <row r="1189" spans="1:23" x14ac:dyDescent="0.6">
      <c r="A1189" t="s">
        <v>144</v>
      </c>
      <c r="B1189">
        <v>58254</v>
      </c>
      <c r="C1189" t="s">
        <v>101</v>
      </c>
      <c r="D1189">
        <v>80</v>
      </c>
      <c r="E1189">
        <v>3</v>
      </c>
      <c r="F1189" s="13">
        <v>194</v>
      </c>
      <c r="G1189">
        <v>3</v>
      </c>
      <c r="H1189">
        <v>194</v>
      </c>
      <c r="I1189">
        <v>0</v>
      </c>
      <c r="J1189">
        <v>0</v>
      </c>
      <c r="K1189">
        <v>775.67450199999996</v>
      </c>
      <c r="L1189">
        <v>9.0000760000000408</v>
      </c>
      <c r="M1189">
        <v>172.44298825921001</v>
      </c>
      <c r="N1189">
        <v>0</v>
      </c>
      <c r="O1189" s="8" t="str">
        <f>formatIP(Table1[[#This Row],[Address A]])</f>
        <v>010.012.000.201</v>
      </c>
      <c r="P1189" s="8" t="str">
        <f>formatIP(Table1[[#This Row],[Address B]])</f>
        <v>023.000.040.234</v>
      </c>
      <c r="Q1189" s="8" t="str">
        <f>VLOOKUP(Table1[[#This Row],[Address A]],IP_Master[],4,FALSE)</f>
        <v>PPPCKDR1</v>
      </c>
      <c r="R1189" s="8" t="e">
        <f>VLOOKUP(Table1[[#This Row],[Address B]],IP_Master[],4,FALSE)</f>
        <v>#N/A</v>
      </c>
      <c r="S1189" s="8" t="str">
        <f>VLOOKUP(Table1[[#This Row],[Address A]],IP_Master[],2,FALSE)</f>
        <v>Kilns/KDR</v>
      </c>
      <c r="T1189" s="8" t="e">
        <f>VLOOKUP(Table1[[#This Row],[Address B]],IP_Master[],2,FALSE)</f>
        <v>#N/A</v>
      </c>
      <c r="U1189" s="9" t="str">
        <f>VLOOKUP(Table1[[#This Row],[Address A]],IP_Master[],3,FALSE)</f>
        <v>iFIX Nodes &amp; Ethernet Switches</v>
      </c>
      <c r="V1189" s="9" t="e">
        <f>VLOOKUP(Table1[[#This Row],[Address B]],IP_Master[],3,FALSE)</f>
        <v>#N/A</v>
      </c>
      <c r="W1189" s="9" t="str">
        <f>VLOOKUP(Table1[[#This Row],[Port B]],traffic_types[],2,FALSE)</f>
        <v>HTTP</v>
      </c>
    </row>
    <row r="1190" spans="1:23" x14ac:dyDescent="0.6">
      <c r="A1190" t="s">
        <v>144</v>
      </c>
      <c r="B1190">
        <v>58258</v>
      </c>
      <c r="C1190" t="s">
        <v>106</v>
      </c>
      <c r="D1190">
        <v>80</v>
      </c>
      <c r="E1190">
        <v>3</v>
      </c>
      <c r="F1190" s="13">
        <v>194</v>
      </c>
      <c r="G1190">
        <v>3</v>
      </c>
      <c r="H1190">
        <v>194</v>
      </c>
      <c r="I1190">
        <v>0</v>
      </c>
      <c r="J1190">
        <v>0</v>
      </c>
      <c r="K1190">
        <v>796.67843300000004</v>
      </c>
      <c r="L1190">
        <v>9.0076960000000099</v>
      </c>
      <c r="M1190">
        <v>172.29711127018501</v>
      </c>
      <c r="N1190">
        <v>0</v>
      </c>
      <c r="O1190" s="8" t="str">
        <f>formatIP(Table1[[#This Row],[Address A]])</f>
        <v>010.012.000.201</v>
      </c>
      <c r="P1190" s="8" t="str">
        <f>formatIP(Table1[[#This Row],[Address B]])</f>
        <v>172.217.022.068</v>
      </c>
      <c r="Q1190" s="8" t="str">
        <f>VLOOKUP(Table1[[#This Row],[Address A]],IP_Master[],4,FALSE)</f>
        <v>PPPCKDR1</v>
      </c>
      <c r="R1190" s="8" t="e">
        <f>VLOOKUP(Table1[[#This Row],[Address B]],IP_Master[],4,FALSE)</f>
        <v>#N/A</v>
      </c>
      <c r="S1190" s="8" t="str">
        <f>VLOOKUP(Table1[[#This Row],[Address A]],IP_Master[],2,FALSE)</f>
        <v>Kilns/KDR</v>
      </c>
      <c r="T1190" s="8" t="e">
        <f>VLOOKUP(Table1[[#This Row],[Address B]],IP_Master[],2,FALSE)</f>
        <v>#N/A</v>
      </c>
      <c r="U1190" s="9" t="str">
        <f>VLOOKUP(Table1[[#This Row],[Address A]],IP_Master[],3,FALSE)</f>
        <v>iFIX Nodes &amp; Ethernet Switches</v>
      </c>
      <c r="V1190" s="9" t="e">
        <f>VLOOKUP(Table1[[#This Row],[Address B]],IP_Master[],3,FALSE)</f>
        <v>#N/A</v>
      </c>
      <c r="W1190" s="9" t="str">
        <f>VLOOKUP(Table1[[#This Row],[Port B]],traffic_types[],2,FALSE)</f>
        <v>HTTP</v>
      </c>
    </row>
    <row r="1191" spans="1:23" x14ac:dyDescent="0.6">
      <c r="A1191" t="s">
        <v>144</v>
      </c>
      <c r="B1191">
        <v>58262</v>
      </c>
      <c r="C1191" t="s">
        <v>101</v>
      </c>
      <c r="D1191">
        <v>80</v>
      </c>
      <c r="E1191">
        <v>3</v>
      </c>
      <c r="F1191" s="13">
        <v>194</v>
      </c>
      <c r="G1191">
        <v>3</v>
      </c>
      <c r="H1191">
        <v>194</v>
      </c>
      <c r="I1191">
        <v>0</v>
      </c>
      <c r="J1191">
        <v>0</v>
      </c>
      <c r="K1191">
        <v>822.72274700000003</v>
      </c>
      <c r="L1191">
        <v>9.0014320000000208</v>
      </c>
      <c r="M1191">
        <v>172.41701098225201</v>
      </c>
      <c r="N1191">
        <v>0</v>
      </c>
      <c r="O1191" s="8" t="str">
        <f>formatIP(Table1[[#This Row],[Address A]])</f>
        <v>010.012.000.201</v>
      </c>
      <c r="P1191" s="8" t="str">
        <f>formatIP(Table1[[#This Row],[Address B]])</f>
        <v>023.000.040.234</v>
      </c>
      <c r="Q1191" s="8" t="str">
        <f>VLOOKUP(Table1[[#This Row],[Address A]],IP_Master[],4,FALSE)</f>
        <v>PPPCKDR1</v>
      </c>
      <c r="R1191" s="8" t="e">
        <f>VLOOKUP(Table1[[#This Row],[Address B]],IP_Master[],4,FALSE)</f>
        <v>#N/A</v>
      </c>
      <c r="S1191" s="8" t="str">
        <f>VLOOKUP(Table1[[#This Row],[Address A]],IP_Master[],2,FALSE)</f>
        <v>Kilns/KDR</v>
      </c>
      <c r="T1191" s="8" t="e">
        <f>VLOOKUP(Table1[[#This Row],[Address B]],IP_Master[],2,FALSE)</f>
        <v>#N/A</v>
      </c>
      <c r="U1191" s="9" t="str">
        <f>VLOOKUP(Table1[[#This Row],[Address A]],IP_Master[],3,FALSE)</f>
        <v>iFIX Nodes &amp; Ethernet Switches</v>
      </c>
      <c r="V1191" s="9" t="e">
        <f>VLOOKUP(Table1[[#This Row],[Address B]],IP_Master[],3,FALSE)</f>
        <v>#N/A</v>
      </c>
      <c r="W1191" s="9" t="str">
        <f>VLOOKUP(Table1[[#This Row],[Port B]],traffic_types[],2,FALSE)</f>
        <v>HTTP</v>
      </c>
    </row>
    <row r="1192" spans="1:23" x14ac:dyDescent="0.6">
      <c r="A1192" t="s">
        <v>144</v>
      </c>
      <c r="B1192">
        <v>58266</v>
      </c>
      <c r="C1192" t="s">
        <v>106</v>
      </c>
      <c r="D1192">
        <v>80</v>
      </c>
      <c r="E1192">
        <v>3</v>
      </c>
      <c r="F1192" s="13">
        <v>194</v>
      </c>
      <c r="G1192">
        <v>3</v>
      </c>
      <c r="H1192">
        <v>194</v>
      </c>
      <c r="I1192">
        <v>0</v>
      </c>
      <c r="J1192">
        <v>0</v>
      </c>
      <c r="K1192">
        <v>843.72995400000002</v>
      </c>
      <c r="L1192">
        <v>8.9908460000000296</v>
      </c>
      <c r="M1192">
        <v>172.620018182938</v>
      </c>
      <c r="N1192">
        <v>0</v>
      </c>
      <c r="O1192" s="8" t="str">
        <f>formatIP(Table1[[#This Row],[Address A]])</f>
        <v>010.012.000.201</v>
      </c>
      <c r="P1192" s="8" t="str">
        <f>formatIP(Table1[[#This Row],[Address B]])</f>
        <v>172.217.022.068</v>
      </c>
      <c r="Q1192" s="8" t="str">
        <f>VLOOKUP(Table1[[#This Row],[Address A]],IP_Master[],4,FALSE)</f>
        <v>PPPCKDR1</v>
      </c>
      <c r="R1192" s="8" t="e">
        <f>VLOOKUP(Table1[[#This Row],[Address B]],IP_Master[],4,FALSE)</f>
        <v>#N/A</v>
      </c>
      <c r="S1192" s="8" t="str">
        <f>VLOOKUP(Table1[[#This Row],[Address A]],IP_Master[],2,FALSE)</f>
        <v>Kilns/KDR</v>
      </c>
      <c r="T1192" s="8" t="e">
        <f>VLOOKUP(Table1[[#This Row],[Address B]],IP_Master[],2,FALSE)</f>
        <v>#N/A</v>
      </c>
      <c r="U1192" s="9" t="str">
        <f>VLOOKUP(Table1[[#This Row],[Address A]],IP_Master[],3,FALSE)</f>
        <v>iFIX Nodes &amp; Ethernet Switches</v>
      </c>
      <c r="V1192" s="9" t="e">
        <f>VLOOKUP(Table1[[#This Row],[Address B]],IP_Master[],3,FALSE)</f>
        <v>#N/A</v>
      </c>
      <c r="W1192" s="9" t="str">
        <f>VLOOKUP(Table1[[#This Row],[Port B]],traffic_types[],2,FALSE)</f>
        <v>HTTP</v>
      </c>
    </row>
    <row r="1193" spans="1:23" x14ac:dyDescent="0.6">
      <c r="A1193" t="s">
        <v>144</v>
      </c>
      <c r="B1193">
        <v>58270</v>
      </c>
      <c r="C1193" t="s">
        <v>101</v>
      </c>
      <c r="D1193">
        <v>80</v>
      </c>
      <c r="E1193">
        <v>3</v>
      </c>
      <c r="F1193" s="13">
        <v>194</v>
      </c>
      <c r="G1193">
        <v>3</v>
      </c>
      <c r="H1193">
        <v>194</v>
      </c>
      <c r="I1193">
        <v>0</v>
      </c>
      <c r="J1193">
        <v>0</v>
      </c>
      <c r="K1193">
        <v>870.13451599999996</v>
      </c>
      <c r="L1193">
        <v>9.00037500000008</v>
      </c>
      <c r="M1193">
        <v>172.437259558628</v>
      </c>
      <c r="N1193">
        <v>0</v>
      </c>
      <c r="O1193" s="8" t="str">
        <f>formatIP(Table1[[#This Row],[Address A]])</f>
        <v>010.012.000.201</v>
      </c>
      <c r="P1193" s="8" t="str">
        <f>formatIP(Table1[[#This Row],[Address B]])</f>
        <v>023.000.040.234</v>
      </c>
      <c r="Q1193" s="8" t="str">
        <f>VLOOKUP(Table1[[#This Row],[Address A]],IP_Master[],4,FALSE)</f>
        <v>PPPCKDR1</v>
      </c>
      <c r="R1193" s="8" t="e">
        <f>VLOOKUP(Table1[[#This Row],[Address B]],IP_Master[],4,FALSE)</f>
        <v>#N/A</v>
      </c>
      <c r="S1193" s="8" t="str">
        <f>VLOOKUP(Table1[[#This Row],[Address A]],IP_Master[],2,FALSE)</f>
        <v>Kilns/KDR</v>
      </c>
      <c r="T1193" s="8" t="e">
        <f>VLOOKUP(Table1[[#This Row],[Address B]],IP_Master[],2,FALSE)</f>
        <v>#N/A</v>
      </c>
      <c r="U1193" s="9" t="str">
        <f>VLOOKUP(Table1[[#This Row],[Address A]],IP_Master[],3,FALSE)</f>
        <v>iFIX Nodes &amp; Ethernet Switches</v>
      </c>
      <c r="V1193" s="9" t="e">
        <f>VLOOKUP(Table1[[#This Row],[Address B]],IP_Master[],3,FALSE)</f>
        <v>#N/A</v>
      </c>
      <c r="W1193" s="9" t="str">
        <f>VLOOKUP(Table1[[#This Row],[Port B]],traffic_types[],2,FALSE)</f>
        <v>HTTP</v>
      </c>
    </row>
    <row r="1194" spans="1:23" x14ac:dyDescent="0.6">
      <c r="A1194" t="s">
        <v>144</v>
      </c>
      <c r="B1194">
        <v>58271</v>
      </c>
      <c r="C1194" t="s">
        <v>106</v>
      </c>
      <c r="D1194">
        <v>80</v>
      </c>
      <c r="E1194">
        <v>3</v>
      </c>
      <c r="F1194" s="13">
        <v>194</v>
      </c>
      <c r="G1194">
        <v>3</v>
      </c>
      <c r="H1194">
        <v>194</v>
      </c>
      <c r="I1194">
        <v>0</v>
      </c>
      <c r="J1194">
        <v>0</v>
      </c>
      <c r="K1194">
        <v>891.14118199999996</v>
      </c>
      <c r="L1194">
        <v>8.9941250000000501</v>
      </c>
      <c r="M1194">
        <v>172.557085875501</v>
      </c>
      <c r="N1194">
        <v>0</v>
      </c>
      <c r="O1194" s="8" t="str">
        <f>formatIP(Table1[[#This Row],[Address A]])</f>
        <v>010.012.000.201</v>
      </c>
      <c r="P1194" s="8" t="str">
        <f>formatIP(Table1[[#This Row],[Address B]])</f>
        <v>172.217.022.068</v>
      </c>
      <c r="Q1194" s="8" t="str">
        <f>VLOOKUP(Table1[[#This Row],[Address A]],IP_Master[],4,FALSE)</f>
        <v>PPPCKDR1</v>
      </c>
      <c r="R1194" s="8" t="e">
        <f>VLOOKUP(Table1[[#This Row],[Address B]],IP_Master[],4,FALSE)</f>
        <v>#N/A</v>
      </c>
      <c r="S1194" s="8" t="str">
        <f>VLOOKUP(Table1[[#This Row],[Address A]],IP_Master[],2,FALSE)</f>
        <v>Kilns/KDR</v>
      </c>
      <c r="T1194" s="8" t="e">
        <f>VLOOKUP(Table1[[#This Row],[Address B]],IP_Master[],2,FALSE)</f>
        <v>#N/A</v>
      </c>
      <c r="U1194" s="9" t="str">
        <f>VLOOKUP(Table1[[#This Row],[Address A]],IP_Master[],3,FALSE)</f>
        <v>iFIX Nodes &amp; Ethernet Switches</v>
      </c>
      <c r="V1194" s="9" t="e">
        <f>VLOOKUP(Table1[[#This Row],[Address B]],IP_Master[],3,FALSE)</f>
        <v>#N/A</v>
      </c>
      <c r="W1194" s="9" t="str">
        <f>VLOOKUP(Table1[[#This Row],[Port B]],traffic_types[],2,FALSE)</f>
        <v>HTTP</v>
      </c>
    </row>
    <row r="1195" spans="1:23" x14ac:dyDescent="0.6">
      <c r="A1195" t="s">
        <v>145</v>
      </c>
      <c r="B1195">
        <v>53601</v>
      </c>
      <c r="C1195" t="s">
        <v>106</v>
      </c>
      <c r="D1195">
        <v>80</v>
      </c>
      <c r="E1195">
        <v>2</v>
      </c>
      <c r="F1195" s="13">
        <v>128</v>
      </c>
      <c r="G1195">
        <v>2</v>
      </c>
      <c r="H1195">
        <v>128</v>
      </c>
      <c r="I1195">
        <v>0</v>
      </c>
      <c r="J1195">
        <v>0</v>
      </c>
      <c r="K1195">
        <v>2.491927</v>
      </c>
      <c r="L1195">
        <v>5.9972669999999999</v>
      </c>
      <c r="M1195">
        <v>170.74444075943299</v>
      </c>
      <c r="N1195">
        <v>0</v>
      </c>
      <c r="O1195" s="8" t="str">
        <f>formatIP(Table1[[#This Row],[Address A]])</f>
        <v>010.012.000.202</v>
      </c>
      <c r="P1195" s="8" t="str">
        <f>formatIP(Table1[[#This Row],[Address B]])</f>
        <v>172.217.022.068</v>
      </c>
      <c r="Q1195" s="8" t="str">
        <f>VLOOKUP(Table1[[#This Row],[Address A]],IP_Master[],4,FALSE)</f>
        <v>PPPCKDR2</v>
      </c>
      <c r="R1195" s="8" t="e">
        <f>VLOOKUP(Table1[[#This Row],[Address B]],IP_Master[],4,FALSE)</f>
        <v>#N/A</v>
      </c>
      <c r="S1195" s="8" t="str">
        <f>VLOOKUP(Table1[[#This Row],[Address A]],IP_Master[],2,FALSE)</f>
        <v>Kilns/KDR</v>
      </c>
      <c r="T1195" s="8" t="e">
        <f>VLOOKUP(Table1[[#This Row],[Address B]],IP_Master[],2,FALSE)</f>
        <v>#N/A</v>
      </c>
      <c r="U1195" s="9" t="str">
        <f>VLOOKUP(Table1[[#This Row],[Address A]],IP_Master[],3,FALSE)</f>
        <v>iFIX Nodes &amp; Ethernet Switches</v>
      </c>
      <c r="V1195" s="9" t="e">
        <f>VLOOKUP(Table1[[#This Row],[Address B]],IP_Master[],3,FALSE)</f>
        <v>#N/A</v>
      </c>
      <c r="W1195" s="9" t="str">
        <f>VLOOKUP(Table1[[#This Row],[Port B]],traffic_types[],2,FALSE)</f>
        <v>HTTP</v>
      </c>
    </row>
    <row r="1196" spans="1:23" x14ac:dyDescent="0.6">
      <c r="A1196" t="s">
        <v>145</v>
      </c>
      <c r="B1196">
        <v>53605</v>
      </c>
      <c r="C1196" t="s">
        <v>101</v>
      </c>
      <c r="D1196">
        <v>80</v>
      </c>
      <c r="E1196">
        <v>3</v>
      </c>
      <c r="F1196" s="13">
        <v>194</v>
      </c>
      <c r="G1196">
        <v>3</v>
      </c>
      <c r="H1196">
        <v>194</v>
      </c>
      <c r="I1196">
        <v>0</v>
      </c>
      <c r="J1196">
        <v>0</v>
      </c>
      <c r="K1196">
        <v>25.530123</v>
      </c>
      <c r="L1196">
        <v>8.9990699999999997</v>
      </c>
      <c r="M1196">
        <v>172.46226554521701</v>
      </c>
      <c r="N1196">
        <v>0</v>
      </c>
      <c r="O1196" s="8" t="str">
        <f>formatIP(Table1[[#This Row],[Address A]])</f>
        <v>010.012.000.202</v>
      </c>
      <c r="P1196" s="8" t="str">
        <f>formatIP(Table1[[#This Row],[Address B]])</f>
        <v>023.000.040.234</v>
      </c>
      <c r="Q1196" s="8" t="str">
        <f>VLOOKUP(Table1[[#This Row],[Address A]],IP_Master[],4,FALSE)</f>
        <v>PPPCKDR2</v>
      </c>
      <c r="R1196" s="8" t="e">
        <f>VLOOKUP(Table1[[#This Row],[Address B]],IP_Master[],4,FALSE)</f>
        <v>#N/A</v>
      </c>
      <c r="S1196" s="8" t="str">
        <f>VLOOKUP(Table1[[#This Row],[Address A]],IP_Master[],2,FALSE)</f>
        <v>Kilns/KDR</v>
      </c>
      <c r="T1196" s="8" t="e">
        <f>VLOOKUP(Table1[[#This Row],[Address B]],IP_Master[],2,FALSE)</f>
        <v>#N/A</v>
      </c>
      <c r="U1196" s="9" t="str">
        <f>VLOOKUP(Table1[[#This Row],[Address A]],IP_Master[],3,FALSE)</f>
        <v>iFIX Nodes &amp; Ethernet Switches</v>
      </c>
      <c r="V1196" s="9" t="e">
        <f>VLOOKUP(Table1[[#This Row],[Address B]],IP_Master[],3,FALSE)</f>
        <v>#N/A</v>
      </c>
      <c r="W1196" s="9" t="str">
        <f>VLOOKUP(Table1[[#This Row],[Port B]],traffic_types[],2,FALSE)</f>
        <v>HTTP</v>
      </c>
    </row>
    <row r="1197" spans="1:23" x14ac:dyDescent="0.6">
      <c r="A1197" t="s">
        <v>145</v>
      </c>
      <c r="B1197">
        <v>53609</v>
      </c>
      <c r="C1197" t="s">
        <v>106</v>
      </c>
      <c r="D1197">
        <v>80</v>
      </c>
      <c r="E1197">
        <v>3</v>
      </c>
      <c r="F1197" s="13">
        <v>194</v>
      </c>
      <c r="G1197">
        <v>3</v>
      </c>
      <c r="H1197">
        <v>194</v>
      </c>
      <c r="I1197">
        <v>0</v>
      </c>
      <c r="J1197">
        <v>0</v>
      </c>
      <c r="K1197">
        <v>46.533068</v>
      </c>
      <c r="L1197">
        <v>8.9986460000000008</v>
      </c>
      <c r="M1197">
        <v>172.4703916567</v>
      </c>
      <c r="N1197">
        <v>0</v>
      </c>
      <c r="O1197" s="8" t="str">
        <f>formatIP(Table1[[#This Row],[Address A]])</f>
        <v>010.012.000.202</v>
      </c>
      <c r="P1197" s="8" t="str">
        <f>formatIP(Table1[[#This Row],[Address B]])</f>
        <v>172.217.022.068</v>
      </c>
      <c r="Q1197" s="8" t="str">
        <f>VLOOKUP(Table1[[#This Row],[Address A]],IP_Master[],4,FALSE)</f>
        <v>PPPCKDR2</v>
      </c>
      <c r="R1197" s="8" t="e">
        <f>VLOOKUP(Table1[[#This Row],[Address B]],IP_Master[],4,FALSE)</f>
        <v>#N/A</v>
      </c>
      <c r="S1197" s="8" t="str">
        <f>VLOOKUP(Table1[[#This Row],[Address A]],IP_Master[],2,FALSE)</f>
        <v>Kilns/KDR</v>
      </c>
      <c r="T1197" s="8" t="e">
        <f>VLOOKUP(Table1[[#This Row],[Address B]],IP_Master[],2,FALSE)</f>
        <v>#N/A</v>
      </c>
      <c r="U1197" s="9" t="str">
        <f>VLOOKUP(Table1[[#This Row],[Address A]],IP_Master[],3,FALSE)</f>
        <v>iFIX Nodes &amp; Ethernet Switches</v>
      </c>
      <c r="V1197" s="9" t="e">
        <f>VLOOKUP(Table1[[#This Row],[Address B]],IP_Master[],3,FALSE)</f>
        <v>#N/A</v>
      </c>
      <c r="W1197" s="9" t="str">
        <f>VLOOKUP(Table1[[#This Row],[Port B]],traffic_types[],2,FALSE)</f>
        <v>HTTP</v>
      </c>
    </row>
    <row r="1198" spans="1:23" x14ac:dyDescent="0.6">
      <c r="A1198" t="s">
        <v>145</v>
      </c>
      <c r="B1198">
        <v>53613</v>
      </c>
      <c r="C1198" t="s">
        <v>101</v>
      </c>
      <c r="D1198">
        <v>80</v>
      </c>
      <c r="E1198">
        <v>3</v>
      </c>
      <c r="F1198" s="13">
        <v>194</v>
      </c>
      <c r="G1198">
        <v>3</v>
      </c>
      <c r="H1198">
        <v>194</v>
      </c>
      <c r="I1198">
        <v>0</v>
      </c>
      <c r="J1198">
        <v>0</v>
      </c>
      <c r="K1198">
        <v>72.573746999999997</v>
      </c>
      <c r="L1198">
        <v>8.9978320000000007</v>
      </c>
      <c r="M1198">
        <v>172.48599440398499</v>
      </c>
      <c r="N1198">
        <v>0</v>
      </c>
      <c r="O1198" s="8" t="str">
        <f>formatIP(Table1[[#This Row],[Address A]])</f>
        <v>010.012.000.202</v>
      </c>
      <c r="P1198" s="8" t="str">
        <f>formatIP(Table1[[#This Row],[Address B]])</f>
        <v>023.000.040.234</v>
      </c>
      <c r="Q1198" s="8" t="str">
        <f>VLOOKUP(Table1[[#This Row],[Address A]],IP_Master[],4,FALSE)</f>
        <v>PPPCKDR2</v>
      </c>
      <c r="R1198" s="8" t="e">
        <f>VLOOKUP(Table1[[#This Row],[Address B]],IP_Master[],4,FALSE)</f>
        <v>#N/A</v>
      </c>
      <c r="S1198" s="8" t="str">
        <f>VLOOKUP(Table1[[#This Row],[Address A]],IP_Master[],2,FALSE)</f>
        <v>Kilns/KDR</v>
      </c>
      <c r="T1198" s="8" t="e">
        <f>VLOOKUP(Table1[[#This Row],[Address B]],IP_Master[],2,FALSE)</f>
        <v>#N/A</v>
      </c>
      <c r="U1198" s="9" t="str">
        <f>VLOOKUP(Table1[[#This Row],[Address A]],IP_Master[],3,FALSE)</f>
        <v>iFIX Nodes &amp; Ethernet Switches</v>
      </c>
      <c r="V1198" s="9" t="e">
        <f>VLOOKUP(Table1[[#This Row],[Address B]],IP_Master[],3,FALSE)</f>
        <v>#N/A</v>
      </c>
      <c r="W1198" s="9" t="str">
        <f>VLOOKUP(Table1[[#This Row],[Port B]],traffic_types[],2,FALSE)</f>
        <v>HTTP</v>
      </c>
    </row>
    <row r="1199" spans="1:23" x14ac:dyDescent="0.6">
      <c r="A1199" t="s">
        <v>145</v>
      </c>
      <c r="B1199">
        <v>53614</v>
      </c>
      <c r="C1199" t="s">
        <v>106</v>
      </c>
      <c r="D1199">
        <v>80</v>
      </c>
      <c r="E1199">
        <v>3</v>
      </c>
      <c r="F1199" s="13">
        <v>194</v>
      </c>
      <c r="G1199">
        <v>3</v>
      </c>
      <c r="H1199">
        <v>194</v>
      </c>
      <c r="I1199">
        <v>0</v>
      </c>
      <c r="J1199">
        <v>0</v>
      </c>
      <c r="K1199">
        <v>93.572351999999995</v>
      </c>
      <c r="L1199">
        <v>8.9988060000000001</v>
      </c>
      <c r="M1199">
        <v>172.467325109576</v>
      </c>
      <c r="N1199">
        <v>0</v>
      </c>
      <c r="O1199" s="8" t="str">
        <f>formatIP(Table1[[#This Row],[Address A]])</f>
        <v>010.012.000.202</v>
      </c>
      <c r="P1199" s="8" t="str">
        <f>formatIP(Table1[[#This Row],[Address B]])</f>
        <v>172.217.022.068</v>
      </c>
      <c r="Q1199" s="8" t="str">
        <f>VLOOKUP(Table1[[#This Row],[Address A]],IP_Master[],4,FALSE)</f>
        <v>PPPCKDR2</v>
      </c>
      <c r="R1199" s="8" t="e">
        <f>VLOOKUP(Table1[[#This Row],[Address B]],IP_Master[],4,FALSE)</f>
        <v>#N/A</v>
      </c>
      <c r="S1199" s="8" t="str">
        <f>VLOOKUP(Table1[[#This Row],[Address A]],IP_Master[],2,FALSE)</f>
        <v>Kilns/KDR</v>
      </c>
      <c r="T1199" s="8" t="e">
        <f>VLOOKUP(Table1[[#This Row],[Address B]],IP_Master[],2,FALSE)</f>
        <v>#N/A</v>
      </c>
      <c r="U1199" s="9" t="str">
        <f>VLOOKUP(Table1[[#This Row],[Address A]],IP_Master[],3,FALSE)</f>
        <v>iFIX Nodes &amp; Ethernet Switches</v>
      </c>
      <c r="V1199" s="9" t="e">
        <f>VLOOKUP(Table1[[#This Row],[Address B]],IP_Master[],3,FALSE)</f>
        <v>#N/A</v>
      </c>
      <c r="W1199" s="9" t="str">
        <f>VLOOKUP(Table1[[#This Row],[Port B]],traffic_types[],2,FALSE)</f>
        <v>HTTP</v>
      </c>
    </row>
    <row r="1200" spans="1:23" x14ac:dyDescent="0.6">
      <c r="A1200" t="s">
        <v>145</v>
      </c>
      <c r="B1200">
        <v>53618</v>
      </c>
      <c r="C1200" t="s">
        <v>101</v>
      </c>
      <c r="D1200">
        <v>80</v>
      </c>
      <c r="E1200">
        <v>3</v>
      </c>
      <c r="F1200" s="13">
        <v>194</v>
      </c>
      <c r="G1200">
        <v>3</v>
      </c>
      <c r="H1200">
        <v>194</v>
      </c>
      <c r="I1200">
        <v>0</v>
      </c>
      <c r="J1200">
        <v>0</v>
      </c>
      <c r="K1200">
        <v>119.61457299999999</v>
      </c>
      <c r="L1200">
        <v>8.9994720000000008</v>
      </c>
      <c r="M1200">
        <v>172.45456177873601</v>
      </c>
      <c r="N1200">
        <v>0</v>
      </c>
      <c r="O1200" s="8" t="str">
        <f>formatIP(Table1[[#This Row],[Address A]])</f>
        <v>010.012.000.202</v>
      </c>
      <c r="P1200" s="8" t="str">
        <f>formatIP(Table1[[#This Row],[Address B]])</f>
        <v>023.000.040.234</v>
      </c>
      <c r="Q1200" s="8" t="str">
        <f>VLOOKUP(Table1[[#This Row],[Address A]],IP_Master[],4,FALSE)</f>
        <v>PPPCKDR2</v>
      </c>
      <c r="R1200" s="8" t="e">
        <f>VLOOKUP(Table1[[#This Row],[Address B]],IP_Master[],4,FALSE)</f>
        <v>#N/A</v>
      </c>
      <c r="S1200" s="8" t="str">
        <f>VLOOKUP(Table1[[#This Row],[Address A]],IP_Master[],2,FALSE)</f>
        <v>Kilns/KDR</v>
      </c>
      <c r="T1200" s="8" t="e">
        <f>VLOOKUP(Table1[[#This Row],[Address B]],IP_Master[],2,FALSE)</f>
        <v>#N/A</v>
      </c>
      <c r="U1200" s="9" t="str">
        <f>VLOOKUP(Table1[[#This Row],[Address A]],IP_Master[],3,FALSE)</f>
        <v>iFIX Nodes &amp; Ethernet Switches</v>
      </c>
      <c r="V1200" s="9" t="e">
        <f>VLOOKUP(Table1[[#This Row],[Address B]],IP_Master[],3,FALSE)</f>
        <v>#N/A</v>
      </c>
      <c r="W1200" s="9" t="str">
        <f>VLOOKUP(Table1[[#This Row],[Port B]],traffic_types[],2,FALSE)</f>
        <v>HTTP</v>
      </c>
    </row>
    <row r="1201" spans="1:23" x14ac:dyDescent="0.6">
      <c r="A1201" t="s">
        <v>145</v>
      </c>
      <c r="B1201">
        <v>53622</v>
      </c>
      <c r="C1201" t="s">
        <v>106</v>
      </c>
      <c r="D1201">
        <v>80</v>
      </c>
      <c r="E1201">
        <v>3</v>
      </c>
      <c r="F1201" s="13">
        <v>194</v>
      </c>
      <c r="G1201">
        <v>3</v>
      </c>
      <c r="H1201">
        <v>194</v>
      </c>
      <c r="I1201">
        <v>0</v>
      </c>
      <c r="J1201">
        <v>0</v>
      </c>
      <c r="K1201">
        <v>140.62266099999999</v>
      </c>
      <c r="L1201">
        <v>9.0058779999999992</v>
      </c>
      <c r="M1201">
        <v>172.33189257060801</v>
      </c>
      <c r="N1201">
        <v>0</v>
      </c>
      <c r="O1201" s="8" t="str">
        <f>formatIP(Table1[[#This Row],[Address A]])</f>
        <v>010.012.000.202</v>
      </c>
      <c r="P1201" s="8" t="str">
        <f>formatIP(Table1[[#This Row],[Address B]])</f>
        <v>172.217.022.068</v>
      </c>
      <c r="Q1201" s="8" t="str">
        <f>VLOOKUP(Table1[[#This Row],[Address A]],IP_Master[],4,FALSE)</f>
        <v>PPPCKDR2</v>
      </c>
      <c r="R1201" s="8" t="e">
        <f>VLOOKUP(Table1[[#This Row],[Address B]],IP_Master[],4,FALSE)</f>
        <v>#N/A</v>
      </c>
      <c r="S1201" s="8" t="str">
        <f>VLOOKUP(Table1[[#This Row],[Address A]],IP_Master[],2,FALSE)</f>
        <v>Kilns/KDR</v>
      </c>
      <c r="T1201" s="8" t="e">
        <f>VLOOKUP(Table1[[#This Row],[Address B]],IP_Master[],2,FALSE)</f>
        <v>#N/A</v>
      </c>
      <c r="U1201" s="9" t="str">
        <f>VLOOKUP(Table1[[#This Row],[Address A]],IP_Master[],3,FALSE)</f>
        <v>iFIX Nodes &amp; Ethernet Switches</v>
      </c>
      <c r="V1201" s="9" t="e">
        <f>VLOOKUP(Table1[[#This Row],[Address B]],IP_Master[],3,FALSE)</f>
        <v>#N/A</v>
      </c>
      <c r="W1201" s="9" t="str">
        <f>VLOOKUP(Table1[[#This Row],[Port B]],traffic_types[],2,FALSE)</f>
        <v>HTTP</v>
      </c>
    </row>
    <row r="1202" spans="1:23" x14ac:dyDescent="0.6">
      <c r="A1202" t="s">
        <v>145</v>
      </c>
      <c r="B1202">
        <v>53626</v>
      </c>
      <c r="C1202" t="s">
        <v>101</v>
      </c>
      <c r="D1202">
        <v>80</v>
      </c>
      <c r="E1202">
        <v>3</v>
      </c>
      <c r="F1202" s="13">
        <v>194</v>
      </c>
      <c r="G1202">
        <v>3</v>
      </c>
      <c r="H1202">
        <v>194</v>
      </c>
      <c r="I1202">
        <v>0</v>
      </c>
      <c r="J1202">
        <v>0</v>
      </c>
      <c r="K1202">
        <v>166.664726</v>
      </c>
      <c r="L1202">
        <v>9.0007939999999795</v>
      </c>
      <c r="M1202">
        <v>172.42923235439</v>
      </c>
      <c r="N1202">
        <v>0</v>
      </c>
      <c r="O1202" s="8" t="str">
        <f>formatIP(Table1[[#This Row],[Address A]])</f>
        <v>010.012.000.202</v>
      </c>
      <c r="P1202" s="8" t="str">
        <f>formatIP(Table1[[#This Row],[Address B]])</f>
        <v>023.000.040.234</v>
      </c>
      <c r="Q1202" s="8" t="str">
        <f>VLOOKUP(Table1[[#This Row],[Address A]],IP_Master[],4,FALSE)</f>
        <v>PPPCKDR2</v>
      </c>
      <c r="R1202" s="8" t="e">
        <f>VLOOKUP(Table1[[#This Row],[Address B]],IP_Master[],4,FALSE)</f>
        <v>#N/A</v>
      </c>
      <c r="S1202" s="8" t="str">
        <f>VLOOKUP(Table1[[#This Row],[Address A]],IP_Master[],2,FALSE)</f>
        <v>Kilns/KDR</v>
      </c>
      <c r="T1202" s="8" t="e">
        <f>VLOOKUP(Table1[[#This Row],[Address B]],IP_Master[],2,FALSE)</f>
        <v>#N/A</v>
      </c>
      <c r="U1202" s="9" t="str">
        <f>VLOOKUP(Table1[[#This Row],[Address A]],IP_Master[],3,FALSE)</f>
        <v>iFIX Nodes &amp; Ethernet Switches</v>
      </c>
      <c r="V1202" s="9" t="e">
        <f>VLOOKUP(Table1[[#This Row],[Address B]],IP_Master[],3,FALSE)</f>
        <v>#N/A</v>
      </c>
      <c r="W1202" s="9" t="str">
        <f>VLOOKUP(Table1[[#This Row],[Port B]],traffic_types[],2,FALSE)</f>
        <v>HTTP</v>
      </c>
    </row>
    <row r="1203" spans="1:23" x14ac:dyDescent="0.6">
      <c r="A1203" t="s">
        <v>145</v>
      </c>
      <c r="B1203">
        <v>53627</v>
      </c>
      <c r="C1203" t="s">
        <v>106</v>
      </c>
      <c r="D1203">
        <v>80</v>
      </c>
      <c r="E1203">
        <v>3</v>
      </c>
      <c r="F1203" s="13">
        <v>194</v>
      </c>
      <c r="G1203">
        <v>3</v>
      </c>
      <c r="H1203">
        <v>194</v>
      </c>
      <c r="I1203">
        <v>0</v>
      </c>
      <c r="J1203">
        <v>0</v>
      </c>
      <c r="K1203">
        <v>187.67337800000001</v>
      </c>
      <c r="L1203">
        <v>8.995711</v>
      </c>
      <c r="M1203">
        <v>172.526662984171</v>
      </c>
      <c r="N1203">
        <v>0</v>
      </c>
      <c r="O1203" s="8" t="str">
        <f>formatIP(Table1[[#This Row],[Address A]])</f>
        <v>010.012.000.202</v>
      </c>
      <c r="P1203" s="8" t="str">
        <f>formatIP(Table1[[#This Row],[Address B]])</f>
        <v>172.217.022.068</v>
      </c>
      <c r="Q1203" s="8" t="str">
        <f>VLOOKUP(Table1[[#This Row],[Address A]],IP_Master[],4,FALSE)</f>
        <v>PPPCKDR2</v>
      </c>
      <c r="R1203" s="8" t="e">
        <f>VLOOKUP(Table1[[#This Row],[Address B]],IP_Master[],4,FALSE)</f>
        <v>#N/A</v>
      </c>
      <c r="S1203" s="8" t="str">
        <f>VLOOKUP(Table1[[#This Row],[Address A]],IP_Master[],2,FALSE)</f>
        <v>Kilns/KDR</v>
      </c>
      <c r="T1203" s="8" t="e">
        <f>VLOOKUP(Table1[[#This Row],[Address B]],IP_Master[],2,FALSE)</f>
        <v>#N/A</v>
      </c>
      <c r="U1203" s="9" t="str">
        <f>VLOOKUP(Table1[[#This Row],[Address A]],IP_Master[],3,FALSE)</f>
        <v>iFIX Nodes &amp; Ethernet Switches</v>
      </c>
      <c r="V1203" s="9" t="e">
        <f>VLOOKUP(Table1[[#This Row],[Address B]],IP_Master[],3,FALSE)</f>
        <v>#N/A</v>
      </c>
      <c r="W1203" s="9" t="str">
        <f>VLOOKUP(Table1[[#This Row],[Port B]],traffic_types[],2,FALSE)</f>
        <v>HTTP</v>
      </c>
    </row>
    <row r="1204" spans="1:23" x14ac:dyDescent="0.6">
      <c r="A1204" t="s">
        <v>145</v>
      </c>
      <c r="B1204">
        <v>53631</v>
      </c>
      <c r="C1204" t="s">
        <v>101</v>
      </c>
      <c r="D1204">
        <v>80</v>
      </c>
      <c r="E1204">
        <v>3</v>
      </c>
      <c r="F1204" s="13">
        <v>194</v>
      </c>
      <c r="G1204">
        <v>3</v>
      </c>
      <c r="H1204">
        <v>194</v>
      </c>
      <c r="I1204">
        <v>0</v>
      </c>
      <c r="J1204">
        <v>0</v>
      </c>
      <c r="K1204">
        <v>213.71295699999999</v>
      </c>
      <c r="L1204">
        <v>8.9999780000000005</v>
      </c>
      <c r="M1204">
        <v>172.444865976339</v>
      </c>
      <c r="N1204">
        <v>0</v>
      </c>
      <c r="O1204" s="8" t="str">
        <f>formatIP(Table1[[#This Row],[Address A]])</f>
        <v>010.012.000.202</v>
      </c>
      <c r="P1204" s="8" t="str">
        <f>formatIP(Table1[[#This Row],[Address B]])</f>
        <v>023.000.040.234</v>
      </c>
      <c r="Q1204" s="8" t="str">
        <f>VLOOKUP(Table1[[#This Row],[Address A]],IP_Master[],4,FALSE)</f>
        <v>PPPCKDR2</v>
      </c>
      <c r="R1204" s="8" t="e">
        <f>VLOOKUP(Table1[[#This Row],[Address B]],IP_Master[],4,FALSE)</f>
        <v>#N/A</v>
      </c>
      <c r="S1204" s="8" t="str">
        <f>VLOOKUP(Table1[[#This Row],[Address A]],IP_Master[],2,FALSE)</f>
        <v>Kilns/KDR</v>
      </c>
      <c r="T1204" s="8" t="e">
        <f>VLOOKUP(Table1[[#This Row],[Address B]],IP_Master[],2,FALSE)</f>
        <v>#N/A</v>
      </c>
      <c r="U1204" s="9" t="str">
        <f>VLOOKUP(Table1[[#This Row],[Address A]],IP_Master[],3,FALSE)</f>
        <v>iFIX Nodes &amp; Ethernet Switches</v>
      </c>
      <c r="V1204" s="9" t="e">
        <f>VLOOKUP(Table1[[#This Row],[Address B]],IP_Master[],3,FALSE)</f>
        <v>#N/A</v>
      </c>
      <c r="W1204" s="9" t="str">
        <f>VLOOKUP(Table1[[#This Row],[Port B]],traffic_types[],2,FALSE)</f>
        <v>HTTP</v>
      </c>
    </row>
    <row r="1205" spans="1:23" x14ac:dyDescent="0.6">
      <c r="A1205" t="s">
        <v>145</v>
      </c>
      <c r="B1205">
        <v>53635</v>
      </c>
      <c r="C1205" t="s">
        <v>106</v>
      </c>
      <c r="D1205">
        <v>80</v>
      </c>
      <c r="E1205">
        <v>3</v>
      </c>
      <c r="F1205" s="13">
        <v>194</v>
      </c>
      <c r="G1205">
        <v>3</v>
      </c>
      <c r="H1205">
        <v>194</v>
      </c>
      <c r="I1205">
        <v>0</v>
      </c>
      <c r="J1205">
        <v>0</v>
      </c>
      <c r="K1205">
        <v>234.71568600000001</v>
      </c>
      <c r="L1205">
        <v>8.9997520000000009</v>
      </c>
      <c r="M1205">
        <v>172.449196377856</v>
      </c>
      <c r="N1205">
        <v>0</v>
      </c>
      <c r="O1205" s="8" t="str">
        <f>formatIP(Table1[[#This Row],[Address A]])</f>
        <v>010.012.000.202</v>
      </c>
      <c r="P1205" s="8" t="str">
        <f>formatIP(Table1[[#This Row],[Address B]])</f>
        <v>172.217.022.068</v>
      </c>
      <c r="Q1205" s="8" t="str">
        <f>VLOOKUP(Table1[[#This Row],[Address A]],IP_Master[],4,FALSE)</f>
        <v>PPPCKDR2</v>
      </c>
      <c r="R1205" s="8" t="e">
        <f>VLOOKUP(Table1[[#This Row],[Address B]],IP_Master[],4,FALSE)</f>
        <v>#N/A</v>
      </c>
      <c r="S1205" s="8" t="str">
        <f>VLOOKUP(Table1[[#This Row],[Address A]],IP_Master[],2,FALSE)</f>
        <v>Kilns/KDR</v>
      </c>
      <c r="T1205" s="8" t="e">
        <f>VLOOKUP(Table1[[#This Row],[Address B]],IP_Master[],2,FALSE)</f>
        <v>#N/A</v>
      </c>
      <c r="U1205" s="9" t="str">
        <f>VLOOKUP(Table1[[#This Row],[Address A]],IP_Master[],3,FALSE)</f>
        <v>iFIX Nodes &amp; Ethernet Switches</v>
      </c>
      <c r="V1205" s="9" t="e">
        <f>VLOOKUP(Table1[[#This Row],[Address B]],IP_Master[],3,FALSE)</f>
        <v>#N/A</v>
      </c>
      <c r="W1205" s="9" t="str">
        <f>VLOOKUP(Table1[[#This Row],[Port B]],traffic_types[],2,FALSE)</f>
        <v>HTTP</v>
      </c>
    </row>
    <row r="1206" spans="1:23" x14ac:dyDescent="0.6">
      <c r="A1206" t="s">
        <v>145</v>
      </c>
      <c r="B1206">
        <v>53639</v>
      </c>
      <c r="C1206" t="s">
        <v>101</v>
      </c>
      <c r="D1206">
        <v>80</v>
      </c>
      <c r="E1206">
        <v>3</v>
      </c>
      <c r="F1206" s="13">
        <v>194</v>
      </c>
      <c r="G1206">
        <v>3</v>
      </c>
      <c r="H1206">
        <v>194</v>
      </c>
      <c r="I1206">
        <v>0</v>
      </c>
      <c r="J1206">
        <v>0</v>
      </c>
      <c r="K1206">
        <v>260.75444199999998</v>
      </c>
      <c r="L1206">
        <v>8.9998850000000097</v>
      </c>
      <c r="M1206">
        <v>172.44664792939</v>
      </c>
      <c r="N1206">
        <v>0</v>
      </c>
      <c r="O1206" s="8" t="str">
        <f>formatIP(Table1[[#This Row],[Address A]])</f>
        <v>010.012.000.202</v>
      </c>
      <c r="P1206" s="8" t="str">
        <f>formatIP(Table1[[#This Row],[Address B]])</f>
        <v>023.000.040.234</v>
      </c>
      <c r="Q1206" s="8" t="str">
        <f>VLOOKUP(Table1[[#This Row],[Address A]],IP_Master[],4,FALSE)</f>
        <v>PPPCKDR2</v>
      </c>
      <c r="R1206" s="8" t="e">
        <f>VLOOKUP(Table1[[#This Row],[Address B]],IP_Master[],4,FALSE)</f>
        <v>#N/A</v>
      </c>
      <c r="S1206" s="8" t="str">
        <f>VLOOKUP(Table1[[#This Row],[Address A]],IP_Master[],2,FALSE)</f>
        <v>Kilns/KDR</v>
      </c>
      <c r="T1206" s="8" t="e">
        <f>VLOOKUP(Table1[[#This Row],[Address B]],IP_Master[],2,FALSE)</f>
        <v>#N/A</v>
      </c>
      <c r="U1206" s="9" t="str">
        <f>VLOOKUP(Table1[[#This Row],[Address A]],IP_Master[],3,FALSE)</f>
        <v>iFIX Nodes &amp; Ethernet Switches</v>
      </c>
      <c r="V1206" s="9" t="e">
        <f>VLOOKUP(Table1[[#This Row],[Address B]],IP_Master[],3,FALSE)</f>
        <v>#N/A</v>
      </c>
      <c r="W1206" s="9" t="str">
        <f>VLOOKUP(Table1[[#This Row],[Port B]],traffic_types[],2,FALSE)</f>
        <v>HTTP</v>
      </c>
    </row>
    <row r="1207" spans="1:23" x14ac:dyDescent="0.6">
      <c r="A1207" t="s">
        <v>145</v>
      </c>
      <c r="B1207">
        <v>53640</v>
      </c>
      <c r="C1207" t="s">
        <v>106</v>
      </c>
      <c r="D1207">
        <v>80</v>
      </c>
      <c r="E1207">
        <v>3</v>
      </c>
      <c r="F1207" s="13">
        <v>194</v>
      </c>
      <c r="G1207">
        <v>3</v>
      </c>
      <c r="H1207">
        <v>194</v>
      </c>
      <c r="I1207">
        <v>0</v>
      </c>
      <c r="J1207">
        <v>0</v>
      </c>
      <c r="K1207">
        <v>281.75796200000002</v>
      </c>
      <c r="L1207">
        <v>9.0029599999999697</v>
      </c>
      <c r="M1207">
        <v>172.38774802953699</v>
      </c>
      <c r="N1207">
        <v>0</v>
      </c>
      <c r="O1207" s="8" t="str">
        <f>formatIP(Table1[[#This Row],[Address A]])</f>
        <v>010.012.000.202</v>
      </c>
      <c r="P1207" s="8" t="str">
        <f>formatIP(Table1[[#This Row],[Address B]])</f>
        <v>172.217.022.068</v>
      </c>
      <c r="Q1207" s="8" t="str">
        <f>VLOOKUP(Table1[[#This Row],[Address A]],IP_Master[],4,FALSE)</f>
        <v>PPPCKDR2</v>
      </c>
      <c r="R1207" s="8" t="e">
        <f>VLOOKUP(Table1[[#This Row],[Address B]],IP_Master[],4,FALSE)</f>
        <v>#N/A</v>
      </c>
      <c r="S1207" s="8" t="str">
        <f>VLOOKUP(Table1[[#This Row],[Address A]],IP_Master[],2,FALSE)</f>
        <v>Kilns/KDR</v>
      </c>
      <c r="T1207" s="8" t="e">
        <f>VLOOKUP(Table1[[#This Row],[Address B]],IP_Master[],2,FALSE)</f>
        <v>#N/A</v>
      </c>
      <c r="U1207" s="9" t="str">
        <f>VLOOKUP(Table1[[#This Row],[Address A]],IP_Master[],3,FALSE)</f>
        <v>iFIX Nodes &amp; Ethernet Switches</v>
      </c>
      <c r="V1207" s="9" t="e">
        <f>VLOOKUP(Table1[[#This Row],[Address B]],IP_Master[],3,FALSE)</f>
        <v>#N/A</v>
      </c>
      <c r="W1207" s="9" t="str">
        <f>VLOOKUP(Table1[[#This Row],[Port B]],traffic_types[],2,FALSE)</f>
        <v>HTTP</v>
      </c>
    </row>
    <row r="1208" spans="1:23" x14ac:dyDescent="0.6">
      <c r="A1208" t="s">
        <v>145</v>
      </c>
      <c r="B1208">
        <v>53644</v>
      </c>
      <c r="C1208" t="s">
        <v>101</v>
      </c>
      <c r="D1208">
        <v>80</v>
      </c>
      <c r="E1208">
        <v>3</v>
      </c>
      <c r="F1208" s="13">
        <v>194</v>
      </c>
      <c r="G1208">
        <v>3</v>
      </c>
      <c r="H1208">
        <v>194</v>
      </c>
      <c r="I1208">
        <v>0</v>
      </c>
      <c r="J1208">
        <v>0</v>
      </c>
      <c r="K1208">
        <v>307.77258599999999</v>
      </c>
      <c r="L1208">
        <v>8.9933430000000403</v>
      </c>
      <c r="M1208">
        <v>172.572090267211</v>
      </c>
      <c r="N1208">
        <v>0</v>
      </c>
      <c r="O1208" s="8" t="str">
        <f>formatIP(Table1[[#This Row],[Address A]])</f>
        <v>010.012.000.202</v>
      </c>
      <c r="P1208" s="8" t="str">
        <f>formatIP(Table1[[#This Row],[Address B]])</f>
        <v>023.000.040.234</v>
      </c>
      <c r="Q1208" s="8" t="str">
        <f>VLOOKUP(Table1[[#This Row],[Address A]],IP_Master[],4,FALSE)</f>
        <v>PPPCKDR2</v>
      </c>
      <c r="R1208" s="8" t="e">
        <f>VLOOKUP(Table1[[#This Row],[Address B]],IP_Master[],4,FALSE)</f>
        <v>#N/A</v>
      </c>
      <c r="S1208" s="8" t="str">
        <f>VLOOKUP(Table1[[#This Row],[Address A]],IP_Master[],2,FALSE)</f>
        <v>Kilns/KDR</v>
      </c>
      <c r="T1208" s="8" t="e">
        <f>VLOOKUP(Table1[[#This Row],[Address B]],IP_Master[],2,FALSE)</f>
        <v>#N/A</v>
      </c>
      <c r="U1208" s="9" t="str">
        <f>VLOOKUP(Table1[[#This Row],[Address A]],IP_Master[],3,FALSE)</f>
        <v>iFIX Nodes &amp; Ethernet Switches</v>
      </c>
      <c r="V1208" s="9" t="e">
        <f>VLOOKUP(Table1[[#This Row],[Address B]],IP_Master[],3,FALSE)</f>
        <v>#N/A</v>
      </c>
      <c r="W1208" s="9" t="str">
        <f>VLOOKUP(Table1[[#This Row],[Port B]],traffic_types[],2,FALSE)</f>
        <v>HTTP</v>
      </c>
    </row>
    <row r="1209" spans="1:23" x14ac:dyDescent="0.6">
      <c r="A1209" t="s">
        <v>145</v>
      </c>
      <c r="B1209">
        <v>53650</v>
      </c>
      <c r="C1209" t="s">
        <v>106</v>
      </c>
      <c r="D1209">
        <v>80</v>
      </c>
      <c r="E1209">
        <v>3</v>
      </c>
      <c r="F1209" s="13">
        <v>194</v>
      </c>
      <c r="G1209">
        <v>3</v>
      </c>
      <c r="H1209">
        <v>194</v>
      </c>
      <c r="I1209">
        <v>0</v>
      </c>
      <c r="J1209">
        <v>0</v>
      </c>
      <c r="K1209">
        <v>328.77167600000001</v>
      </c>
      <c r="L1209">
        <v>9.0006520000000005</v>
      </c>
      <c r="M1209">
        <v>172.43195270742601</v>
      </c>
      <c r="N1209">
        <v>0</v>
      </c>
      <c r="O1209" s="8" t="str">
        <f>formatIP(Table1[[#This Row],[Address A]])</f>
        <v>010.012.000.202</v>
      </c>
      <c r="P1209" s="8" t="str">
        <f>formatIP(Table1[[#This Row],[Address B]])</f>
        <v>172.217.022.068</v>
      </c>
      <c r="Q1209" s="8" t="str">
        <f>VLOOKUP(Table1[[#This Row],[Address A]],IP_Master[],4,FALSE)</f>
        <v>PPPCKDR2</v>
      </c>
      <c r="R1209" s="8" t="e">
        <f>VLOOKUP(Table1[[#This Row],[Address B]],IP_Master[],4,FALSE)</f>
        <v>#N/A</v>
      </c>
      <c r="S1209" s="8" t="str">
        <f>VLOOKUP(Table1[[#This Row],[Address A]],IP_Master[],2,FALSE)</f>
        <v>Kilns/KDR</v>
      </c>
      <c r="T1209" s="8" t="e">
        <f>VLOOKUP(Table1[[#This Row],[Address B]],IP_Master[],2,FALSE)</f>
        <v>#N/A</v>
      </c>
      <c r="U1209" s="9" t="str">
        <f>VLOOKUP(Table1[[#This Row],[Address A]],IP_Master[],3,FALSE)</f>
        <v>iFIX Nodes &amp; Ethernet Switches</v>
      </c>
      <c r="V1209" s="9" t="e">
        <f>VLOOKUP(Table1[[#This Row],[Address B]],IP_Master[],3,FALSE)</f>
        <v>#N/A</v>
      </c>
      <c r="W1209" s="9" t="str">
        <f>VLOOKUP(Table1[[#This Row],[Port B]],traffic_types[],2,FALSE)</f>
        <v>HTTP</v>
      </c>
    </row>
    <row r="1210" spans="1:23" x14ac:dyDescent="0.6">
      <c r="A1210" t="s">
        <v>145</v>
      </c>
      <c r="B1210">
        <v>53654</v>
      </c>
      <c r="C1210" t="s">
        <v>101</v>
      </c>
      <c r="D1210">
        <v>80</v>
      </c>
      <c r="E1210">
        <v>3</v>
      </c>
      <c r="F1210" s="13">
        <v>194</v>
      </c>
      <c r="G1210">
        <v>3</v>
      </c>
      <c r="H1210">
        <v>194</v>
      </c>
      <c r="I1210">
        <v>0</v>
      </c>
      <c r="J1210">
        <v>0</v>
      </c>
      <c r="K1210">
        <v>354.80698599999999</v>
      </c>
      <c r="L1210">
        <v>9.0002519999999908</v>
      </c>
      <c r="M1210">
        <v>172.43961613519301</v>
      </c>
      <c r="N1210">
        <v>0</v>
      </c>
      <c r="O1210" s="8" t="str">
        <f>formatIP(Table1[[#This Row],[Address A]])</f>
        <v>010.012.000.202</v>
      </c>
      <c r="P1210" s="8" t="str">
        <f>formatIP(Table1[[#This Row],[Address B]])</f>
        <v>023.000.040.234</v>
      </c>
      <c r="Q1210" s="8" t="str">
        <f>VLOOKUP(Table1[[#This Row],[Address A]],IP_Master[],4,FALSE)</f>
        <v>PPPCKDR2</v>
      </c>
      <c r="R1210" s="8" t="e">
        <f>VLOOKUP(Table1[[#This Row],[Address B]],IP_Master[],4,FALSE)</f>
        <v>#N/A</v>
      </c>
      <c r="S1210" s="8" t="str">
        <f>VLOOKUP(Table1[[#This Row],[Address A]],IP_Master[],2,FALSE)</f>
        <v>Kilns/KDR</v>
      </c>
      <c r="T1210" s="8" t="e">
        <f>VLOOKUP(Table1[[#This Row],[Address B]],IP_Master[],2,FALSE)</f>
        <v>#N/A</v>
      </c>
      <c r="U1210" s="9" t="str">
        <f>VLOOKUP(Table1[[#This Row],[Address A]],IP_Master[],3,FALSE)</f>
        <v>iFIX Nodes &amp; Ethernet Switches</v>
      </c>
      <c r="V1210" s="9" t="e">
        <f>VLOOKUP(Table1[[#This Row],[Address B]],IP_Master[],3,FALSE)</f>
        <v>#N/A</v>
      </c>
      <c r="W1210" s="9" t="str">
        <f>VLOOKUP(Table1[[#This Row],[Port B]],traffic_types[],2,FALSE)</f>
        <v>HTTP</v>
      </c>
    </row>
    <row r="1211" spans="1:23" x14ac:dyDescent="0.6">
      <c r="A1211" t="s">
        <v>145</v>
      </c>
      <c r="B1211">
        <v>53655</v>
      </c>
      <c r="C1211" t="s">
        <v>106</v>
      </c>
      <c r="D1211">
        <v>80</v>
      </c>
      <c r="E1211">
        <v>3</v>
      </c>
      <c r="F1211" s="13">
        <v>194</v>
      </c>
      <c r="G1211">
        <v>3</v>
      </c>
      <c r="H1211">
        <v>194</v>
      </c>
      <c r="I1211">
        <v>0</v>
      </c>
      <c r="J1211">
        <v>0</v>
      </c>
      <c r="K1211">
        <v>375.81090999999998</v>
      </c>
      <c r="L1211">
        <v>9.0058670000000198</v>
      </c>
      <c r="M1211">
        <v>172.33210306126</v>
      </c>
      <c r="N1211">
        <v>0</v>
      </c>
      <c r="O1211" s="8" t="str">
        <f>formatIP(Table1[[#This Row],[Address A]])</f>
        <v>010.012.000.202</v>
      </c>
      <c r="P1211" s="8" t="str">
        <f>formatIP(Table1[[#This Row],[Address B]])</f>
        <v>172.217.022.068</v>
      </c>
      <c r="Q1211" s="8" t="str">
        <f>VLOOKUP(Table1[[#This Row],[Address A]],IP_Master[],4,FALSE)</f>
        <v>PPPCKDR2</v>
      </c>
      <c r="R1211" s="8" t="e">
        <f>VLOOKUP(Table1[[#This Row],[Address B]],IP_Master[],4,FALSE)</f>
        <v>#N/A</v>
      </c>
      <c r="S1211" s="8" t="str">
        <f>VLOOKUP(Table1[[#This Row],[Address A]],IP_Master[],2,FALSE)</f>
        <v>Kilns/KDR</v>
      </c>
      <c r="T1211" s="8" t="e">
        <f>VLOOKUP(Table1[[#This Row],[Address B]],IP_Master[],2,FALSE)</f>
        <v>#N/A</v>
      </c>
      <c r="U1211" s="9" t="str">
        <f>VLOOKUP(Table1[[#This Row],[Address A]],IP_Master[],3,FALSE)</f>
        <v>iFIX Nodes &amp; Ethernet Switches</v>
      </c>
      <c r="V1211" s="9" t="e">
        <f>VLOOKUP(Table1[[#This Row],[Address B]],IP_Master[],3,FALSE)</f>
        <v>#N/A</v>
      </c>
      <c r="W1211" s="9" t="str">
        <f>VLOOKUP(Table1[[#This Row],[Port B]],traffic_types[],2,FALSE)</f>
        <v>HTTP</v>
      </c>
    </row>
    <row r="1212" spans="1:23" x14ac:dyDescent="0.6">
      <c r="A1212" t="s">
        <v>145</v>
      </c>
      <c r="B1212">
        <v>53659</v>
      </c>
      <c r="C1212" t="s">
        <v>101</v>
      </c>
      <c r="D1212">
        <v>80</v>
      </c>
      <c r="E1212">
        <v>3</v>
      </c>
      <c r="F1212" s="13">
        <v>194</v>
      </c>
      <c r="G1212">
        <v>3</v>
      </c>
      <c r="H1212">
        <v>194</v>
      </c>
      <c r="I1212">
        <v>0</v>
      </c>
      <c r="J1212">
        <v>0</v>
      </c>
      <c r="K1212">
        <v>401.84157699999997</v>
      </c>
      <c r="L1212">
        <v>9.0090980000000496</v>
      </c>
      <c r="M1212">
        <v>172.27029831399199</v>
      </c>
      <c r="N1212">
        <v>0</v>
      </c>
      <c r="O1212" s="8" t="str">
        <f>formatIP(Table1[[#This Row],[Address A]])</f>
        <v>010.012.000.202</v>
      </c>
      <c r="P1212" s="8" t="str">
        <f>formatIP(Table1[[#This Row],[Address B]])</f>
        <v>023.000.040.234</v>
      </c>
      <c r="Q1212" s="8" t="str">
        <f>VLOOKUP(Table1[[#This Row],[Address A]],IP_Master[],4,FALSE)</f>
        <v>PPPCKDR2</v>
      </c>
      <c r="R1212" s="8" t="e">
        <f>VLOOKUP(Table1[[#This Row],[Address B]],IP_Master[],4,FALSE)</f>
        <v>#N/A</v>
      </c>
      <c r="S1212" s="8" t="str">
        <f>VLOOKUP(Table1[[#This Row],[Address A]],IP_Master[],2,FALSE)</f>
        <v>Kilns/KDR</v>
      </c>
      <c r="T1212" s="8" t="e">
        <f>VLOOKUP(Table1[[#This Row],[Address B]],IP_Master[],2,FALSE)</f>
        <v>#N/A</v>
      </c>
      <c r="U1212" s="9" t="str">
        <f>VLOOKUP(Table1[[#This Row],[Address A]],IP_Master[],3,FALSE)</f>
        <v>iFIX Nodes &amp; Ethernet Switches</v>
      </c>
      <c r="V1212" s="9" t="e">
        <f>VLOOKUP(Table1[[#This Row],[Address B]],IP_Master[],3,FALSE)</f>
        <v>#N/A</v>
      </c>
      <c r="W1212" s="9" t="str">
        <f>VLOOKUP(Table1[[#This Row],[Port B]],traffic_types[],2,FALSE)</f>
        <v>HTTP</v>
      </c>
    </row>
    <row r="1213" spans="1:23" x14ac:dyDescent="0.6">
      <c r="A1213" t="s">
        <v>145</v>
      </c>
      <c r="B1213">
        <v>53663</v>
      </c>
      <c r="C1213" t="s">
        <v>106</v>
      </c>
      <c r="D1213">
        <v>80</v>
      </c>
      <c r="E1213">
        <v>3</v>
      </c>
      <c r="F1213" s="13">
        <v>194</v>
      </c>
      <c r="G1213">
        <v>3</v>
      </c>
      <c r="H1213">
        <v>194</v>
      </c>
      <c r="I1213">
        <v>0</v>
      </c>
      <c r="J1213">
        <v>0</v>
      </c>
      <c r="K1213">
        <v>422.85447399999998</v>
      </c>
      <c r="L1213">
        <v>9.0016459999999903</v>
      </c>
      <c r="M1213">
        <v>172.412912038532</v>
      </c>
      <c r="N1213">
        <v>0</v>
      </c>
      <c r="O1213" s="8" t="str">
        <f>formatIP(Table1[[#This Row],[Address A]])</f>
        <v>010.012.000.202</v>
      </c>
      <c r="P1213" s="8" t="str">
        <f>formatIP(Table1[[#This Row],[Address B]])</f>
        <v>172.217.022.068</v>
      </c>
      <c r="Q1213" s="8" t="str">
        <f>VLOOKUP(Table1[[#This Row],[Address A]],IP_Master[],4,FALSE)</f>
        <v>PPPCKDR2</v>
      </c>
      <c r="R1213" s="8" t="e">
        <f>VLOOKUP(Table1[[#This Row],[Address B]],IP_Master[],4,FALSE)</f>
        <v>#N/A</v>
      </c>
      <c r="S1213" s="8" t="str">
        <f>VLOOKUP(Table1[[#This Row],[Address A]],IP_Master[],2,FALSE)</f>
        <v>Kilns/KDR</v>
      </c>
      <c r="T1213" s="8" t="e">
        <f>VLOOKUP(Table1[[#This Row],[Address B]],IP_Master[],2,FALSE)</f>
        <v>#N/A</v>
      </c>
      <c r="U1213" s="9" t="str">
        <f>VLOOKUP(Table1[[#This Row],[Address A]],IP_Master[],3,FALSE)</f>
        <v>iFIX Nodes &amp; Ethernet Switches</v>
      </c>
      <c r="V1213" s="9" t="e">
        <f>VLOOKUP(Table1[[#This Row],[Address B]],IP_Master[],3,FALSE)</f>
        <v>#N/A</v>
      </c>
      <c r="W1213" s="9" t="str">
        <f>VLOOKUP(Table1[[#This Row],[Port B]],traffic_types[],2,FALSE)</f>
        <v>HTTP</v>
      </c>
    </row>
    <row r="1214" spans="1:23" x14ac:dyDescent="0.6">
      <c r="A1214" t="s">
        <v>145</v>
      </c>
      <c r="B1214">
        <v>53667</v>
      </c>
      <c r="C1214" t="s">
        <v>101</v>
      </c>
      <c r="D1214">
        <v>80</v>
      </c>
      <c r="E1214">
        <v>3</v>
      </c>
      <c r="F1214" s="13">
        <v>194</v>
      </c>
      <c r="G1214">
        <v>3</v>
      </c>
      <c r="H1214">
        <v>194</v>
      </c>
      <c r="I1214">
        <v>0</v>
      </c>
      <c r="J1214">
        <v>0</v>
      </c>
      <c r="K1214">
        <v>448.88995399999999</v>
      </c>
      <c r="L1214">
        <v>9.0031569999999892</v>
      </c>
      <c r="M1214">
        <v>172.383975976427</v>
      </c>
      <c r="N1214">
        <v>0</v>
      </c>
      <c r="O1214" s="8" t="str">
        <f>formatIP(Table1[[#This Row],[Address A]])</f>
        <v>010.012.000.202</v>
      </c>
      <c r="P1214" s="8" t="str">
        <f>formatIP(Table1[[#This Row],[Address B]])</f>
        <v>023.000.040.234</v>
      </c>
      <c r="Q1214" s="8" t="str">
        <f>VLOOKUP(Table1[[#This Row],[Address A]],IP_Master[],4,FALSE)</f>
        <v>PPPCKDR2</v>
      </c>
      <c r="R1214" s="8" t="e">
        <f>VLOOKUP(Table1[[#This Row],[Address B]],IP_Master[],4,FALSE)</f>
        <v>#N/A</v>
      </c>
      <c r="S1214" s="8" t="str">
        <f>VLOOKUP(Table1[[#This Row],[Address A]],IP_Master[],2,FALSE)</f>
        <v>Kilns/KDR</v>
      </c>
      <c r="T1214" s="8" t="e">
        <f>VLOOKUP(Table1[[#This Row],[Address B]],IP_Master[],2,FALSE)</f>
        <v>#N/A</v>
      </c>
      <c r="U1214" s="9" t="str">
        <f>VLOOKUP(Table1[[#This Row],[Address A]],IP_Master[],3,FALSE)</f>
        <v>iFIX Nodes &amp; Ethernet Switches</v>
      </c>
      <c r="V1214" s="9" t="e">
        <f>VLOOKUP(Table1[[#This Row],[Address B]],IP_Master[],3,FALSE)</f>
        <v>#N/A</v>
      </c>
      <c r="W1214" s="9" t="str">
        <f>VLOOKUP(Table1[[#This Row],[Port B]],traffic_types[],2,FALSE)</f>
        <v>HTTP</v>
      </c>
    </row>
    <row r="1215" spans="1:23" x14ac:dyDescent="0.6">
      <c r="A1215" t="s">
        <v>145</v>
      </c>
      <c r="B1215">
        <v>53668</v>
      </c>
      <c r="C1215" t="s">
        <v>106</v>
      </c>
      <c r="D1215">
        <v>80</v>
      </c>
      <c r="E1215">
        <v>3</v>
      </c>
      <c r="F1215" s="13">
        <v>194</v>
      </c>
      <c r="G1215">
        <v>3</v>
      </c>
      <c r="H1215">
        <v>194</v>
      </c>
      <c r="I1215">
        <v>0</v>
      </c>
      <c r="J1215">
        <v>0</v>
      </c>
      <c r="K1215">
        <v>469.89883300000002</v>
      </c>
      <c r="L1215">
        <v>9.0058760000000007</v>
      </c>
      <c r="M1215">
        <v>172.331930841597</v>
      </c>
      <c r="N1215">
        <v>0</v>
      </c>
      <c r="O1215" s="8" t="str">
        <f>formatIP(Table1[[#This Row],[Address A]])</f>
        <v>010.012.000.202</v>
      </c>
      <c r="P1215" s="8" t="str">
        <f>formatIP(Table1[[#This Row],[Address B]])</f>
        <v>172.217.022.068</v>
      </c>
      <c r="Q1215" s="8" t="str">
        <f>VLOOKUP(Table1[[#This Row],[Address A]],IP_Master[],4,FALSE)</f>
        <v>PPPCKDR2</v>
      </c>
      <c r="R1215" s="8" t="e">
        <f>VLOOKUP(Table1[[#This Row],[Address B]],IP_Master[],4,FALSE)</f>
        <v>#N/A</v>
      </c>
      <c r="S1215" s="8" t="str">
        <f>VLOOKUP(Table1[[#This Row],[Address A]],IP_Master[],2,FALSE)</f>
        <v>Kilns/KDR</v>
      </c>
      <c r="T1215" s="8" t="e">
        <f>VLOOKUP(Table1[[#This Row],[Address B]],IP_Master[],2,FALSE)</f>
        <v>#N/A</v>
      </c>
      <c r="U1215" s="9" t="str">
        <f>VLOOKUP(Table1[[#This Row],[Address A]],IP_Master[],3,FALSE)</f>
        <v>iFIX Nodes &amp; Ethernet Switches</v>
      </c>
      <c r="V1215" s="9" t="e">
        <f>VLOOKUP(Table1[[#This Row],[Address B]],IP_Master[],3,FALSE)</f>
        <v>#N/A</v>
      </c>
      <c r="W1215" s="9" t="str">
        <f>VLOOKUP(Table1[[#This Row],[Port B]],traffic_types[],2,FALSE)</f>
        <v>HTTP</v>
      </c>
    </row>
    <row r="1216" spans="1:23" x14ac:dyDescent="0.6">
      <c r="A1216" t="s">
        <v>145</v>
      </c>
      <c r="B1216">
        <v>53672</v>
      </c>
      <c r="C1216" t="s">
        <v>123</v>
      </c>
      <c r="D1216">
        <v>443</v>
      </c>
      <c r="E1216">
        <v>3</v>
      </c>
      <c r="F1216" s="13">
        <v>194</v>
      </c>
      <c r="G1216">
        <v>3</v>
      </c>
      <c r="H1216">
        <v>194</v>
      </c>
      <c r="I1216">
        <v>0</v>
      </c>
      <c r="J1216">
        <v>0</v>
      </c>
      <c r="K1216">
        <v>493.082334</v>
      </c>
      <c r="L1216">
        <v>9.00097999999997</v>
      </c>
      <c r="M1216">
        <v>172.42566920490901</v>
      </c>
      <c r="N1216">
        <v>0</v>
      </c>
      <c r="O1216" s="8" t="str">
        <f>formatIP(Table1[[#This Row],[Address A]])</f>
        <v>010.012.000.202</v>
      </c>
      <c r="P1216" s="8" t="str">
        <f>formatIP(Table1[[#This Row],[Address B]])</f>
        <v>023.032.124.029</v>
      </c>
      <c r="Q1216" s="8" t="str">
        <f>VLOOKUP(Table1[[#This Row],[Address A]],IP_Master[],4,FALSE)</f>
        <v>PPPCKDR2</v>
      </c>
      <c r="R1216" s="8" t="e">
        <f>VLOOKUP(Table1[[#This Row],[Address B]],IP_Master[],4,FALSE)</f>
        <v>#N/A</v>
      </c>
      <c r="S1216" s="8" t="str">
        <f>VLOOKUP(Table1[[#This Row],[Address A]],IP_Master[],2,FALSE)</f>
        <v>Kilns/KDR</v>
      </c>
      <c r="T1216" s="8" t="e">
        <f>VLOOKUP(Table1[[#This Row],[Address B]],IP_Master[],2,FALSE)</f>
        <v>#N/A</v>
      </c>
      <c r="U1216" s="9" t="str">
        <f>VLOOKUP(Table1[[#This Row],[Address A]],IP_Master[],3,FALSE)</f>
        <v>iFIX Nodes &amp; Ethernet Switches</v>
      </c>
      <c r="V1216" s="9" t="e">
        <f>VLOOKUP(Table1[[#This Row],[Address B]],IP_Master[],3,FALSE)</f>
        <v>#N/A</v>
      </c>
      <c r="W1216" s="9" t="str">
        <f>VLOOKUP(Table1[[#This Row],[Port B]],traffic_types[],2,FALSE)</f>
        <v>HTTP/S</v>
      </c>
    </row>
    <row r="1217" spans="1:23" x14ac:dyDescent="0.6">
      <c r="A1217" t="s">
        <v>145</v>
      </c>
      <c r="B1217">
        <v>53673</v>
      </c>
      <c r="C1217" t="s">
        <v>101</v>
      </c>
      <c r="D1217">
        <v>80</v>
      </c>
      <c r="E1217">
        <v>3</v>
      </c>
      <c r="F1217" s="13">
        <v>194</v>
      </c>
      <c r="G1217">
        <v>3</v>
      </c>
      <c r="H1217">
        <v>194</v>
      </c>
      <c r="I1217">
        <v>0</v>
      </c>
      <c r="J1217">
        <v>0</v>
      </c>
      <c r="K1217">
        <v>495.94665700000002</v>
      </c>
      <c r="L1217">
        <v>8.9939729999999791</v>
      </c>
      <c r="M1217">
        <v>172.56000212586801</v>
      </c>
      <c r="N1217">
        <v>0</v>
      </c>
      <c r="O1217" s="8" t="str">
        <f>formatIP(Table1[[#This Row],[Address A]])</f>
        <v>010.012.000.202</v>
      </c>
      <c r="P1217" s="8" t="str">
        <f>formatIP(Table1[[#This Row],[Address B]])</f>
        <v>023.000.040.234</v>
      </c>
      <c r="Q1217" s="8" t="str">
        <f>VLOOKUP(Table1[[#This Row],[Address A]],IP_Master[],4,FALSE)</f>
        <v>PPPCKDR2</v>
      </c>
      <c r="R1217" s="8" t="e">
        <f>VLOOKUP(Table1[[#This Row],[Address B]],IP_Master[],4,FALSE)</f>
        <v>#N/A</v>
      </c>
      <c r="S1217" s="8" t="str">
        <f>VLOOKUP(Table1[[#This Row],[Address A]],IP_Master[],2,FALSE)</f>
        <v>Kilns/KDR</v>
      </c>
      <c r="T1217" s="8" t="e">
        <f>VLOOKUP(Table1[[#This Row],[Address B]],IP_Master[],2,FALSE)</f>
        <v>#N/A</v>
      </c>
      <c r="U1217" s="9" t="str">
        <f>VLOOKUP(Table1[[#This Row],[Address A]],IP_Master[],3,FALSE)</f>
        <v>iFIX Nodes &amp; Ethernet Switches</v>
      </c>
      <c r="V1217" s="9" t="e">
        <f>VLOOKUP(Table1[[#This Row],[Address B]],IP_Master[],3,FALSE)</f>
        <v>#N/A</v>
      </c>
      <c r="W1217" s="9" t="str">
        <f>VLOOKUP(Table1[[#This Row],[Port B]],traffic_types[],2,FALSE)</f>
        <v>HTTP</v>
      </c>
    </row>
    <row r="1218" spans="1:23" x14ac:dyDescent="0.6">
      <c r="A1218" t="s">
        <v>145</v>
      </c>
      <c r="B1218">
        <v>53677</v>
      </c>
      <c r="C1218" t="s">
        <v>106</v>
      </c>
      <c r="D1218">
        <v>80</v>
      </c>
      <c r="E1218">
        <v>3</v>
      </c>
      <c r="F1218" s="13">
        <v>194</v>
      </c>
      <c r="G1218">
        <v>3</v>
      </c>
      <c r="H1218">
        <v>194</v>
      </c>
      <c r="I1218">
        <v>0</v>
      </c>
      <c r="J1218">
        <v>0</v>
      </c>
      <c r="K1218">
        <v>516.94440199999997</v>
      </c>
      <c r="L1218">
        <v>9.0026880000000293</v>
      </c>
      <c r="M1218">
        <v>172.39295641479501</v>
      </c>
      <c r="N1218">
        <v>0</v>
      </c>
      <c r="O1218" s="8" t="str">
        <f>formatIP(Table1[[#This Row],[Address A]])</f>
        <v>010.012.000.202</v>
      </c>
      <c r="P1218" s="8" t="str">
        <f>formatIP(Table1[[#This Row],[Address B]])</f>
        <v>172.217.022.068</v>
      </c>
      <c r="Q1218" s="8" t="str">
        <f>VLOOKUP(Table1[[#This Row],[Address A]],IP_Master[],4,FALSE)</f>
        <v>PPPCKDR2</v>
      </c>
      <c r="R1218" s="8" t="e">
        <f>VLOOKUP(Table1[[#This Row],[Address B]],IP_Master[],4,FALSE)</f>
        <v>#N/A</v>
      </c>
      <c r="S1218" s="8" t="str">
        <f>VLOOKUP(Table1[[#This Row],[Address A]],IP_Master[],2,FALSE)</f>
        <v>Kilns/KDR</v>
      </c>
      <c r="T1218" s="8" t="e">
        <f>VLOOKUP(Table1[[#This Row],[Address B]],IP_Master[],2,FALSE)</f>
        <v>#N/A</v>
      </c>
      <c r="U1218" s="9" t="str">
        <f>VLOOKUP(Table1[[#This Row],[Address A]],IP_Master[],3,FALSE)</f>
        <v>iFIX Nodes &amp; Ethernet Switches</v>
      </c>
      <c r="V1218" s="9" t="e">
        <f>VLOOKUP(Table1[[#This Row],[Address B]],IP_Master[],3,FALSE)</f>
        <v>#N/A</v>
      </c>
      <c r="W1218" s="9" t="str">
        <f>VLOOKUP(Table1[[#This Row],[Port B]],traffic_types[],2,FALSE)</f>
        <v>HTTP</v>
      </c>
    </row>
    <row r="1219" spans="1:23" x14ac:dyDescent="0.6">
      <c r="A1219" t="s">
        <v>145</v>
      </c>
      <c r="B1219">
        <v>53681</v>
      </c>
      <c r="C1219" t="s">
        <v>101</v>
      </c>
      <c r="D1219">
        <v>80</v>
      </c>
      <c r="E1219">
        <v>3</v>
      </c>
      <c r="F1219" s="13">
        <v>194</v>
      </c>
      <c r="G1219">
        <v>3</v>
      </c>
      <c r="H1219">
        <v>194</v>
      </c>
      <c r="I1219">
        <v>0</v>
      </c>
      <c r="J1219">
        <v>0</v>
      </c>
      <c r="K1219">
        <v>542.98904600000003</v>
      </c>
      <c r="L1219">
        <v>9.0009579999999705</v>
      </c>
      <c r="M1219">
        <v>172.426090645019</v>
      </c>
      <c r="N1219">
        <v>0</v>
      </c>
      <c r="O1219" s="8" t="str">
        <f>formatIP(Table1[[#This Row],[Address A]])</f>
        <v>010.012.000.202</v>
      </c>
      <c r="P1219" s="8" t="str">
        <f>formatIP(Table1[[#This Row],[Address B]])</f>
        <v>023.000.040.234</v>
      </c>
      <c r="Q1219" s="8" t="str">
        <f>VLOOKUP(Table1[[#This Row],[Address A]],IP_Master[],4,FALSE)</f>
        <v>PPPCKDR2</v>
      </c>
      <c r="R1219" s="8" t="e">
        <f>VLOOKUP(Table1[[#This Row],[Address B]],IP_Master[],4,FALSE)</f>
        <v>#N/A</v>
      </c>
      <c r="S1219" s="8" t="str">
        <f>VLOOKUP(Table1[[#This Row],[Address A]],IP_Master[],2,FALSE)</f>
        <v>Kilns/KDR</v>
      </c>
      <c r="T1219" s="8" t="e">
        <f>VLOOKUP(Table1[[#This Row],[Address B]],IP_Master[],2,FALSE)</f>
        <v>#N/A</v>
      </c>
      <c r="U1219" s="9" t="str">
        <f>VLOOKUP(Table1[[#This Row],[Address A]],IP_Master[],3,FALSE)</f>
        <v>iFIX Nodes &amp; Ethernet Switches</v>
      </c>
      <c r="V1219" s="9" t="e">
        <f>VLOOKUP(Table1[[#This Row],[Address B]],IP_Master[],3,FALSE)</f>
        <v>#N/A</v>
      </c>
      <c r="W1219" s="9" t="str">
        <f>VLOOKUP(Table1[[#This Row],[Port B]],traffic_types[],2,FALSE)</f>
        <v>HTTP</v>
      </c>
    </row>
    <row r="1220" spans="1:23" x14ac:dyDescent="0.6">
      <c r="A1220" t="s">
        <v>145</v>
      </c>
      <c r="B1220">
        <v>53682</v>
      </c>
      <c r="C1220" t="s">
        <v>106</v>
      </c>
      <c r="D1220">
        <v>80</v>
      </c>
      <c r="E1220">
        <v>3</v>
      </c>
      <c r="F1220" s="13">
        <v>194</v>
      </c>
      <c r="G1220">
        <v>3</v>
      </c>
      <c r="H1220">
        <v>194</v>
      </c>
      <c r="I1220">
        <v>0</v>
      </c>
      <c r="J1220">
        <v>0</v>
      </c>
      <c r="K1220">
        <v>563.99428399999999</v>
      </c>
      <c r="L1220">
        <v>9.00019199999997</v>
      </c>
      <c r="M1220">
        <v>172.44076570811001</v>
      </c>
      <c r="N1220">
        <v>0</v>
      </c>
      <c r="O1220" s="8" t="str">
        <f>formatIP(Table1[[#This Row],[Address A]])</f>
        <v>010.012.000.202</v>
      </c>
      <c r="P1220" s="8" t="str">
        <f>formatIP(Table1[[#This Row],[Address B]])</f>
        <v>172.217.022.068</v>
      </c>
      <c r="Q1220" s="8" t="str">
        <f>VLOOKUP(Table1[[#This Row],[Address A]],IP_Master[],4,FALSE)</f>
        <v>PPPCKDR2</v>
      </c>
      <c r="R1220" s="8" t="e">
        <f>VLOOKUP(Table1[[#This Row],[Address B]],IP_Master[],4,FALSE)</f>
        <v>#N/A</v>
      </c>
      <c r="S1220" s="8" t="str">
        <f>VLOOKUP(Table1[[#This Row],[Address A]],IP_Master[],2,FALSE)</f>
        <v>Kilns/KDR</v>
      </c>
      <c r="T1220" s="8" t="e">
        <f>VLOOKUP(Table1[[#This Row],[Address B]],IP_Master[],2,FALSE)</f>
        <v>#N/A</v>
      </c>
      <c r="U1220" s="9" t="str">
        <f>VLOOKUP(Table1[[#This Row],[Address A]],IP_Master[],3,FALSE)</f>
        <v>iFIX Nodes &amp; Ethernet Switches</v>
      </c>
      <c r="V1220" s="9" t="e">
        <f>VLOOKUP(Table1[[#This Row],[Address B]],IP_Master[],3,FALSE)</f>
        <v>#N/A</v>
      </c>
      <c r="W1220" s="9" t="str">
        <f>VLOOKUP(Table1[[#This Row],[Port B]],traffic_types[],2,FALSE)</f>
        <v>HTTP</v>
      </c>
    </row>
    <row r="1221" spans="1:23" x14ac:dyDescent="0.6">
      <c r="A1221" t="s">
        <v>145</v>
      </c>
      <c r="B1221">
        <v>53686</v>
      </c>
      <c r="C1221" t="s">
        <v>101</v>
      </c>
      <c r="D1221">
        <v>80</v>
      </c>
      <c r="E1221">
        <v>3</v>
      </c>
      <c r="F1221" s="13">
        <v>194</v>
      </c>
      <c r="G1221">
        <v>3</v>
      </c>
      <c r="H1221">
        <v>194</v>
      </c>
      <c r="I1221">
        <v>0</v>
      </c>
      <c r="J1221">
        <v>0</v>
      </c>
      <c r="K1221">
        <v>590.03234099999997</v>
      </c>
      <c r="L1221">
        <v>8.9951650000000392</v>
      </c>
      <c r="M1221">
        <v>172.53713522764599</v>
      </c>
      <c r="N1221">
        <v>0</v>
      </c>
      <c r="O1221" s="8" t="str">
        <f>formatIP(Table1[[#This Row],[Address A]])</f>
        <v>010.012.000.202</v>
      </c>
      <c r="P1221" s="8" t="str">
        <f>formatIP(Table1[[#This Row],[Address B]])</f>
        <v>023.000.040.234</v>
      </c>
      <c r="Q1221" s="8" t="str">
        <f>VLOOKUP(Table1[[#This Row],[Address A]],IP_Master[],4,FALSE)</f>
        <v>PPPCKDR2</v>
      </c>
      <c r="R1221" s="8" t="e">
        <f>VLOOKUP(Table1[[#This Row],[Address B]],IP_Master[],4,FALSE)</f>
        <v>#N/A</v>
      </c>
      <c r="S1221" s="8" t="str">
        <f>VLOOKUP(Table1[[#This Row],[Address A]],IP_Master[],2,FALSE)</f>
        <v>Kilns/KDR</v>
      </c>
      <c r="T1221" s="8" t="e">
        <f>VLOOKUP(Table1[[#This Row],[Address B]],IP_Master[],2,FALSE)</f>
        <v>#N/A</v>
      </c>
      <c r="U1221" s="9" t="str">
        <f>VLOOKUP(Table1[[#This Row],[Address A]],IP_Master[],3,FALSE)</f>
        <v>iFIX Nodes &amp; Ethernet Switches</v>
      </c>
      <c r="V1221" s="9" t="e">
        <f>VLOOKUP(Table1[[#This Row],[Address B]],IP_Master[],3,FALSE)</f>
        <v>#N/A</v>
      </c>
      <c r="W1221" s="9" t="str">
        <f>VLOOKUP(Table1[[#This Row],[Port B]],traffic_types[],2,FALSE)</f>
        <v>HTTP</v>
      </c>
    </row>
    <row r="1222" spans="1:23" x14ac:dyDescent="0.6">
      <c r="A1222" t="s">
        <v>145</v>
      </c>
      <c r="B1222">
        <v>53690</v>
      </c>
      <c r="C1222" t="s">
        <v>106</v>
      </c>
      <c r="D1222">
        <v>80</v>
      </c>
      <c r="E1222">
        <v>3</v>
      </c>
      <c r="F1222" s="13">
        <v>194</v>
      </c>
      <c r="G1222">
        <v>3</v>
      </c>
      <c r="H1222">
        <v>194</v>
      </c>
      <c r="I1222">
        <v>0</v>
      </c>
      <c r="J1222">
        <v>0</v>
      </c>
      <c r="K1222">
        <v>611.03327999999999</v>
      </c>
      <c r="L1222">
        <v>9.0006230000000205</v>
      </c>
      <c r="M1222">
        <v>172.43250828303701</v>
      </c>
      <c r="N1222">
        <v>0</v>
      </c>
      <c r="O1222" s="8" t="str">
        <f>formatIP(Table1[[#This Row],[Address A]])</f>
        <v>010.012.000.202</v>
      </c>
      <c r="P1222" s="8" t="str">
        <f>formatIP(Table1[[#This Row],[Address B]])</f>
        <v>172.217.022.068</v>
      </c>
      <c r="Q1222" s="8" t="str">
        <f>VLOOKUP(Table1[[#This Row],[Address A]],IP_Master[],4,FALSE)</f>
        <v>PPPCKDR2</v>
      </c>
      <c r="R1222" s="8" t="e">
        <f>VLOOKUP(Table1[[#This Row],[Address B]],IP_Master[],4,FALSE)</f>
        <v>#N/A</v>
      </c>
      <c r="S1222" s="8" t="str">
        <f>VLOOKUP(Table1[[#This Row],[Address A]],IP_Master[],2,FALSE)</f>
        <v>Kilns/KDR</v>
      </c>
      <c r="T1222" s="8" t="e">
        <f>VLOOKUP(Table1[[#This Row],[Address B]],IP_Master[],2,FALSE)</f>
        <v>#N/A</v>
      </c>
      <c r="U1222" s="9" t="str">
        <f>VLOOKUP(Table1[[#This Row],[Address A]],IP_Master[],3,FALSE)</f>
        <v>iFIX Nodes &amp; Ethernet Switches</v>
      </c>
      <c r="V1222" s="9" t="e">
        <f>VLOOKUP(Table1[[#This Row],[Address B]],IP_Master[],3,FALSE)</f>
        <v>#N/A</v>
      </c>
      <c r="W1222" s="9" t="str">
        <f>VLOOKUP(Table1[[#This Row],[Port B]],traffic_types[],2,FALSE)</f>
        <v>HTTP</v>
      </c>
    </row>
    <row r="1223" spans="1:23" x14ac:dyDescent="0.6">
      <c r="A1223" t="s">
        <v>145</v>
      </c>
      <c r="B1223">
        <v>53694</v>
      </c>
      <c r="C1223" t="s">
        <v>101</v>
      </c>
      <c r="D1223">
        <v>80</v>
      </c>
      <c r="E1223">
        <v>3</v>
      </c>
      <c r="F1223" s="13">
        <v>194</v>
      </c>
      <c r="G1223">
        <v>3</v>
      </c>
      <c r="H1223">
        <v>194</v>
      </c>
      <c r="I1223">
        <v>0</v>
      </c>
      <c r="J1223">
        <v>0</v>
      </c>
      <c r="K1223">
        <v>637.07475799999997</v>
      </c>
      <c r="L1223">
        <v>9.0001889999999793</v>
      </c>
      <c r="M1223">
        <v>172.440823187158</v>
      </c>
      <c r="N1223">
        <v>0</v>
      </c>
      <c r="O1223" s="8" t="str">
        <f>formatIP(Table1[[#This Row],[Address A]])</f>
        <v>010.012.000.202</v>
      </c>
      <c r="P1223" s="8" t="str">
        <f>formatIP(Table1[[#This Row],[Address B]])</f>
        <v>023.000.040.234</v>
      </c>
      <c r="Q1223" s="8" t="str">
        <f>VLOOKUP(Table1[[#This Row],[Address A]],IP_Master[],4,FALSE)</f>
        <v>PPPCKDR2</v>
      </c>
      <c r="R1223" s="8" t="e">
        <f>VLOOKUP(Table1[[#This Row],[Address B]],IP_Master[],4,FALSE)</f>
        <v>#N/A</v>
      </c>
      <c r="S1223" s="8" t="str">
        <f>VLOOKUP(Table1[[#This Row],[Address A]],IP_Master[],2,FALSE)</f>
        <v>Kilns/KDR</v>
      </c>
      <c r="T1223" s="8" t="e">
        <f>VLOOKUP(Table1[[#This Row],[Address B]],IP_Master[],2,FALSE)</f>
        <v>#N/A</v>
      </c>
      <c r="U1223" s="9" t="str">
        <f>VLOOKUP(Table1[[#This Row],[Address A]],IP_Master[],3,FALSE)</f>
        <v>iFIX Nodes &amp; Ethernet Switches</v>
      </c>
      <c r="V1223" s="9" t="e">
        <f>VLOOKUP(Table1[[#This Row],[Address B]],IP_Master[],3,FALSE)</f>
        <v>#N/A</v>
      </c>
      <c r="W1223" s="9" t="str">
        <f>VLOOKUP(Table1[[#This Row],[Port B]],traffic_types[],2,FALSE)</f>
        <v>HTTP</v>
      </c>
    </row>
    <row r="1224" spans="1:23" x14ac:dyDescent="0.6">
      <c r="A1224" t="s">
        <v>145</v>
      </c>
      <c r="B1224">
        <v>53695</v>
      </c>
      <c r="C1224" t="s">
        <v>106</v>
      </c>
      <c r="D1224">
        <v>80</v>
      </c>
      <c r="E1224">
        <v>3</v>
      </c>
      <c r="F1224" s="13">
        <v>194</v>
      </c>
      <c r="G1224">
        <v>3</v>
      </c>
      <c r="H1224">
        <v>194</v>
      </c>
      <c r="I1224">
        <v>0</v>
      </c>
      <c r="J1224">
        <v>0</v>
      </c>
      <c r="K1224">
        <v>658.07564200000002</v>
      </c>
      <c r="L1224">
        <v>8.9977259999999397</v>
      </c>
      <c r="M1224">
        <v>172.48802641912101</v>
      </c>
      <c r="N1224">
        <v>0</v>
      </c>
      <c r="O1224" s="8" t="str">
        <f>formatIP(Table1[[#This Row],[Address A]])</f>
        <v>010.012.000.202</v>
      </c>
      <c r="P1224" s="8" t="str">
        <f>formatIP(Table1[[#This Row],[Address B]])</f>
        <v>172.217.022.068</v>
      </c>
      <c r="Q1224" s="8" t="str">
        <f>VLOOKUP(Table1[[#This Row],[Address A]],IP_Master[],4,FALSE)</f>
        <v>PPPCKDR2</v>
      </c>
      <c r="R1224" s="8" t="e">
        <f>VLOOKUP(Table1[[#This Row],[Address B]],IP_Master[],4,FALSE)</f>
        <v>#N/A</v>
      </c>
      <c r="S1224" s="8" t="str">
        <f>VLOOKUP(Table1[[#This Row],[Address A]],IP_Master[],2,FALSE)</f>
        <v>Kilns/KDR</v>
      </c>
      <c r="T1224" s="8" t="e">
        <f>VLOOKUP(Table1[[#This Row],[Address B]],IP_Master[],2,FALSE)</f>
        <v>#N/A</v>
      </c>
      <c r="U1224" s="9" t="str">
        <f>VLOOKUP(Table1[[#This Row],[Address A]],IP_Master[],3,FALSE)</f>
        <v>iFIX Nodes &amp; Ethernet Switches</v>
      </c>
      <c r="V1224" s="9" t="e">
        <f>VLOOKUP(Table1[[#This Row],[Address B]],IP_Master[],3,FALSE)</f>
        <v>#N/A</v>
      </c>
      <c r="W1224" s="9" t="str">
        <f>VLOOKUP(Table1[[#This Row],[Port B]],traffic_types[],2,FALSE)</f>
        <v>HTTP</v>
      </c>
    </row>
    <row r="1225" spans="1:23" x14ac:dyDescent="0.6">
      <c r="A1225" t="s">
        <v>145</v>
      </c>
      <c r="B1225">
        <v>53699</v>
      </c>
      <c r="C1225" t="s">
        <v>101</v>
      </c>
      <c r="D1225">
        <v>80</v>
      </c>
      <c r="E1225">
        <v>3</v>
      </c>
      <c r="F1225" s="13">
        <v>194</v>
      </c>
      <c r="G1225">
        <v>3</v>
      </c>
      <c r="H1225">
        <v>194</v>
      </c>
      <c r="I1225">
        <v>0</v>
      </c>
      <c r="J1225">
        <v>0</v>
      </c>
      <c r="K1225">
        <v>684.11487899999997</v>
      </c>
      <c r="L1225">
        <v>9.0034960000000392</v>
      </c>
      <c r="M1225">
        <v>172.377485367905</v>
      </c>
      <c r="N1225">
        <v>0</v>
      </c>
      <c r="O1225" s="8" t="str">
        <f>formatIP(Table1[[#This Row],[Address A]])</f>
        <v>010.012.000.202</v>
      </c>
      <c r="P1225" s="8" t="str">
        <f>formatIP(Table1[[#This Row],[Address B]])</f>
        <v>023.000.040.234</v>
      </c>
      <c r="Q1225" s="8" t="str">
        <f>VLOOKUP(Table1[[#This Row],[Address A]],IP_Master[],4,FALSE)</f>
        <v>PPPCKDR2</v>
      </c>
      <c r="R1225" s="8" t="e">
        <f>VLOOKUP(Table1[[#This Row],[Address B]],IP_Master[],4,FALSE)</f>
        <v>#N/A</v>
      </c>
      <c r="S1225" s="8" t="str">
        <f>VLOOKUP(Table1[[#This Row],[Address A]],IP_Master[],2,FALSE)</f>
        <v>Kilns/KDR</v>
      </c>
      <c r="T1225" s="8" t="e">
        <f>VLOOKUP(Table1[[#This Row],[Address B]],IP_Master[],2,FALSE)</f>
        <v>#N/A</v>
      </c>
      <c r="U1225" s="9" t="str">
        <f>VLOOKUP(Table1[[#This Row],[Address A]],IP_Master[],3,FALSE)</f>
        <v>iFIX Nodes &amp; Ethernet Switches</v>
      </c>
      <c r="V1225" s="9" t="e">
        <f>VLOOKUP(Table1[[#This Row],[Address B]],IP_Master[],3,FALSE)</f>
        <v>#N/A</v>
      </c>
      <c r="W1225" s="9" t="str">
        <f>VLOOKUP(Table1[[#This Row],[Port B]],traffic_types[],2,FALSE)</f>
        <v>HTTP</v>
      </c>
    </row>
    <row r="1226" spans="1:23" x14ac:dyDescent="0.6">
      <c r="A1226" t="s">
        <v>145</v>
      </c>
      <c r="B1226">
        <v>53703</v>
      </c>
      <c r="C1226" t="s">
        <v>106</v>
      </c>
      <c r="D1226">
        <v>80</v>
      </c>
      <c r="E1226">
        <v>3</v>
      </c>
      <c r="F1226" s="13">
        <v>194</v>
      </c>
      <c r="G1226">
        <v>3</v>
      </c>
      <c r="H1226">
        <v>194</v>
      </c>
      <c r="I1226">
        <v>0</v>
      </c>
      <c r="J1226">
        <v>0</v>
      </c>
      <c r="K1226">
        <v>705.12282600000003</v>
      </c>
      <c r="L1226">
        <v>9.00097799999992</v>
      </c>
      <c r="M1226">
        <v>172.42570751756199</v>
      </c>
      <c r="N1226">
        <v>0</v>
      </c>
      <c r="O1226" s="8" t="str">
        <f>formatIP(Table1[[#This Row],[Address A]])</f>
        <v>010.012.000.202</v>
      </c>
      <c r="P1226" s="8" t="str">
        <f>formatIP(Table1[[#This Row],[Address B]])</f>
        <v>172.217.022.068</v>
      </c>
      <c r="Q1226" s="8" t="str">
        <f>VLOOKUP(Table1[[#This Row],[Address A]],IP_Master[],4,FALSE)</f>
        <v>PPPCKDR2</v>
      </c>
      <c r="R1226" s="8" t="e">
        <f>VLOOKUP(Table1[[#This Row],[Address B]],IP_Master[],4,FALSE)</f>
        <v>#N/A</v>
      </c>
      <c r="S1226" s="8" t="str">
        <f>VLOOKUP(Table1[[#This Row],[Address A]],IP_Master[],2,FALSE)</f>
        <v>Kilns/KDR</v>
      </c>
      <c r="T1226" s="8" t="e">
        <f>VLOOKUP(Table1[[#This Row],[Address B]],IP_Master[],2,FALSE)</f>
        <v>#N/A</v>
      </c>
      <c r="U1226" s="9" t="str">
        <f>VLOOKUP(Table1[[#This Row],[Address A]],IP_Master[],3,FALSE)</f>
        <v>iFIX Nodes &amp; Ethernet Switches</v>
      </c>
      <c r="V1226" s="9" t="e">
        <f>VLOOKUP(Table1[[#This Row],[Address B]],IP_Master[],3,FALSE)</f>
        <v>#N/A</v>
      </c>
      <c r="W1226" s="9" t="str">
        <f>VLOOKUP(Table1[[#This Row],[Port B]],traffic_types[],2,FALSE)</f>
        <v>HTTP</v>
      </c>
    </row>
    <row r="1227" spans="1:23" x14ac:dyDescent="0.6">
      <c r="A1227" t="s">
        <v>145</v>
      </c>
      <c r="B1227">
        <v>53707</v>
      </c>
      <c r="C1227" t="s">
        <v>101</v>
      </c>
      <c r="D1227">
        <v>80</v>
      </c>
      <c r="E1227">
        <v>3</v>
      </c>
      <c r="F1227" s="13">
        <v>194</v>
      </c>
      <c r="G1227">
        <v>3</v>
      </c>
      <c r="H1227">
        <v>194</v>
      </c>
      <c r="I1227">
        <v>0</v>
      </c>
      <c r="J1227">
        <v>0</v>
      </c>
      <c r="K1227">
        <v>731.17013099999997</v>
      </c>
      <c r="L1227">
        <v>9.0005889999999908</v>
      </c>
      <c r="M1227">
        <v>172.43315965210701</v>
      </c>
      <c r="N1227">
        <v>0</v>
      </c>
      <c r="O1227" s="8" t="str">
        <f>formatIP(Table1[[#This Row],[Address A]])</f>
        <v>010.012.000.202</v>
      </c>
      <c r="P1227" s="8" t="str">
        <f>formatIP(Table1[[#This Row],[Address B]])</f>
        <v>023.000.040.234</v>
      </c>
      <c r="Q1227" s="8" t="str">
        <f>VLOOKUP(Table1[[#This Row],[Address A]],IP_Master[],4,FALSE)</f>
        <v>PPPCKDR2</v>
      </c>
      <c r="R1227" s="8" t="e">
        <f>VLOOKUP(Table1[[#This Row],[Address B]],IP_Master[],4,FALSE)</f>
        <v>#N/A</v>
      </c>
      <c r="S1227" s="8" t="str">
        <f>VLOOKUP(Table1[[#This Row],[Address A]],IP_Master[],2,FALSE)</f>
        <v>Kilns/KDR</v>
      </c>
      <c r="T1227" s="8" t="e">
        <f>VLOOKUP(Table1[[#This Row],[Address B]],IP_Master[],2,FALSE)</f>
        <v>#N/A</v>
      </c>
      <c r="U1227" s="9" t="str">
        <f>VLOOKUP(Table1[[#This Row],[Address A]],IP_Master[],3,FALSE)</f>
        <v>iFIX Nodes &amp; Ethernet Switches</v>
      </c>
      <c r="V1227" s="9" t="e">
        <f>VLOOKUP(Table1[[#This Row],[Address B]],IP_Master[],3,FALSE)</f>
        <v>#N/A</v>
      </c>
      <c r="W1227" s="9" t="str">
        <f>VLOOKUP(Table1[[#This Row],[Port B]],traffic_types[],2,FALSE)</f>
        <v>HTTP</v>
      </c>
    </row>
    <row r="1228" spans="1:23" x14ac:dyDescent="0.6">
      <c r="A1228" t="s">
        <v>145</v>
      </c>
      <c r="B1228">
        <v>53711</v>
      </c>
      <c r="C1228" t="s">
        <v>106</v>
      </c>
      <c r="D1228">
        <v>80</v>
      </c>
      <c r="E1228">
        <v>3</v>
      </c>
      <c r="F1228" s="13">
        <v>194</v>
      </c>
      <c r="G1228">
        <v>3</v>
      </c>
      <c r="H1228">
        <v>194</v>
      </c>
      <c r="I1228">
        <v>0</v>
      </c>
      <c r="J1228">
        <v>0</v>
      </c>
      <c r="K1228">
        <v>752.16943800000001</v>
      </c>
      <c r="L1228">
        <v>9.0008229999999703</v>
      </c>
      <c r="M1228">
        <v>172.42867679988899</v>
      </c>
      <c r="N1228">
        <v>0</v>
      </c>
      <c r="O1228" s="8" t="str">
        <f>formatIP(Table1[[#This Row],[Address A]])</f>
        <v>010.012.000.202</v>
      </c>
      <c r="P1228" s="8" t="str">
        <f>formatIP(Table1[[#This Row],[Address B]])</f>
        <v>172.217.022.068</v>
      </c>
      <c r="Q1228" s="8" t="str">
        <f>VLOOKUP(Table1[[#This Row],[Address A]],IP_Master[],4,FALSE)</f>
        <v>PPPCKDR2</v>
      </c>
      <c r="R1228" s="8" t="e">
        <f>VLOOKUP(Table1[[#This Row],[Address B]],IP_Master[],4,FALSE)</f>
        <v>#N/A</v>
      </c>
      <c r="S1228" s="8" t="str">
        <f>VLOOKUP(Table1[[#This Row],[Address A]],IP_Master[],2,FALSE)</f>
        <v>Kilns/KDR</v>
      </c>
      <c r="T1228" s="8" t="e">
        <f>VLOOKUP(Table1[[#This Row],[Address B]],IP_Master[],2,FALSE)</f>
        <v>#N/A</v>
      </c>
      <c r="U1228" s="9" t="str">
        <f>VLOOKUP(Table1[[#This Row],[Address A]],IP_Master[],3,FALSE)</f>
        <v>iFIX Nodes &amp; Ethernet Switches</v>
      </c>
      <c r="V1228" s="9" t="e">
        <f>VLOOKUP(Table1[[#This Row],[Address B]],IP_Master[],3,FALSE)</f>
        <v>#N/A</v>
      </c>
      <c r="W1228" s="9" t="str">
        <f>VLOOKUP(Table1[[#This Row],[Port B]],traffic_types[],2,FALSE)</f>
        <v>HTTP</v>
      </c>
    </row>
    <row r="1229" spans="1:23" x14ac:dyDescent="0.6">
      <c r="A1229" t="s">
        <v>145</v>
      </c>
      <c r="B1229">
        <v>53712</v>
      </c>
      <c r="C1229" t="s">
        <v>101</v>
      </c>
      <c r="D1229">
        <v>80</v>
      </c>
      <c r="E1229">
        <v>3</v>
      </c>
      <c r="F1229" s="13">
        <v>194</v>
      </c>
      <c r="G1229">
        <v>3</v>
      </c>
      <c r="H1229">
        <v>194</v>
      </c>
      <c r="I1229">
        <v>0</v>
      </c>
      <c r="J1229">
        <v>0</v>
      </c>
      <c r="K1229">
        <v>778.20925099999999</v>
      </c>
      <c r="L1229">
        <v>9.007835</v>
      </c>
      <c r="M1229">
        <v>172.29445255158399</v>
      </c>
      <c r="N1229">
        <v>0</v>
      </c>
      <c r="O1229" s="8" t="str">
        <f>formatIP(Table1[[#This Row],[Address A]])</f>
        <v>010.012.000.202</v>
      </c>
      <c r="P1229" s="8" t="str">
        <f>formatIP(Table1[[#This Row],[Address B]])</f>
        <v>023.000.040.234</v>
      </c>
      <c r="Q1229" s="8" t="str">
        <f>VLOOKUP(Table1[[#This Row],[Address A]],IP_Master[],4,FALSE)</f>
        <v>PPPCKDR2</v>
      </c>
      <c r="R1229" s="8" t="e">
        <f>VLOOKUP(Table1[[#This Row],[Address B]],IP_Master[],4,FALSE)</f>
        <v>#N/A</v>
      </c>
      <c r="S1229" s="8" t="str">
        <f>VLOOKUP(Table1[[#This Row],[Address A]],IP_Master[],2,FALSE)</f>
        <v>Kilns/KDR</v>
      </c>
      <c r="T1229" s="8" t="e">
        <f>VLOOKUP(Table1[[#This Row],[Address B]],IP_Master[],2,FALSE)</f>
        <v>#N/A</v>
      </c>
      <c r="U1229" s="9" t="str">
        <f>VLOOKUP(Table1[[#This Row],[Address A]],IP_Master[],3,FALSE)</f>
        <v>iFIX Nodes &amp; Ethernet Switches</v>
      </c>
      <c r="V1229" s="9" t="e">
        <f>VLOOKUP(Table1[[#This Row],[Address B]],IP_Master[],3,FALSE)</f>
        <v>#N/A</v>
      </c>
      <c r="W1229" s="9" t="str">
        <f>VLOOKUP(Table1[[#This Row],[Port B]],traffic_types[],2,FALSE)</f>
        <v>HTTP</v>
      </c>
    </row>
    <row r="1230" spans="1:23" x14ac:dyDescent="0.6">
      <c r="A1230" t="s">
        <v>145</v>
      </c>
      <c r="B1230">
        <v>53716</v>
      </c>
      <c r="C1230" t="s">
        <v>106</v>
      </c>
      <c r="D1230">
        <v>80</v>
      </c>
      <c r="E1230">
        <v>3</v>
      </c>
      <c r="F1230" s="13">
        <v>194</v>
      </c>
      <c r="G1230">
        <v>3</v>
      </c>
      <c r="H1230">
        <v>194</v>
      </c>
      <c r="I1230">
        <v>0</v>
      </c>
      <c r="J1230">
        <v>0</v>
      </c>
      <c r="K1230">
        <v>799.220823</v>
      </c>
      <c r="L1230">
        <v>9.0017970000000105</v>
      </c>
      <c r="M1230">
        <v>172.410019910469</v>
      </c>
      <c r="N1230">
        <v>0</v>
      </c>
      <c r="O1230" s="8" t="str">
        <f>formatIP(Table1[[#This Row],[Address A]])</f>
        <v>010.012.000.202</v>
      </c>
      <c r="P1230" s="8" t="str">
        <f>formatIP(Table1[[#This Row],[Address B]])</f>
        <v>172.217.022.068</v>
      </c>
      <c r="Q1230" s="8" t="str">
        <f>VLOOKUP(Table1[[#This Row],[Address A]],IP_Master[],4,FALSE)</f>
        <v>PPPCKDR2</v>
      </c>
      <c r="R1230" s="8" t="e">
        <f>VLOOKUP(Table1[[#This Row],[Address B]],IP_Master[],4,FALSE)</f>
        <v>#N/A</v>
      </c>
      <c r="S1230" s="8" t="str">
        <f>VLOOKUP(Table1[[#This Row],[Address A]],IP_Master[],2,FALSE)</f>
        <v>Kilns/KDR</v>
      </c>
      <c r="T1230" s="8" t="e">
        <f>VLOOKUP(Table1[[#This Row],[Address B]],IP_Master[],2,FALSE)</f>
        <v>#N/A</v>
      </c>
      <c r="U1230" s="9" t="str">
        <f>VLOOKUP(Table1[[#This Row],[Address A]],IP_Master[],3,FALSE)</f>
        <v>iFIX Nodes &amp; Ethernet Switches</v>
      </c>
      <c r="V1230" s="9" t="e">
        <f>VLOOKUP(Table1[[#This Row],[Address B]],IP_Master[],3,FALSE)</f>
        <v>#N/A</v>
      </c>
      <c r="W1230" s="9" t="str">
        <f>VLOOKUP(Table1[[#This Row],[Port B]],traffic_types[],2,FALSE)</f>
        <v>HTTP</v>
      </c>
    </row>
    <row r="1231" spans="1:23" x14ac:dyDescent="0.6">
      <c r="A1231" t="s">
        <v>145</v>
      </c>
      <c r="B1231">
        <v>53720</v>
      </c>
      <c r="C1231" t="s">
        <v>101</v>
      </c>
      <c r="D1231">
        <v>80</v>
      </c>
      <c r="E1231">
        <v>3</v>
      </c>
      <c r="F1231" s="13">
        <v>194</v>
      </c>
      <c r="G1231">
        <v>3</v>
      </c>
      <c r="H1231">
        <v>194</v>
      </c>
      <c r="I1231">
        <v>0</v>
      </c>
      <c r="J1231">
        <v>0</v>
      </c>
      <c r="K1231">
        <v>825.75881000000004</v>
      </c>
      <c r="L1231">
        <v>8.9988129999999291</v>
      </c>
      <c r="M1231">
        <v>172.46719095063</v>
      </c>
      <c r="N1231">
        <v>0</v>
      </c>
      <c r="O1231" s="8" t="str">
        <f>formatIP(Table1[[#This Row],[Address A]])</f>
        <v>010.012.000.202</v>
      </c>
      <c r="P1231" s="8" t="str">
        <f>formatIP(Table1[[#This Row],[Address B]])</f>
        <v>023.000.040.234</v>
      </c>
      <c r="Q1231" s="8" t="str">
        <f>VLOOKUP(Table1[[#This Row],[Address A]],IP_Master[],4,FALSE)</f>
        <v>PPPCKDR2</v>
      </c>
      <c r="R1231" s="8" t="e">
        <f>VLOOKUP(Table1[[#This Row],[Address B]],IP_Master[],4,FALSE)</f>
        <v>#N/A</v>
      </c>
      <c r="S1231" s="8" t="str">
        <f>VLOOKUP(Table1[[#This Row],[Address A]],IP_Master[],2,FALSE)</f>
        <v>Kilns/KDR</v>
      </c>
      <c r="T1231" s="8" t="e">
        <f>VLOOKUP(Table1[[#This Row],[Address B]],IP_Master[],2,FALSE)</f>
        <v>#N/A</v>
      </c>
      <c r="U1231" s="9" t="str">
        <f>VLOOKUP(Table1[[#This Row],[Address A]],IP_Master[],3,FALSE)</f>
        <v>iFIX Nodes &amp; Ethernet Switches</v>
      </c>
      <c r="V1231" s="9" t="e">
        <f>VLOOKUP(Table1[[#This Row],[Address B]],IP_Master[],3,FALSE)</f>
        <v>#N/A</v>
      </c>
      <c r="W1231" s="9" t="str">
        <f>VLOOKUP(Table1[[#This Row],[Port B]],traffic_types[],2,FALSE)</f>
        <v>HTTP</v>
      </c>
    </row>
    <row r="1232" spans="1:23" x14ac:dyDescent="0.6">
      <c r="A1232" t="s">
        <v>145</v>
      </c>
      <c r="B1232">
        <v>53724</v>
      </c>
      <c r="C1232" t="s">
        <v>106</v>
      </c>
      <c r="D1232">
        <v>80</v>
      </c>
      <c r="E1232">
        <v>3</v>
      </c>
      <c r="F1232" s="13">
        <v>194</v>
      </c>
      <c r="G1232">
        <v>3</v>
      </c>
      <c r="H1232">
        <v>194</v>
      </c>
      <c r="I1232">
        <v>0</v>
      </c>
      <c r="J1232">
        <v>0</v>
      </c>
      <c r="K1232">
        <v>846.76769899999999</v>
      </c>
      <c r="L1232">
        <v>9.00035300000002</v>
      </c>
      <c r="M1232">
        <v>172.437681055398</v>
      </c>
      <c r="N1232">
        <v>0</v>
      </c>
      <c r="O1232" s="8" t="str">
        <f>formatIP(Table1[[#This Row],[Address A]])</f>
        <v>010.012.000.202</v>
      </c>
      <c r="P1232" s="8" t="str">
        <f>formatIP(Table1[[#This Row],[Address B]])</f>
        <v>172.217.022.068</v>
      </c>
      <c r="Q1232" s="8" t="str">
        <f>VLOOKUP(Table1[[#This Row],[Address A]],IP_Master[],4,FALSE)</f>
        <v>PPPCKDR2</v>
      </c>
      <c r="R1232" s="8" t="e">
        <f>VLOOKUP(Table1[[#This Row],[Address B]],IP_Master[],4,FALSE)</f>
        <v>#N/A</v>
      </c>
      <c r="S1232" s="8" t="str">
        <f>VLOOKUP(Table1[[#This Row],[Address A]],IP_Master[],2,FALSE)</f>
        <v>Kilns/KDR</v>
      </c>
      <c r="T1232" s="8" t="e">
        <f>VLOOKUP(Table1[[#This Row],[Address B]],IP_Master[],2,FALSE)</f>
        <v>#N/A</v>
      </c>
      <c r="U1232" s="9" t="str">
        <f>VLOOKUP(Table1[[#This Row],[Address A]],IP_Master[],3,FALSE)</f>
        <v>iFIX Nodes &amp; Ethernet Switches</v>
      </c>
      <c r="V1232" s="9" t="e">
        <f>VLOOKUP(Table1[[#This Row],[Address B]],IP_Master[],3,FALSE)</f>
        <v>#N/A</v>
      </c>
      <c r="W1232" s="9" t="str">
        <f>VLOOKUP(Table1[[#This Row],[Port B]],traffic_types[],2,FALSE)</f>
        <v>HTTP</v>
      </c>
    </row>
    <row r="1233" spans="1:23" x14ac:dyDescent="0.6">
      <c r="A1233" t="s">
        <v>145</v>
      </c>
      <c r="B1233">
        <v>53725</v>
      </c>
      <c r="C1233" t="s">
        <v>101</v>
      </c>
      <c r="D1233">
        <v>80</v>
      </c>
      <c r="E1233">
        <v>3</v>
      </c>
      <c r="F1233" s="13">
        <v>194</v>
      </c>
      <c r="G1233">
        <v>3</v>
      </c>
      <c r="H1233">
        <v>194</v>
      </c>
      <c r="I1233">
        <v>0</v>
      </c>
      <c r="J1233">
        <v>0</v>
      </c>
      <c r="K1233">
        <v>872.79661999999996</v>
      </c>
      <c r="L1233">
        <v>8.9985209999999807</v>
      </c>
      <c r="M1233">
        <v>172.472787472519</v>
      </c>
      <c r="N1233">
        <v>0</v>
      </c>
      <c r="O1233" s="8" t="str">
        <f>formatIP(Table1[[#This Row],[Address A]])</f>
        <v>010.012.000.202</v>
      </c>
      <c r="P1233" s="8" t="str">
        <f>formatIP(Table1[[#This Row],[Address B]])</f>
        <v>023.000.040.234</v>
      </c>
      <c r="Q1233" s="8" t="str">
        <f>VLOOKUP(Table1[[#This Row],[Address A]],IP_Master[],4,FALSE)</f>
        <v>PPPCKDR2</v>
      </c>
      <c r="R1233" s="8" t="e">
        <f>VLOOKUP(Table1[[#This Row],[Address B]],IP_Master[],4,FALSE)</f>
        <v>#N/A</v>
      </c>
      <c r="S1233" s="8" t="str">
        <f>VLOOKUP(Table1[[#This Row],[Address A]],IP_Master[],2,FALSE)</f>
        <v>Kilns/KDR</v>
      </c>
      <c r="T1233" s="8" t="e">
        <f>VLOOKUP(Table1[[#This Row],[Address B]],IP_Master[],2,FALSE)</f>
        <v>#N/A</v>
      </c>
      <c r="U1233" s="9" t="str">
        <f>VLOOKUP(Table1[[#This Row],[Address A]],IP_Master[],3,FALSE)</f>
        <v>iFIX Nodes &amp; Ethernet Switches</v>
      </c>
      <c r="V1233" s="9" t="e">
        <f>VLOOKUP(Table1[[#This Row],[Address B]],IP_Master[],3,FALSE)</f>
        <v>#N/A</v>
      </c>
      <c r="W1233" s="9" t="str">
        <f>VLOOKUP(Table1[[#This Row],[Port B]],traffic_types[],2,FALSE)</f>
        <v>HTTP</v>
      </c>
    </row>
    <row r="1234" spans="1:23" x14ac:dyDescent="0.6">
      <c r="A1234" t="s">
        <v>145</v>
      </c>
      <c r="B1234">
        <v>53729</v>
      </c>
      <c r="C1234" t="s">
        <v>106</v>
      </c>
      <c r="D1234">
        <v>80</v>
      </c>
      <c r="E1234">
        <v>3</v>
      </c>
      <c r="F1234" s="13">
        <v>194</v>
      </c>
      <c r="G1234">
        <v>3</v>
      </c>
      <c r="H1234">
        <v>194</v>
      </c>
      <c r="I1234">
        <v>0</v>
      </c>
      <c r="J1234">
        <v>0</v>
      </c>
      <c r="K1234">
        <v>893.80866500000002</v>
      </c>
      <c r="L1234">
        <v>9.0018279999999304</v>
      </c>
      <c r="M1234">
        <v>172.40942617432901</v>
      </c>
      <c r="N1234">
        <v>0</v>
      </c>
      <c r="O1234" s="8" t="str">
        <f>formatIP(Table1[[#This Row],[Address A]])</f>
        <v>010.012.000.202</v>
      </c>
      <c r="P1234" s="8" t="str">
        <f>formatIP(Table1[[#This Row],[Address B]])</f>
        <v>172.217.022.068</v>
      </c>
      <c r="Q1234" s="8" t="str">
        <f>VLOOKUP(Table1[[#This Row],[Address A]],IP_Master[],4,FALSE)</f>
        <v>PPPCKDR2</v>
      </c>
      <c r="R1234" s="8" t="e">
        <f>VLOOKUP(Table1[[#This Row],[Address B]],IP_Master[],4,FALSE)</f>
        <v>#N/A</v>
      </c>
      <c r="S1234" s="8" t="str">
        <f>VLOOKUP(Table1[[#This Row],[Address A]],IP_Master[],2,FALSE)</f>
        <v>Kilns/KDR</v>
      </c>
      <c r="T1234" s="8" t="e">
        <f>VLOOKUP(Table1[[#This Row],[Address B]],IP_Master[],2,FALSE)</f>
        <v>#N/A</v>
      </c>
      <c r="U1234" s="9" t="str">
        <f>VLOOKUP(Table1[[#This Row],[Address A]],IP_Master[],3,FALSE)</f>
        <v>iFIX Nodes &amp; Ethernet Switches</v>
      </c>
      <c r="V1234" s="9" t="e">
        <f>VLOOKUP(Table1[[#This Row],[Address B]],IP_Master[],3,FALSE)</f>
        <v>#N/A</v>
      </c>
      <c r="W1234" s="9" t="str">
        <f>VLOOKUP(Table1[[#This Row],[Port B]],traffic_types[],2,FALSE)</f>
        <v>HTTP</v>
      </c>
    </row>
    <row r="1235" spans="1:23" hidden="1" x14ac:dyDescent="0.6">
      <c r="A1235" t="s">
        <v>78</v>
      </c>
      <c r="B1235">
        <v>14000</v>
      </c>
      <c r="C1235" t="s">
        <v>146</v>
      </c>
      <c r="D1235">
        <v>1043</v>
      </c>
      <c r="E1235">
        <v>2024</v>
      </c>
      <c r="F1235">
        <v>394152</v>
      </c>
      <c r="G1235">
        <v>1296</v>
      </c>
      <c r="H1235">
        <v>346444</v>
      </c>
      <c r="I1235">
        <v>728</v>
      </c>
      <c r="J1235">
        <v>47708</v>
      </c>
      <c r="K1235">
        <v>3.757403</v>
      </c>
      <c r="L1235">
        <v>894.05562899999995</v>
      </c>
      <c r="M1235">
        <v>3099.9771268147801</v>
      </c>
      <c r="N1235">
        <v>426.89066275091898</v>
      </c>
      <c r="O1235" s="8" t="str">
        <f>formatIP(Table1[[#This Row],[Address A]])</f>
        <v>010.012.000.241</v>
      </c>
      <c r="P1235" s="8" t="str">
        <f>formatIP(Table1[[#This Row],[Address B]])</f>
        <v>010.012.128.164</v>
      </c>
      <c r="Q1235" s="8" t="str">
        <f>VLOOKUP(Table1[[#This Row],[Address A]],IP_Master[],4,FALSE)</f>
        <v>PPPCHIST</v>
      </c>
      <c r="R1235" s="8" t="e">
        <f>VLOOKUP(Table1[[#This Row],[Address B]],IP_Master[],4,FALSE)</f>
        <v>#N/A</v>
      </c>
      <c r="S1235" s="8" t="str">
        <f>VLOOKUP(Table1[[#This Row],[Address A]],IP_Master[],2,FALSE)</f>
        <v>Other ProcN Devices</v>
      </c>
      <c r="T1235" s="8" t="e">
        <f>VLOOKUP(Table1[[#This Row],[Address B]],IP_Master[],2,FALSE)</f>
        <v>#N/A</v>
      </c>
      <c r="U1235" s="9" t="str">
        <f>VLOOKUP(Table1[[#This Row],[Address A]],IP_Master[],3,FALSE)</f>
        <v>iFIX Nodes &amp; Ethernet Switches</v>
      </c>
      <c r="V1235" s="9" t="e">
        <f>VLOOKUP(Table1[[#This Row],[Address B]],IP_Master[],3,FALSE)</f>
        <v>#N/A</v>
      </c>
      <c r="W1235" s="9" t="e">
        <f>VLOOKUP(Table1[[#This Row],[Port B]],traffic_types[],2,FALSE)</f>
        <v>#N/A</v>
      </c>
    </row>
    <row r="1236" spans="1:23" hidden="1" x14ac:dyDescent="0.6">
      <c r="A1236" t="s">
        <v>78</v>
      </c>
      <c r="B1236">
        <v>14000</v>
      </c>
      <c r="C1236" t="s">
        <v>146</v>
      </c>
      <c r="D1236">
        <v>1042</v>
      </c>
      <c r="E1236">
        <v>2034</v>
      </c>
      <c r="F1236">
        <v>394360</v>
      </c>
      <c r="G1236">
        <v>1310</v>
      </c>
      <c r="H1236">
        <v>346892</v>
      </c>
      <c r="I1236">
        <v>724</v>
      </c>
      <c r="J1236">
        <v>47468</v>
      </c>
      <c r="K1236">
        <v>3.7574070000000002</v>
      </c>
      <c r="L1236">
        <v>894.05573300000003</v>
      </c>
      <c r="M1236">
        <v>3103.9854648524501</v>
      </c>
      <c r="N1236">
        <v>424.74309596536102</v>
      </c>
      <c r="O1236" s="8" t="str">
        <f>formatIP(Table1[[#This Row],[Address A]])</f>
        <v>010.012.000.241</v>
      </c>
      <c r="P1236" s="8" t="str">
        <f>formatIP(Table1[[#This Row],[Address B]])</f>
        <v>010.012.128.164</v>
      </c>
      <c r="Q1236" s="8" t="str">
        <f>VLOOKUP(Table1[[#This Row],[Address A]],IP_Master[],4,FALSE)</f>
        <v>PPPCHIST</v>
      </c>
      <c r="R1236" s="8" t="e">
        <f>VLOOKUP(Table1[[#This Row],[Address B]],IP_Master[],4,FALSE)</f>
        <v>#N/A</v>
      </c>
      <c r="S1236" s="8" t="str">
        <f>VLOOKUP(Table1[[#This Row],[Address A]],IP_Master[],2,FALSE)</f>
        <v>Other ProcN Devices</v>
      </c>
      <c r="T1236" s="8" t="e">
        <f>VLOOKUP(Table1[[#This Row],[Address B]],IP_Master[],2,FALSE)</f>
        <v>#N/A</v>
      </c>
      <c r="U1236" s="9" t="str">
        <f>VLOOKUP(Table1[[#This Row],[Address A]],IP_Master[],3,FALSE)</f>
        <v>iFIX Nodes &amp; Ethernet Switches</v>
      </c>
      <c r="V1236" s="9" t="e">
        <f>VLOOKUP(Table1[[#This Row],[Address B]],IP_Master[],3,FALSE)</f>
        <v>#N/A</v>
      </c>
      <c r="W1236" s="9" t="e">
        <f>VLOOKUP(Table1[[#This Row],[Port B]],traffic_types[],2,FALSE)</f>
        <v>#N/A</v>
      </c>
    </row>
    <row r="1237" spans="1:23" x14ac:dyDescent="0.6">
      <c r="A1237" t="s">
        <v>147</v>
      </c>
      <c r="B1237">
        <v>3971</v>
      </c>
      <c r="C1237" t="s">
        <v>127</v>
      </c>
      <c r="D1237">
        <v>443</v>
      </c>
      <c r="E1237">
        <v>3</v>
      </c>
      <c r="F1237" s="13">
        <v>186</v>
      </c>
      <c r="G1237">
        <v>3</v>
      </c>
      <c r="H1237">
        <v>186</v>
      </c>
      <c r="I1237">
        <v>0</v>
      </c>
      <c r="J1237">
        <v>0</v>
      </c>
      <c r="K1237">
        <v>12.890598000000001</v>
      </c>
      <c r="L1237">
        <v>8.8854550000000003</v>
      </c>
      <c r="M1237">
        <v>167.46469370448699</v>
      </c>
      <c r="N1237">
        <v>0</v>
      </c>
      <c r="O1237" s="8" t="str">
        <f>formatIP(Table1[[#This Row],[Address A]])</f>
        <v>010.012.000.251</v>
      </c>
      <c r="P1237" s="8" t="str">
        <f>formatIP(Table1[[#This Row],[Address B]])</f>
        <v>010.114.001.100</v>
      </c>
      <c r="Q1237" s="8" t="str">
        <f>VLOOKUP(Table1[[#This Row],[Address A]],IP_Master[],4,FALSE)</f>
        <v>PP_FIX2</v>
      </c>
      <c r="R1237" s="8" t="e">
        <f>VLOOKUP(Table1[[#This Row],[Address B]],IP_Master[],4,FALSE)</f>
        <v>#N/A</v>
      </c>
      <c r="S1237" s="8" t="str">
        <f>VLOOKUP(Table1[[#This Row],[Address A]],IP_Master[],2,FALSE)</f>
        <v>Other ProcN Devices</v>
      </c>
      <c r="T1237" s="8" t="e">
        <f>VLOOKUP(Table1[[#This Row],[Address B]],IP_Master[],2,FALSE)</f>
        <v>#N/A</v>
      </c>
      <c r="U1237" s="9" t="str">
        <f>VLOOKUP(Table1[[#This Row],[Address A]],IP_Master[],3,FALSE)</f>
        <v>iFIX Nodes &amp; Ethernet Switches</v>
      </c>
      <c r="V1237" s="9" t="e">
        <f>VLOOKUP(Table1[[#This Row],[Address B]],IP_Master[],3,FALSE)</f>
        <v>#N/A</v>
      </c>
      <c r="W1237" s="9" t="str">
        <f>VLOOKUP(Table1[[#This Row],[Port B]],traffic_types[],2,FALSE)</f>
        <v>HTTP/S</v>
      </c>
    </row>
    <row r="1238" spans="1:23" x14ac:dyDescent="0.6">
      <c r="A1238" t="s">
        <v>147</v>
      </c>
      <c r="B1238">
        <v>3972</v>
      </c>
      <c r="C1238" t="s">
        <v>132</v>
      </c>
      <c r="D1238">
        <v>443</v>
      </c>
      <c r="E1238">
        <v>3</v>
      </c>
      <c r="F1238" s="13">
        <v>186</v>
      </c>
      <c r="G1238">
        <v>3</v>
      </c>
      <c r="H1238">
        <v>186</v>
      </c>
      <c r="I1238">
        <v>0</v>
      </c>
      <c r="J1238">
        <v>0</v>
      </c>
      <c r="K1238">
        <v>51.061706999999998</v>
      </c>
      <c r="L1238">
        <v>8.8853659999999994</v>
      </c>
      <c r="M1238">
        <v>167.46637110953</v>
      </c>
      <c r="N1238">
        <v>0</v>
      </c>
      <c r="O1238" s="8" t="str">
        <f>formatIP(Table1[[#This Row],[Address A]])</f>
        <v>010.012.000.251</v>
      </c>
      <c r="P1238" s="8" t="str">
        <f>formatIP(Table1[[#This Row],[Address B]])</f>
        <v>010.082.001.030</v>
      </c>
      <c r="Q1238" s="8" t="str">
        <f>VLOOKUP(Table1[[#This Row],[Address A]],IP_Master[],4,FALSE)</f>
        <v>PP_FIX2</v>
      </c>
      <c r="R1238" s="8" t="e">
        <f>VLOOKUP(Table1[[#This Row],[Address B]],IP_Master[],4,FALSE)</f>
        <v>#N/A</v>
      </c>
      <c r="S1238" s="8" t="str">
        <f>VLOOKUP(Table1[[#This Row],[Address A]],IP_Master[],2,FALSE)</f>
        <v>Other ProcN Devices</v>
      </c>
      <c r="T1238" s="8" t="e">
        <f>VLOOKUP(Table1[[#This Row],[Address B]],IP_Master[],2,FALSE)</f>
        <v>#N/A</v>
      </c>
      <c r="U1238" s="9" t="str">
        <f>VLOOKUP(Table1[[#This Row],[Address A]],IP_Master[],3,FALSE)</f>
        <v>iFIX Nodes &amp; Ethernet Switches</v>
      </c>
      <c r="V1238" s="9" t="e">
        <f>VLOOKUP(Table1[[#This Row],[Address B]],IP_Master[],3,FALSE)</f>
        <v>#N/A</v>
      </c>
      <c r="W1238" s="9" t="str">
        <f>VLOOKUP(Table1[[#This Row],[Port B]],traffic_types[],2,FALSE)</f>
        <v>HTTP/S</v>
      </c>
    </row>
    <row r="1239" spans="1:23" x14ac:dyDescent="0.6">
      <c r="A1239" t="s">
        <v>147</v>
      </c>
      <c r="B1239">
        <v>3973</v>
      </c>
      <c r="C1239" t="s">
        <v>136</v>
      </c>
      <c r="D1239">
        <v>443</v>
      </c>
      <c r="E1239">
        <v>3</v>
      </c>
      <c r="F1239" s="13">
        <v>186</v>
      </c>
      <c r="G1239">
        <v>3</v>
      </c>
      <c r="H1239">
        <v>186</v>
      </c>
      <c r="I1239">
        <v>0</v>
      </c>
      <c r="J1239">
        <v>0</v>
      </c>
      <c r="K1239">
        <v>89.232757000000007</v>
      </c>
      <c r="L1239">
        <v>8.9946899999999896</v>
      </c>
      <c r="M1239">
        <v>165.43093758651</v>
      </c>
      <c r="N1239">
        <v>0</v>
      </c>
      <c r="O1239" s="8" t="str">
        <f>formatIP(Table1[[#This Row],[Address A]])</f>
        <v>010.012.000.251</v>
      </c>
      <c r="P1239" s="8" t="str">
        <f>formatIP(Table1[[#This Row],[Address B]])</f>
        <v>010.119.001.003</v>
      </c>
      <c r="Q1239" s="8" t="str">
        <f>VLOOKUP(Table1[[#This Row],[Address A]],IP_Master[],4,FALSE)</f>
        <v>PP_FIX2</v>
      </c>
      <c r="R1239" s="8" t="e">
        <f>VLOOKUP(Table1[[#This Row],[Address B]],IP_Master[],4,FALSE)</f>
        <v>#N/A</v>
      </c>
      <c r="S1239" s="8" t="str">
        <f>VLOOKUP(Table1[[#This Row],[Address A]],IP_Master[],2,FALSE)</f>
        <v>Other ProcN Devices</v>
      </c>
      <c r="T1239" s="8" t="e">
        <f>VLOOKUP(Table1[[#This Row],[Address B]],IP_Master[],2,FALSE)</f>
        <v>#N/A</v>
      </c>
      <c r="U1239" s="9" t="str">
        <f>VLOOKUP(Table1[[#This Row],[Address A]],IP_Master[],3,FALSE)</f>
        <v>iFIX Nodes &amp; Ethernet Switches</v>
      </c>
      <c r="V1239" s="9" t="e">
        <f>VLOOKUP(Table1[[#This Row],[Address B]],IP_Master[],3,FALSE)</f>
        <v>#N/A</v>
      </c>
      <c r="W1239" s="9" t="str">
        <f>VLOOKUP(Table1[[#This Row],[Port B]],traffic_types[],2,FALSE)</f>
        <v>HTTP/S</v>
      </c>
    </row>
    <row r="1240" spans="1:23" x14ac:dyDescent="0.6">
      <c r="A1240" t="s">
        <v>147</v>
      </c>
      <c r="B1240">
        <v>3974</v>
      </c>
      <c r="C1240" t="s">
        <v>128</v>
      </c>
      <c r="D1240">
        <v>443</v>
      </c>
      <c r="E1240">
        <v>3</v>
      </c>
      <c r="F1240" s="13">
        <v>186</v>
      </c>
      <c r="G1240">
        <v>3</v>
      </c>
      <c r="H1240">
        <v>186</v>
      </c>
      <c r="I1240">
        <v>0</v>
      </c>
      <c r="J1240">
        <v>0</v>
      </c>
      <c r="K1240">
        <v>127.51306</v>
      </c>
      <c r="L1240">
        <v>8.9947500000000105</v>
      </c>
      <c r="M1240">
        <v>165.429834069874</v>
      </c>
      <c r="N1240">
        <v>0</v>
      </c>
      <c r="O1240" s="8" t="str">
        <f>formatIP(Table1[[#This Row],[Address A]])</f>
        <v>010.012.000.251</v>
      </c>
      <c r="P1240" s="8" t="str">
        <f>formatIP(Table1[[#This Row],[Address B]])</f>
        <v>010.134.001.011</v>
      </c>
      <c r="Q1240" s="8" t="str">
        <f>VLOOKUP(Table1[[#This Row],[Address A]],IP_Master[],4,FALSE)</f>
        <v>PP_FIX2</v>
      </c>
      <c r="R1240" s="8" t="e">
        <f>VLOOKUP(Table1[[#This Row],[Address B]],IP_Master[],4,FALSE)</f>
        <v>#N/A</v>
      </c>
      <c r="S1240" s="8" t="str">
        <f>VLOOKUP(Table1[[#This Row],[Address A]],IP_Master[],2,FALSE)</f>
        <v>Other ProcN Devices</v>
      </c>
      <c r="T1240" s="8" t="e">
        <f>VLOOKUP(Table1[[#This Row],[Address B]],IP_Master[],2,FALSE)</f>
        <v>#N/A</v>
      </c>
      <c r="U1240" s="9" t="str">
        <f>VLOOKUP(Table1[[#This Row],[Address A]],IP_Master[],3,FALSE)</f>
        <v>iFIX Nodes &amp; Ethernet Switches</v>
      </c>
      <c r="V1240" s="9" t="e">
        <f>VLOOKUP(Table1[[#This Row],[Address B]],IP_Master[],3,FALSE)</f>
        <v>#N/A</v>
      </c>
      <c r="W1240" s="9" t="str">
        <f>VLOOKUP(Table1[[#This Row],[Port B]],traffic_types[],2,FALSE)</f>
        <v>HTTP/S</v>
      </c>
    </row>
    <row r="1241" spans="1:23" x14ac:dyDescent="0.6">
      <c r="A1241" t="s">
        <v>147</v>
      </c>
      <c r="B1241">
        <v>3975</v>
      </c>
      <c r="C1241" t="s">
        <v>141</v>
      </c>
      <c r="D1241">
        <v>443</v>
      </c>
      <c r="E1241">
        <v>3</v>
      </c>
      <c r="F1241" s="13">
        <v>186</v>
      </c>
      <c r="G1241">
        <v>3</v>
      </c>
      <c r="H1241">
        <v>186</v>
      </c>
      <c r="I1241">
        <v>0</v>
      </c>
      <c r="J1241">
        <v>0</v>
      </c>
      <c r="K1241">
        <v>165.68402599999999</v>
      </c>
      <c r="L1241">
        <v>8.8855039999999992</v>
      </c>
      <c r="M1241">
        <v>167.463770203694</v>
      </c>
      <c r="N1241">
        <v>0</v>
      </c>
      <c r="O1241" s="8" t="str">
        <f>formatIP(Table1[[#This Row],[Address A]])</f>
        <v>010.012.000.251</v>
      </c>
      <c r="P1241" s="8" t="str">
        <f>formatIP(Table1[[#This Row],[Address B]])</f>
        <v>010.113.010.001</v>
      </c>
      <c r="Q1241" s="8" t="str">
        <f>VLOOKUP(Table1[[#This Row],[Address A]],IP_Master[],4,FALSE)</f>
        <v>PP_FIX2</v>
      </c>
      <c r="R1241" s="8" t="e">
        <f>VLOOKUP(Table1[[#This Row],[Address B]],IP_Master[],4,FALSE)</f>
        <v>#N/A</v>
      </c>
      <c r="S1241" s="8" t="str">
        <f>VLOOKUP(Table1[[#This Row],[Address A]],IP_Master[],2,FALSE)</f>
        <v>Other ProcN Devices</v>
      </c>
      <c r="T1241" s="8" t="e">
        <f>VLOOKUP(Table1[[#This Row],[Address B]],IP_Master[],2,FALSE)</f>
        <v>#N/A</v>
      </c>
      <c r="U1241" s="9" t="str">
        <f>VLOOKUP(Table1[[#This Row],[Address A]],IP_Master[],3,FALSE)</f>
        <v>iFIX Nodes &amp; Ethernet Switches</v>
      </c>
      <c r="V1241" s="9" t="e">
        <f>VLOOKUP(Table1[[#This Row],[Address B]],IP_Master[],3,FALSE)</f>
        <v>#N/A</v>
      </c>
      <c r="W1241" s="9" t="str">
        <f>VLOOKUP(Table1[[#This Row],[Port B]],traffic_types[],2,FALSE)</f>
        <v>HTTP/S</v>
      </c>
    </row>
    <row r="1242" spans="1:23" x14ac:dyDescent="0.6">
      <c r="A1242" t="s">
        <v>147</v>
      </c>
      <c r="B1242">
        <v>3976</v>
      </c>
      <c r="C1242" t="s">
        <v>131</v>
      </c>
      <c r="D1242">
        <v>443</v>
      </c>
      <c r="E1242">
        <v>3</v>
      </c>
      <c r="F1242" s="13">
        <v>186</v>
      </c>
      <c r="G1242">
        <v>3</v>
      </c>
      <c r="H1242">
        <v>186</v>
      </c>
      <c r="I1242">
        <v>0</v>
      </c>
      <c r="J1242">
        <v>0</v>
      </c>
      <c r="K1242">
        <v>203.855109</v>
      </c>
      <c r="L1242">
        <v>8.8853770000000107</v>
      </c>
      <c r="M1242">
        <v>167.46616378798501</v>
      </c>
      <c r="N1242">
        <v>0</v>
      </c>
      <c r="O1242" s="8" t="str">
        <f>formatIP(Table1[[#This Row],[Address A]])</f>
        <v>010.012.000.251</v>
      </c>
      <c r="P1242" s="8" t="str">
        <f>formatIP(Table1[[#This Row],[Address B]])</f>
        <v>010.115.001.006</v>
      </c>
      <c r="Q1242" s="8" t="str">
        <f>VLOOKUP(Table1[[#This Row],[Address A]],IP_Master[],4,FALSE)</f>
        <v>PP_FIX2</v>
      </c>
      <c r="R1242" s="8" t="e">
        <f>VLOOKUP(Table1[[#This Row],[Address B]],IP_Master[],4,FALSE)</f>
        <v>#N/A</v>
      </c>
      <c r="S1242" s="8" t="str">
        <f>VLOOKUP(Table1[[#This Row],[Address A]],IP_Master[],2,FALSE)</f>
        <v>Other ProcN Devices</v>
      </c>
      <c r="T1242" s="8" t="e">
        <f>VLOOKUP(Table1[[#This Row],[Address B]],IP_Master[],2,FALSE)</f>
        <v>#N/A</v>
      </c>
      <c r="U1242" s="9" t="str">
        <f>VLOOKUP(Table1[[#This Row],[Address A]],IP_Master[],3,FALSE)</f>
        <v>iFIX Nodes &amp; Ethernet Switches</v>
      </c>
      <c r="V1242" s="9" t="e">
        <f>VLOOKUP(Table1[[#This Row],[Address B]],IP_Master[],3,FALSE)</f>
        <v>#N/A</v>
      </c>
      <c r="W1242" s="9" t="str">
        <f>VLOOKUP(Table1[[#This Row],[Port B]],traffic_types[],2,FALSE)</f>
        <v>HTTP/S</v>
      </c>
    </row>
    <row r="1243" spans="1:23" x14ac:dyDescent="0.6">
      <c r="A1243" t="s">
        <v>147</v>
      </c>
      <c r="B1243">
        <v>3977</v>
      </c>
      <c r="C1243" t="s">
        <v>140</v>
      </c>
      <c r="D1243">
        <v>443</v>
      </c>
      <c r="E1243">
        <v>3</v>
      </c>
      <c r="F1243" s="13">
        <v>186</v>
      </c>
      <c r="G1243">
        <v>3</v>
      </c>
      <c r="H1243">
        <v>186</v>
      </c>
      <c r="I1243">
        <v>0</v>
      </c>
      <c r="J1243">
        <v>0</v>
      </c>
      <c r="K1243">
        <v>242.02633499999999</v>
      </c>
      <c r="L1243">
        <v>8.9946100000000193</v>
      </c>
      <c r="M1243">
        <v>165.43240896492401</v>
      </c>
      <c r="N1243">
        <v>0</v>
      </c>
      <c r="O1243" s="8" t="str">
        <f>formatIP(Table1[[#This Row],[Address A]])</f>
        <v>010.012.000.251</v>
      </c>
      <c r="P1243" s="8" t="str">
        <f>formatIP(Table1[[#This Row],[Address B]])</f>
        <v>010.116.001.001</v>
      </c>
      <c r="Q1243" s="8" t="str">
        <f>VLOOKUP(Table1[[#This Row],[Address A]],IP_Master[],4,FALSE)</f>
        <v>PP_FIX2</v>
      </c>
      <c r="R1243" s="8" t="e">
        <f>VLOOKUP(Table1[[#This Row],[Address B]],IP_Master[],4,FALSE)</f>
        <v>#N/A</v>
      </c>
      <c r="S1243" s="8" t="str">
        <f>VLOOKUP(Table1[[#This Row],[Address A]],IP_Master[],2,FALSE)</f>
        <v>Other ProcN Devices</v>
      </c>
      <c r="T1243" s="8" t="e">
        <f>VLOOKUP(Table1[[#This Row],[Address B]],IP_Master[],2,FALSE)</f>
        <v>#N/A</v>
      </c>
      <c r="U1243" s="9" t="str">
        <f>VLOOKUP(Table1[[#This Row],[Address A]],IP_Master[],3,FALSE)</f>
        <v>iFIX Nodes &amp; Ethernet Switches</v>
      </c>
      <c r="V1243" s="9" t="e">
        <f>VLOOKUP(Table1[[#This Row],[Address B]],IP_Master[],3,FALSE)</f>
        <v>#N/A</v>
      </c>
      <c r="W1243" s="9" t="str">
        <f>VLOOKUP(Table1[[#This Row],[Port B]],traffic_types[],2,FALSE)</f>
        <v>HTTP/S</v>
      </c>
    </row>
    <row r="1244" spans="1:23" x14ac:dyDescent="0.6">
      <c r="A1244" t="s">
        <v>147</v>
      </c>
      <c r="B1244">
        <v>3978</v>
      </c>
      <c r="C1244" t="s">
        <v>146</v>
      </c>
      <c r="D1244">
        <v>139</v>
      </c>
      <c r="E1244">
        <v>32</v>
      </c>
      <c r="F1244" s="13">
        <v>4940</v>
      </c>
      <c r="G1244">
        <v>0</v>
      </c>
      <c r="H1244">
        <v>0</v>
      </c>
      <c r="I1244">
        <v>32</v>
      </c>
      <c r="J1244">
        <v>4940</v>
      </c>
      <c r="K1244">
        <v>272.77980200000002</v>
      </c>
      <c r="L1244">
        <v>1.45430000000033E-2</v>
      </c>
      <c r="M1244">
        <v>0</v>
      </c>
      <c r="N1244">
        <v>2717458.5711332601</v>
      </c>
      <c r="O1244" s="8" t="str">
        <f>formatIP(Table1[[#This Row],[Address A]])</f>
        <v>010.012.000.251</v>
      </c>
      <c r="P1244" s="8" t="str">
        <f>formatIP(Table1[[#This Row],[Address B]])</f>
        <v>010.012.128.164</v>
      </c>
      <c r="Q1244" s="8" t="str">
        <f>VLOOKUP(Table1[[#This Row],[Address A]],IP_Master[],4,FALSE)</f>
        <v>PP_FIX2</v>
      </c>
      <c r="R1244" s="8" t="e">
        <f>VLOOKUP(Table1[[#This Row],[Address B]],IP_Master[],4,FALSE)</f>
        <v>#N/A</v>
      </c>
      <c r="S1244" s="8" t="str">
        <f>VLOOKUP(Table1[[#This Row],[Address A]],IP_Master[],2,FALSE)</f>
        <v>Other ProcN Devices</v>
      </c>
      <c r="T1244" s="8" t="e">
        <f>VLOOKUP(Table1[[#This Row],[Address B]],IP_Master[],2,FALSE)</f>
        <v>#N/A</v>
      </c>
      <c r="U1244" s="9" t="str">
        <f>VLOOKUP(Table1[[#This Row],[Address A]],IP_Master[],3,FALSE)</f>
        <v>iFIX Nodes &amp; Ethernet Switches</v>
      </c>
      <c r="V1244" s="9" t="e">
        <f>VLOOKUP(Table1[[#This Row],[Address B]],IP_Master[],3,FALSE)</f>
        <v>#N/A</v>
      </c>
      <c r="W1244" s="9" t="str">
        <f>VLOOKUP(Table1[[#This Row],[Port B]],traffic_types[],2,FALSE)</f>
        <v>TCP Netbios</v>
      </c>
    </row>
    <row r="1245" spans="1:23" x14ac:dyDescent="0.6">
      <c r="A1245" t="s">
        <v>147</v>
      </c>
      <c r="B1245">
        <v>3979</v>
      </c>
      <c r="C1245" t="s">
        <v>133</v>
      </c>
      <c r="D1245">
        <v>443</v>
      </c>
      <c r="E1245">
        <v>3</v>
      </c>
      <c r="F1245" s="13">
        <v>186</v>
      </c>
      <c r="G1245">
        <v>3</v>
      </c>
      <c r="H1245">
        <v>186</v>
      </c>
      <c r="I1245">
        <v>0</v>
      </c>
      <c r="J1245">
        <v>0</v>
      </c>
      <c r="K1245">
        <v>280.30665499999998</v>
      </c>
      <c r="L1245">
        <v>8.9946480000000406</v>
      </c>
      <c r="M1245">
        <v>165.431710056913</v>
      </c>
      <c r="N1245">
        <v>0</v>
      </c>
      <c r="O1245" s="8" t="str">
        <f>formatIP(Table1[[#This Row],[Address A]])</f>
        <v>010.012.000.251</v>
      </c>
      <c r="P1245" s="8" t="str">
        <f>formatIP(Table1[[#This Row],[Address B]])</f>
        <v>010.080.001.065</v>
      </c>
      <c r="Q1245" s="8" t="str">
        <f>VLOOKUP(Table1[[#This Row],[Address A]],IP_Master[],4,FALSE)</f>
        <v>PP_FIX2</v>
      </c>
      <c r="R1245" s="8" t="e">
        <f>VLOOKUP(Table1[[#This Row],[Address B]],IP_Master[],4,FALSE)</f>
        <v>#N/A</v>
      </c>
      <c r="S1245" s="8" t="str">
        <f>VLOOKUP(Table1[[#This Row],[Address A]],IP_Master[],2,FALSE)</f>
        <v>Other ProcN Devices</v>
      </c>
      <c r="T1245" s="8" t="e">
        <f>VLOOKUP(Table1[[#This Row],[Address B]],IP_Master[],2,FALSE)</f>
        <v>#N/A</v>
      </c>
      <c r="U1245" s="9" t="str">
        <f>VLOOKUP(Table1[[#This Row],[Address A]],IP_Master[],3,FALSE)</f>
        <v>iFIX Nodes &amp; Ethernet Switches</v>
      </c>
      <c r="V1245" s="9" t="e">
        <f>VLOOKUP(Table1[[#This Row],[Address B]],IP_Master[],3,FALSE)</f>
        <v>#N/A</v>
      </c>
      <c r="W1245" s="9" t="str">
        <f>VLOOKUP(Table1[[#This Row],[Port B]],traffic_types[],2,FALSE)</f>
        <v>HTTP/S</v>
      </c>
    </row>
    <row r="1246" spans="1:23" x14ac:dyDescent="0.6">
      <c r="A1246" t="s">
        <v>147</v>
      </c>
      <c r="B1246">
        <v>3980</v>
      </c>
      <c r="C1246" t="s">
        <v>135</v>
      </c>
      <c r="D1246">
        <v>443</v>
      </c>
      <c r="E1246">
        <v>3</v>
      </c>
      <c r="F1246" s="13">
        <v>186</v>
      </c>
      <c r="G1246">
        <v>3</v>
      </c>
      <c r="H1246">
        <v>186</v>
      </c>
      <c r="I1246">
        <v>0</v>
      </c>
      <c r="J1246">
        <v>0</v>
      </c>
      <c r="K1246">
        <v>318.47761100000002</v>
      </c>
      <c r="L1246">
        <v>8.8853859999999791</v>
      </c>
      <c r="M1246">
        <v>167.46599416165</v>
      </c>
      <c r="N1246">
        <v>0</v>
      </c>
      <c r="O1246" s="8" t="str">
        <f>formatIP(Table1[[#This Row],[Address A]])</f>
        <v>010.012.000.251</v>
      </c>
      <c r="P1246" s="8" t="str">
        <f>formatIP(Table1[[#This Row],[Address B]])</f>
        <v>010.086.001.012</v>
      </c>
      <c r="Q1246" s="8" t="str">
        <f>VLOOKUP(Table1[[#This Row],[Address A]],IP_Master[],4,FALSE)</f>
        <v>PP_FIX2</v>
      </c>
      <c r="R1246" s="8" t="e">
        <f>VLOOKUP(Table1[[#This Row],[Address B]],IP_Master[],4,FALSE)</f>
        <v>#N/A</v>
      </c>
      <c r="S1246" s="8" t="str">
        <f>VLOOKUP(Table1[[#This Row],[Address A]],IP_Master[],2,FALSE)</f>
        <v>Other ProcN Devices</v>
      </c>
      <c r="T1246" s="8" t="e">
        <f>VLOOKUP(Table1[[#This Row],[Address B]],IP_Master[],2,FALSE)</f>
        <v>#N/A</v>
      </c>
      <c r="U1246" s="9" t="str">
        <f>VLOOKUP(Table1[[#This Row],[Address A]],IP_Master[],3,FALSE)</f>
        <v>iFIX Nodes &amp; Ethernet Switches</v>
      </c>
      <c r="V1246" s="9" t="e">
        <f>VLOOKUP(Table1[[#This Row],[Address B]],IP_Master[],3,FALSE)</f>
        <v>#N/A</v>
      </c>
      <c r="W1246" s="9" t="str">
        <f>VLOOKUP(Table1[[#This Row],[Port B]],traffic_types[],2,FALSE)</f>
        <v>HTTP/S</v>
      </c>
    </row>
    <row r="1247" spans="1:23" x14ac:dyDescent="0.6">
      <c r="A1247" t="s">
        <v>147</v>
      </c>
      <c r="B1247">
        <v>3981</v>
      </c>
      <c r="C1247" t="s">
        <v>129</v>
      </c>
      <c r="D1247">
        <v>443</v>
      </c>
      <c r="E1247">
        <v>3</v>
      </c>
      <c r="F1247" s="13">
        <v>186</v>
      </c>
      <c r="G1247">
        <v>3</v>
      </c>
      <c r="H1247">
        <v>186</v>
      </c>
      <c r="I1247">
        <v>0</v>
      </c>
      <c r="J1247">
        <v>0</v>
      </c>
      <c r="K1247">
        <v>356.64854600000001</v>
      </c>
      <c r="L1247">
        <v>8.9948989999999807</v>
      </c>
      <c r="M1247">
        <v>165.427093733905</v>
      </c>
      <c r="N1247">
        <v>0</v>
      </c>
      <c r="O1247" s="8" t="str">
        <f>formatIP(Table1[[#This Row],[Address A]])</f>
        <v>010.012.000.251</v>
      </c>
      <c r="P1247" s="8" t="str">
        <f>formatIP(Table1[[#This Row],[Address B]])</f>
        <v>010.112.001.011</v>
      </c>
      <c r="Q1247" s="8" t="str">
        <f>VLOOKUP(Table1[[#This Row],[Address A]],IP_Master[],4,FALSE)</f>
        <v>PP_FIX2</v>
      </c>
      <c r="R1247" s="8" t="e">
        <f>VLOOKUP(Table1[[#This Row],[Address B]],IP_Master[],4,FALSE)</f>
        <v>#N/A</v>
      </c>
      <c r="S1247" s="8" t="str">
        <f>VLOOKUP(Table1[[#This Row],[Address A]],IP_Master[],2,FALSE)</f>
        <v>Other ProcN Devices</v>
      </c>
      <c r="T1247" s="8" t="e">
        <f>VLOOKUP(Table1[[#This Row],[Address B]],IP_Master[],2,FALSE)</f>
        <v>#N/A</v>
      </c>
      <c r="U1247" s="9" t="str">
        <f>VLOOKUP(Table1[[#This Row],[Address A]],IP_Master[],3,FALSE)</f>
        <v>iFIX Nodes &amp; Ethernet Switches</v>
      </c>
      <c r="V1247" s="9" t="e">
        <f>VLOOKUP(Table1[[#This Row],[Address B]],IP_Master[],3,FALSE)</f>
        <v>#N/A</v>
      </c>
      <c r="W1247" s="9" t="str">
        <f>VLOOKUP(Table1[[#This Row],[Port B]],traffic_types[],2,FALSE)</f>
        <v>HTTP/S</v>
      </c>
    </row>
    <row r="1248" spans="1:23" x14ac:dyDescent="0.6">
      <c r="A1248" t="s">
        <v>147</v>
      </c>
      <c r="B1248">
        <v>3982</v>
      </c>
      <c r="C1248" t="s">
        <v>143</v>
      </c>
      <c r="D1248">
        <v>443</v>
      </c>
      <c r="E1248">
        <v>3</v>
      </c>
      <c r="F1248" s="13">
        <v>186</v>
      </c>
      <c r="G1248">
        <v>3</v>
      </c>
      <c r="H1248">
        <v>186</v>
      </c>
      <c r="I1248">
        <v>0</v>
      </c>
      <c r="J1248">
        <v>0</v>
      </c>
      <c r="K1248">
        <v>395.803315</v>
      </c>
      <c r="L1248">
        <v>8.9954630000000293</v>
      </c>
      <c r="M1248">
        <v>165.41672174072599</v>
      </c>
      <c r="N1248">
        <v>0</v>
      </c>
      <c r="O1248" s="8" t="str">
        <f>formatIP(Table1[[#This Row],[Address A]])</f>
        <v>010.012.000.251</v>
      </c>
      <c r="P1248" s="8" t="str">
        <f>formatIP(Table1[[#This Row],[Address B]])</f>
        <v>010.095.032.032</v>
      </c>
      <c r="Q1248" s="8" t="str">
        <f>VLOOKUP(Table1[[#This Row],[Address A]],IP_Master[],4,FALSE)</f>
        <v>PP_FIX2</v>
      </c>
      <c r="R1248" s="8" t="e">
        <f>VLOOKUP(Table1[[#This Row],[Address B]],IP_Master[],4,FALSE)</f>
        <v>#N/A</v>
      </c>
      <c r="S1248" s="8" t="str">
        <f>VLOOKUP(Table1[[#This Row],[Address A]],IP_Master[],2,FALSE)</f>
        <v>Other ProcN Devices</v>
      </c>
      <c r="T1248" s="8" t="e">
        <f>VLOOKUP(Table1[[#This Row],[Address B]],IP_Master[],2,FALSE)</f>
        <v>#N/A</v>
      </c>
      <c r="U1248" s="9" t="str">
        <f>VLOOKUP(Table1[[#This Row],[Address A]],IP_Master[],3,FALSE)</f>
        <v>iFIX Nodes &amp; Ethernet Switches</v>
      </c>
      <c r="V1248" s="9" t="e">
        <f>VLOOKUP(Table1[[#This Row],[Address B]],IP_Master[],3,FALSE)</f>
        <v>#N/A</v>
      </c>
      <c r="W1248" s="9" t="str">
        <f>VLOOKUP(Table1[[#This Row],[Port B]],traffic_types[],2,FALSE)</f>
        <v>HTTP/S</v>
      </c>
    </row>
    <row r="1249" spans="1:23" x14ac:dyDescent="0.6">
      <c r="A1249" t="s">
        <v>147</v>
      </c>
      <c r="B1249">
        <v>3983</v>
      </c>
      <c r="C1249" t="s">
        <v>133</v>
      </c>
      <c r="D1249">
        <v>443</v>
      </c>
      <c r="E1249">
        <v>3</v>
      </c>
      <c r="F1249" s="13">
        <v>186</v>
      </c>
      <c r="G1249">
        <v>3</v>
      </c>
      <c r="H1249">
        <v>186</v>
      </c>
      <c r="I1249">
        <v>0</v>
      </c>
      <c r="J1249">
        <v>0</v>
      </c>
      <c r="K1249">
        <v>416.72142500000001</v>
      </c>
      <c r="L1249">
        <v>9.0768800000000205</v>
      </c>
      <c r="M1249">
        <v>163.93298137686</v>
      </c>
      <c r="N1249">
        <v>0</v>
      </c>
      <c r="O1249" s="8" t="str">
        <f>formatIP(Table1[[#This Row],[Address A]])</f>
        <v>010.012.000.251</v>
      </c>
      <c r="P1249" s="8" t="str">
        <f>formatIP(Table1[[#This Row],[Address B]])</f>
        <v>010.080.001.065</v>
      </c>
      <c r="Q1249" s="8" t="str">
        <f>VLOOKUP(Table1[[#This Row],[Address A]],IP_Master[],4,FALSE)</f>
        <v>PP_FIX2</v>
      </c>
      <c r="R1249" s="8" t="e">
        <f>VLOOKUP(Table1[[#This Row],[Address B]],IP_Master[],4,FALSE)</f>
        <v>#N/A</v>
      </c>
      <c r="S1249" s="8" t="str">
        <f>VLOOKUP(Table1[[#This Row],[Address A]],IP_Master[],2,FALSE)</f>
        <v>Other ProcN Devices</v>
      </c>
      <c r="T1249" s="8" t="e">
        <f>VLOOKUP(Table1[[#This Row],[Address B]],IP_Master[],2,FALSE)</f>
        <v>#N/A</v>
      </c>
      <c r="U1249" s="9" t="str">
        <f>VLOOKUP(Table1[[#This Row],[Address A]],IP_Master[],3,FALSE)</f>
        <v>iFIX Nodes &amp; Ethernet Switches</v>
      </c>
      <c r="V1249" s="9" t="e">
        <f>VLOOKUP(Table1[[#This Row],[Address B]],IP_Master[],3,FALSE)</f>
        <v>#N/A</v>
      </c>
      <c r="W1249" s="9" t="str">
        <f>VLOOKUP(Table1[[#This Row],[Port B]],traffic_types[],2,FALSE)</f>
        <v>HTTP/S</v>
      </c>
    </row>
    <row r="1250" spans="1:23" x14ac:dyDescent="0.6">
      <c r="A1250" t="s">
        <v>147</v>
      </c>
      <c r="B1250">
        <v>3984</v>
      </c>
      <c r="C1250" t="s">
        <v>132</v>
      </c>
      <c r="D1250">
        <v>443</v>
      </c>
      <c r="E1250">
        <v>3</v>
      </c>
      <c r="F1250" s="13">
        <v>186</v>
      </c>
      <c r="G1250">
        <v>3</v>
      </c>
      <c r="H1250">
        <v>186</v>
      </c>
      <c r="I1250">
        <v>0</v>
      </c>
      <c r="J1250">
        <v>0</v>
      </c>
      <c r="K1250">
        <v>437.72077000000002</v>
      </c>
      <c r="L1250">
        <v>9.0771090000000108</v>
      </c>
      <c r="M1250">
        <v>163.92884562694999</v>
      </c>
      <c r="N1250">
        <v>0</v>
      </c>
      <c r="O1250" s="8" t="str">
        <f>formatIP(Table1[[#This Row],[Address A]])</f>
        <v>010.012.000.251</v>
      </c>
      <c r="P1250" s="8" t="str">
        <f>formatIP(Table1[[#This Row],[Address B]])</f>
        <v>010.082.001.030</v>
      </c>
      <c r="Q1250" s="8" t="str">
        <f>VLOOKUP(Table1[[#This Row],[Address A]],IP_Master[],4,FALSE)</f>
        <v>PP_FIX2</v>
      </c>
      <c r="R1250" s="8" t="e">
        <f>VLOOKUP(Table1[[#This Row],[Address B]],IP_Master[],4,FALSE)</f>
        <v>#N/A</v>
      </c>
      <c r="S1250" s="8" t="str">
        <f>VLOOKUP(Table1[[#This Row],[Address A]],IP_Master[],2,FALSE)</f>
        <v>Other ProcN Devices</v>
      </c>
      <c r="T1250" s="8" t="e">
        <f>VLOOKUP(Table1[[#This Row],[Address B]],IP_Master[],2,FALSE)</f>
        <v>#N/A</v>
      </c>
      <c r="U1250" s="9" t="str">
        <f>VLOOKUP(Table1[[#This Row],[Address A]],IP_Master[],3,FALSE)</f>
        <v>iFIX Nodes &amp; Ethernet Switches</v>
      </c>
      <c r="V1250" s="9" t="e">
        <f>VLOOKUP(Table1[[#This Row],[Address B]],IP_Master[],3,FALSE)</f>
        <v>#N/A</v>
      </c>
      <c r="W1250" s="9" t="str">
        <f>VLOOKUP(Table1[[#This Row],[Port B]],traffic_types[],2,FALSE)</f>
        <v>HTTP/S</v>
      </c>
    </row>
    <row r="1251" spans="1:23" x14ac:dyDescent="0.6">
      <c r="A1251" t="s">
        <v>147</v>
      </c>
      <c r="B1251">
        <v>3985</v>
      </c>
      <c r="C1251" t="s">
        <v>137</v>
      </c>
      <c r="D1251">
        <v>443</v>
      </c>
      <c r="E1251">
        <v>3</v>
      </c>
      <c r="F1251" s="13">
        <v>186</v>
      </c>
      <c r="G1251">
        <v>3</v>
      </c>
      <c r="H1251">
        <v>186</v>
      </c>
      <c r="I1251">
        <v>0</v>
      </c>
      <c r="J1251">
        <v>0</v>
      </c>
      <c r="K1251">
        <v>458.72027300000002</v>
      </c>
      <c r="L1251">
        <v>9.0771819999999899</v>
      </c>
      <c r="M1251">
        <v>163.92752728765399</v>
      </c>
      <c r="N1251">
        <v>0</v>
      </c>
      <c r="O1251" s="8" t="str">
        <f>formatIP(Table1[[#This Row],[Address A]])</f>
        <v>010.012.000.251</v>
      </c>
      <c r="P1251" s="8" t="str">
        <f>formatIP(Table1[[#This Row],[Address B]])</f>
        <v>010.130.001.003</v>
      </c>
      <c r="Q1251" s="8" t="str">
        <f>VLOOKUP(Table1[[#This Row],[Address A]],IP_Master[],4,FALSE)</f>
        <v>PP_FIX2</v>
      </c>
      <c r="R1251" s="8" t="e">
        <f>VLOOKUP(Table1[[#This Row],[Address B]],IP_Master[],4,FALSE)</f>
        <v>#N/A</v>
      </c>
      <c r="S1251" s="8" t="str">
        <f>VLOOKUP(Table1[[#This Row],[Address A]],IP_Master[],2,FALSE)</f>
        <v>Other ProcN Devices</v>
      </c>
      <c r="T1251" s="8" t="e">
        <f>VLOOKUP(Table1[[#This Row],[Address B]],IP_Master[],2,FALSE)</f>
        <v>#N/A</v>
      </c>
      <c r="U1251" s="9" t="str">
        <f>VLOOKUP(Table1[[#This Row],[Address A]],IP_Master[],3,FALSE)</f>
        <v>iFIX Nodes &amp; Ethernet Switches</v>
      </c>
      <c r="V1251" s="9" t="e">
        <f>VLOOKUP(Table1[[#This Row],[Address B]],IP_Master[],3,FALSE)</f>
        <v>#N/A</v>
      </c>
      <c r="W1251" s="9" t="str">
        <f>VLOOKUP(Table1[[#This Row],[Port B]],traffic_types[],2,FALSE)</f>
        <v>HTTP/S</v>
      </c>
    </row>
    <row r="1252" spans="1:23" x14ac:dyDescent="0.6">
      <c r="A1252" t="s">
        <v>147</v>
      </c>
      <c r="B1252">
        <v>3986</v>
      </c>
      <c r="C1252" t="s">
        <v>136</v>
      </c>
      <c r="D1252">
        <v>443</v>
      </c>
      <c r="E1252">
        <v>3</v>
      </c>
      <c r="F1252" s="13">
        <v>186</v>
      </c>
      <c r="G1252">
        <v>3</v>
      </c>
      <c r="H1252">
        <v>186</v>
      </c>
      <c r="I1252">
        <v>0</v>
      </c>
      <c r="J1252">
        <v>0</v>
      </c>
      <c r="K1252">
        <v>479.71972299999999</v>
      </c>
      <c r="L1252">
        <v>9.0771680000000305</v>
      </c>
      <c r="M1252">
        <v>163.927780118204</v>
      </c>
      <c r="N1252">
        <v>0</v>
      </c>
      <c r="O1252" s="8" t="str">
        <f>formatIP(Table1[[#This Row],[Address A]])</f>
        <v>010.012.000.251</v>
      </c>
      <c r="P1252" s="8" t="str">
        <f>formatIP(Table1[[#This Row],[Address B]])</f>
        <v>010.119.001.003</v>
      </c>
      <c r="Q1252" s="8" t="str">
        <f>VLOOKUP(Table1[[#This Row],[Address A]],IP_Master[],4,FALSE)</f>
        <v>PP_FIX2</v>
      </c>
      <c r="R1252" s="8" t="e">
        <f>VLOOKUP(Table1[[#This Row],[Address B]],IP_Master[],4,FALSE)</f>
        <v>#N/A</v>
      </c>
      <c r="S1252" s="8" t="str">
        <f>VLOOKUP(Table1[[#This Row],[Address A]],IP_Master[],2,FALSE)</f>
        <v>Other ProcN Devices</v>
      </c>
      <c r="T1252" s="8" t="e">
        <f>VLOOKUP(Table1[[#This Row],[Address B]],IP_Master[],2,FALSE)</f>
        <v>#N/A</v>
      </c>
      <c r="U1252" s="9" t="str">
        <f>VLOOKUP(Table1[[#This Row],[Address A]],IP_Master[],3,FALSE)</f>
        <v>iFIX Nodes &amp; Ethernet Switches</v>
      </c>
      <c r="V1252" s="9" t="e">
        <f>VLOOKUP(Table1[[#This Row],[Address B]],IP_Master[],3,FALSE)</f>
        <v>#N/A</v>
      </c>
      <c r="W1252" s="9" t="str">
        <f>VLOOKUP(Table1[[#This Row],[Port B]],traffic_types[],2,FALSE)</f>
        <v>HTTP/S</v>
      </c>
    </row>
    <row r="1253" spans="1:23" x14ac:dyDescent="0.6">
      <c r="A1253" t="s">
        <v>147</v>
      </c>
      <c r="B1253">
        <v>3987</v>
      </c>
      <c r="C1253" t="s">
        <v>140</v>
      </c>
      <c r="D1253">
        <v>443</v>
      </c>
      <c r="E1253">
        <v>3</v>
      </c>
      <c r="F1253" s="13">
        <v>186</v>
      </c>
      <c r="G1253">
        <v>3</v>
      </c>
      <c r="H1253">
        <v>186</v>
      </c>
      <c r="I1253">
        <v>0</v>
      </c>
      <c r="J1253">
        <v>0</v>
      </c>
      <c r="K1253">
        <v>500.71941600000002</v>
      </c>
      <c r="L1253">
        <v>9.0770479999999907</v>
      </c>
      <c r="M1253">
        <v>163.9299472692</v>
      </c>
      <c r="N1253">
        <v>0</v>
      </c>
      <c r="O1253" s="8" t="str">
        <f>formatIP(Table1[[#This Row],[Address A]])</f>
        <v>010.012.000.251</v>
      </c>
      <c r="P1253" s="8" t="str">
        <f>formatIP(Table1[[#This Row],[Address B]])</f>
        <v>010.116.001.001</v>
      </c>
      <c r="Q1253" s="8" t="str">
        <f>VLOOKUP(Table1[[#This Row],[Address A]],IP_Master[],4,FALSE)</f>
        <v>PP_FIX2</v>
      </c>
      <c r="R1253" s="8" t="e">
        <f>VLOOKUP(Table1[[#This Row],[Address B]],IP_Master[],4,FALSE)</f>
        <v>#N/A</v>
      </c>
      <c r="S1253" s="8" t="str">
        <f>VLOOKUP(Table1[[#This Row],[Address A]],IP_Master[],2,FALSE)</f>
        <v>Other ProcN Devices</v>
      </c>
      <c r="T1253" s="8" t="e">
        <f>VLOOKUP(Table1[[#This Row],[Address B]],IP_Master[],2,FALSE)</f>
        <v>#N/A</v>
      </c>
      <c r="U1253" s="9" t="str">
        <f>VLOOKUP(Table1[[#This Row],[Address A]],IP_Master[],3,FALSE)</f>
        <v>iFIX Nodes &amp; Ethernet Switches</v>
      </c>
      <c r="V1253" s="9" t="e">
        <f>VLOOKUP(Table1[[#This Row],[Address B]],IP_Master[],3,FALSE)</f>
        <v>#N/A</v>
      </c>
      <c r="W1253" s="9" t="str">
        <f>VLOOKUP(Table1[[#This Row],[Port B]],traffic_types[],2,FALSE)</f>
        <v>HTTP/S</v>
      </c>
    </row>
    <row r="1254" spans="1:23" x14ac:dyDescent="0.6">
      <c r="A1254" t="s">
        <v>147</v>
      </c>
      <c r="B1254">
        <v>3988</v>
      </c>
      <c r="C1254" t="s">
        <v>48</v>
      </c>
      <c r="D1254">
        <v>443</v>
      </c>
      <c r="E1254">
        <v>3</v>
      </c>
      <c r="F1254" s="13">
        <v>186</v>
      </c>
      <c r="G1254">
        <v>3</v>
      </c>
      <c r="H1254">
        <v>186</v>
      </c>
      <c r="I1254">
        <v>0</v>
      </c>
      <c r="J1254">
        <v>0</v>
      </c>
      <c r="K1254">
        <v>521.71889699999997</v>
      </c>
      <c r="L1254">
        <v>9.0771020000000799</v>
      </c>
      <c r="M1254">
        <v>163.92897204415999</v>
      </c>
      <c r="N1254">
        <v>0</v>
      </c>
      <c r="O1254" s="8" t="str">
        <f>formatIP(Table1[[#This Row],[Address A]])</f>
        <v>010.012.000.251</v>
      </c>
      <c r="P1254" s="8" t="str">
        <f>formatIP(Table1[[#This Row],[Address B]])</f>
        <v>010.001.001.012</v>
      </c>
      <c r="Q1254" s="8" t="str">
        <f>VLOOKUP(Table1[[#This Row],[Address A]],IP_Master[],4,FALSE)</f>
        <v>PP_FIX2</v>
      </c>
      <c r="R1254" s="8" t="e">
        <f>VLOOKUP(Table1[[#This Row],[Address B]],IP_Master[],4,FALSE)</f>
        <v>#N/A</v>
      </c>
      <c r="S1254" s="8" t="str">
        <f>VLOOKUP(Table1[[#This Row],[Address A]],IP_Master[],2,FALSE)</f>
        <v>Other ProcN Devices</v>
      </c>
      <c r="T1254" s="8" t="e">
        <f>VLOOKUP(Table1[[#This Row],[Address B]],IP_Master[],2,FALSE)</f>
        <v>#N/A</v>
      </c>
      <c r="U1254" s="9" t="str">
        <f>VLOOKUP(Table1[[#This Row],[Address A]],IP_Master[],3,FALSE)</f>
        <v>iFIX Nodes &amp; Ethernet Switches</v>
      </c>
      <c r="V1254" s="9" t="e">
        <f>VLOOKUP(Table1[[#This Row],[Address B]],IP_Master[],3,FALSE)</f>
        <v>#N/A</v>
      </c>
      <c r="W1254" s="9" t="str">
        <f>VLOOKUP(Table1[[#This Row],[Port B]],traffic_types[],2,FALSE)</f>
        <v>HTTP/S</v>
      </c>
    </row>
    <row r="1255" spans="1:23" x14ac:dyDescent="0.6">
      <c r="A1255" t="s">
        <v>147</v>
      </c>
      <c r="B1255">
        <v>3989</v>
      </c>
      <c r="C1255" t="s">
        <v>130</v>
      </c>
      <c r="D1255">
        <v>443</v>
      </c>
      <c r="E1255">
        <v>3</v>
      </c>
      <c r="F1255" s="13">
        <v>186</v>
      </c>
      <c r="G1255">
        <v>3</v>
      </c>
      <c r="H1255">
        <v>186</v>
      </c>
      <c r="I1255">
        <v>0</v>
      </c>
      <c r="J1255">
        <v>0</v>
      </c>
      <c r="K1255">
        <v>542.71835399999998</v>
      </c>
      <c r="L1255">
        <v>9.0771270000000204</v>
      </c>
      <c r="M1255">
        <v>163.928520555017</v>
      </c>
      <c r="N1255">
        <v>0</v>
      </c>
      <c r="O1255" s="8" t="str">
        <f>formatIP(Table1[[#This Row],[Address A]])</f>
        <v>010.012.000.251</v>
      </c>
      <c r="P1255" s="8" t="str">
        <f>formatIP(Table1[[#This Row],[Address B]])</f>
        <v>010.120.001.001</v>
      </c>
      <c r="Q1255" s="8" t="str">
        <f>VLOOKUP(Table1[[#This Row],[Address A]],IP_Master[],4,FALSE)</f>
        <v>PP_FIX2</v>
      </c>
      <c r="R1255" s="8" t="e">
        <f>VLOOKUP(Table1[[#This Row],[Address B]],IP_Master[],4,FALSE)</f>
        <v>#N/A</v>
      </c>
      <c r="S1255" s="8" t="str">
        <f>VLOOKUP(Table1[[#This Row],[Address A]],IP_Master[],2,FALSE)</f>
        <v>Other ProcN Devices</v>
      </c>
      <c r="T1255" s="8" t="e">
        <f>VLOOKUP(Table1[[#This Row],[Address B]],IP_Master[],2,FALSE)</f>
        <v>#N/A</v>
      </c>
      <c r="U1255" s="9" t="str">
        <f>VLOOKUP(Table1[[#This Row],[Address A]],IP_Master[],3,FALSE)</f>
        <v>iFIX Nodes &amp; Ethernet Switches</v>
      </c>
      <c r="V1255" s="9" t="e">
        <f>VLOOKUP(Table1[[#This Row],[Address B]],IP_Master[],3,FALSE)</f>
        <v>#N/A</v>
      </c>
      <c r="W1255" s="9" t="str">
        <f>VLOOKUP(Table1[[#This Row],[Port B]],traffic_types[],2,FALSE)</f>
        <v>HTTP/S</v>
      </c>
    </row>
    <row r="1256" spans="1:23" x14ac:dyDescent="0.6">
      <c r="A1256" t="s">
        <v>147</v>
      </c>
      <c r="B1256">
        <v>3990</v>
      </c>
      <c r="C1256" t="s">
        <v>127</v>
      </c>
      <c r="D1256">
        <v>443</v>
      </c>
      <c r="E1256">
        <v>3</v>
      </c>
      <c r="F1256" s="13">
        <v>186</v>
      </c>
      <c r="G1256">
        <v>3</v>
      </c>
      <c r="H1256">
        <v>186</v>
      </c>
      <c r="I1256">
        <v>0</v>
      </c>
      <c r="J1256">
        <v>0</v>
      </c>
      <c r="K1256">
        <v>563.71790599999997</v>
      </c>
      <c r="L1256">
        <v>9.0772070000000404</v>
      </c>
      <c r="M1256">
        <v>163.927075806467</v>
      </c>
      <c r="N1256">
        <v>0</v>
      </c>
      <c r="O1256" s="8" t="str">
        <f>formatIP(Table1[[#This Row],[Address A]])</f>
        <v>010.012.000.251</v>
      </c>
      <c r="P1256" s="8" t="str">
        <f>formatIP(Table1[[#This Row],[Address B]])</f>
        <v>010.114.001.100</v>
      </c>
      <c r="Q1256" s="8" t="str">
        <f>VLOOKUP(Table1[[#This Row],[Address A]],IP_Master[],4,FALSE)</f>
        <v>PP_FIX2</v>
      </c>
      <c r="R1256" s="8" t="e">
        <f>VLOOKUP(Table1[[#This Row],[Address B]],IP_Master[],4,FALSE)</f>
        <v>#N/A</v>
      </c>
      <c r="S1256" s="8" t="str">
        <f>VLOOKUP(Table1[[#This Row],[Address A]],IP_Master[],2,FALSE)</f>
        <v>Other ProcN Devices</v>
      </c>
      <c r="T1256" s="8" t="e">
        <f>VLOOKUP(Table1[[#This Row],[Address B]],IP_Master[],2,FALSE)</f>
        <v>#N/A</v>
      </c>
      <c r="U1256" s="9" t="str">
        <f>VLOOKUP(Table1[[#This Row],[Address A]],IP_Master[],3,FALSE)</f>
        <v>iFIX Nodes &amp; Ethernet Switches</v>
      </c>
      <c r="V1256" s="9" t="e">
        <f>VLOOKUP(Table1[[#This Row],[Address B]],IP_Master[],3,FALSE)</f>
        <v>#N/A</v>
      </c>
      <c r="W1256" s="9" t="str">
        <f>VLOOKUP(Table1[[#This Row],[Port B]],traffic_types[],2,FALSE)</f>
        <v>HTTP/S</v>
      </c>
    </row>
    <row r="1257" spans="1:23" x14ac:dyDescent="0.6">
      <c r="A1257" t="s">
        <v>147</v>
      </c>
      <c r="B1257">
        <v>3991</v>
      </c>
      <c r="C1257" t="s">
        <v>125</v>
      </c>
      <c r="D1257">
        <v>443</v>
      </c>
      <c r="E1257">
        <v>3</v>
      </c>
      <c r="F1257" s="13">
        <v>186</v>
      </c>
      <c r="G1257">
        <v>3</v>
      </c>
      <c r="H1257">
        <v>186</v>
      </c>
      <c r="I1257">
        <v>0</v>
      </c>
      <c r="J1257">
        <v>0</v>
      </c>
      <c r="K1257">
        <v>584.71753000000001</v>
      </c>
      <c r="L1257">
        <v>9.0771310000000103</v>
      </c>
      <c r="M1257">
        <v>163.928448316985</v>
      </c>
      <c r="N1257">
        <v>0</v>
      </c>
      <c r="O1257" s="8" t="str">
        <f>formatIP(Table1[[#This Row],[Address A]])</f>
        <v>010.012.000.251</v>
      </c>
      <c r="P1257" s="8" t="str">
        <f>formatIP(Table1[[#This Row],[Address B]])</f>
        <v>010.238.101.079</v>
      </c>
      <c r="Q1257" s="8" t="str">
        <f>VLOOKUP(Table1[[#This Row],[Address A]],IP_Master[],4,FALSE)</f>
        <v>PP_FIX2</v>
      </c>
      <c r="R1257" s="8" t="e">
        <f>VLOOKUP(Table1[[#This Row],[Address B]],IP_Master[],4,FALSE)</f>
        <v>#N/A</v>
      </c>
      <c r="S1257" s="8" t="str">
        <f>VLOOKUP(Table1[[#This Row],[Address A]],IP_Master[],2,FALSE)</f>
        <v>Other ProcN Devices</v>
      </c>
      <c r="T1257" s="8" t="e">
        <f>VLOOKUP(Table1[[#This Row],[Address B]],IP_Master[],2,FALSE)</f>
        <v>#N/A</v>
      </c>
      <c r="U1257" s="9" t="str">
        <f>VLOOKUP(Table1[[#This Row],[Address A]],IP_Master[],3,FALSE)</f>
        <v>iFIX Nodes &amp; Ethernet Switches</v>
      </c>
      <c r="V1257" s="9" t="e">
        <f>VLOOKUP(Table1[[#This Row],[Address B]],IP_Master[],3,FALSE)</f>
        <v>#N/A</v>
      </c>
      <c r="W1257" s="9" t="str">
        <f>VLOOKUP(Table1[[#This Row],[Port B]],traffic_types[],2,FALSE)</f>
        <v>HTTP/S</v>
      </c>
    </row>
    <row r="1258" spans="1:23" x14ac:dyDescent="0.6">
      <c r="A1258" t="s">
        <v>147</v>
      </c>
      <c r="B1258">
        <v>3992</v>
      </c>
      <c r="C1258" t="s">
        <v>135</v>
      </c>
      <c r="D1258">
        <v>443</v>
      </c>
      <c r="E1258">
        <v>3</v>
      </c>
      <c r="F1258" s="13">
        <v>186</v>
      </c>
      <c r="G1258">
        <v>3</v>
      </c>
      <c r="H1258">
        <v>186</v>
      </c>
      <c r="I1258">
        <v>0</v>
      </c>
      <c r="J1258">
        <v>0</v>
      </c>
      <c r="K1258">
        <v>605.71696299999996</v>
      </c>
      <c r="L1258">
        <v>9.0771369999999898</v>
      </c>
      <c r="M1258">
        <v>163.92833996005601</v>
      </c>
      <c r="N1258">
        <v>0</v>
      </c>
      <c r="O1258" s="8" t="str">
        <f>formatIP(Table1[[#This Row],[Address A]])</f>
        <v>010.012.000.251</v>
      </c>
      <c r="P1258" s="8" t="str">
        <f>formatIP(Table1[[#This Row],[Address B]])</f>
        <v>010.086.001.012</v>
      </c>
      <c r="Q1258" s="8" t="str">
        <f>VLOOKUP(Table1[[#This Row],[Address A]],IP_Master[],4,FALSE)</f>
        <v>PP_FIX2</v>
      </c>
      <c r="R1258" s="8" t="e">
        <f>VLOOKUP(Table1[[#This Row],[Address B]],IP_Master[],4,FALSE)</f>
        <v>#N/A</v>
      </c>
      <c r="S1258" s="8" t="str">
        <f>VLOOKUP(Table1[[#This Row],[Address A]],IP_Master[],2,FALSE)</f>
        <v>Other ProcN Devices</v>
      </c>
      <c r="T1258" s="8" t="e">
        <f>VLOOKUP(Table1[[#This Row],[Address B]],IP_Master[],2,FALSE)</f>
        <v>#N/A</v>
      </c>
      <c r="U1258" s="9" t="str">
        <f>VLOOKUP(Table1[[#This Row],[Address A]],IP_Master[],3,FALSE)</f>
        <v>iFIX Nodes &amp; Ethernet Switches</v>
      </c>
      <c r="V1258" s="9" t="e">
        <f>VLOOKUP(Table1[[#This Row],[Address B]],IP_Master[],3,FALSE)</f>
        <v>#N/A</v>
      </c>
      <c r="W1258" s="9" t="str">
        <f>VLOOKUP(Table1[[#This Row],[Port B]],traffic_types[],2,FALSE)</f>
        <v>HTTP/S</v>
      </c>
    </row>
    <row r="1259" spans="1:23" x14ac:dyDescent="0.6">
      <c r="A1259" t="s">
        <v>147</v>
      </c>
      <c r="B1259">
        <v>3993</v>
      </c>
      <c r="C1259" t="s">
        <v>128</v>
      </c>
      <c r="D1259">
        <v>443</v>
      </c>
      <c r="E1259">
        <v>3</v>
      </c>
      <c r="F1259" s="13">
        <v>186</v>
      </c>
      <c r="G1259">
        <v>3</v>
      </c>
      <c r="H1259">
        <v>186</v>
      </c>
      <c r="I1259">
        <v>0</v>
      </c>
      <c r="J1259">
        <v>0</v>
      </c>
      <c r="K1259">
        <v>626.71650599999998</v>
      </c>
      <c r="L1259">
        <v>9.0772180000000198</v>
      </c>
      <c r="M1259">
        <v>163.92687715553299</v>
      </c>
      <c r="N1259">
        <v>0</v>
      </c>
      <c r="O1259" s="8" t="str">
        <f>formatIP(Table1[[#This Row],[Address A]])</f>
        <v>010.012.000.251</v>
      </c>
      <c r="P1259" s="8" t="str">
        <f>formatIP(Table1[[#This Row],[Address B]])</f>
        <v>010.134.001.011</v>
      </c>
      <c r="Q1259" s="8" t="str">
        <f>VLOOKUP(Table1[[#This Row],[Address A]],IP_Master[],4,FALSE)</f>
        <v>PP_FIX2</v>
      </c>
      <c r="R1259" s="8" t="e">
        <f>VLOOKUP(Table1[[#This Row],[Address B]],IP_Master[],4,FALSE)</f>
        <v>#N/A</v>
      </c>
      <c r="S1259" s="8" t="str">
        <f>VLOOKUP(Table1[[#This Row],[Address A]],IP_Master[],2,FALSE)</f>
        <v>Other ProcN Devices</v>
      </c>
      <c r="T1259" s="8" t="e">
        <f>VLOOKUP(Table1[[#This Row],[Address B]],IP_Master[],2,FALSE)</f>
        <v>#N/A</v>
      </c>
      <c r="U1259" s="9" t="str">
        <f>VLOOKUP(Table1[[#This Row],[Address A]],IP_Master[],3,FALSE)</f>
        <v>iFIX Nodes &amp; Ethernet Switches</v>
      </c>
      <c r="V1259" s="9" t="e">
        <f>VLOOKUP(Table1[[#This Row],[Address B]],IP_Master[],3,FALSE)</f>
        <v>#N/A</v>
      </c>
      <c r="W1259" s="9" t="str">
        <f>VLOOKUP(Table1[[#This Row],[Port B]],traffic_types[],2,FALSE)</f>
        <v>HTTP/S</v>
      </c>
    </row>
    <row r="1260" spans="1:23" x14ac:dyDescent="0.6">
      <c r="A1260" t="s">
        <v>147</v>
      </c>
      <c r="B1260">
        <v>3994</v>
      </c>
      <c r="C1260" t="s">
        <v>129</v>
      </c>
      <c r="D1260">
        <v>443</v>
      </c>
      <c r="E1260">
        <v>3</v>
      </c>
      <c r="F1260" s="13">
        <v>186</v>
      </c>
      <c r="G1260">
        <v>3</v>
      </c>
      <c r="H1260">
        <v>186</v>
      </c>
      <c r="I1260">
        <v>0</v>
      </c>
      <c r="J1260">
        <v>0</v>
      </c>
      <c r="K1260">
        <v>647.71603300000004</v>
      </c>
      <c r="L1260">
        <v>9.0772119999999195</v>
      </c>
      <c r="M1260">
        <v>163.92698551052999</v>
      </c>
      <c r="N1260">
        <v>0</v>
      </c>
      <c r="O1260" s="8" t="str">
        <f>formatIP(Table1[[#This Row],[Address A]])</f>
        <v>010.012.000.251</v>
      </c>
      <c r="P1260" s="8" t="str">
        <f>formatIP(Table1[[#This Row],[Address B]])</f>
        <v>010.112.001.011</v>
      </c>
      <c r="Q1260" s="8" t="str">
        <f>VLOOKUP(Table1[[#This Row],[Address A]],IP_Master[],4,FALSE)</f>
        <v>PP_FIX2</v>
      </c>
      <c r="R1260" s="8" t="e">
        <f>VLOOKUP(Table1[[#This Row],[Address B]],IP_Master[],4,FALSE)</f>
        <v>#N/A</v>
      </c>
      <c r="S1260" s="8" t="str">
        <f>VLOOKUP(Table1[[#This Row],[Address A]],IP_Master[],2,FALSE)</f>
        <v>Other ProcN Devices</v>
      </c>
      <c r="T1260" s="8" t="e">
        <f>VLOOKUP(Table1[[#This Row],[Address B]],IP_Master[],2,FALSE)</f>
        <v>#N/A</v>
      </c>
      <c r="U1260" s="9" t="str">
        <f>VLOOKUP(Table1[[#This Row],[Address A]],IP_Master[],3,FALSE)</f>
        <v>iFIX Nodes &amp; Ethernet Switches</v>
      </c>
      <c r="V1260" s="9" t="e">
        <f>VLOOKUP(Table1[[#This Row],[Address B]],IP_Master[],3,FALSE)</f>
        <v>#N/A</v>
      </c>
      <c r="W1260" s="9" t="str">
        <f>VLOOKUP(Table1[[#This Row],[Port B]],traffic_types[],2,FALSE)</f>
        <v>HTTP/S</v>
      </c>
    </row>
    <row r="1261" spans="1:23" x14ac:dyDescent="0.6">
      <c r="A1261" t="s">
        <v>147</v>
      </c>
      <c r="B1261">
        <v>3995</v>
      </c>
      <c r="C1261" t="s">
        <v>139</v>
      </c>
      <c r="D1261">
        <v>443</v>
      </c>
      <c r="E1261">
        <v>3</v>
      </c>
      <c r="F1261" s="13">
        <v>186</v>
      </c>
      <c r="G1261">
        <v>3</v>
      </c>
      <c r="H1261">
        <v>186</v>
      </c>
      <c r="I1261">
        <v>0</v>
      </c>
      <c r="J1261">
        <v>0</v>
      </c>
      <c r="K1261">
        <v>668.71563100000003</v>
      </c>
      <c r="L1261">
        <v>9.0770499999999892</v>
      </c>
      <c r="M1261">
        <v>163.92991114954799</v>
      </c>
      <c r="N1261">
        <v>0</v>
      </c>
      <c r="O1261" s="8" t="str">
        <f>formatIP(Table1[[#This Row],[Address A]])</f>
        <v>010.012.000.251</v>
      </c>
      <c r="P1261" s="8" t="str">
        <f>formatIP(Table1[[#This Row],[Address B]])</f>
        <v>010.095.001.018</v>
      </c>
      <c r="Q1261" s="8" t="str">
        <f>VLOOKUP(Table1[[#This Row],[Address A]],IP_Master[],4,FALSE)</f>
        <v>PP_FIX2</v>
      </c>
      <c r="R1261" s="8" t="e">
        <f>VLOOKUP(Table1[[#This Row],[Address B]],IP_Master[],4,FALSE)</f>
        <v>#N/A</v>
      </c>
      <c r="S1261" s="8" t="str">
        <f>VLOOKUP(Table1[[#This Row],[Address A]],IP_Master[],2,FALSE)</f>
        <v>Other ProcN Devices</v>
      </c>
      <c r="T1261" s="8" t="e">
        <f>VLOOKUP(Table1[[#This Row],[Address B]],IP_Master[],2,FALSE)</f>
        <v>#N/A</v>
      </c>
      <c r="U1261" s="9" t="str">
        <f>VLOOKUP(Table1[[#This Row],[Address A]],IP_Master[],3,FALSE)</f>
        <v>iFIX Nodes &amp; Ethernet Switches</v>
      </c>
      <c r="V1261" s="9" t="e">
        <f>VLOOKUP(Table1[[#This Row],[Address B]],IP_Master[],3,FALSE)</f>
        <v>#N/A</v>
      </c>
      <c r="W1261" s="9" t="str">
        <f>VLOOKUP(Table1[[#This Row],[Port B]],traffic_types[],2,FALSE)</f>
        <v>HTTP/S</v>
      </c>
    </row>
    <row r="1262" spans="1:23" x14ac:dyDescent="0.6">
      <c r="A1262" t="s">
        <v>147</v>
      </c>
      <c r="B1262">
        <v>3996</v>
      </c>
      <c r="C1262" t="s">
        <v>58</v>
      </c>
      <c r="D1262">
        <v>443</v>
      </c>
      <c r="E1262">
        <v>3</v>
      </c>
      <c r="F1262" s="13">
        <v>186</v>
      </c>
      <c r="G1262">
        <v>3</v>
      </c>
      <c r="H1262">
        <v>186</v>
      </c>
      <c r="I1262">
        <v>0</v>
      </c>
      <c r="J1262">
        <v>0</v>
      </c>
      <c r="K1262">
        <v>689.71514100000002</v>
      </c>
      <c r="L1262">
        <v>9.0770259999999308</v>
      </c>
      <c r="M1262">
        <v>163.93034458643299</v>
      </c>
      <c r="N1262">
        <v>0</v>
      </c>
      <c r="O1262" s="8" t="str">
        <f>formatIP(Table1[[#This Row],[Address A]])</f>
        <v>010.012.000.251</v>
      </c>
      <c r="P1262" s="8" t="str">
        <f>formatIP(Table1[[#This Row],[Address B]])</f>
        <v>010.011.001.012</v>
      </c>
      <c r="Q1262" s="8" t="str">
        <f>VLOOKUP(Table1[[#This Row],[Address A]],IP_Master[],4,FALSE)</f>
        <v>PP_FIX2</v>
      </c>
      <c r="R1262" s="8" t="e">
        <f>VLOOKUP(Table1[[#This Row],[Address B]],IP_Master[],4,FALSE)</f>
        <v>#N/A</v>
      </c>
      <c r="S1262" s="8" t="str">
        <f>VLOOKUP(Table1[[#This Row],[Address A]],IP_Master[],2,FALSE)</f>
        <v>Other ProcN Devices</v>
      </c>
      <c r="T1262" s="8" t="e">
        <f>VLOOKUP(Table1[[#This Row],[Address B]],IP_Master[],2,FALSE)</f>
        <v>#N/A</v>
      </c>
      <c r="U1262" s="9" t="str">
        <f>VLOOKUP(Table1[[#This Row],[Address A]],IP_Master[],3,FALSE)</f>
        <v>iFIX Nodes &amp; Ethernet Switches</v>
      </c>
      <c r="V1262" s="9" t="e">
        <f>VLOOKUP(Table1[[#This Row],[Address B]],IP_Master[],3,FALSE)</f>
        <v>#N/A</v>
      </c>
      <c r="W1262" s="9" t="str">
        <f>VLOOKUP(Table1[[#This Row],[Port B]],traffic_types[],2,FALSE)</f>
        <v>HTTP/S</v>
      </c>
    </row>
    <row r="1263" spans="1:23" x14ac:dyDescent="0.6">
      <c r="A1263" t="s">
        <v>147</v>
      </c>
      <c r="B1263">
        <v>3997</v>
      </c>
      <c r="C1263" t="s">
        <v>134</v>
      </c>
      <c r="D1263">
        <v>443</v>
      </c>
      <c r="E1263">
        <v>3</v>
      </c>
      <c r="F1263" s="13">
        <v>186</v>
      </c>
      <c r="G1263">
        <v>3</v>
      </c>
      <c r="H1263">
        <v>186</v>
      </c>
      <c r="I1263">
        <v>0</v>
      </c>
      <c r="J1263">
        <v>0</v>
      </c>
      <c r="K1263">
        <v>710.71461099999999</v>
      </c>
      <c r="L1263">
        <v>9.0772200000000094</v>
      </c>
      <c r="M1263">
        <v>163.926841037234</v>
      </c>
      <c r="N1263">
        <v>0</v>
      </c>
      <c r="O1263" s="8" t="str">
        <f>formatIP(Table1[[#This Row],[Address A]])</f>
        <v>010.012.000.251</v>
      </c>
      <c r="P1263" s="8" t="str">
        <f>formatIP(Table1[[#This Row],[Address B]])</f>
        <v>010.121.001.005</v>
      </c>
      <c r="Q1263" s="8" t="str">
        <f>VLOOKUP(Table1[[#This Row],[Address A]],IP_Master[],4,FALSE)</f>
        <v>PP_FIX2</v>
      </c>
      <c r="R1263" s="8" t="e">
        <f>VLOOKUP(Table1[[#This Row],[Address B]],IP_Master[],4,FALSE)</f>
        <v>#N/A</v>
      </c>
      <c r="S1263" s="8" t="str">
        <f>VLOOKUP(Table1[[#This Row],[Address A]],IP_Master[],2,FALSE)</f>
        <v>Other ProcN Devices</v>
      </c>
      <c r="T1263" s="8" t="e">
        <f>VLOOKUP(Table1[[#This Row],[Address B]],IP_Master[],2,FALSE)</f>
        <v>#N/A</v>
      </c>
      <c r="U1263" s="9" t="str">
        <f>VLOOKUP(Table1[[#This Row],[Address A]],IP_Master[],3,FALSE)</f>
        <v>iFIX Nodes &amp; Ethernet Switches</v>
      </c>
      <c r="V1263" s="9" t="e">
        <f>VLOOKUP(Table1[[#This Row],[Address B]],IP_Master[],3,FALSE)</f>
        <v>#N/A</v>
      </c>
      <c r="W1263" s="9" t="str">
        <f>VLOOKUP(Table1[[#This Row],[Port B]],traffic_types[],2,FALSE)</f>
        <v>HTTP/S</v>
      </c>
    </row>
    <row r="1264" spans="1:23" x14ac:dyDescent="0.6">
      <c r="A1264" t="s">
        <v>147</v>
      </c>
      <c r="B1264">
        <v>3998</v>
      </c>
      <c r="C1264" t="s">
        <v>131</v>
      </c>
      <c r="D1264">
        <v>443</v>
      </c>
      <c r="E1264">
        <v>3</v>
      </c>
      <c r="F1264" s="13">
        <v>186</v>
      </c>
      <c r="G1264">
        <v>3</v>
      </c>
      <c r="H1264">
        <v>186</v>
      </c>
      <c r="I1264">
        <v>0</v>
      </c>
      <c r="J1264">
        <v>0</v>
      </c>
      <c r="K1264">
        <v>731.71415400000001</v>
      </c>
      <c r="L1264">
        <v>9.0771459999999706</v>
      </c>
      <c r="M1264">
        <v>163.92817742493099</v>
      </c>
      <c r="N1264">
        <v>0</v>
      </c>
      <c r="O1264" s="8" t="str">
        <f>formatIP(Table1[[#This Row],[Address A]])</f>
        <v>010.012.000.251</v>
      </c>
      <c r="P1264" s="8" t="str">
        <f>formatIP(Table1[[#This Row],[Address B]])</f>
        <v>010.115.001.006</v>
      </c>
      <c r="Q1264" s="8" t="str">
        <f>VLOOKUP(Table1[[#This Row],[Address A]],IP_Master[],4,FALSE)</f>
        <v>PP_FIX2</v>
      </c>
      <c r="R1264" s="8" t="e">
        <f>VLOOKUP(Table1[[#This Row],[Address B]],IP_Master[],4,FALSE)</f>
        <v>#N/A</v>
      </c>
      <c r="S1264" s="8" t="str">
        <f>VLOOKUP(Table1[[#This Row],[Address A]],IP_Master[],2,FALSE)</f>
        <v>Other ProcN Devices</v>
      </c>
      <c r="T1264" s="8" t="e">
        <f>VLOOKUP(Table1[[#This Row],[Address B]],IP_Master[],2,FALSE)</f>
        <v>#N/A</v>
      </c>
      <c r="U1264" s="9" t="str">
        <f>VLOOKUP(Table1[[#This Row],[Address A]],IP_Master[],3,FALSE)</f>
        <v>iFIX Nodes &amp; Ethernet Switches</v>
      </c>
      <c r="V1264" s="9" t="e">
        <f>VLOOKUP(Table1[[#This Row],[Address B]],IP_Master[],3,FALSE)</f>
        <v>#N/A</v>
      </c>
      <c r="W1264" s="9" t="str">
        <f>VLOOKUP(Table1[[#This Row],[Port B]],traffic_types[],2,FALSE)</f>
        <v>HTTP/S</v>
      </c>
    </row>
    <row r="1265" spans="1:23" x14ac:dyDescent="0.6">
      <c r="A1265" t="s">
        <v>147</v>
      </c>
      <c r="B1265">
        <v>3999</v>
      </c>
      <c r="C1265" t="s">
        <v>138</v>
      </c>
      <c r="D1265">
        <v>443</v>
      </c>
      <c r="E1265">
        <v>3</v>
      </c>
      <c r="F1265" s="13">
        <v>186</v>
      </c>
      <c r="G1265">
        <v>3</v>
      </c>
      <c r="H1265">
        <v>186</v>
      </c>
      <c r="I1265">
        <v>0</v>
      </c>
      <c r="J1265">
        <v>0</v>
      </c>
      <c r="K1265">
        <v>752.71371499999998</v>
      </c>
      <c r="L1265">
        <v>9.0771530000000702</v>
      </c>
      <c r="M1265">
        <v>163.92805100894401</v>
      </c>
      <c r="N1265">
        <v>0</v>
      </c>
      <c r="O1265" s="8" t="str">
        <f>formatIP(Table1[[#This Row],[Address A]])</f>
        <v>010.012.000.251</v>
      </c>
      <c r="P1265" s="8" t="str">
        <f>formatIP(Table1[[#This Row],[Address B]])</f>
        <v>010.136.001.001</v>
      </c>
      <c r="Q1265" s="8" t="str">
        <f>VLOOKUP(Table1[[#This Row],[Address A]],IP_Master[],4,FALSE)</f>
        <v>PP_FIX2</v>
      </c>
      <c r="R1265" s="8" t="e">
        <f>VLOOKUP(Table1[[#This Row],[Address B]],IP_Master[],4,FALSE)</f>
        <v>#N/A</v>
      </c>
      <c r="S1265" s="8" t="str">
        <f>VLOOKUP(Table1[[#This Row],[Address A]],IP_Master[],2,FALSE)</f>
        <v>Other ProcN Devices</v>
      </c>
      <c r="T1265" s="8" t="e">
        <f>VLOOKUP(Table1[[#This Row],[Address B]],IP_Master[],2,FALSE)</f>
        <v>#N/A</v>
      </c>
      <c r="U1265" s="9" t="str">
        <f>VLOOKUP(Table1[[#This Row],[Address A]],IP_Master[],3,FALSE)</f>
        <v>iFIX Nodes &amp; Ethernet Switches</v>
      </c>
      <c r="V1265" s="9" t="e">
        <f>VLOOKUP(Table1[[#This Row],[Address B]],IP_Master[],3,FALSE)</f>
        <v>#N/A</v>
      </c>
      <c r="W1265" s="9" t="str">
        <f>VLOOKUP(Table1[[#This Row],[Port B]],traffic_types[],2,FALSE)</f>
        <v>HTTP/S</v>
      </c>
    </row>
    <row r="1266" spans="1:23" x14ac:dyDescent="0.6">
      <c r="A1266" t="s">
        <v>147</v>
      </c>
      <c r="B1266">
        <v>4000</v>
      </c>
      <c r="C1266" t="s">
        <v>141</v>
      </c>
      <c r="D1266">
        <v>443</v>
      </c>
      <c r="E1266">
        <v>3</v>
      </c>
      <c r="F1266" s="13">
        <v>186</v>
      </c>
      <c r="G1266">
        <v>3</v>
      </c>
      <c r="H1266">
        <v>186</v>
      </c>
      <c r="I1266">
        <v>0</v>
      </c>
      <c r="J1266">
        <v>0</v>
      </c>
      <c r="K1266">
        <v>773.71319200000005</v>
      </c>
      <c r="L1266">
        <v>9.0772179999999008</v>
      </c>
      <c r="M1266">
        <v>163.926877155536</v>
      </c>
      <c r="N1266">
        <v>0</v>
      </c>
      <c r="O1266" s="8" t="str">
        <f>formatIP(Table1[[#This Row],[Address A]])</f>
        <v>010.012.000.251</v>
      </c>
      <c r="P1266" s="8" t="str">
        <f>formatIP(Table1[[#This Row],[Address B]])</f>
        <v>010.113.010.001</v>
      </c>
      <c r="Q1266" s="8" t="str">
        <f>VLOOKUP(Table1[[#This Row],[Address A]],IP_Master[],4,FALSE)</f>
        <v>PP_FIX2</v>
      </c>
      <c r="R1266" s="8" t="e">
        <f>VLOOKUP(Table1[[#This Row],[Address B]],IP_Master[],4,FALSE)</f>
        <v>#N/A</v>
      </c>
      <c r="S1266" s="8" t="str">
        <f>VLOOKUP(Table1[[#This Row],[Address A]],IP_Master[],2,FALSE)</f>
        <v>Other ProcN Devices</v>
      </c>
      <c r="T1266" s="8" t="e">
        <f>VLOOKUP(Table1[[#This Row],[Address B]],IP_Master[],2,FALSE)</f>
        <v>#N/A</v>
      </c>
      <c r="U1266" s="9" t="str">
        <f>VLOOKUP(Table1[[#This Row],[Address A]],IP_Master[],3,FALSE)</f>
        <v>iFIX Nodes &amp; Ethernet Switches</v>
      </c>
      <c r="V1266" s="9" t="e">
        <f>VLOOKUP(Table1[[#This Row],[Address B]],IP_Master[],3,FALSE)</f>
        <v>#N/A</v>
      </c>
      <c r="W1266" s="9" t="str">
        <f>VLOOKUP(Table1[[#This Row],[Port B]],traffic_types[],2,FALSE)</f>
        <v>HTTP/S</v>
      </c>
    </row>
    <row r="1267" spans="1:23" x14ac:dyDescent="0.6">
      <c r="A1267" t="s">
        <v>147</v>
      </c>
      <c r="B1267">
        <v>4001</v>
      </c>
      <c r="C1267" t="s">
        <v>142</v>
      </c>
      <c r="D1267">
        <v>443</v>
      </c>
      <c r="E1267">
        <v>3</v>
      </c>
      <c r="F1267" s="13">
        <v>186</v>
      </c>
      <c r="G1267">
        <v>3</v>
      </c>
      <c r="H1267">
        <v>186</v>
      </c>
      <c r="I1267">
        <v>0</v>
      </c>
      <c r="J1267">
        <v>0</v>
      </c>
      <c r="K1267">
        <v>794.71281599999998</v>
      </c>
      <c r="L1267">
        <v>9.0770750000000398</v>
      </c>
      <c r="M1267">
        <v>163.92945965523</v>
      </c>
      <c r="N1267">
        <v>0</v>
      </c>
      <c r="O1267" s="8" t="str">
        <f>formatIP(Table1[[#This Row],[Address A]])</f>
        <v>010.012.000.251</v>
      </c>
      <c r="P1267" s="8" t="str">
        <f>formatIP(Table1[[#This Row],[Address B]])</f>
        <v>010.033.010.008</v>
      </c>
      <c r="Q1267" s="8" t="str">
        <f>VLOOKUP(Table1[[#This Row],[Address A]],IP_Master[],4,FALSE)</f>
        <v>PP_FIX2</v>
      </c>
      <c r="R1267" s="8" t="e">
        <f>VLOOKUP(Table1[[#This Row],[Address B]],IP_Master[],4,FALSE)</f>
        <v>#N/A</v>
      </c>
      <c r="S1267" s="8" t="str">
        <f>VLOOKUP(Table1[[#This Row],[Address A]],IP_Master[],2,FALSE)</f>
        <v>Other ProcN Devices</v>
      </c>
      <c r="T1267" s="8" t="e">
        <f>VLOOKUP(Table1[[#This Row],[Address B]],IP_Master[],2,FALSE)</f>
        <v>#N/A</v>
      </c>
      <c r="U1267" s="9" t="str">
        <f>VLOOKUP(Table1[[#This Row],[Address A]],IP_Master[],3,FALSE)</f>
        <v>iFIX Nodes &amp; Ethernet Switches</v>
      </c>
      <c r="V1267" s="9" t="e">
        <f>VLOOKUP(Table1[[#This Row],[Address B]],IP_Master[],3,FALSE)</f>
        <v>#N/A</v>
      </c>
      <c r="W1267" s="9" t="str">
        <f>VLOOKUP(Table1[[#This Row],[Port B]],traffic_types[],2,FALSE)</f>
        <v>HTTP/S</v>
      </c>
    </row>
    <row r="1268" spans="1:23" x14ac:dyDescent="0.6">
      <c r="A1268" t="s">
        <v>51</v>
      </c>
      <c r="B1268">
        <v>1426</v>
      </c>
      <c r="C1268" t="s">
        <v>148</v>
      </c>
      <c r="D1268">
        <v>443</v>
      </c>
      <c r="E1268">
        <v>1</v>
      </c>
      <c r="F1268" s="13">
        <v>60</v>
      </c>
      <c r="G1268">
        <v>1</v>
      </c>
      <c r="H1268">
        <v>60</v>
      </c>
      <c r="I1268">
        <v>0</v>
      </c>
      <c r="J1268">
        <v>0</v>
      </c>
      <c r="K1268">
        <v>558.57363699999996</v>
      </c>
      <c r="L1268">
        <v>0</v>
      </c>
      <c r="M1268">
        <v>0</v>
      </c>
      <c r="N1268">
        <v>0</v>
      </c>
      <c r="O1268" s="8" t="str">
        <f>formatIP(Table1[[#This Row],[Address A]])</f>
        <v>010.012.000.252</v>
      </c>
      <c r="P1268" s="8" t="str">
        <f>formatIP(Table1[[#This Row],[Address B]])</f>
        <v>010.012.000.018</v>
      </c>
      <c r="Q1268" s="8" t="str">
        <f>VLOOKUP(Table1[[#This Row],[Address A]],IP_Master[],4,FALSE)</f>
        <v>PP_FIX3</v>
      </c>
      <c r="R1268" s="8" t="str">
        <f>VLOOKUP(Table1[[#This Row],[Address B]],IP_Master[],4,FALSE)</f>
        <v>FCSW3</v>
      </c>
      <c r="S1268" s="8" t="str">
        <f>VLOOKUP(Table1[[#This Row],[Address A]],IP_Master[],2,FALSE)</f>
        <v>Other ProcN Devices</v>
      </c>
      <c r="T1268" s="8" t="str">
        <f>VLOOKUP(Table1[[#This Row],[Address B]],IP_Master[],2,FALSE)</f>
        <v>Fume Control</v>
      </c>
      <c r="U1268" s="9" t="str">
        <f>VLOOKUP(Table1[[#This Row],[Address A]],IP_Master[],3,FALSE)</f>
        <v>iFIX Nodes &amp; Ethernet Switches</v>
      </c>
      <c r="V1268" s="9" t="str">
        <f>VLOOKUP(Table1[[#This Row],[Address B]],IP_Master[],3,FALSE)</f>
        <v>iFIX Nodes &amp; Ethernet Switches</v>
      </c>
      <c r="W1268" s="9" t="str">
        <f>VLOOKUP(Table1[[#This Row],[Port B]],traffic_types[],2,FALSE)</f>
        <v>HTTP/S</v>
      </c>
    </row>
    <row r="1269" spans="1:23" x14ac:dyDescent="0.6">
      <c r="A1269" t="s">
        <v>51</v>
      </c>
      <c r="B1269">
        <v>1543</v>
      </c>
      <c r="C1269" t="s">
        <v>148</v>
      </c>
      <c r="D1269">
        <v>443</v>
      </c>
      <c r="E1269">
        <v>3</v>
      </c>
      <c r="F1269" s="13">
        <v>276</v>
      </c>
      <c r="G1269">
        <v>3</v>
      </c>
      <c r="H1269">
        <v>276</v>
      </c>
      <c r="I1269">
        <v>0</v>
      </c>
      <c r="J1269">
        <v>0</v>
      </c>
      <c r="K1269">
        <v>558.57460500000002</v>
      </c>
      <c r="L1269">
        <v>3.1819999999243001E-3</v>
      </c>
      <c r="M1269">
        <v>0</v>
      </c>
      <c r="N1269">
        <v>0</v>
      </c>
      <c r="O1269" s="8" t="str">
        <f>formatIP(Table1[[#This Row],[Address A]])</f>
        <v>010.012.000.252</v>
      </c>
      <c r="P1269" s="8" t="str">
        <f>formatIP(Table1[[#This Row],[Address B]])</f>
        <v>010.012.000.018</v>
      </c>
      <c r="Q1269" s="8" t="str">
        <f>VLOOKUP(Table1[[#This Row],[Address A]],IP_Master[],4,FALSE)</f>
        <v>PP_FIX3</v>
      </c>
      <c r="R1269" s="8" t="str">
        <f>VLOOKUP(Table1[[#This Row],[Address B]],IP_Master[],4,FALSE)</f>
        <v>FCSW3</v>
      </c>
      <c r="S1269" s="8" t="str">
        <f>VLOOKUP(Table1[[#This Row],[Address A]],IP_Master[],2,FALSE)</f>
        <v>Other ProcN Devices</v>
      </c>
      <c r="T1269" s="8" t="str">
        <f>VLOOKUP(Table1[[#This Row],[Address B]],IP_Master[],2,FALSE)</f>
        <v>Fume Control</v>
      </c>
      <c r="U1269" s="9" t="str">
        <f>VLOOKUP(Table1[[#This Row],[Address A]],IP_Master[],3,FALSE)</f>
        <v>iFIX Nodes &amp; Ethernet Switches</v>
      </c>
      <c r="V1269" s="9" t="str">
        <f>VLOOKUP(Table1[[#This Row],[Address B]],IP_Master[],3,FALSE)</f>
        <v>iFIX Nodes &amp; Ethernet Switches</v>
      </c>
      <c r="W1269" s="9" t="str">
        <f>VLOOKUP(Table1[[#This Row],[Port B]],traffic_types[],2,FALSE)</f>
        <v>HTTP/S</v>
      </c>
    </row>
    <row r="1270" spans="1:23" x14ac:dyDescent="0.6">
      <c r="A1270" t="s">
        <v>51</v>
      </c>
      <c r="B1270">
        <v>1427</v>
      </c>
      <c r="C1270" t="s">
        <v>149</v>
      </c>
      <c r="D1270">
        <v>443</v>
      </c>
      <c r="E1270">
        <v>1</v>
      </c>
      <c r="F1270" s="13">
        <v>60</v>
      </c>
      <c r="G1270">
        <v>1</v>
      </c>
      <c r="H1270">
        <v>60</v>
      </c>
      <c r="I1270">
        <v>0</v>
      </c>
      <c r="J1270">
        <v>0</v>
      </c>
      <c r="K1270">
        <v>558.576683</v>
      </c>
      <c r="L1270">
        <v>0</v>
      </c>
      <c r="M1270">
        <v>0</v>
      </c>
      <c r="N1270">
        <v>0</v>
      </c>
      <c r="O1270" s="8" t="str">
        <f>formatIP(Table1[[#This Row],[Address A]])</f>
        <v>010.012.000.252</v>
      </c>
      <c r="P1270" s="8" t="str">
        <f>formatIP(Table1[[#This Row],[Address B]])</f>
        <v>010.012.000.178</v>
      </c>
      <c r="Q1270" s="8" t="str">
        <f>VLOOKUP(Table1[[#This Row],[Address A]],IP_Master[],4,FALSE)</f>
        <v>PP_FIX3</v>
      </c>
      <c r="R1270" s="8" t="str">
        <f>VLOOKUP(Table1[[#This Row],[Address B]],IP_Master[],4,FALSE)</f>
        <v>CSBSW1A/B</v>
      </c>
      <c r="S1270" s="8" t="str">
        <f>VLOOKUP(Table1[[#This Row],[Address A]],IP_Master[],2,FALSE)</f>
        <v>Other ProcN Devices</v>
      </c>
      <c r="T1270" s="8" t="str">
        <f>VLOOKUP(Table1[[#This Row],[Address B]],IP_Master[],2,FALSE)</f>
        <v>Sinter Plant</v>
      </c>
      <c r="U1270" s="9" t="str">
        <f>VLOOKUP(Table1[[#This Row],[Address A]],IP_Master[],3,FALSE)</f>
        <v>iFIX Nodes &amp; Ethernet Switches</v>
      </c>
      <c r="V1270" s="9" t="str">
        <f>VLOOKUP(Table1[[#This Row],[Address B]],IP_Master[],3,FALSE)</f>
        <v>iFIX Nodes &amp; Ethernet Switches</v>
      </c>
      <c r="W1270" s="9" t="str">
        <f>VLOOKUP(Table1[[#This Row],[Port B]],traffic_types[],2,FALSE)</f>
        <v>HTTP/S</v>
      </c>
    </row>
    <row r="1271" spans="1:23" x14ac:dyDescent="0.6">
      <c r="A1271" t="s">
        <v>51</v>
      </c>
      <c r="B1271">
        <v>1444</v>
      </c>
      <c r="C1271" t="s">
        <v>150</v>
      </c>
      <c r="D1271">
        <v>443</v>
      </c>
      <c r="E1271">
        <v>1</v>
      </c>
      <c r="F1271" s="13">
        <v>60</v>
      </c>
      <c r="G1271">
        <v>1</v>
      </c>
      <c r="H1271">
        <v>60</v>
      </c>
      <c r="I1271">
        <v>0</v>
      </c>
      <c r="J1271">
        <v>0</v>
      </c>
      <c r="K1271">
        <v>558.58463600000005</v>
      </c>
      <c r="L1271">
        <v>0</v>
      </c>
      <c r="M1271">
        <v>0</v>
      </c>
      <c r="N1271">
        <v>0</v>
      </c>
      <c r="O1271" s="8" t="str">
        <f>formatIP(Table1[[#This Row],[Address A]])</f>
        <v>010.012.000.252</v>
      </c>
      <c r="P1271" s="8" t="str">
        <f>formatIP(Table1[[#This Row],[Address B]])</f>
        <v>010.012.000.240</v>
      </c>
      <c r="Q1271" s="8" t="str">
        <f>VLOOKUP(Table1[[#This Row],[Address A]],IP_Master[],4,FALSE)</f>
        <v>PP_FIX3</v>
      </c>
      <c r="R1271" s="8" t="str">
        <f>VLOOKUP(Table1[[#This Row],[Address B]],IP_Master[],4,FALSE)</f>
        <v>EAFSW1</v>
      </c>
      <c r="S1271" s="8" t="str">
        <f>VLOOKUP(Table1[[#This Row],[Address A]],IP_Master[],2,FALSE)</f>
        <v>Other ProcN Devices</v>
      </c>
      <c r="T1271" s="8" t="str">
        <f>VLOOKUP(Table1[[#This Row],[Address B]],IP_Master[],2,FALSE)</f>
        <v>EAF Dust Washing</v>
      </c>
      <c r="U1271" s="9" t="str">
        <f>VLOOKUP(Table1[[#This Row],[Address A]],IP_Master[],3,FALSE)</f>
        <v>iFIX Nodes &amp; Ethernet Switches</v>
      </c>
      <c r="V1271" s="9" t="str">
        <f>VLOOKUP(Table1[[#This Row],[Address B]],IP_Master[],3,FALSE)</f>
        <v>iFIX Nodes &amp; Ethernet Switches</v>
      </c>
      <c r="W1271" s="9" t="str">
        <f>VLOOKUP(Table1[[#This Row],[Port B]],traffic_types[],2,FALSE)</f>
        <v>HTTP/S</v>
      </c>
    </row>
    <row r="1272" spans="1:23" x14ac:dyDescent="0.6">
      <c r="A1272" t="s">
        <v>51</v>
      </c>
      <c r="B1272">
        <v>1544</v>
      </c>
      <c r="C1272" t="s">
        <v>151</v>
      </c>
      <c r="D1272">
        <v>80</v>
      </c>
      <c r="E1272">
        <v>3</v>
      </c>
      <c r="F1272" s="13">
        <v>315</v>
      </c>
      <c r="G1272">
        <v>3</v>
      </c>
      <c r="H1272">
        <v>315</v>
      </c>
      <c r="I1272">
        <v>0</v>
      </c>
      <c r="J1272">
        <v>0</v>
      </c>
      <c r="K1272">
        <v>558.58488999999997</v>
      </c>
      <c r="L1272">
        <v>1.05800000005729E-3</v>
      </c>
      <c r="M1272">
        <v>0</v>
      </c>
      <c r="N1272">
        <v>0</v>
      </c>
      <c r="O1272" s="8" t="str">
        <f>formatIP(Table1[[#This Row],[Address A]])</f>
        <v>010.012.000.252</v>
      </c>
      <c r="P1272" s="8" t="str">
        <f>formatIP(Table1[[#This Row],[Address B]])</f>
        <v>010.012.000.040</v>
      </c>
      <c r="Q1272" s="8" t="str">
        <f>VLOOKUP(Table1[[#This Row],[Address A]],IP_Master[],4,FALSE)</f>
        <v>PP_FIX3</v>
      </c>
      <c r="R1272" s="8" t="str">
        <f>VLOOKUP(Table1[[#This Row],[Address B]],IP_Master[],4,FALSE)</f>
        <v>BFSW1A/B</v>
      </c>
      <c r="S1272" s="8" t="str">
        <f>VLOOKUP(Table1[[#This Row],[Address A]],IP_Master[],2,FALSE)</f>
        <v>Other ProcN Devices</v>
      </c>
      <c r="T1272" s="8" t="str">
        <f>VLOOKUP(Table1[[#This Row],[Address B]],IP_Master[],2,FALSE)</f>
        <v>Blast Furnace</v>
      </c>
      <c r="U1272" s="9" t="str">
        <f>VLOOKUP(Table1[[#This Row],[Address A]],IP_Master[],3,FALSE)</f>
        <v>iFIX Nodes &amp; Ethernet Switches</v>
      </c>
      <c r="V1272" s="9" t="str">
        <f>VLOOKUP(Table1[[#This Row],[Address B]],IP_Master[],3,FALSE)</f>
        <v>iFIX Nodes &amp; Ethernet Switches</v>
      </c>
      <c r="W1272" s="9" t="str">
        <f>VLOOKUP(Table1[[#This Row],[Port B]],traffic_types[],2,FALSE)</f>
        <v>HTTP</v>
      </c>
    </row>
    <row r="1273" spans="1:23" x14ac:dyDescent="0.6">
      <c r="A1273" t="s">
        <v>51</v>
      </c>
      <c r="B1273">
        <v>1545</v>
      </c>
      <c r="C1273" t="s">
        <v>152</v>
      </c>
      <c r="D1273">
        <v>80</v>
      </c>
      <c r="E1273">
        <v>3</v>
      </c>
      <c r="F1273" s="13">
        <v>315</v>
      </c>
      <c r="G1273">
        <v>3</v>
      </c>
      <c r="H1273">
        <v>315</v>
      </c>
      <c r="I1273">
        <v>0</v>
      </c>
      <c r="J1273">
        <v>0</v>
      </c>
      <c r="K1273">
        <v>558.58536700000002</v>
      </c>
      <c r="L1273">
        <v>1.1819999999715901E-3</v>
      </c>
      <c r="M1273">
        <v>0</v>
      </c>
      <c r="N1273">
        <v>0</v>
      </c>
      <c r="O1273" s="8" t="str">
        <f>formatIP(Table1[[#This Row],[Address A]])</f>
        <v>010.012.000.252</v>
      </c>
      <c r="P1273" s="8" t="str">
        <f>formatIP(Table1[[#This Row],[Address B]])</f>
        <v>010.012.000.036</v>
      </c>
      <c r="Q1273" s="8" t="str">
        <f>VLOOKUP(Table1[[#This Row],[Address A]],IP_Master[],4,FALSE)</f>
        <v>PP_FIX3</v>
      </c>
      <c r="R1273" s="8" t="str">
        <f>VLOOKUP(Table1[[#This Row],[Address B]],IP_Master[],4,FALSE)</f>
        <v>BFSW3</v>
      </c>
      <c r="S1273" s="8" t="str">
        <f>VLOOKUP(Table1[[#This Row],[Address A]],IP_Master[],2,FALSE)</f>
        <v>Other ProcN Devices</v>
      </c>
      <c r="T1273" s="8" t="str">
        <f>VLOOKUP(Table1[[#This Row],[Address B]],IP_Master[],2,FALSE)</f>
        <v>Blast Furnace</v>
      </c>
      <c r="U1273" s="9" t="str">
        <f>VLOOKUP(Table1[[#This Row],[Address A]],IP_Master[],3,FALSE)</f>
        <v>iFIX Nodes &amp; Ethernet Switches</v>
      </c>
      <c r="V1273" s="9" t="str">
        <f>VLOOKUP(Table1[[#This Row],[Address B]],IP_Master[],3,FALSE)</f>
        <v>iFIX Nodes &amp; Ethernet Switches</v>
      </c>
      <c r="W1273" s="9" t="str">
        <f>VLOOKUP(Table1[[#This Row],[Port B]],traffic_types[],2,FALSE)</f>
        <v>HTTP</v>
      </c>
    </row>
    <row r="1274" spans="1:23" x14ac:dyDescent="0.6">
      <c r="A1274" t="s">
        <v>51</v>
      </c>
      <c r="B1274">
        <v>1546</v>
      </c>
      <c r="C1274" t="s">
        <v>153</v>
      </c>
      <c r="D1274">
        <v>80</v>
      </c>
      <c r="E1274">
        <v>1</v>
      </c>
      <c r="F1274" s="13">
        <v>62</v>
      </c>
      <c r="G1274">
        <v>1</v>
      </c>
      <c r="H1274">
        <v>62</v>
      </c>
      <c r="I1274">
        <v>0</v>
      </c>
      <c r="J1274">
        <v>0</v>
      </c>
      <c r="K1274">
        <v>558.58941100000004</v>
      </c>
      <c r="L1274">
        <v>0</v>
      </c>
      <c r="M1274">
        <v>0</v>
      </c>
      <c r="N1274">
        <v>0</v>
      </c>
      <c r="O1274" s="8" t="str">
        <f>formatIP(Table1[[#This Row],[Address A]])</f>
        <v>010.012.000.252</v>
      </c>
      <c r="P1274" s="8" t="str">
        <f>formatIP(Table1[[#This Row],[Address B]])</f>
        <v>010.012.000.038</v>
      </c>
      <c r="Q1274" s="8" t="str">
        <f>VLOOKUP(Table1[[#This Row],[Address A]],IP_Master[],4,FALSE)</f>
        <v>PP_FIX3</v>
      </c>
      <c r="R1274" s="8" t="str">
        <f>VLOOKUP(Table1[[#This Row],[Address B]],IP_Master[],4,FALSE)</f>
        <v>DFSW1</v>
      </c>
      <c r="S1274" s="8" t="str">
        <f>VLOOKUP(Table1[[#This Row],[Address A]],IP_Master[],2,FALSE)</f>
        <v>Other ProcN Devices</v>
      </c>
      <c r="T1274" s="8" t="str">
        <f>VLOOKUP(Table1[[#This Row],[Address B]],IP_Master[],2,FALSE)</f>
        <v>Blast Furnace</v>
      </c>
      <c r="U1274" s="9" t="str">
        <f>VLOOKUP(Table1[[#This Row],[Address A]],IP_Master[],3,FALSE)</f>
        <v>iFIX Nodes &amp; Ethernet Switches</v>
      </c>
      <c r="V1274" s="9" t="str">
        <f>VLOOKUP(Table1[[#This Row],[Address B]],IP_Master[],3,FALSE)</f>
        <v>iFIX Nodes &amp; Ethernet Switches</v>
      </c>
      <c r="W1274" s="9" t="str">
        <f>VLOOKUP(Table1[[#This Row],[Port B]],traffic_types[],2,FALSE)</f>
        <v>HTTP</v>
      </c>
    </row>
    <row r="1275" spans="1:23" x14ac:dyDescent="0.6">
      <c r="A1275" t="s">
        <v>51</v>
      </c>
      <c r="B1275">
        <v>1547</v>
      </c>
      <c r="C1275" t="s">
        <v>154</v>
      </c>
      <c r="D1275">
        <v>80</v>
      </c>
      <c r="E1275">
        <v>1</v>
      </c>
      <c r="F1275" s="13">
        <v>62</v>
      </c>
      <c r="G1275">
        <v>1</v>
      </c>
      <c r="H1275">
        <v>62</v>
      </c>
      <c r="I1275">
        <v>0</v>
      </c>
      <c r="J1275">
        <v>0</v>
      </c>
      <c r="K1275">
        <v>558.58959300000004</v>
      </c>
      <c r="L1275">
        <v>0</v>
      </c>
      <c r="M1275">
        <v>0</v>
      </c>
      <c r="N1275">
        <v>0</v>
      </c>
      <c r="O1275" s="8" t="str">
        <f>formatIP(Table1[[#This Row],[Address A]])</f>
        <v>010.012.000.252</v>
      </c>
      <c r="P1275" s="8" t="str">
        <f>formatIP(Table1[[#This Row],[Address B]])</f>
        <v>010.012.000.039</v>
      </c>
      <c r="Q1275" s="8" t="str">
        <f>VLOOKUP(Table1[[#This Row],[Address A]],IP_Master[],4,FALSE)</f>
        <v>PP_FIX3</v>
      </c>
      <c r="R1275" s="8" t="str">
        <f>VLOOKUP(Table1[[#This Row],[Address B]],IP_Master[],4,FALSE)</f>
        <v>SRFSW1</v>
      </c>
      <c r="S1275" s="8" t="str">
        <f>VLOOKUP(Table1[[#This Row],[Address A]],IP_Master[],2,FALSE)</f>
        <v>Other ProcN Devices</v>
      </c>
      <c r="T1275" s="8" t="str">
        <f>VLOOKUP(Table1[[#This Row],[Address B]],IP_Master[],2,FALSE)</f>
        <v>Blast Furnace</v>
      </c>
      <c r="U1275" s="9" t="str">
        <f>VLOOKUP(Table1[[#This Row],[Address A]],IP_Master[],3,FALSE)</f>
        <v>iFIX Nodes &amp; Ethernet Switches</v>
      </c>
      <c r="V1275" s="9" t="str">
        <f>VLOOKUP(Table1[[#This Row],[Address B]],IP_Master[],3,FALSE)</f>
        <v>iFIX Nodes &amp; Ethernet Switches</v>
      </c>
      <c r="W1275" s="9" t="str">
        <f>VLOOKUP(Table1[[#This Row],[Port B]],traffic_types[],2,FALSE)</f>
        <v>HTTP</v>
      </c>
    </row>
    <row r="1276" spans="1:23" x14ac:dyDescent="0.6">
      <c r="A1276" t="s">
        <v>51</v>
      </c>
      <c r="B1276">
        <v>1549</v>
      </c>
      <c r="C1276" t="s">
        <v>155</v>
      </c>
      <c r="D1276">
        <v>80</v>
      </c>
      <c r="E1276">
        <v>1</v>
      </c>
      <c r="F1276" s="13">
        <v>62</v>
      </c>
      <c r="G1276">
        <v>1</v>
      </c>
      <c r="H1276">
        <v>62</v>
      </c>
      <c r="I1276">
        <v>0</v>
      </c>
      <c r="J1276">
        <v>0</v>
      </c>
      <c r="K1276">
        <v>558.589788</v>
      </c>
      <c r="L1276">
        <v>0</v>
      </c>
      <c r="M1276">
        <v>0</v>
      </c>
      <c r="N1276">
        <v>0</v>
      </c>
      <c r="O1276" s="8" t="str">
        <f>formatIP(Table1[[#This Row],[Address A]])</f>
        <v>010.012.000.252</v>
      </c>
      <c r="P1276" s="8" t="str">
        <f>formatIP(Table1[[#This Row],[Address B]])</f>
        <v>010.012.000.059</v>
      </c>
      <c r="Q1276" s="8" t="str">
        <f>VLOOKUP(Table1[[#This Row],[Address A]],IP_Master[],4,FALSE)</f>
        <v>PP_FIX3</v>
      </c>
      <c r="R1276" s="8" t="str">
        <f>VLOOKUP(Table1[[#This Row],[Address B]],IP_Master[],4,FALSE)</f>
        <v>APSW2</v>
      </c>
      <c r="S1276" s="8" t="str">
        <f>VLOOKUP(Table1[[#This Row],[Address A]],IP_Master[],2,FALSE)</f>
        <v>Other ProcN Devices</v>
      </c>
      <c r="T1276" s="8" t="str">
        <f>VLOOKUP(Table1[[#This Row],[Address B]],IP_Master[],2,FALSE)</f>
        <v>Acid Plant</v>
      </c>
      <c r="U1276" s="9" t="str">
        <f>VLOOKUP(Table1[[#This Row],[Address A]],IP_Master[],3,FALSE)</f>
        <v>iFIX Nodes &amp; Ethernet Switches</v>
      </c>
      <c r="V1276" s="9" t="str">
        <f>VLOOKUP(Table1[[#This Row],[Address B]],IP_Master[],3,FALSE)</f>
        <v>iFIX Nodes &amp; Ethernet Switches</v>
      </c>
      <c r="W1276" s="9" t="str">
        <f>VLOOKUP(Table1[[#This Row],[Port B]],traffic_types[],2,FALSE)</f>
        <v>HTTP</v>
      </c>
    </row>
    <row r="1277" spans="1:23" x14ac:dyDescent="0.6">
      <c r="A1277" t="s">
        <v>51</v>
      </c>
      <c r="B1277">
        <v>1548</v>
      </c>
      <c r="C1277" t="s">
        <v>156</v>
      </c>
      <c r="D1277">
        <v>80</v>
      </c>
      <c r="E1277">
        <v>4</v>
      </c>
      <c r="F1277" s="13">
        <v>375</v>
      </c>
      <c r="G1277">
        <v>4</v>
      </c>
      <c r="H1277">
        <v>375</v>
      </c>
      <c r="I1277">
        <v>0</v>
      </c>
      <c r="J1277">
        <v>0</v>
      </c>
      <c r="K1277">
        <v>558.59020299999997</v>
      </c>
      <c r="L1277">
        <v>2.6081999999974001E-2</v>
      </c>
      <c r="M1277">
        <v>115021.854152404</v>
      </c>
      <c r="N1277">
        <v>0</v>
      </c>
      <c r="O1277" s="8" t="str">
        <f>formatIP(Table1[[#This Row],[Address A]])</f>
        <v>010.012.000.252</v>
      </c>
      <c r="P1277" s="8" t="str">
        <f>formatIP(Table1[[#This Row],[Address B]])</f>
        <v>010.012.000.060</v>
      </c>
      <c r="Q1277" s="8" t="str">
        <f>VLOOKUP(Table1[[#This Row],[Address A]],IP_Master[],4,FALSE)</f>
        <v>PP_FIX3</v>
      </c>
      <c r="R1277" s="8" t="str">
        <f>VLOOKUP(Table1[[#This Row],[Address B]],IP_Master[],4,FALSE)</f>
        <v>APSW1</v>
      </c>
      <c r="S1277" s="8" t="str">
        <f>VLOOKUP(Table1[[#This Row],[Address A]],IP_Master[],2,FALSE)</f>
        <v>Other ProcN Devices</v>
      </c>
      <c r="T1277" s="8" t="str">
        <f>VLOOKUP(Table1[[#This Row],[Address B]],IP_Master[],2,FALSE)</f>
        <v>Acid Plant</v>
      </c>
      <c r="U1277" s="9" t="str">
        <f>VLOOKUP(Table1[[#This Row],[Address A]],IP_Master[],3,FALSE)</f>
        <v>iFIX Nodes &amp; Ethernet Switches</v>
      </c>
      <c r="V1277" s="9" t="str">
        <f>VLOOKUP(Table1[[#This Row],[Address B]],IP_Master[],3,FALSE)</f>
        <v>iFIX Nodes &amp; Ethernet Switches</v>
      </c>
      <c r="W1277" s="9" t="str">
        <f>VLOOKUP(Table1[[#This Row],[Port B]],traffic_types[],2,FALSE)</f>
        <v>HTTP</v>
      </c>
    </row>
    <row r="1278" spans="1:23" x14ac:dyDescent="0.6">
      <c r="A1278" t="s">
        <v>51</v>
      </c>
      <c r="B1278">
        <v>1449</v>
      </c>
      <c r="C1278" t="s">
        <v>157</v>
      </c>
      <c r="D1278">
        <v>80</v>
      </c>
      <c r="E1278">
        <v>2</v>
      </c>
      <c r="F1278" s="13">
        <v>120</v>
      </c>
      <c r="G1278">
        <v>1</v>
      </c>
      <c r="H1278">
        <v>60</v>
      </c>
      <c r="I1278">
        <v>1</v>
      </c>
      <c r="J1278">
        <v>60</v>
      </c>
      <c r="K1278">
        <v>559.00128800000005</v>
      </c>
      <c r="L1278">
        <v>1.46999999969921E-4</v>
      </c>
      <c r="M1278">
        <v>0</v>
      </c>
      <c r="N1278">
        <v>0</v>
      </c>
      <c r="O1278" s="8" t="str">
        <f>formatIP(Table1[[#This Row],[Address A]])</f>
        <v>010.012.000.252</v>
      </c>
      <c r="P1278" s="8" t="str">
        <f>formatIP(Table1[[#This Row],[Address B]])</f>
        <v>010.012.000.254</v>
      </c>
      <c r="Q1278" s="8" t="str">
        <f>VLOOKUP(Table1[[#This Row],[Address A]],IP_Master[],4,FALSE)</f>
        <v>PP_FIX3</v>
      </c>
      <c r="R1278" s="8" t="str">
        <f>VLOOKUP(Table1[[#This Row],[Address B]],IP_Master[],4,FALSE)</f>
        <v>PPPCRT1</v>
      </c>
      <c r="S1278" s="8" t="str">
        <f>VLOOKUP(Table1[[#This Row],[Address A]],IP_Master[],2,FALSE)</f>
        <v>Other ProcN Devices</v>
      </c>
      <c r="T1278" s="8" t="str">
        <f>VLOOKUP(Table1[[#This Row],[Address B]],IP_Master[],2,FALSE)</f>
        <v>Other ProcN Devices</v>
      </c>
      <c r="U1278" s="9" t="str">
        <f>VLOOKUP(Table1[[#This Row],[Address A]],IP_Master[],3,FALSE)</f>
        <v>iFIX Nodes &amp; Ethernet Switches</v>
      </c>
      <c r="V1278" s="9" t="str">
        <f>VLOOKUP(Table1[[#This Row],[Address B]],IP_Master[],3,FALSE)</f>
        <v>iFIX Nodes &amp; Ethernet Switches</v>
      </c>
      <c r="W1278" s="9" t="str">
        <f>VLOOKUP(Table1[[#This Row],[Port B]],traffic_types[],2,FALSE)</f>
        <v>HTTP</v>
      </c>
    </row>
    <row r="1279" spans="1:23" x14ac:dyDescent="0.6">
      <c r="A1279" t="s">
        <v>51</v>
      </c>
      <c r="B1279">
        <v>1448</v>
      </c>
      <c r="C1279" t="s">
        <v>158</v>
      </c>
      <c r="D1279">
        <v>80</v>
      </c>
      <c r="E1279">
        <v>1</v>
      </c>
      <c r="F1279" s="13">
        <v>60</v>
      </c>
      <c r="G1279">
        <v>1</v>
      </c>
      <c r="H1279">
        <v>60</v>
      </c>
      <c r="I1279">
        <v>0</v>
      </c>
      <c r="J1279">
        <v>0</v>
      </c>
      <c r="K1279">
        <v>559.01063899999997</v>
      </c>
      <c r="L1279">
        <v>0</v>
      </c>
      <c r="M1279">
        <v>0</v>
      </c>
      <c r="N1279">
        <v>0</v>
      </c>
      <c r="O1279" s="8" t="str">
        <f>formatIP(Table1[[#This Row],[Address A]])</f>
        <v>010.012.000.252</v>
      </c>
      <c r="P1279" s="8" t="str">
        <f>formatIP(Table1[[#This Row],[Address B]])</f>
        <v>010.012.000.139</v>
      </c>
      <c r="Q1279" s="8" t="str">
        <f>VLOOKUP(Table1[[#This Row],[Address A]],IP_Master[],4,FALSE)</f>
        <v>PP_FIX3</v>
      </c>
      <c r="R1279" s="8" t="str">
        <f>VLOOKUP(Table1[[#This Row],[Address B]],IP_Master[],4,FALSE)</f>
        <v>SFSW2</v>
      </c>
      <c r="S1279" s="8" t="str">
        <f>VLOOKUP(Table1[[#This Row],[Address A]],IP_Master[],2,FALSE)</f>
        <v>Other ProcN Devices</v>
      </c>
      <c r="T1279" s="8" t="str">
        <f>VLOOKUP(Table1[[#This Row],[Address B]],IP_Master[],2,FALSE)</f>
        <v>Slag Fumer</v>
      </c>
      <c r="U1279" s="9" t="str">
        <f>VLOOKUP(Table1[[#This Row],[Address A]],IP_Master[],3,FALSE)</f>
        <v>iFIX Nodes &amp; Ethernet Switches</v>
      </c>
      <c r="V1279" s="9" t="str">
        <f>VLOOKUP(Table1[[#This Row],[Address B]],IP_Master[],3,FALSE)</f>
        <v>iFIX Nodes &amp; Ethernet Switches</v>
      </c>
      <c r="W1279" s="9" t="str">
        <f>VLOOKUP(Table1[[#This Row],[Port B]],traffic_types[],2,FALSE)</f>
        <v>HTTP</v>
      </c>
    </row>
    <row r="1280" spans="1:23" x14ac:dyDescent="0.6">
      <c r="A1280" t="s">
        <v>51</v>
      </c>
      <c r="B1280">
        <v>1553</v>
      </c>
      <c r="C1280" t="s">
        <v>159</v>
      </c>
      <c r="D1280">
        <v>80</v>
      </c>
      <c r="E1280">
        <v>3</v>
      </c>
      <c r="F1280" s="13">
        <v>315</v>
      </c>
      <c r="G1280">
        <v>3</v>
      </c>
      <c r="H1280">
        <v>315</v>
      </c>
      <c r="I1280">
        <v>0</v>
      </c>
      <c r="J1280">
        <v>0</v>
      </c>
      <c r="K1280">
        <v>559.01081599999998</v>
      </c>
      <c r="L1280">
        <v>1.15300000004481E-3</v>
      </c>
      <c r="M1280">
        <v>0</v>
      </c>
      <c r="N1280">
        <v>0</v>
      </c>
      <c r="O1280" s="8" t="str">
        <f>formatIP(Table1[[#This Row],[Address A]])</f>
        <v>010.012.000.252</v>
      </c>
      <c r="P1280" s="8" t="str">
        <f>formatIP(Table1[[#This Row],[Address B]])</f>
        <v>010.012.000.080</v>
      </c>
      <c r="Q1280" s="8" t="str">
        <f>VLOOKUP(Table1[[#This Row],[Address A]],IP_Master[],4,FALSE)</f>
        <v>PP_FIX3</v>
      </c>
      <c r="R1280" s="8" t="str">
        <f>VLOOKUP(Table1[[#This Row],[Address B]],IP_Master[],4,FALSE)</f>
        <v>PETSW1</v>
      </c>
      <c r="S1280" s="8" t="str">
        <f>VLOOKUP(Table1[[#This Row],[Address A]],IP_Master[],2,FALSE)</f>
        <v>Other ProcN Devices</v>
      </c>
      <c r="T1280" s="8" t="str">
        <f>VLOOKUP(Table1[[#This Row],[Address B]],IP_Master[],2,FALSE)</f>
        <v>PETs Plant</v>
      </c>
      <c r="U1280" s="9" t="str">
        <f>VLOOKUP(Table1[[#This Row],[Address A]],IP_Master[],3,FALSE)</f>
        <v>iFIX Nodes &amp; Ethernet Switches</v>
      </c>
      <c r="V1280" s="9" t="str">
        <f>VLOOKUP(Table1[[#This Row],[Address B]],IP_Master[],3,FALSE)</f>
        <v>iFIX Nodes &amp; Ethernet Switches</v>
      </c>
      <c r="W1280" s="9" t="str">
        <f>VLOOKUP(Table1[[#This Row],[Port B]],traffic_types[],2,FALSE)</f>
        <v>HTTP</v>
      </c>
    </row>
    <row r="1281" spans="1:23" x14ac:dyDescent="0.6">
      <c r="A1281" t="s">
        <v>51</v>
      </c>
      <c r="B1281">
        <v>1554</v>
      </c>
      <c r="C1281" t="s">
        <v>160</v>
      </c>
      <c r="D1281">
        <v>80</v>
      </c>
      <c r="E1281">
        <v>3</v>
      </c>
      <c r="F1281" s="13">
        <v>315</v>
      </c>
      <c r="G1281">
        <v>3</v>
      </c>
      <c r="H1281">
        <v>315</v>
      </c>
      <c r="I1281">
        <v>0</v>
      </c>
      <c r="J1281">
        <v>0</v>
      </c>
      <c r="K1281">
        <v>559.01186700000005</v>
      </c>
      <c r="L1281">
        <v>1.1109999999234801E-3</v>
      </c>
      <c r="M1281">
        <v>0</v>
      </c>
      <c r="N1281">
        <v>0</v>
      </c>
      <c r="O1281" s="8" t="str">
        <f>formatIP(Table1[[#This Row],[Address A]])</f>
        <v>010.012.000.252</v>
      </c>
      <c r="P1281" s="8" t="str">
        <f>formatIP(Table1[[#This Row],[Address B]])</f>
        <v>010.012.000.079</v>
      </c>
      <c r="Q1281" s="8" t="str">
        <f>VLOOKUP(Table1[[#This Row],[Address A]],IP_Master[],4,FALSE)</f>
        <v>PP_FIX3</v>
      </c>
      <c r="R1281" s="8" t="str">
        <f>VLOOKUP(Table1[[#This Row],[Address B]],IP_Master[],4,FALSE)</f>
        <v>STPSW1</v>
      </c>
      <c r="S1281" s="8" t="str">
        <f>VLOOKUP(Table1[[#This Row],[Address A]],IP_Master[],2,FALSE)</f>
        <v>Other ProcN Devices</v>
      </c>
      <c r="T1281" s="8" t="str">
        <f>VLOOKUP(Table1[[#This Row],[Address B]],IP_Master[],2,FALSE)</f>
        <v>PETs Plant</v>
      </c>
      <c r="U1281" s="9" t="str">
        <f>VLOOKUP(Table1[[#This Row],[Address A]],IP_Master[],3,FALSE)</f>
        <v>iFIX Nodes &amp; Ethernet Switches</v>
      </c>
      <c r="V1281" s="9" t="str">
        <f>VLOOKUP(Table1[[#This Row],[Address B]],IP_Master[],3,FALSE)</f>
        <v>iFIX Nodes &amp; Ethernet Switches</v>
      </c>
      <c r="W1281" s="9" t="str">
        <f>VLOOKUP(Table1[[#This Row],[Port B]],traffic_types[],2,FALSE)</f>
        <v>HTTP</v>
      </c>
    </row>
    <row r="1282" spans="1:23" x14ac:dyDescent="0.6">
      <c r="A1282" t="s">
        <v>51</v>
      </c>
      <c r="B1282">
        <v>1555</v>
      </c>
      <c r="C1282" t="s">
        <v>161</v>
      </c>
      <c r="D1282">
        <v>443</v>
      </c>
      <c r="E1282">
        <v>3</v>
      </c>
      <c r="F1282" s="13">
        <v>276</v>
      </c>
      <c r="G1282">
        <v>3</v>
      </c>
      <c r="H1282">
        <v>276</v>
      </c>
      <c r="I1282">
        <v>0</v>
      </c>
      <c r="J1282">
        <v>0</v>
      </c>
      <c r="K1282">
        <v>559.01344700000004</v>
      </c>
      <c r="L1282">
        <v>1.7589999999927399E-3</v>
      </c>
      <c r="M1282">
        <v>0</v>
      </c>
      <c r="N1282">
        <v>0</v>
      </c>
      <c r="O1282" s="8" t="str">
        <f>formatIP(Table1[[#This Row],[Address A]])</f>
        <v>010.012.000.252</v>
      </c>
      <c r="P1282" s="8" t="str">
        <f>formatIP(Table1[[#This Row],[Address B]])</f>
        <v>010.012.000.135</v>
      </c>
      <c r="Q1282" s="8" t="str">
        <f>VLOOKUP(Table1[[#This Row],[Address A]],IP_Master[],4,FALSE)</f>
        <v>PP_FIX3</v>
      </c>
      <c r="R1282" s="8" t="str">
        <f>VLOOKUP(Table1[[#This Row],[Address B]],IP_Master[],4,FALSE)</f>
        <v>SFSW4</v>
      </c>
      <c r="S1282" s="8" t="str">
        <f>VLOOKUP(Table1[[#This Row],[Address A]],IP_Master[],2,FALSE)</f>
        <v>Other ProcN Devices</v>
      </c>
      <c r="T1282" s="8" t="str">
        <f>VLOOKUP(Table1[[#This Row],[Address B]],IP_Master[],2,FALSE)</f>
        <v>Slag Fumer</v>
      </c>
      <c r="U1282" s="9" t="str">
        <f>VLOOKUP(Table1[[#This Row],[Address A]],IP_Master[],3,FALSE)</f>
        <v>iFIX Nodes &amp; Ethernet Switches</v>
      </c>
      <c r="V1282" s="9" t="str">
        <f>VLOOKUP(Table1[[#This Row],[Address B]],IP_Master[],3,FALSE)</f>
        <v>iFIX Nodes &amp; Ethernet Switches</v>
      </c>
      <c r="W1282" s="9" t="str">
        <f>VLOOKUP(Table1[[#This Row],[Port B]],traffic_types[],2,FALSE)</f>
        <v>HTTP/S</v>
      </c>
    </row>
    <row r="1283" spans="1:23" x14ac:dyDescent="0.6">
      <c r="A1283" t="s">
        <v>51</v>
      </c>
      <c r="B1283">
        <v>1451</v>
      </c>
      <c r="C1283" t="s">
        <v>162</v>
      </c>
      <c r="D1283">
        <v>443</v>
      </c>
      <c r="E1283">
        <v>1</v>
      </c>
      <c r="F1283" s="13">
        <v>60</v>
      </c>
      <c r="G1283">
        <v>1</v>
      </c>
      <c r="H1283">
        <v>60</v>
      </c>
      <c r="I1283">
        <v>0</v>
      </c>
      <c r="J1283">
        <v>0</v>
      </c>
      <c r="K1283">
        <v>559.09177799999998</v>
      </c>
      <c r="L1283">
        <v>0</v>
      </c>
      <c r="M1283">
        <v>0</v>
      </c>
      <c r="N1283">
        <v>0</v>
      </c>
      <c r="O1283" s="8" t="str">
        <f>formatIP(Table1[[#This Row],[Address A]])</f>
        <v>010.012.000.252</v>
      </c>
      <c r="P1283" s="8" t="str">
        <f>formatIP(Table1[[#This Row],[Address B]])</f>
        <v>010.012.000.017</v>
      </c>
      <c r="Q1283" s="8" t="str">
        <f>VLOOKUP(Table1[[#This Row],[Address A]],IP_Master[],4,FALSE)</f>
        <v>PP_FIX3</v>
      </c>
      <c r="R1283" s="8" t="str">
        <f>VLOOKUP(Table1[[#This Row],[Address B]],IP_Master[],4,FALSE)</f>
        <v>FCSW4</v>
      </c>
      <c r="S1283" s="8" t="str">
        <f>VLOOKUP(Table1[[#This Row],[Address A]],IP_Master[],2,FALSE)</f>
        <v>Other ProcN Devices</v>
      </c>
      <c r="T1283" s="8" t="str">
        <f>VLOOKUP(Table1[[#This Row],[Address B]],IP_Master[],2,FALSE)</f>
        <v>Fume Control</v>
      </c>
      <c r="U1283" s="9" t="str">
        <f>VLOOKUP(Table1[[#This Row],[Address A]],IP_Master[],3,FALSE)</f>
        <v>iFIX Nodes &amp; Ethernet Switches</v>
      </c>
      <c r="V1283" s="9" t="str">
        <f>VLOOKUP(Table1[[#This Row],[Address B]],IP_Master[],3,FALSE)</f>
        <v>iFIX Nodes &amp; Ethernet Switches</v>
      </c>
      <c r="W1283" s="9" t="str">
        <f>VLOOKUP(Table1[[#This Row],[Port B]],traffic_types[],2,FALSE)</f>
        <v>HTTP/S</v>
      </c>
    </row>
    <row r="1284" spans="1:23" x14ac:dyDescent="0.6">
      <c r="A1284" t="s">
        <v>51</v>
      </c>
      <c r="B1284">
        <v>1558</v>
      </c>
      <c r="C1284" t="s">
        <v>163</v>
      </c>
      <c r="D1284">
        <v>443</v>
      </c>
      <c r="E1284">
        <v>3</v>
      </c>
      <c r="F1284" s="13">
        <v>276</v>
      </c>
      <c r="G1284">
        <v>3</v>
      </c>
      <c r="H1284">
        <v>276</v>
      </c>
      <c r="I1284">
        <v>0</v>
      </c>
      <c r="J1284">
        <v>0</v>
      </c>
      <c r="K1284">
        <v>559.093163</v>
      </c>
      <c r="L1284">
        <v>1.78400000004331E-3</v>
      </c>
      <c r="M1284">
        <v>0</v>
      </c>
      <c r="N1284">
        <v>0</v>
      </c>
      <c r="O1284" s="8" t="str">
        <f>formatIP(Table1[[#This Row],[Address A]])</f>
        <v>010.012.000.252</v>
      </c>
      <c r="P1284" s="8" t="str">
        <f>formatIP(Table1[[#This Row],[Address B]])</f>
        <v>010.012.000.177</v>
      </c>
      <c r="Q1284" s="8" t="str">
        <f>VLOOKUP(Table1[[#This Row],[Address A]],IP_Master[],4,FALSE)</f>
        <v>PP_FIX3</v>
      </c>
      <c r="R1284" s="8" t="str">
        <f>VLOOKUP(Table1[[#This Row],[Address B]],IP_Master[],4,FALSE)</f>
        <v>SPFPSW</v>
      </c>
      <c r="S1284" s="8" t="str">
        <f>VLOOKUP(Table1[[#This Row],[Address A]],IP_Master[],2,FALSE)</f>
        <v>Other ProcN Devices</v>
      </c>
      <c r="T1284" s="8" t="str">
        <f>VLOOKUP(Table1[[#This Row],[Address B]],IP_Master[],2,FALSE)</f>
        <v>Sinter Plant</v>
      </c>
      <c r="U1284" s="9" t="str">
        <f>VLOOKUP(Table1[[#This Row],[Address A]],IP_Master[],3,FALSE)</f>
        <v>iFIX Nodes &amp; Ethernet Switches</v>
      </c>
      <c r="V1284" s="9" t="str">
        <f>VLOOKUP(Table1[[#This Row],[Address B]],IP_Master[],3,FALSE)</f>
        <v>iFIX Nodes &amp; Ethernet Switches</v>
      </c>
      <c r="W1284" s="9" t="str">
        <f>VLOOKUP(Table1[[#This Row],[Port B]],traffic_types[],2,FALSE)</f>
        <v>HTTP/S</v>
      </c>
    </row>
    <row r="1285" spans="1:23" x14ac:dyDescent="0.6">
      <c r="A1285" t="s">
        <v>51</v>
      </c>
      <c r="B1285">
        <v>1439</v>
      </c>
      <c r="C1285" t="s">
        <v>164</v>
      </c>
      <c r="D1285">
        <v>443</v>
      </c>
      <c r="E1285">
        <v>1</v>
      </c>
      <c r="F1285" s="13">
        <v>60</v>
      </c>
      <c r="G1285">
        <v>1</v>
      </c>
      <c r="H1285">
        <v>60</v>
      </c>
      <c r="I1285">
        <v>0</v>
      </c>
      <c r="J1285">
        <v>0</v>
      </c>
      <c r="K1285">
        <v>559.53302199999996</v>
      </c>
      <c r="L1285">
        <v>0</v>
      </c>
      <c r="M1285">
        <v>0</v>
      </c>
      <c r="N1285">
        <v>0</v>
      </c>
      <c r="O1285" s="8" t="str">
        <f>formatIP(Table1[[#This Row],[Address A]])</f>
        <v>010.012.000.252</v>
      </c>
      <c r="P1285" s="8" t="str">
        <f>formatIP(Table1[[#This Row],[Address B]])</f>
        <v>010.012.000.200</v>
      </c>
      <c r="Q1285" s="8" t="str">
        <f>VLOOKUP(Table1[[#This Row],[Address A]],IP_Master[],4,FALSE)</f>
        <v>PP_FIX3</v>
      </c>
      <c r="R1285" s="8" t="str">
        <f>VLOOKUP(Table1[[#This Row],[Address B]],IP_Master[],4,FALSE)</f>
        <v>RFSW1</v>
      </c>
      <c r="S1285" s="8" t="str">
        <f>VLOOKUP(Table1[[#This Row],[Address A]],IP_Master[],2,FALSE)</f>
        <v>Other ProcN Devices</v>
      </c>
      <c r="T1285" s="8" t="str">
        <f>VLOOKUP(Table1[[#This Row],[Address B]],IP_Master[],2,FALSE)</f>
        <v>Refinery</v>
      </c>
      <c r="U1285" s="9" t="str">
        <f>VLOOKUP(Table1[[#This Row],[Address A]],IP_Master[],3,FALSE)</f>
        <v>iFIX Nodes &amp; Ethernet Switches</v>
      </c>
      <c r="V1285" s="9" t="str">
        <f>VLOOKUP(Table1[[#This Row],[Address B]],IP_Master[],3,FALSE)</f>
        <v>iFIX Nodes &amp; Ethernet Switches</v>
      </c>
      <c r="W1285" s="9" t="str">
        <f>VLOOKUP(Table1[[#This Row],[Port B]],traffic_types[],2,FALSE)</f>
        <v>HTTP/S</v>
      </c>
    </row>
    <row r="1286" spans="1:23" x14ac:dyDescent="0.6">
      <c r="A1286" t="s">
        <v>51</v>
      </c>
      <c r="B1286">
        <v>1452</v>
      </c>
      <c r="C1286" t="s">
        <v>165</v>
      </c>
      <c r="D1286">
        <v>443</v>
      </c>
      <c r="E1286">
        <v>1</v>
      </c>
      <c r="F1286" s="13">
        <v>60</v>
      </c>
      <c r="G1286">
        <v>1</v>
      </c>
      <c r="H1286">
        <v>60</v>
      </c>
      <c r="I1286">
        <v>0</v>
      </c>
      <c r="J1286">
        <v>0</v>
      </c>
      <c r="K1286">
        <v>559.53503799999999</v>
      </c>
      <c r="L1286">
        <v>0</v>
      </c>
      <c r="M1286">
        <v>0</v>
      </c>
      <c r="N1286">
        <v>0</v>
      </c>
      <c r="O1286" s="8" t="str">
        <f>formatIP(Table1[[#This Row],[Address A]])</f>
        <v>010.012.000.252</v>
      </c>
      <c r="P1286" s="8" t="str">
        <f>formatIP(Table1[[#This Row],[Address B]])</f>
        <v>010.012.001.125</v>
      </c>
      <c r="Q1286" s="8" t="str">
        <f>VLOOKUP(Table1[[#This Row],[Address A]],IP_Master[],4,FALSE)</f>
        <v>PP_FIX3</v>
      </c>
      <c r="R1286" s="8" t="str">
        <f>VLOOKUP(Table1[[#This Row],[Address B]],IP_Master[],4,FALSE)</f>
        <v>KBPSW1</v>
      </c>
      <c r="S1286" s="8" t="str">
        <f>VLOOKUP(Table1[[#This Row],[Address A]],IP_Master[],2,FALSE)</f>
        <v>Other ProcN Devices</v>
      </c>
      <c r="T1286" s="8" t="str">
        <f>VLOOKUP(Table1[[#This Row],[Address B]],IP_Master[],2,FALSE)</f>
        <v>Slag Fumer</v>
      </c>
      <c r="U1286" s="9" t="str">
        <f>VLOOKUP(Table1[[#This Row],[Address A]],IP_Master[],3,FALSE)</f>
        <v>iFIX Nodes &amp; Ethernet Switches</v>
      </c>
      <c r="V1286" s="9" t="str">
        <f>VLOOKUP(Table1[[#This Row],[Address B]],IP_Master[],3,FALSE)</f>
        <v>PLCs &amp; Control Equipment</v>
      </c>
      <c r="W1286" s="9" t="str">
        <f>VLOOKUP(Table1[[#This Row],[Port B]],traffic_types[],2,FALSE)</f>
        <v>HTTP/S</v>
      </c>
    </row>
    <row r="1287" spans="1:23" x14ac:dyDescent="0.6">
      <c r="A1287" t="s">
        <v>51</v>
      </c>
      <c r="B1287">
        <v>1561</v>
      </c>
      <c r="C1287" t="s">
        <v>166</v>
      </c>
      <c r="D1287">
        <v>443</v>
      </c>
      <c r="E1287">
        <v>3</v>
      </c>
      <c r="F1287" s="13">
        <v>276</v>
      </c>
      <c r="G1287">
        <v>3</v>
      </c>
      <c r="H1287">
        <v>276</v>
      </c>
      <c r="I1287">
        <v>0</v>
      </c>
      <c r="J1287">
        <v>0</v>
      </c>
      <c r="K1287">
        <v>559.535213</v>
      </c>
      <c r="L1287">
        <v>1.74400000003061E-3</v>
      </c>
      <c r="M1287">
        <v>0</v>
      </c>
      <c r="N1287">
        <v>0</v>
      </c>
      <c r="O1287" s="8" t="str">
        <f>formatIP(Table1[[#This Row],[Address A]])</f>
        <v>010.012.000.252</v>
      </c>
      <c r="P1287" s="8" t="str">
        <f>formatIP(Table1[[#This Row],[Address B]])</f>
        <v>010.012.000.199</v>
      </c>
      <c r="Q1287" s="8" t="str">
        <f>VLOOKUP(Table1[[#This Row],[Address A]],IP_Master[],4,FALSE)</f>
        <v>PP_FIX3</v>
      </c>
      <c r="R1287" s="8" t="str">
        <f>VLOOKUP(Table1[[#This Row],[Address B]],IP_Master[],4,FALSE)</f>
        <v>PMRSW1</v>
      </c>
      <c r="S1287" s="8" t="str">
        <f>VLOOKUP(Table1[[#This Row],[Address A]],IP_Master[],2,FALSE)</f>
        <v>Other ProcN Devices</v>
      </c>
      <c r="T1287" s="8" t="str">
        <f>VLOOKUP(Table1[[#This Row],[Address B]],IP_Master[],2,FALSE)</f>
        <v>Refinery</v>
      </c>
      <c r="U1287" s="9" t="str">
        <f>VLOOKUP(Table1[[#This Row],[Address A]],IP_Master[],3,FALSE)</f>
        <v>iFIX Nodes &amp; Ethernet Switches</v>
      </c>
      <c r="V1287" s="9" t="str">
        <f>VLOOKUP(Table1[[#This Row],[Address B]],IP_Master[],3,FALSE)</f>
        <v>iFIX Nodes &amp; Ethernet Switches</v>
      </c>
      <c r="W1287" s="9" t="str">
        <f>VLOOKUP(Table1[[#This Row],[Port B]],traffic_types[],2,FALSE)</f>
        <v>HTTP/S</v>
      </c>
    </row>
    <row r="1288" spans="1:23" x14ac:dyDescent="0.6">
      <c r="A1288" t="s">
        <v>51</v>
      </c>
      <c r="B1288">
        <v>1562</v>
      </c>
      <c r="C1288" t="s">
        <v>167</v>
      </c>
      <c r="D1288">
        <v>443</v>
      </c>
      <c r="E1288">
        <v>3</v>
      </c>
      <c r="F1288" s="13">
        <v>276</v>
      </c>
      <c r="G1288">
        <v>3</v>
      </c>
      <c r="H1288">
        <v>276</v>
      </c>
      <c r="I1288">
        <v>0</v>
      </c>
      <c r="J1288">
        <v>0</v>
      </c>
      <c r="K1288">
        <v>559.53692899999999</v>
      </c>
      <c r="L1288">
        <v>1.6269999999849499E-3</v>
      </c>
      <c r="M1288">
        <v>0</v>
      </c>
      <c r="N1288">
        <v>0</v>
      </c>
      <c r="O1288" s="8" t="str">
        <f>formatIP(Table1[[#This Row],[Address A]])</f>
        <v>010.012.000.252</v>
      </c>
      <c r="P1288" s="8" t="str">
        <f>formatIP(Table1[[#This Row],[Address B]])</f>
        <v>010.012.000.180</v>
      </c>
      <c r="Q1288" s="8" t="str">
        <f>VLOOKUP(Table1[[#This Row],[Address A]],IP_Master[],4,FALSE)</f>
        <v>PP_FIX3</v>
      </c>
      <c r="R1288" s="8" t="str">
        <f>VLOOKUP(Table1[[#This Row],[Address B]],IP_Master[],4,FALSE)</f>
        <v>SPSW1A/B</v>
      </c>
      <c r="S1288" s="8" t="str">
        <f>VLOOKUP(Table1[[#This Row],[Address A]],IP_Master[],2,FALSE)</f>
        <v>Other ProcN Devices</v>
      </c>
      <c r="T1288" s="8" t="str">
        <f>VLOOKUP(Table1[[#This Row],[Address B]],IP_Master[],2,FALSE)</f>
        <v>Sinter Plant</v>
      </c>
      <c r="U1288" s="9" t="str">
        <f>VLOOKUP(Table1[[#This Row],[Address A]],IP_Master[],3,FALSE)</f>
        <v>iFIX Nodes &amp; Ethernet Switches</v>
      </c>
      <c r="V1288" s="9" t="str">
        <f>VLOOKUP(Table1[[#This Row],[Address B]],IP_Master[],3,FALSE)</f>
        <v>iFIX Nodes &amp; Ethernet Switches</v>
      </c>
      <c r="W1288" s="9" t="str">
        <f>VLOOKUP(Table1[[#This Row],[Port B]],traffic_types[],2,FALSE)</f>
        <v>HTTP/S</v>
      </c>
    </row>
    <row r="1289" spans="1:23" x14ac:dyDescent="0.6">
      <c r="A1289" t="s">
        <v>51</v>
      </c>
      <c r="B1289">
        <v>1564</v>
      </c>
      <c r="C1289" t="s">
        <v>157</v>
      </c>
      <c r="D1289">
        <v>80</v>
      </c>
      <c r="E1289">
        <v>16</v>
      </c>
      <c r="F1289" s="13">
        <v>2804</v>
      </c>
      <c r="G1289">
        <v>8</v>
      </c>
      <c r="H1289">
        <v>755</v>
      </c>
      <c r="I1289">
        <v>8</v>
      </c>
      <c r="J1289">
        <v>2049</v>
      </c>
      <c r="K1289">
        <v>559.74681199999998</v>
      </c>
      <c r="L1289">
        <v>0.23123099999998001</v>
      </c>
      <c r="M1289">
        <v>26121.065082106299</v>
      </c>
      <c r="N1289">
        <v>70890.148812232903</v>
      </c>
      <c r="O1289" s="8" t="str">
        <f>formatIP(Table1[[#This Row],[Address A]])</f>
        <v>010.012.000.252</v>
      </c>
      <c r="P1289" s="8" t="str">
        <f>formatIP(Table1[[#This Row],[Address B]])</f>
        <v>010.012.000.254</v>
      </c>
      <c r="Q1289" s="8" t="str">
        <f>VLOOKUP(Table1[[#This Row],[Address A]],IP_Master[],4,FALSE)</f>
        <v>PP_FIX3</v>
      </c>
      <c r="R1289" s="8" t="str">
        <f>VLOOKUP(Table1[[#This Row],[Address B]],IP_Master[],4,FALSE)</f>
        <v>PPPCRT1</v>
      </c>
      <c r="S1289" s="8" t="str">
        <f>VLOOKUP(Table1[[#This Row],[Address A]],IP_Master[],2,FALSE)</f>
        <v>Other ProcN Devices</v>
      </c>
      <c r="T1289" s="8" t="str">
        <f>VLOOKUP(Table1[[#This Row],[Address B]],IP_Master[],2,FALSE)</f>
        <v>Other ProcN Devices</v>
      </c>
      <c r="U1289" s="9" t="str">
        <f>VLOOKUP(Table1[[#This Row],[Address A]],IP_Master[],3,FALSE)</f>
        <v>iFIX Nodes &amp; Ethernet Switches</v>
      </c>
      <c r="V1289" s="9" t="str">
        <f>VLOOKUP(Table1[[#This Row],[Address B]],IP_Master[],3,FALSE)</f>
        <v>iFIX Nodes &amp; Ethernet Switches</v>
      </c>
      <c r="W1289" s="9" t="str">
        <f>VLOOKUP(Table1[[#This Row],[Port B]],traffic_types[],2,FALSE)</f>
        <v>HTTP</v>
      </c>
    </row>
    <row r="1290" spans="1:23" x14ac:dyDescent="0.6">
      <c r="A1290" t="s">
        <v>51</v>
      </c>
      <c r="B1290">
        <v>1453</v>
      </c>
      <c r="C1290" t="s">
        <v>168</v>
      </c>
      <c r="D1290">
        <v>443</v>
      </c>
      <c r="E1290">
        <v>1</v>
      </c>
      <c r="F1290" s="13">
        <v>60</v>
      </c>
      <c r="G1290">
        <v>1</v>
      </c>
      <c r="H1290">
        <v>60</v>
      </c>
      <c r="I1290">
        <v>0</v>
      </c>
      <c r="J1290">
        <v>0</v>
      </c>
      <c r="K1290">
        <v>559.747432</v>
      </c>
      <c r="L1290">
        <v>0</v>
      </c>
      <c r="M1290">
        <v>0</v>
      </c>
      <c r="N1290">
        <v>0</v>
      </c>
      <c r="O1290" s="8" t="str">
        <f>formatIP(Table1[[#This Row],[Address A]])</f>
        <v>010.012.000.252</v>
      </c>
      <c r="P1290" s="8" t="str">
        <f>formatIP(Table1[[#This Row],[Address B]])</f>
        <v>010.012.000.134</v>
      </c>
      <c r="Q1290" s="8" t="str">
        <f>VLOOKUP(Table1[[#This Row],[Address A]],IP_Master[],4,FALSE)</f>
        <v>PP_FIX3</v>
      </c>
      <c r="R1290" s="8" t="str">
        <f>VLOOKUP(Table1[[#This Row],[Address B]],IP_Master[],4,FALSE)</f>
        <v>SFSW5</v>
      </c>
      <c r="S1290" s="8" t="str">
        <f>VLOOKUP(Table1[[#This Row],[Address A]],IP_Master[],2,FALSE)</f>
        <v>Other ProcN Devices</v>
      </c>
      <c r="T1290" s="8" t="str">
        <f>VLOOKUP(Table1[[#This Row],[Address B]],IP_Master[],2,FALSE)</f>
        <v>Slag Fumer</v>
      </c>
      <c r="U1290" s="9" t="str">
        <f>VLOOKUP(Table1[[#This Row],[Address A]],IP_Master[],3,FALSE)</f>
        <v>iFIX Nodes &amp; Ethernet Switches</v>
      </c>
      <c r="V1290" s="9" t="str">
        <f>VLOOKUP(Table1[[#This Row],[Address B]],IP_Master[],3,FALSE)</f>
        <v>iFIX Nodes &amp; Ethernet Switches</v>
      </c>
      <c r="W1290" s="9" t="str">
        <f>VLOOKUP(Table1[[#This Row],[Port B]],traffic_types[],2,FALSE)</f>
        <v>HTTP/S</v>
      </c>
    </row>
    <row r="1291" spans="1:23" x14ac:dyDescent="0.6">
      <c r="A1291" t="s">
        <v>51</v>
      </c>
      <c r="B1291">
        <v>1569</v>
      </c>
      <c r="C1291" t="s">
        <v>157</v>
      </c>
      <c r="D1291">
        <v>80</v>
      </c>
      <c r="E1291">
        <v>19</v>
      </c>
      <c r="F1291" s="13">
        <v>3292</v>
      </c>
      <c r="G1291">
        <v>10</v>
      </c>
      <c r="H1291">
        <v>731</v>
      </c>
      <c r="I1291">
        <v>9</v>
      </c>
      <c r="J1291">
        <v>2561</v>
      </c>
      <c r="K1291">
        <v>559.97893999999997</v>
      </c>
      <c r="L1291">
        <v>4.3927720000000399</v>
      </c>
      <c r="M1291">
        <v>1331.27783549885</v>
      </c>
      <c r="N1291">
        <v>4664.0253580199096</v>
      </c>
      <c r="O1291" s="8" t="str">
        <f>formatIP(Table1[[#This Row],[Address A]])</f>
        <v>010.012.000.252</v>
      </c>
      <c r="P1291" s="8" t="str">
        <f>formatIP(Table1[[#This Row],[Address B]])</f>
        <v>010.012.000.254</v>
      </c>
      <c r="Q1291" s="8" t="str">
        <f>VLOOKUP(Table1[[#This Row],[Address A]],IP_Master[],4,FALSE)</f>
        <v>PP_FIX3</v>
      </c>
      <c r="R1291" s="8" t="str">
        <f>VLOOKUP(Table1[[#This Row],[Address B]],IP_Master[],4,FALSE)</f>
        <v>PPPCRT1</v>
      </c>
      <c r="S1291" s="8" t="str">
        <f>VLOOKUP(Table1[[#This Row],[Address A]],IP_Master[],2,FALSE)</f>
        <v>Other ProcN Devices</v>
      </c>
      <c r="T1291" s="8" t="str">
        <f>VLOOKUP(Table1[[#This Row],[Address B]],IP_Master[],2,FALSE)</f>
        <v>Other ProcN Devices</v>
      </c>
      <c r="U1291" s="9" t="str">
        <f>VLOOKUP(Table1[[#This Row],[Address A]],IP_Master[],3,FALSE)</f>
        <v>iFIX Nodes &amp; Ethernet Switches</v>
      </c>
      <c r="V1291" s="9" t="str">
        <f>VLOOKUP(Table1[[#This Row],[Address B]],IP_Master[],3,FALSE)</f>
        <v>iFIX Nodes &amp; Ethernet Switches</v>
      </c>
      <c r="W1291" s="9" t="str">
        <f>VLOOKUP(Table1[[#This Row],[Port B]],traffic_types[],2,FALSE)</f>
        <v>HTTP</v>
      </c>
    </row>
    <row r="1292" spans="1:23" x14ac:dyDescent="0.6">
      <c r="A1292" t="s">
        <v>51</v>
      </c>
      <c r="B1292">
        <v>1613</v>
      </c>
      <c r="C1292" t="s">
        <v>157</v>
      </c>
      <c r="D1292">
        <v>80</v>
      </c>
      <c r="E1292">
        <v>12</v>
      </c>
      <c r="F1292" s="13">
        <v>1490</v>
      </c>
      <c r="G1292">
        <v>7</v>
      </c>
      <c r="H1292">
        <v>558</v>
      </c>
      <c r="I1292">
        <v>5</v>
      </c>
      <c r="J1292">
        <v>932</v>
      </c>
      <c r="K1292">
        <v>565.437093</v>
      </c>
      <c r="L1292">
        <v>3.3906459999999501</v>
      </c>
      <c r="M1292">
        <v>1316.5632743731001</v>
      </c>
      <c r="N1292">
        <v>2198.9909887378699</v>
      </c>
      <c r="O1292" s="8" t="str">
        <f>formatIP(Table1[[#This Row],[Address A]])</f>
        <v>010.012.000.252</v>
      </c>
      <c r="P1292" s="8" t="str">
        <f>formatIP(Table1[[#This Row],[Address B]])</f>
        <v>010.012.000.254</v>
      </c>
      <c r="Q1292" s="8" t="str">
        <f>VLOOKUP(Table1[[#This Row],[Address A]],IP_Master[],4,FALSE)</f>
        <v>PP_FIX3</v>
      </c>
      <c r="R1292" s="8" t="str">
        <f>VLOOKUP(Table1[[#This Row],[Address B]],IP_Master[],4,FALSE)</f>
        <v>PPPCRT1</v>
      </c>
      <c r="S1292" s="8" t="str">
        <f>VLOOKUP(Table1[[#This Row],[Address A]],IP_Master[],2,FALSE)</f>
        <v>Other ProcN Devices</v>
      </c>
      <c r="T1292" s="8" t="str">
        <f>VLOOKUP(Table1[[#This Row],[Address B]],IP_Master[],2,FALSE)</f>
        <v>Other ProcN Devices</v>
      </c>
      <c r="U1292" s="9" t="str">
        <f>VLOOKUP(Table1[[#This Row],[Address A]],IP_Master[],3,FALSE)</f>
        <v>iFIX Nodes &amp; Ethernet Switches</v>
      </c>
      <c r="V1292" s="9" t="str">
        <f>VLOOKUP(Table1[[#This Row],[Address B]],IP_Master[],3,FALSE)</f>
        <v>iFIX Nodes &amp; Ethernet Switches</v>
      </c>
      <c r="W1292" s="9" t="str">
        <f>VLOOKUP(Table1[[#This Row],[Port B]],traffic_types[],2,FALSE)</f>
        <v>HTTP</v>
      </c>
    </row>
    <row r="1293" spans="1:23" x14ac:dyDescent="0.6">
      <c r="A1293" t="s">
        <v>51</v>
      </c>
      <c r="B1293">
        <v>1728</v>
      </c>
      <c r="C1293" t="s">
        <v>157</v>
      </c>
      <c r="D1293">
        <v>80</v>
      </c>
      <c r="E1293">
        <v>12</v>
      </c>
      <c r="F1293" s="13">
        <v>1520</v>
      </c>
      <c r="G1293">
        <v>7</v>
      </c>
      <c r="H1293">
        <v>568</v>
      </c>
      <c r="I1293">
        <v>5</v>
      </c>
      <c r="J1293">
        <v>952</v>
      </c>
      <c r="K1293">
        <v>580.351135</v>
      </c>
      <c r="L1293">
        <v>0.95745799999997405</v>
      </c>
      <c r="M1293">
        <v>4745.9000812569602</v>
      </c>
      <c r="N1293">
        <v>7954.39591083912</v>
      </c>
      <c r="O1293" s="8" t="str">
        <f>formatIP(Table1[[#This Row],[Address A]])</f>
        <v>010.012.000.252</v>
      </c>
      <c r="P1293" s="8" t="str">
        <f>formatIP(Table1[[#This Row],[Address B]])</f>
        <v>010.012.000.254</v>
      </c>
      <c r="Q1293" s="8" t="str">
        <f>VLOOKUP(Table1[[#This Row],[Address A]],IP_Master[],4,FALSE)</f>
        <v>PP_FIX3</v>
      </c>
      <c r="R1293" s="8" t="str">
        <f>VLOOKUP(Table1[[#This Row],[Address B]],IP_Master[],4,FALSE)</f>
        <v>PPPCRT1</v>
      </c>
      <c r="S1293" s="8" t="str">
        <f>VLOOKUP(Table1[[#This Row],[Address A]],IP_Master[],2,FALSE)</f>
        <v>Other ProcN Devices</v>
      </c>
      <c r="T1293" s="8" t="str">
        <f>VLOOKUP(Table1[[#This Row],[Address B]],IP_Master[],2,FALSE)</f>
        <v>Other ProcN Devices</v>
      </c>
      <c r="U1293" s="9" t="str">
        <f>VLOOKUP(Table1[[#This Row],[Address A]],IP_Master[],3,FALSE)</f>
        <v>iFIX Nodes &amp; Ethernet Switches</v>
      </c>
      <c r="V1293" s="9" t="str">
        <f>VLOOKUP(Table1[[#This Row],[Address B]],IP_Master[],3,FALSE)</f>
        <v>iFIX Nodes &amp; Ethernet Switches</v>
      </c>
      <c r="W1293" s="9" t="str">
        <f>VLOOKUP(Table1[[#This Row],[Port B]],traffic_types[],2,FALSE)</f>
        <v>HTTP</v>
      </c>
    </row>
    <row r="1294" spans="1:23" x14ac:dyDescent="0.6">
      <c r="A1294" t="s">
        <v>51</v>
      </c>
      <c r="B1294">
        <v>1733</v>
      </c>
      <c r="C1294" t="s">
        <v>157</v>
      </c>
      <c r="D1294">
        <v>80</v>
      </c>
      <c r="E1294">
        <v>14</v>
      </c>
      <c r="F1294" s="13">
        <v>2530</v>
      </c>
      <c r="G1294">
        <v>8</v>
      </c>
      <c r="H1294">
        <v>763</v>
      </c>
      <c r="I1294">
        <v>6</v>
      </c>
      <c r="J1294">
        <v>1767</v>
      </c>
      <c r="K1294">
        <v>581.91506200000003</v>
      </c>
      <c r="L1294">
        <v>60.215380000000003</v>
      </c>
      <c r="M1294">
        <v>101.369450794797</v>
      </c>
      <c r="N1294">
        <v>234.75729954705901</v>
      </c>
      <c r="O1294" s="8" t="str">
        <f>formatIP(Table1[[#This Row],[Address A]])</f>
        <v>010.012.000.252</v>
      </c>
      <c r="P1294" s="8" t="str">
        <f>formatIP(Table1[[#This Row],[Address B]])</f>
        <v>010.012.000.254</v>
      </c>
      <c r="Q1294" s="8" t="str">
        <f>VLOOKUP(Table1[[#This Row],[Address A]],IP_Master[],4,FALSE)</f>
        <v>PP_FIX3</v>
      </c>
      <c r="R1294" s="8" t="str">
        <f>VLOOKUP(Table1[[#This Row],[Address B]],IP_Master[],4,FALSE)</f>
        <v>PPPCRT1</v>
      </c>
      <c r="S1294" s="8" t="str">
        <f>VLOOKUP(Table1[[#This Row],[Address A]],IP_Master[],2,FALSE)</f>
        <v>Other ProcN Devices</v>
      </c>
      <c r="T1294" s="8" t="str">
        <f>VLOOKUP(Table1[[#This Row],[Address B]],IP_Master[],2,FALSE)</f>
        <v>Other ProcN Devices</v>
      </c>
      <c r="U1294" s="9" t="str">
        <f>VLOOKUP(Table1[[#This Row],[Address A]],IP_Master[],3,FALSE)</f>
        <v>iFIX Nodes &amp; Ethernet Switches</v>
      </c>
      <c r="V1294" s="9" t="str">
        <f>VLOOKUP(Table1[[#This Row],[Address B]],IP_Master[],3,FALSE)</f>
        <v>iFIX Nodes &amp; Ethernet Switches</v>
      </c>
      <c r="W1294" s="9" t="str">
        <f>VLOOKUP(Table1[[#This Row],[Port B]],traffic_types[],2,FALSE)</f>
        <v>HTTP</v>
      </c>
    </row>
    <row r="1295" spans="1:23" x14ac:dyDescent="0.6">
      <c r="A1295" t="s">
        <v>169</v>
      </c>
      <c r="B1295">
        <v>61548</v>
      </c>
      <c r="C1295" t="s">
        <v>170</v>
      </c>
      <c r="D1295">
        <v>80</v>
      </c>
      <c r="E1295">
        <v>3</v>
      </c>
      <c r="F1295" s="13">
        <v>194</v>
      </c>
      <c r="G1295">
        <v>3</v>
      </c>
      <c r="H1295">
        <v>194</v>
      </c>
      <c r="I1295">
        <v>0</v>
      </c>
      <c r="J1295">
        <v>0</v>
      </c>
      <c r="K1295">
        <v>185.36999700000001</v>
      </c>
      <c r="L1295">
        <v>8.9997159999999798</v>
      </c>
      <c r="M1295">
        <v>172.44988619640901</v>
      </c>
      <c r="N1295">
        <v>0</v>
      </c>
      <c r="O1295" s="8" t="str">
        <f>formatIP(Table1[[#This Row],[Address A]])</f>
        <v>010.012.000.253</v>
      </c>
      <c r="P1295" s="8" t="str">
        <f>formatIP(Table1[[#This Row],[Address B]])</f>
        <v>092.123.194.164</v>
      </c>
      <c r="Q1295" s="8" t="str">
        <f>VLOOKUP(Table1[[#This Row],[Address A]],IP_Master[],4,FALSE)</f>
        <v>ENG</v>
      </c>
      <c r="R1295" s="8" t="e">
        <f>VLOOKUP(Table1[[#This Row],[Address B]],IP_Master[],4,FALSE)</f>
        <v>#N/A</v>
      </c>
      <c r="S1295" s="8" t="str">
        <f>VLOOKUP(Table1[[#This Row],[Address A]],IP_Master[],2,FALSE)</f>
        <v>Other ProcN Devices</v>
      </c>
      <c r="T1295" s="8" t="e">
        <f>VLOOKUP(Table1[[#This Row],[Address B]],IP_Master[],2,FALSE)</f>
        <v>#N/A</v>
      </c>
      <c r="U1295" s="9" t="str">
        <f>VLOOKUP(Table1[[#This Row],[Address A]],IP_Master[],3,FALSE)</f>
        <v>iFIX Nodes &amp; Ethernet Switches</v>
      </c>
      <c r="V1295" s="9" t="e">
        <f>VLOOKUP(Table1[[#This Row],[Address B]],IP_Master[],3,FALSE)</f>
        <v>#N/A</v>
      </c>
      <c r="W1295" s="9" t="str">
        <f>VLOOKUP(Table1[[#This Row],[Port B]],traffic_types[],2,FALSE)</f>
        <v>HTTP</v>
      </c>
    </row>
    <row r="1296" spans="1:23" x14ac:dyDescent="0.6">
      <c r="A1296" t="s">
        <v>169</v>
      </c>
      <c r="B1296">
        <v>61551</v>
      </c>
      <c r="C1296" t="s">
        <v>171</v>
      </c>
      <c r="D1296">
        <v>80</v>
      </c>
      <c r="E1296">
        <v>3</v>
      </c>
      <c r="F1296" s="13">
        <v>194</v>
      </c>
      <c r="G1296">
        <v>3</v>
      </c>
      <c r="H1296">
        <v>194</v>
      </c>
      <c r="I1296">
        <v>0</v>
      </c>
      <c r="J1296">
        <v>0</v>
      </c>
      <c r="K1296">
        <v>200.74833899999999</v>
      </c>
      <c r="L1296">
        <v>8.9946310000000302</v>
      </c>
      <c r="M1296">
        <v>172.54737854171</v>
      </c>
      <c r="N1296">
        <v>0</v>
      </c>
      <c r="O1296" s="8" t="str">
        <f>formatIP(Table1[[#This Row],[Address A]])</f>
        <v>010.012.000.253</v>
      </c>
      <c r="P1296" s="8" t="str">
        <f>formatIP(Table1[[#This Row],[Address B]])</f>
        <v>023.037.043.027</v>
      </c>
      <c r="Q1296" s="8" t="str">
        <f>VLOOKUP(Table1[[#This Row],[Address A]],IP_Master[],4,FALSE)</f>
        <v>ENG</v>
      </c>
      <c r="R1296" s="8" t="e">
        <f>VLOOKUP(Table1[[#This Row],[Address B]],IP_Master[],4,FALSE)</f>
        <v>#N/A</v>
      </c>
      <c r="S1296" s="8" t="str">
        <f>VLOOKUP(Table1[[#This Row],[Address A]],IP_Master[],2,FALSE)</f>
        <v>Other ProcN Devices</v>
      </c>
      <c r="T1296" s="8" t="e">
        <f>VLOOKUP(Table1[[#This Row],[Address B]],IP_Master[],2,FALSE)</f>
        <v>#N/A</v>
      </c>
      <c r="U1296" s="9" t="str">
        <f>VLOOKUP(Table1[[#This Row],[Address A]],IP_Master[],3,FALSE)</f>
        <v>iFIX Nodes &amp; Ethernet Switches</v>
      </c>
      <c r="V1296" s="9" t="e">
        <f>VLOOKUP(Table1[[#This Row],[Address B]],IP_Master[],3,FALSE)</f>
        <v>#N/A</v>
      </c>
      <c r="W1296" s="9" t="str">
        <f>VLOOKUP(Table1[[#This Row],[Port B]],traffic_types[],2,FALSE)</f>
        <v>HTTP</v>
      </c>
    </row>
    <row r="1297" spans="1:23" x14ac:dyDescent="0.6">
      <c r="A1297" t="s">
        <v>169</v>
      </c>
      <c r="B1297">
        <v>61552</v>
      </c>
      <c r="C1297" t="s">
        <v>172</v>
      </c>
      <c r="D1297">
        <v>80</v>
      </c>
      <c r="E1297">
        <v>2</v>
      </c>
      <c r="F1297" s="13">
        <v>132</v>
      </c>
      <c r="G1297">
        <v>2</v>
      </c>
      <c r="H1297">
        <v>132</v>
      </c>
      <c r="I1297">
        <v>0</v>
      </c>
      <c r="J1297">
        <v>0</v>
      </c>
      <c r="K1297">
        <v>206.37110100000001</v>
      </c>
      <c r="L1297">
        <v>2.9998870000000002</v>
      </c>
      <c r="M1297">
        <v>352.013259166095</v>
      </c>
      <c r="N1297">
        <v>0</v>
      </c>
      <c r="O1297" s="8" t="str">
        <f>formatIP(Table1[[#This Row],[Address A]])</f>
        <v>010.012.000.253</v>
      </c>
      <c r="P1297" s="8" t="str">
        <f>formatIP(Table1[[#This Row],[Address B]])</f>
        <v>092.123.194.116</v>
      </c>
      <c r="Q1297" s="8" t="str">
        <f>VLOOKUP(Table1[[#This Row],[Address A]],IP_Master[],4,FALSE)</f>
        <v>ENG</v>
      </c>
      <c r="R1297" s="8" t="e">
        <f>VLOOKUP(Table1[[#This Row],[Address B]],IP_Master[],4,FALSE)</f>
        <v>#N/A</v>
      </c>
      <c r="S1297" s="8" t="str">
        <f>VLOOKUP(Table1[[#This Row],[Address A]],IP_Master[],2,FALSE)</f>
        <v>Other ProcN Devices</v>
      </c>
      <c r="T1297" s="8" t="e">
        <f>VLOOKUP(Table1[[#This Row],[Address B]],IP_Master[],2,FALSE)</f>
        <v>#N/A</v>
      </c>
      <c r="U1297" s="9" t="str">
        <f>VLOOKUP(Table1[[#This Row],[Address A]],IP_Master[],3,FALSE)</f>
        <v>iFIX Nodes &amp; Ethernet Switches</v>
      </c>
      <c r="V1297" s="9" t="e">
        <f>VLOOKUP(Table1[[#This Row],[Address B]],IP_Master[],3,FALSE)</f>
        <v>#N/A</v>
      </c>
      <c r="W1297" s="9" t="str">
        <f>VLOOKUP(Table1[[#This Row],[Port B]],traffic_types[],2,FALSE)</f>
        <v>HTTP</v>
      </c>
    </row>
    <row r="1298" spans="1:23" x14ac:dyDescent="0.6">
      <c r="A1298" t="s">
        <v>169</v>
      </c>
      <c r="B1298">
        <v>61553</v>
      </c>
      <c r="C1298" t="s">
        <v>173</v>
      </c>
      <c r="D1298">
        <v>80</v>
      </c>
      <c r="E1298">
        <v>2</v>
      </c>
      <c r="F1298" s="13">
        <v>132</v>
      </c>
      <c r="G1298">
        <v>2</v>
      </c>
      <c r="H1298">
        <v>132</v>
      </c>
      <c r="I1298">
        <v>0</v>
      </c>
      <c r="J1298">
        <v>0</v>
      </c>
      <c r="K1298">
        <v>210.749236</v>
      </c>
      <c r="L1298">
        <v>2.99702500000001</v>
      </c>
      <c r="M1298">
        <v>352.34941316805703</v>
      </c>
      <c r="N1298">
        <v>0</v>
      </c>
      <c r="O1298" s="8" t="str">
        <f>formatIP(Table1[[#This Row],[Address A]])</f>
        <v>010.012.000.253</v>
      </c>
      <c r="P1298" s="8" t="str">
        <f>formatIP(Table1[[#This Row],[Address B]])</f>
        <v>023.037.037.163</v>
      </c>
      <c r="Q1298" s="8" t="str">
        <f>VLOOKUP(Table1[[#This Row],[Address A]],IP_Master[],4,FALSE)</f>
        <v>ENG</v>
      </c>
      <c r="R1298" s="8" t="e">
        <f>VLOOKUP(Table1[[#This Row],[Address B]],IP_Master[],4,FALSE)</f>
        <v>#N/A</v>
      </c>
      <c r="S1298" s="8" t="str">
        <f>VLOOKUP(Table1[[#This Row],[Address A]],IP_Master[],2,FALSE)</f>
        <v>Other ProcN Devices</v>
      </c>
      <c r="T1298" s="8" t="e">
        <f>VLOOKUP(Table1[[#This Row],[Address B]],IP_Master[],2,FALSE)</f>
        <v>#N/A</v>
      </c>
      <c r="U1298" s="9" t="str">
        <f>VLOOKUP(Table1[[#This Row],[Address A]],IP_Master[],3,FALSE)</f>
        <v>iFIX Nodes &amp; Ethernet Switches</v>
      </c>
      <c r="V1298" s="9" t="e">
        <f>VLOOKUP(Table1[[#This Row],[Address B]],IP_Master[],3,FALSE)</f>
        <v>#N/A</v>
      </c>
      <c r="W1298" s="9" t="str">
        <f>VLOOKUP(Table1[[#This Row],[Port B]],traffic_types[],2,FALSE)</f>
        <v>HTTP</v>
      </c>
    </row>
    <row r="1299" spans="1:23" x14ac:dyDescent="0.6">
      <c r="A1299" t="s">
        <v>169</v>
      </c>
      <c r="B1299">
        <v>61622</v>
      </c>
      <c r="C1299" t="s">
        <v>170</v>
      </c>
      <c r="D1299">
        <v>80</v>
      </c>
      <c r="E1299">
        <v>3</v>
      </c>
      <c r="F1299" s="13">
        <v>194</v>
      </c>
      <c r="G1299">
        <v>3</v>
      </c>
      <c r="H1299">
        <v>194</v>
      </c>
      <c r="I1299">
        <v>0</v>
      </c>
      <c r="J1299">
        <v>0</v>
      </c>
      <c r="K1299">
        <v>759.75387999999998</v>
      </c>
      <c r="L1299">
        <v>9.0007030000000405</v>
      </c>
      <c r="M1299">
        <v>172.43097566934401</v>
      </c>
      <c r="N1299">
        <v>0</v>
      </c>
      <c r="O1299" s="8" t="str">
        <f>formatIP(Table1[[#This Row],[Address A]])</f>
        <v>010.012.000.253</v>
      </c>
      <c r="P1299" s="8" t="str">
        <f>formatIP(Table1[[#This Row],[Address B]])</f>
        <v>092.123.194.164</v>
      </c>
      <c r="Q1299" s="8" t="str">
        <f>VLOOKUP(Table1[[#This Row],[Address A]],IP_Master[],4,FALSE)</f>
        <v>ENG</v>
      </c>
      <c r="R1299" s="8" t="e">
        <f>VLOOKUP(Table1[[#This Row],[Address B]],IP_Master[],4,FALSE)</f>
        <v>#N/A</v>
      </c>
      <c r="S1299" s="8" t="str">
        <f>VLOOKUP(Table1[[#This Row],[Address A]],IP_Master[],2,FALSE)</f>
        <v>Other ProcN Devices</v>
      </c>
      <c r="T1299" s="8" t="e">
        <f>VLOOKUP(Table1[[#This Row],[Address B]],IP_Master[],2,FALSE)</f>
        <v>#N/A</v>
      </c>
      <c r="U1299" s="9" t="str">
        <f>VLOOKUP(Table1[[#This Row],[Address A]],IP_Master[],3,FALSE)</f>
        <v>iFIX Nodes &amp; Ethernet Switches</v>
      </c>
      <c r="V1299" s="9" t="e">
        <f>VLOOKUP(Table1[[#This Row],[Address B]],IP_Master[],3,FALSE)</f>
        <v>#N/A</v>
      </c>
      <c r="W1299" s="9" t="str">
        <f>VLOOKUP(Table1[[#This Row],[Port B]],traffic_types[],2,FALSE)</f>
        <v>HTTP</v>
      </c>
    </row>
    <row r="1300" spans="1:23" x14ac:dyDescent="0.6">
      <c r="A1300" t="s">
        <v>169</v>
      </c>
      <c r="B1300">
        <v>61627</v>
      </c>
      <c r="C1300" t="s">
        <v>171</v>
      </c>
      <c r="D1300">
        <v>80</v>
      </c>
      <c r="E1300">
        <v>3</v>
      </c>
      <c r="F1300" s="13">
        <v>194</v>
      </c>
      <c r="G1300">
        <v>3</v>
      </c>
      <c r="H1300">
        <v>194</v>
      </c>
      <c r="I1300">
        <v>0</v>
      </c>
      <c r="J1300">
        <v>0</v>
      </c>
      <c r="K1300">
        <v>774.76168399999995</v>
      </c>
      <c r="L1300">
        <v>8.99996900000008</v>
      </c>
      <c r="M1300">
        <v>172.44503842179799</v>
      </c>
      <c r="N1300">
        <v>0</v>
      </c>
      <c r="O1300" s="8" t="str">
        <f>formatIP(Table1[[#This Row],[Address A]])</f>
        <v>010.012.000.253</v>
      </c>
      <c r="P1300" s="8" t="str">
        <f>formatIP(Table1[[#This Row],[Address B]])</f>
        <v>023.037.043.027</v>
      </c>
      <c r="Q1300" s="8" t="str">
        <f>VLOOKUP(Table1[[#This Row],[Address A]],IP_Master[],4,FALSE)</f>
        <v>ENG</v>
      </c>
      <c r="R1300" s="8" t="e">
        <f>VLOOKUP(Table1[[#This Row],[Address B]],IP_Master[],4,FALSE)</f>
        <v>#N/A</v>
      </c>
      <c r="S1300" s="8" t="str">
        <f>VLOOKUP(Table1[[#This Row],[Address A]],IP_Master[],2,FALSE)</f>
        <v>Other ProcN Devices</v>
      </c>
      <c r="T1300" s="8" t="e">
        <f>VLOOKUP(Table1[[#This Row],[Address B]],IP_Master[],2,FALSE)</f>
        <v>#N/A</v>
      </c>
      <c r="U1300" s="9" t="str">
        <f>VLOOKUP(Table1[[#This Row],[Address A]],IP_Master[],3,FALSE)</f>
        <v>iFIX Nodes &amp; Ethernet Switches</v>
      </c>
      <c r="V1300" s="9" t="e">
        <f>VLOOKUP(Table1[[#This Row],[Address B]],IP_Master[],3,FALSE)</f>
        <v>#N/A</v>
      </c>
      <c r="W1300" s="9" t="str">
        <f>VLOOKUP(Table1[[#This Row],[Port B]],traffic_types[],2,FALSE)</f>
        <v>HTTP</v>
      </c>
    </row>
    <row r="1301" spans="1:23" x14ac:dyDescent="0.6">
      <c r="A1301" t="s">
        <v>169</v>
      </c>
      <c r="B1301">
        <v>61628</v>
      </c>
      <c r="C1301" t="s">
        <v>172</v>
      </c>
      <c r="D1301">
        <v>80</v>
      </c>
      <c r="E1301">
        <v>2</v>
      </c>
      <c r="F1301" s="13">
        <v>132</v>
      </c>
      <c r="G1301">
        <v>2</v>
      </c>
      <c r="H1301">
        <v>132</v>
      </c>
      <c r="I1301">
        <v>0</v>
      </c>
      <c r="J1301">
        <v>0</v>
      </c>
      <c r="K1301">
        <v>780.75475800000004</v>
      </c>
      <c r="L1301">
        <v>2.9999070000000101</v>
      </c>
      <c r="M1301">
        <v>352.01091233828203</v>
      </c>
      <c r="N1301">
        <v>0</v>
      </c>
      <c r="O1301" s="8" t="str">
        <f>formatIP(Table1[[#This Row],[Address A]])</f>
        <v>010.012.000.253</v>
      </c>
      <c r="P1301" s="8" t="str">
        <f>formatIP(Table1[[#This Row],[Address B]])</f>
        <v>092.123.194.116</v>
      </c>
      <c r="Q1301" s="8" t="str">
        <f>VLOOKUP(Table1[[#This Row],[Address A]],IP_Master[],4,FALSE)</f>
        <v>ENG</v>
      </c>
      <c r="R1301" s="8" t="e">
        <f>VLOOKUP(Table1[[#This Row],[Address B]],IP_Master[],4,FALSE)</f>
        <v>#N/A</v>
      </c>
      <c r="S1301" s="8" t="str">
        <f>VLOOKUP(Table1[[#This Row],[Address A]],IP_Master[],2,FALSE)</f>
        <v>Other ProcN Devices</v>
      </c>
      <c r="T1301" s="8" t="e">
        <f>VLOOKUP(Table1[[#This Row],[Address B]],IP_Master[],2,FALSE)</f>
        <v>#N/A</v>
      </c>
      <c r="U1301" s="9" t="str">
        <f>VLOOKUP(Table1[[#This Row],[Address A]],IP_Master[],3,FALSE)</f>
        <v>iFIX Nodes &amp; Ethernet Switches</v>
      </c>
      <c r="V1301" s="9" t="e">
        <f>VLOOKUP(Table1[[#This Row],[Address B]],IP_Master[],3,FALSE)</f>
        <v>#N/A</v>
      </c>
      <c r="W1301" s="9" t="str">
        <f>VLOOKUP(Table1[[#This Row],[Port B]],traffic_types[],2,FALSE)</f>
        <v>HTTP</v>
      </c>
    </row>
    <row r="1302" spans="1:23" x14ac:dyDescent="0.6">
      <c r="A1302" t="s">
        <v>169</v>
      </c>
      <c r="B1302">
        <v>61629</v>
      </c>
      <c r="C1302" t="s">
        <v>173</v>
      </c>
      <c r="D1302">
        <v>80</v>
      </c>
      <c r="E1302">
        <v>2</v>
      </c>
      <c r="F1302" s="13">
        <v>132</v>
      </c>
      <c r="G1302">
        <v>2</v>
      </c>
      <c r="H1302">
        <v>132</v>
      </c>
      <c r="I1302">
        <v>0</v>
      </c>
      <c r="J1302">
        <v>0</v>
      </c>
      <c r="K1302">
        <v>784.75893599999995</v>
      </c>
      <c r="L1302">
        <v>3.0001380000001099</v>
      </c>
      <c r="M1302">
        <v>351.98380874478499</v>
      </c>
      <c r="N1302">
        <v>0</v>
      </c>
      <c r="O1302" s="8" t="str">
        <f>formatIP(Table1[[#This Row],[Address A]])</f>
        <v>010.012.000.253</v>
      </c>
      <c r="P1302" s="8" t="str">
        <f>formatIP(Table1[[#This Row],[Address B]])</f>
        <v>023.037.037.163</v>
      </c>
      <c r="Q1302" s="8" t="str">
        <f>VLOOKUP(Table1[[#This Row],[Address A]],IP_Master[],4,FALSE)</f>
        <v>ENG</v>
      </c>
      <c r="R1302" s="8" t="e">
        <f>VLOOKUP(Table1[[#This Row],[Address B]],IP_Master[],4,FALSE)</f>
        <v>#N/A</v>
      </c>
      <c r="S1302" s="8" t="str">
        <f>VLOOKUP(Table1[[#This Row],[Address A]],IP_Master[],2,FALSE)</f>
        <v>Other ProcN Devices</v>
      </c>
      <c r="T1302" s="8" t="e">
        <f>VLOOKUP(Table1[[#This Row],[Address B]],IP_Master[],2,FALSE)</f>
        <v>#N/A</v>
      </c>
      <c r="U1302" s="9" t="str">
        <f>VLOOKUP(Table1[[#This Row],[Address A]],IP_Master[],3,FALSE)</f>
        <v>iFIX Nodes &amp; Ethernet Switches</v>
      </c>
      <c r="V1302" s="9" t="e">
        <f>VLOOKUP(Table1[[#This Row],[Address B]],IP_Master[],3,FALSE)</f>
        <v>#N/A</v>
      </c>
      <c r="W1302" s="9" t="str">
        <f>VLOOKUP(Table1[[#This Row],[Port B]],traffic_types[],2,FALSE)</f>
        <v>HTTP</v>
      </c>
    </row>
    <row r="1303" spans="1:23" x14ac:dyDescent="0.6">
      <c r="A1303" t="s">
        <v>174</v>
      </c>
      <c r="B1303">
        <v>3072</v>
      </c>
      <c r="C1303" t="s">
        <v>175</v>
      </c>
      <c r="D1303">
        <v>502</v>
      </c>
      <c r="E1303">
        <v>3</v>
      </c>
      <c r="F1303" s="13">
        <v>192</v>
      </c>
      <c r="G1303">
        <v>3</v>
      </c>
      <c r="H1303">
        <v>192</v>
      </c>
      <c r="I1303">
        <v>0</v>
      </c>
      <c r="J1303">
        <v>0</v>
      </c>
      <c r="K1303">
        <v>0.58788899999999999</v>
      </c>
      <c r="L1303">
        <v>31.951091999999999</v>
      </c>
      <c r="M1303">
        <v>48.073474296277602</v>
      </c>
      <c r="N1303">
        <v>0</v>
      </c>
      <c r="O1303" s="8" t="str">
        <f>formatIP(Table1[[#This Row],[Address A]])</f>
        <v>010.012.001.124</v>
      </c>
      <c r="P1303" s="8" t="str">
        <f>formatIP(Table1[[#This Row],[Address B]])</f>
        <v>010.001.001.002</v>
      </c>
      <c r="Q1303" s="8" t="str">
        <f>VLOOKUP(Table1[[#This Row],[Address A]],IP_Master[],4,FALSE)</f>
        <v>KBPPLC</v>
      </c>
      <c r="R1303" s="8" t="e">
        <f>VLOOKUP(Table1[[#This Row],[Address B]],IP_Master[],4,FALSE)</f>
        <v>#N/A</v>
      </c>
      <c r="S1303" s="8" t="str">
        <f>VLOOKUP(Table1[[#This Row],[Address A]],IP_Master[],2,FALSE)</f>
        <v>Slag Fumer</v>
      </c>
      <c r="T1303" s="8" t="e">
        <f>VLOOKUP(Table1[[#This Row],[Address B]],IP_Master[],2,FALSE)</f>
        <v>#N/A</v>
      </c>
      <c r="U1303" s="9" t="str">
        <f>VLOOKUP(Table1[[#This Row],[Address A]],IP_Master[],3,FALSE)</f>
        <v>PLCs &amp; Control Equipment</v>
      </c>
      <c r="V1303" s="9" t="e">
        <f>VLOOKUP(Table1[[#This Row],[Address B]],IP_Master[],3,FALSE)</f>
        <v>#N/A</v>
      </c>
      <c r="W1303" s="9" t="str">
        <f>VLOOKUP(Table1[[#This Row],[Port B]],traffic_types[],2,FALSE)</f>
        <v>Modbus</v>
      </c>
    </row>
    <row r="1304" spans="1:23" x14ac:dyDescent="0.6">
      <c r="A1304" t="s">
        <v>174</v>
      </c>
      <c r="B1304">
        <v>4353</v>
      </c>
      <c r="C1304" t="s">
        <v>176</v>
      </c>
      <c r="D1304">
        <v>502</v>
      </c>
      <c r="E1304">
        <v>1</v>
      </c>
      <c r="F1304" s="13">
        <v>64</v>
      </c>
      <c r="G1304">
        <v>1</v>
      </c>
      <c r="H1304">
        <v>64</v>
      </c>
      <c r="I1304">
        <v>0</v>
      </c>
      <c r="J1304">
        <v>0</v>
      </c>
      <c r="K1304">
        <v>1.8087169999999999</v>
      </c>
      <c r="L1304">
        <v>0</v>
      </c>
      <c r="M1304">
        <v>0</v>
      </c>
      <c r="N1304">
        <v>0</v>
      </c>
      <c r="O1304" s="8" t="str">
        <f>formatIP(Table1[[#This Row],[Address A]])</f>
        <v>010.012.001.124</v>
      </c>
      <c r="P1304" s="8" t="str">
        <f>formatIP(Table1[[#This Row],[Address B]])</f>
        <v>010.001.001.003</v>
      </c>
      <c r="Q1304" s="8" t="str">
        <f>VLOOKUP(Table1[[#This Row],[Address A]],IP_Master[],4,FALSE)</f>
        <v>KBPPLC</v>
      </c>
      <c r="R1304" s="8" t="e">
        <f>VLOOKUP(Table1[[#This Row],[Address B]],IP_Master[],4,FALSE)</f>
        <v>#N/A</v>
      </c>
      <c r="S1304" s="8" t="str">
        <f>VLOOKUP(Table1[[#This Row],[Address A]],IP_Master[],2,FALSE)</f>
        <v>Slag Fumer</v>
      </c>
      <c r="T1304" s="8" t="e">
        <f>VLOOKUP(Table1[[#This Row],[Address B]],IP_Master[],2,FALSE)</f>
        <v>#N/A</v>
      </c>
      <c r="U1304" s="9" t="str">
        <f>VLOOKUP(Table1[[#This Row],[Address A]],IP_Master[],3,FALSE)</f>
        <v>PLCs &amp; Control Equipment</v>
      </c>
      <c r="V1304" s="9" t="e">
        <f>VLOOKUP(Table1[[#This Row],[Address B]],IP_Master[],3,FALSE)</f>
        <v>#N/A</v>
      </c>
      <c r="W1304" s="9" t="str">
        <f>VLOOKUP(Table1[[#This Row],[Port B]],traffic_types[],2,FALSE)</f>
        <v>Modbus</v>
      </c>
    </row>
    <row r="1305" spans="1:23" x14ac:dyDescent="0.6">
      <c r="A1305" t="s">
        <v>174</v>
      </c>
      <c r="B1305">
        <v>4353</v>
      </c>
      <c r="C1305" t="s">
        <v>176</v>
      </c>
      <c r="D1305">
        <v>502</v>
      </c>
      <c r="E1305">
        <v>5</v>
      </c>
      <c r="F1305" s="13">
        <v>320</v>
      </c>
      <c r="G1305">
        <v>5</v>
      </c>
      <c r="H1305">
        <v>320</v>
      </c>
      <c r="I1305">
        <v>0</v>
      </c>
      <c r="J1305">
        <v>0</v>
      </c>
      <c r="K1305">
        <v>1.808721</v>
      </c>
      <c r="L1305">
        <v>146.85194799999999</v>
      </c>
      <c r="M1305">
        <v>17.432523264859899</v>
      </c>
      <c r="N1305">
        <v>0</v>
      </c>
      <c r="O1305" s="8" t="str">
        <f>formatIP(Table1[[#This Row],[Address A]])</f>
        <v>010.012.001.124</v>
      </c>
      <c r="P1305" s="8" t="str">
        <f>formatIP(Table1[[#This Row],[Address B]])</f>
        <v>010.001.001.003</v>
      </c>
      <c r="Q1305" s="8" t="str">
        <f>VLOOKUP(Table1[[#This Row],[Address A]],IP_Master[],4,FALSE)</f>
        <v>KBPPLC</v>
      </c>
      <c r="R1305" s="8" t="e">
        <f>VLOOKUP(Table1[[#This Row],[Address B]],IP_Master[],4,FALSE)</f>
        <v>#N/A</v>
      </c>
      <c r="S1305" s="8" t="str">
        <f>VLOOKUP(Table1[[#This Row],[Address A]],IP_Master[],2,FALSE)</f>
        <v>Slag Fumer</v>
      </c>
      <c r="T1305" s="8" t="e">
        <f>VLOOKUP(Table1[[#This Row],[Address B]],IP_Master[],2,FALSE)</f>
        <v>#N/A</v>
      </c>
      <c r="U1305" s="9" t="str">
        <f>VLOOKUP(Table1[[#This Row],[Address A]],IP_Master[],3,FALSE)</f>
        <v>PLCs &amp; Control Equipment</v>
      </c>
      <c r="V1305" s="9" t="e">
        <f>VLOOKUP(Table1[[#This Row],[Address B]],IP_Master[],3,FALSE)</f>
        <v>#N/A</v>
      </c>
      <c r="W1305" s="9" t="str">
        <f>VLOOKUP(Table1[[#This Row],[Port B]],traffic_types[],2,FALSE)</f>
        <v>Modbus</v>
      </c>
    </row>
    <row r="1306" spans="1:23" x14ac:dyDescent="0.6">
      <c r="A1306" t="s">
        <v>174</v>
      </c>
      <c r="B1306">
        <v>4608</v>
      </c>
      <c r="C1306" t="s">
        <v>175</v>
      </c>
      <c r="D1306">
        <v>502</v>
      </c>
      <c r="E1306">
        <v>1</v>
      </c>
      <c r="F1306" s="13">
        <v>64</v>
      </c>
      <c r="G1306">
        <v>1</v>
      </c>
      <c r="H1306">
        <v>64</v>
      </c>
      <c r="I1306">
        <v>0</v>
      </c>
      <c r="J1306">
        <v>0</v>
      </c>
      <c r="K1306">
        <v>4.5786290000000003</v>
      </c>
      <c r="L1306">
        <v>0</v>
      </c>
      <c r="M1306">
        <v>0</v>
      </c>
      <c r="N1306">
        <v>0</v>
      </c>
      <c r="O1306" s="8" t="str">
        <f>formatIP(Table1[[#This Row],[Address A]])</f>
        <v>010.012.001.124</v>
      </c>
      <c r="P1306" s="8" t="str">
        <f>formatIP(Table1[[#This Row],[Address B]])</f>
        <v>010.001.001.002</v>
      </c>
      <c r="Q1306" s="8" t="str">
        <f>VLOOKUP(Table1[[#This Row],[Address A]],IP_Master[],4,FALSE)</f>
        <v>KBPPLC</v>
      </c>
      <c r="R1306" s="8" t="e">
        <f>VLOOKUP(Table1[[#This Row],[Address B]],IP_Master[],4,FALSE)</f>
        <v>#N/A</v>
      </c>
      <c r="S1306" s="8" t="str">
        <f>VLOOKUP(Table1[[#This Row],[Address A]],IP_Master[],2,FALSE)</f>
        <v>Slag Fumer</v>
      </c>
      <c r="T1306" s="8" t="e">
        <f>VLOOKUP(Table1[[#This Row],[Address B]],IP_Master[],2,FALSE)</f>
        <v>#N/A</v>
      </c>
      <c r="U1306" s="9" t="str">
        <f>VLOOKUP(Table1[[#This Row],[Address A]],IP_Master[],3,FALSE)</f>
        <v>PLCs &amp; Control Equipment</v>
      </c>
      <c r="V1306" s="9" t="e">
        <f>VLOOKUP(Table1[[#This Row],[Address B]],IP_Master[],3,FALSE)</f>
        <v>#N/A</v>
      </c>
      <c r="W1306" s="9" t="str">
        <f>VLOOKUP(Table1[[#This Row],[Port B]],traffic_types[],2,FALSE)</f>
        <v>Modbus</v>
      </c>
    </row>
    <row r="1307" spans="1:23" x14ac:dyDescent="0.6">
      <c r="A1307" t="s">
        <v>174</v>
      </c>
      <c r="B1307">
        <v>4608</v>
      </c>
      <c r="C1307" t="s">
        <v>175</v>
      </c>
      <c r="D1307">
        <v>502</v>
      </c>
      <c r="E1307">
        <v>5</v>
      </c>
      <c r="F1307" s="13">
        <v>320</v>
      </c>
      <c r="G1307">
        <v>5</v>
      </c>
      <c r="H1307">
        <v>320</v>
      </c>
      <c r="I1307">
        <v>0</v>
      </c>
      <c r="J1307">
        <v>0</v>
      </c>
      <c r="K1307">
        <v>4.5786319999999998</v>
      </c>
      <c r="L1307">
        <v>104.851508</v>
      </c>
      <c r="M1307">
        <v>24.415480986692199</v>
      </c>
      <c r="N1307">
        <v>0</v>
      </c>
      <c r="O1307" s="8" t="str">
        <f>formatIP(Table1[[#This Row],[Address A]])</f>
        <v>010.012.001.124</v>
      </c>
      <c r="P1307" s="8" t="str">
        <f>formatIP(Table1[[#This Row],[Address B]])</f>
        <v>010.001.001.002</v>
      </c>
      <c r="Q1307" s="8" t="str">
        <f>VLOOKUP(Table1[[#This Row],[Address A]],IP_Master[],4,FALSE)</f>
        <v>KBPPLC</v>
      </c>
      <c r="R1307" s="8" t="e">
        <f>VLOOKUP(Table1[[#This Row],[Address B]],IP_Master[],4,FALSE)</f>
        <v>#N/A</v>
      </c>
      <c r="S1307" s="8" t="str">
        <f>VLOOKUP(Table1[[#This Row],[Address A]],IP_Master[],2,FALSE)</f>
        <v>Slag Fumer</v>
      </c>
      <c r="T1307" s="8" t="e">
        <f>VLOOKUP(Table1[[#This Row],[Address B]],IP_Master[],2,FALSE)</f>
        <v>#N/A</v>
      </c>
      <c r="U1307" s="9" t="str">
        <f>VLOOKUP(Table1[[#This Row],[Address A]],IP_Master[],3,FALSE)</f>
        <v>PLCs &amp; Control Equipment</v>
      </c>
      <c r="V1307" s="9" t="e">
        <f>VLOOKUP(Table1[[#This Row],[Address B]],IP_Master[],3,FALSE)</f>
        <v>#N/A</v>
      </c>
      <c r="W1307" s="9" t="str">
        <f>VLOOKUP(Table1[[#This Row],[Port B]],traffic_types[],2,FALSE)</f>
        <v>Modbus</v>
      </c>
    </row>
    <row r="1308" spans="1:23" x14ac:dyDescent="0.6">
      <c r="A1308" t="s">
        <v>174</v>
      </c>
      <c r="B1308">
        <v>3073</v>
      </c>
      <c r="C1308" t="s">
        <v>176</v>
      </c>
      <c r="D1308">
        <v>502</v>
      </c>
      <c r="E1308">
        <v>1</v>
      </c>
      <c r="F1308" s="13">
        <v>64</v>
      </c>
      <c r="G1308">
        <v>1</v>
      </c>
      <c r="H1308">
        <v>64</v>
      </c>
      <c r="I1308">
        <v>0</v>
      </c>
      <c r="J1308">
        <v>0</v>
      </c>
      <c r="K1308">
        <v>8.7985810000000004</v>
      </c>
      <c r="L1308">
        <v>0</v>
      </c>
      <c r="M1308">
        <v>0</v>
      </c>
      <c r="N1308">
        <v>0</v>
      </c>
      <c r="O1308" s="8" t="str">
        <f>formatIP(Table1[[#This Row],[Address A]])</f>
        <v>010.012.001.124</v>
      </c>
      <c r="P1308" s="8" t="str">
        <f>formatIP(Table1[[#This Row],[Address B]])</f>
        <v>010.001.001.003</v>
      </c>
      <c r="Q1308" s="8" t="str">
        <f>VLOOKUP(Table1[[#This Row],[Address A]],IP_Master[],4,FALSE)</f>
        <v>KBPPLC</v>
      </c>
      <c r="R1308" s="8" t="e">
        <f>VLOOKUP(Table1[[#This Row],[Address B]],IP_Master[],4,FALSE)</f>
        <v>#N/A</v>
      </c>
      <c r="S1308" s="8" t="str">
        <f>VLOOKUP(Table1[[#This Row],[Address A]],IP_Master[],2,FALSE)</f>
        <v>Slag Fumer</v>
      </c>
      <c r="T1308" s="8" t="e">
        <f>VLOOKUP(Table1[[#This Row],[Address B]],IP_Master[],2,FALSE)</f>
        <v>#N/A</v>
      </c>
      <c r="U1308" s="9" t="str">
        <f>VLOOKUP(Table1[[#This Row],[Address A]],IP_Master[],3,FALSE)</f>
        <v>PLCs &amp; Control Equipment</v>
      </c>
      <c r="V1308" s="9" t="e">
        <f>VLOOKUP(Table1[[#This Row],[Address B]],IP_Master[],3,FALSE)</f>
        <v>#N/A</v>
      </c>
      <c r="W1308" s="9" t="str">
        <f>VLOOKUP(Table1[[#This Row],[Port B]],traffic_types[],2,FALSE)</f>
        <v>Modbus</v>
      </c>
    </row>
    <row r="1309" spans="1:23" x14ac:dyDescent="0.6">
      <c r="A1309" t="s">
        <v>174</v>
      </c>
      <c r="B1309">
        <v>3073</v>
      </c>
      <c r="C1309" t="s">
        <v>176</v>
      </c>
      <c r="D1309">
        <v>502</v>
      </c>
      <c r="E1309">
        <v>5</v>
      </c>
      <c r="F1309" s="13">
        <v>320</v>
      </c>
      <c r="G1309">
        <v>5</v>
      </c>
      <c r="H1309">
        <v>320</v>
      </c>
      <c r="I1309">
        <v>0</v>
      </c>
      <c r="J1309">
        <v>0</v>
      </c>
      <c r="K1309">
        <v>8.7985910000000001</v>
      </c>
      <c r="L1309">
        <v>90.901409000000001</v>
      </c>
      <c r="M1309">
        <v>28.162379749251201</v>
      </c>
      <c r="N1309">
        <v>0</v>
      </c>
      <c r="O1309" s="8" t="str">
        <f>formatIP(Table1[[#This Row],[Address A]])</f>
        <v>010.012.001.124</v>
      </c>
      <c r="P1309" s="8" t="str">
        <f>formatIP(Table1[[#This Row],[Address B]])</f>
        <v>010.001.001.003</v>
      </c>
      <c r="Q1309" s="8" t="str">
        <f>VLOOKUP(Table1[[#This Row],[Address A]],IP_Master[],4,FALSE)</f>
        <v>KBPPLC</v>
      </c>
      <c r="R1309" s="8" t="e">
        <f>VLOOKUP(Table1[[#This Row],[Address B]],IP_Master[],4,FALSE)</f>
        <v>#N/A</v>
      </c>
      <c r="S1309" s="8" t="str">
        <f>VLOOKUP(Table1[[#This Row],[Address A]],IP_Master[],2,FALSE)</f>
        <v>Slag Fumer</v>
      </c>
      <c r="T1309" s="8" t="e">
        <f>VLOOKUP(Table1[[#This Row],[Address B]],IP_Master[],2,FALSE)</f>
        <v>#N/A</v>
      </c>
      <c r="U1309" s="9" t="str">
        <f>VLOOKUP(Table1[[#This Row],[Address A]],IP_Master[],3,FALSE)</f>
        <v>PLCs &amp; Control Equipment</v>
      </c>
      <c r="V1309" s="9" t="e">
        <f>VLOOKUP(Table1[[#This Row],[Address B]],IP_Master[],3,FALSE)</f>
        <v>#N/A</v>
      </c>
      <c r="W1309" s="9" t="str">
        <f>VLOOKUP(Table1[[#This Row],[Port B]],traffic_types[],2,FALSE)</f>
        <v>Modbus</v>
      </c>
    </row>
    <row r="1310" spans="1:23" x14ac:dyDescent="0.6">
      <c r="A1310" t="s">
        <v>174</v>
      </c>
      <c r="B1310">
        <v>4224</v>
      </c>
      <c r="C1310" t="s">
        <v>175</v>
      </c>
      <c r="D1310">
        <v>502</v>
      </c>
      <c r="E1310">
        <v>1</v>
      </c>
      <c r="F1310" s="13">
        <v>64</v>
      </c>
      <c r="G1310">
        <v>1</v>
      </c>
      <c r="H1310">
        <v>64</v>
      </c>
      <c r="I1310">
        <v>0</v>
      </c>
      <c r="J1310">
        <v>0</v>
      </c>
      <c r="K1310">
        <v>11.56861</v>
      </c>
      <c r="L1310">
        <v>0</v>
      </c>
      <c r="M1310">
        <v>0</v>
      </c>
      <c r="N1310">
        <v>0</v>
      </c>
      <c r="O1310" s="8" t="str">
        <f>formatIP(Table1[[#This Row],[Address A]])</f>
        <v>010.012.001.124</v>
      </c>
      <c r="P1310" s="8" t="str">
        <f>formatIP(Table1[[#This Row],[Address B]])</f>
        <v>010.001.001.002</v>
      </c>
      <c r="Q1310" s="8" t="str">
        <f>VLOOKUP(Table1[[#This Row],[Address A]],IP_Master[],4,FALSE)</f>
        <v>KBPPLC</v>
      </c>
      <c r="R1310" s="8" t="e">
        <f>VLOOKUP(Table1[[#This Row],[Address B]],IP_Master[],4,FALSE)</f>
        <v>#N/A</v>
      </c>
      <c r="S1310" s="8" t="str">
        <f>VLOOKUP(Table1[[#This Row],[Address A]],IP_Master[],2,FALSE)</f>
        <v>Slag Fumer</v>
      </c>
      <c r="T1310" s="8" t="e">
        <f>VLOOKUP(Table1[[#This Row],[Address B]],IP_Master[],2,FALSE)</f>
        <v>#N/A</v>
      </c>
      <c r="U1310" s="9" t="str">
        <f>VLOOKUP(Table1[[#This Row],[Address A]],IP_Master[],3,FALSE)</f>
        <v>PLCs &amp; Control Equipment</v>
      </c>
      <c r="V1310" s="9" t="e">
        <f>VLOOKUP(Table1[[#This Row],[Address B]],IP_Master[],3,FALSE)</f>
        <v>#N/A</v>
      </c>
      <c r="W1310" s="9" t="str">
        <f>VLOOKUP(Table1[[#This Row],[Port B]],traffic_types[],2,FALSE)</f>
        <v>Modbus</v>
      </c>
    </row>
    <row r="1311" spans="1:23" x14ac:dyDescent="0.6">
      <c r="A1311" t="s">
        <v>174</v>
      </c>
      <c r="B1311">
        <v>4224</v>
      </c>
      <c r="C1311" t="s">
        <v>175</v>
      </c>
      <c r="D1311">
        <v>502</v>
      </c>
      <c r="E1311">
        <v>5</v>
      </c>
      <c r="F1311" s="13">
        <v>320</v>
      </c>
      <c r="G1311">
        <v>5</v>
      </c>
      <c r="H1311">
        <v>320</v>
      </c>
      <c r="I1311">
        <v>0</v>
      </c>
      <c r="J1311">
        <v>0</v>
      </c>
      <c r="K1311">
        <v>11.568622</v>
      </c>
      <c r="L1311">
        <v>104.851607</v>
      </c>
      <c r="M1311">
        <v>24.415457933801601</v>
      </c>
      <c r="N1311">
        <v>0</v>
      </c>
      <c r="O1311" s="8" t="str">
        <f>formatIP(Table1[[#This Row],[Address A]])</f>
        <v>010.012.001.124</v>
      </c>
      <c r="P1311" s="8" t="str">
        <f>formatIP(Table1[[#This Row],[Address B]])</f>
        <v>010.001.001.002</v>
      </c>
      <c r="Q1311" s="8" t="str">
        <f>VLOOKUP(Table1[[#This Row],[Address A]],IP_Master[],4,FALSE)</f>
        <v>KBPPLC</v>
      </c>
      <c r="R1311" s="8" t="e">
        <f>VLOOKUP(Table1[[#This Row],[Address B]],IP_Master[],4,FALSE)</f>
        <v>#N/A</v>
      </c>
      <c r="S1311" s="8" t="str">
        <f>VLOOKUP(Table1[[#This Row],[Address A]],IP_Master[],2,FALSE)</f>
        <v>Slag Fumer</v>
      </c>
      <c r="T1311" s="8" t="e">
        <f>VLOOKUP(Table1[[#This Row],[Address B]],IP_Master[],2,FALSE)</f>
        <v>#N/A</v>
      </c>
      <c r="U1311" s="9" t="str">
        <f>VLOOKUP(Table1[[#This Row],[Address A]],IP_Master[],3,FALSE)</f>
        <v>PLCs &amp; Control Equipment</v>
      </c>
      <c r="V1311" s="9" t="e">
        <f>VLOOKUP(Table1[[#This Row],[Address B]],IP_Master[],3,FALSE)</f>
        <v>#N/A</v>
      </c>
      <c r="W1311" s="9" t="str">
        <f>VLOOKUP(Table1[[#This Row],[Port B]],traffic_types[],2,FALSE)</f>
        <v>Modbus</v>
      </c>
    </row>
    <row r="1312" spans="1:23" x14ac:dyDescent="0.6">
      <c r="A1312" t="s">
        <v>174</v>
      </c>
      <c r="B1312">
        <v>3585</v>
      </c>
      <c r="C1312" t="s">
        <v>176</v>
      </c>
      <c r="D1312">
        <v>502</v>
      </c>
      <c r="E1312">
        <v>1</v>
      </c>
      <c r="F1312" s="13">
        <v>64</v>
      </c>
      <c r="G1312">
        <v>1</v>
      </c>
      <c r="H1312">
        <v>64</v>
      </c>
      <c r="I1312">
        <v>0</v>
      </c>
      <c r="J1312">
        <v>0</v>
      </c>
      <c r="K1312">
        <v>15.790414999999999</v>
      </c>
      <c r="L1312">
        <v>0</v>
      </c>
      <c r="M1312">
        <v>0</v>
      </c>
      <c r="N1312">
        <v>0</v>
      </c>
      <c r="O1312" s="8" t="str">
        <f>formatIP(Table1[[#This Row],[Address A]])</f>
        <v>010.012.001.124</v>
      </c>
      <c r="P1312" s="8" t="str">
        <f>formatIP(Table1[[#This Row],[Address B]])</f>
        <v>010.001.001.003</v>
      </c>
      <c r="Q1312" s="8" t="str">
        <f>VLOOKUP(Table1[[#This Row],[Address A]],IP_Master[],4,FALSE)</f>
        <v>KBPPLC</v>
      </c>
      <c r="R1312" s="8" t="e">
        <f>VLOOKUP(Table1[[#This Row],[Address B]],IP_Master[],4,FALSE)</f>
        <v>#N/A</v>
      </c>
      <c r="S1312" s="8" t="str">
        <f>VLOOKUP(Table1[[#This Row],[Address A]],IP_Master[],2,FALSE)</f>
        <v>Slag Fumer</v>
      </c>
      <c r="T1312" s="8" t="e">
        <f>VLOOKUP(Table1[[#This Row],[Address B]],IP_Master[],2,FALSE)</f>
        <v>#N/A</v>
      </c>
      <c r="U1312" s="9" t="str">
        <f>VLOOKUP(Table1[[#This Row],[Address A]],IP_Master[],3,FALSE)</f>
        <v>PLCs &amp; Control Equipment</v>
      </c>
      <c r="V1312" s="9" t="e">
        <f>VLOOKUP(Table1[[#This Row],[Address B]],IP_Master[],3,FALSE)</f>
        <v>#N/A</v>
      </c>
      <c r="W1312" s="9" t="str">
        <f>VLOOKUP(Table1[[#This Row],[Port B]],traffic_types[],2,FALSE)</f>
        <v>Modbus</v>
      </c>
    </row>
    <row r="1313" spans="1:23" x14ac:dyDescent="0.6">
      <c r="A1313" t="s">
        <v>174</v>
      </c>
      <c r="B1313">
        <v>3585</v>
      </c>
      <c r="C1313" t="s">
        <v>176</v>
      </c>
      <c r="D1313">
        <v>502</v>
      </c>
      <c r="E1313">
        <v>5</v>
      </c>
      <c r="F1313" s="13">
        <v>320</v>
      </c>
      <c r="G1313">
        <v>5</v>
      </c>
      <c r="H1313">
        <v>320</v>
      </c>
      <c r="I1313">
        <v>0</v>
      </c>
      <c r="J1313">
        <v>0</v>
      </c>
      <c r="K1313">
        <v>15.790425000000001</v>
      </c>
      <c r="L1313">
        <v>146.85034300000001</v>
      </c>
      <c r="M1313">
        <v>17.432713793525199</v>
      </c>
      <c r="N1313">
        <v>0</v>
      </c>
      <c r="O1313" s="8" t="str">
        <f>formatIP(Table1[[#This Row],[Address A]])</f>
        <v>010.012.001.124</v>
      </c>
      <c r="P1313" s="8" t="str">
        <f>formatIP(Table1[[#This Row],[Address B]])</f>
        <v>010.001.001.003</v>
      </c>
      <c r="Q1313" s="8" t="str">
        <f>VLOOKUP(Table1[[#This Row],[Address A]],IP_Master[],4,FALSE)</f>
        <v>KBPPLC</v>
      </c>
      <c r="R1313" s="8" t="e">
        <f>VLOOKUP(Table1[[#This Row],[Address B]],IP_Master[],4,FALSE)</f>
        <v>#N/A</v>
      </c>
      <c r="S1313" s="8" t="str">
        <f>VLOOKUP(Table1[[#This Row],[Address A]],IP_Master[],2,FALSE)</f>
        <v>Slag Fumer</v>
      </c>
      <c r="T1313" s="8" t="e">
        <f>VLOOKUP(Table1[[#This Row],[Address B]],IP_Master[],2,FALSE)</f>
        <v>#N/A</v>
      </c>
      <c r="U1313" s="9" t="str">
        <f>VLOOKUP(Table1[[#This Row],[Address A]],IP_Master[],3,FALSE)</f>
        <v>PLCs &amp; Control Equipment</v>
      </c>
      <c r="V1313" s="9" t="e">
        <f>VLOOKUP(Table1[[#This Row],[Address B]],IP_Master[],3,FALSE)</f>
        <v>#N/A</v>
      </c>
      <c r="W1313" s="9" t="str">
        <f>VLOOKUP(Table1[[#This Row],[Port B]],traffic_types[],2,FALSE)</f>
        <v>Modbus</v>
      </c>
    </row>
    <row r="1314" spans="1:23" x14ac:dyDescent="0.6">
      <c r="A1314" t="s">
        <v>174</v>
      </c>
      <c r="B1314">
        <v>3840</v>
      </c>
      <c r="C1314" t="s">
        <v>175</v>
      </c>
      <c r="D1314">
        <v>502</v>
      </c>
      <c r="E1314">
        <v>1</v>
      </c>
      <c r="F1314" s="13">
        <v>64</v>
      </c>
      <c r="G1314">
        <v>1</v>
      </c>
      <c r="H1314">
        <v>64</v>
      </c>
      <c r="I1314">
        <v>0</v>
      </c>
      <c r="J1314">
        <v>0</v>
      </c>
      <c r="K1314">
        <v>18.558834000000001</v>
      </c>
      <c r="L1314">
        <v>0</v>
      </c>
      <c r="M1314">
        <v>0</v>
      </c>
      <c r="N1314">
        <v>0</v>
      </c>
      <c r="O1314" s="8" t="str">
        <f>formatIP(Table1[[#This Row],[Address A]])</f>
        <v>010.012.001.124</v>
      </c>
      <c r="P1314" s="8" t="str">
        <f>formatIP(Table1[[#This Row],[Address B]])</f>
        <v>010.001.001.002</v>
      </c>
      <c r="Q1314" s="8" t="str">
        <f>VLOOKUP(Table1[[#This Row],[Address A]],IP_Master[],4,FALSE)</f>
        <v>KBPPLC</v>
      </c>
      <c r="R1314" s="8" t="e">
        <f>VLOOKUP(Table1[[#This Row],[Address B]],IP_Master[],4,FALSE)</f>
        <v>#N/A</v>
      </c>
      <c r="S1314" s="8" t="str">
        <f>VLOOKUP(Table1[[#This Row],[Address A]],IP_Master[],2,FALSE)</f>
        <v>Slag Fumer</v>
      </c>
      <c r="T1314" s="8" t="e">
        <f>VLOOKUP(Table1[[#This Row],[Address B]],IP_Master[],2,FALSE)</f>
        <v>#N/A</v>
      </c>
      <c r="U1314" s="9" t="str">
        <f>VLOOKUP(Table1[[#This Row],[Address A]],IP_Master[],3,FALSE)</f>
        <v>PLCs &amp; Control Equipment</v>
      </c>
      <c r="V1314" s="9" t="e">
        <f>VLOOKUP(Table1[[#This Row],[Address B]],IP_Master[],3,FALSE)</f>
        <v>#N/A</v>
      </c>
      <c r="W1314" s="9" t="str">
        <f>VLOOKUP(Table1[[#This Row],[Port B]],traffic_types[],2,FALSE)</f>
        <v>Modbus</v>
      </c>
    </row>
    <row r="1315" spans="1:23" x14ac:dyDescent="0.6">
      <c r="A1315" t="s">
        <v>174</v>
      </c>
      <c r="B1315">
        <v>3840</v>
      </c>
      <c r="C1315" t="s">
        <v>175</v>
      </c>
      <c r="D1315">
        <v>502</v>
      </c>
      <c r="E1315">
        <v>5</v>
      </c>
      <c r="F1315" s="13">
        <v>320</v>
      </c>
      <c r="G1315">
        <v>5</v>
      </c>
      <c r="H1315">
        <v>320</v>
      </c>
      <c r="I1315">
        <v>0</v>
      </c>
      <c r="J1315">
        <v>0</v>
      </c>
      <c r="K1315">
        <v>18.558837</v>
      </c>
      <c r="L1315">
        <v>104.851516</v>
      </c>
      <c r="M1315">
        <v>24.4154791238307</v>
      </c>
      <c r="N1315">
        <v>0</v>
      </c>
      <c r="O1315" s="8" t="str">
        <f>formatIP(Table1[[#This Row],[Address A]])</f>
        <v>010.012.001.124</v>
      </c>
      <c r="P1315" s="8" t="str">
        <f>formatIP(Table1[[#This Row],[Address B]])</f>
        <v>010.001.001.002</v>
      </c>
      <c r="Q1315" s="8" t="str">
        <f>VLOOKUP(Table1[[#This Row],[Address A]],IP_Master[],4,FALSE)</f>
        <v>KBPPLC</v>
      </c>
      <c r="R1315" s="8" t="e">
        <f>VLOOKUP(Table1[[#This Row],[Address B]],IP_Master[],4,FALSE)</f>
        <v>#N/A</v>
      </c>
      <c r="S1315" s="8" t="str">
        <f>VLOOKUP(Table1[[#This Row],[Address A]],IP_Master[],2,FALSE)</f>
        <v>Slag Fumer</v>
      </c>
      <c r="T1315" s="8" t="e">
        <f>VLOOKUP(Table1[[#This Row],[Address B]],IP_Master[],2,FALSE)</f>
        <v>#N/A</v>
      </c>
      <c r="U1315" s="9" t="str">
        <f>VLOOKUP(Table1[[#This Row],[Address A]],IP_Master[],3,FALSE)</f>
        <v>PLCs &amp; Control Equipment</v>
      </c>
      <c r="V1315" s="9" t="e">
        <f>VLOOKUP(Table1[[#This Row],[Address B]],IP_Master[],3,FALSE)</f>
        <v>#N/A</v>
      </c>
      <c r="W1315" s="9" t="str">
        <f>VLOOKUP(Table1[[#This Row],[Port B]],traffic_types[],2,FALSE)</f>
        <v>Modbus</v>
      </c>
    </row>
    <row r="1316" spans="1:23" x14ac:dyDescent="0.6">
      <c r="A1316" t="s">
        <v>174</v>
      </c>
      <c r="B1316">
        <v>3329</v>
      </c>
      <c r="C1316" t="s">
        <v>176</v>
      </c>
      <c r="D1316">
        <v>502</v>
      </c>
      <c r="E1316">
        <v>1</v>
      </c>
      <c r="F1316" s="13">
        <v>64</v>
      </c>
      <c r="G1316">
        <v>1</v>
      </c>
      <c r="H1316">
        <v>64</v>
      </c>
      <c r="I1316">
        <v>0</v>
      </c>
      <c r="J1316">
        <v>0</v>
      </c>
      <c r="K1316">
        <v>22.788893999999999</v>
      </c>
      <c r="L1316">
        <v>0</v>
      </c>
      <c r="M1316">
        <v>0</v>
      </c>
      <c r="N1316">
        <v>0</v>
      </c>
      <c r="O1316" s="8" t="str">
        <f>formatIP(Table1[[#This Row],[Address A]])</f>
        <v>010.012.001.124</v>
      </c>
      <c r="P1316" s="8" t="str">
        <f>formatIP(Table1[[#This Row],[Address B]])</f>
        <v>010.001.001.003</v>
      </c>
      <c r="Q1316" s="8" t="str">
        <f>VLOOKUP(Table1[[#This Row],[Address A]],IP_Master[],4,FALSE)</f>
        <v>KBPPLC</v>
      </c>
      <c r="R1316" s="8" t="e">
        <f>VLOOKUP(Table1[[#This Row],[Address B]],IP_Master[],4,FALSE)</f>
        <v>#N/A</v>
      </c>
      <c r="S1316" s="8" t="str">
        <f>VLOOKUP(Table1[[#This Row],[Address A]],IP_Master[],2,FALSE)</f>
        <v>Slag Fumer</v>
      </c>
      <c r="T1316" s="8" t="e">
        <f>VLOOKUP(Table1[[#This Row],[Address B]],IP_Master[],2,FALSE)</f>
        <v>#N/A</v>
      </c>
      <c r="U1316" s="9" t="str">
        <f>VLOOKUP(Table1[[#This Row],[Address A]],IP_Master[],3,FALSE)</f>
        <v>PLCs &amp; Control Equipment</v>
      </c>
      <c r="V1316" s="9" t="e">
        <f>VLOOKUP(Table1[[#This Row],[Address B]],IP_Master[],3,FALSE)</f>
        <v>#N/A</v>
      </c>
      <c r="W1316" s="9" t="str">
        <f>VLOOKUP(Table1[[#This Row],[Port B]],traffic_types[],2,FALSE)</f>
        <v>Modbus</v>
      </c>
    </row>
    <row r="1317" spans="1:23" x14ac:dyDescent="0.6">
      <c r="A1317" t="s">
        <v>174</v>
      </c>
      <c r="B1317">
        <v>3329</v>
      </c>
      <c r="C1317" t="s">
        <v>176</v>
      </c>
      <c r="D1317">
        <v>502</v>
      </c>
      <c r="E1317">
        <v>5</v>
      </c>
      <c r="F1317" s="13">
        <v>320</v>
      </c>
      <c r="G1317">
        <v>5</v>
      </c>
      <c r="H1317">
        <v>320</v>
      </c>
      <c r="I1317">
        <v>0</v>
      </c>
      <c r="J1317">
        <v>0</v>
      </c>
      <c r="K1317">
        <v>22.788896000000001</v>
      </c>
      <c r="L1317">
        <v>34.961353000000003</v>
      </c>
      <c r="M1317">
        <v>73.223710764283098</v>
      </c>
      <c r="N1317">
        <v>0</v>
      </c>
      <c r="O1317" s="8" t="str">
        <f>formatIP(Table1[[#This Row],[Address A]])</f>
        <v>010.012.001.124</v>
      </c>
      <c r="P1317" s="8" t="str">
        <f>formatIP(Table1[[#This Row],[Address B]])</f>
        <v>010.001.001.003</v>
      </c>
      <c r="Q1317" s="8" t="str">
        <f>VLOOKUP(Table1[[#This Row],[Address A]],IP_Master[],4,FALSE)</f>
        <v>KBPPLC</v>
      </c>
      <c r="R1317" s="8" t="e">
        <f>VLOOKUP(Table1[[#This Row],[Address B]],IP_Master[],4,FALSE)</f>
        <v>#N/A</v>
      </c>
      <c r="S1317" s="8" t="str">
        <f>VLOOKUP(Table1[[#This Row],[Address A]],IP_Master[],2,FALSE)</f>
        <v>Slag Fumer</v>
      </c>
      <c r="T1317" s="8" t="e">
        <f>VLOOKUP(Table1[[#This Row],[Address B]],IP_Master[],2,FALSE)</f>
        <v>#N/A</v>
      </c>
      <c r="U1317" s="9" t="str">
        <f>VLOOKUP(Table1[[#This Row],[Address A]],IP_Master[],3,FALSE)</f>
        <v>PLCs &amp; Control Equipment</v>
      </c>
      <c r="V1317" s="9" t="e">
        <f>VLOOKUP(Table1[[#This Row],[Address B]],IP_Master[],3,FALSE)</f>
        <v>#N/A</v>
      </c>
      <c r="W1317" s="9" t="str">
        <f>VLOOKUP(Table1[[#This Row],[Port B]],traffic_types[],2,FALSE)</f>
        <v>Modbus</v>
      </c>
    </row>
    <row r="1318" spans="1:23" x14ac:dyDescent="0.6">
      <c r="A1318" t="s">
        <v>174</v>
      </c>
      <c r="B1318">
        <v>4352</v>
      </c>
      <c r="C1318" t="s">
        <v>175</v>
      </c>
      <c r="D1318">
        <v>502</v>
      </c>
      <c r="E1318">
        <v>1</v>
      </c>
      <c r="F1318" s="13">
        <v>64</v>
      </c>
      <c r="G1318">
        <v>1</v>
      </c>
      <c r="H1318">
        <v>64</v>
      </c>
      <c r="I1318">
        <v>0</v>
      </c>
      <c r="J1318">
        <v>0</v>
      </c>
      <c r="K1318">
        <v>25.548908000000001</v>
      </c>
      <c r="L1318">
        <v>0</v>
      </c>
      <c r="M1318">
        <v>0</v>
      </c>
      <c r="N1318">
        <v>0</v>
      </c>
      <c r="O1318" s="8" t="str">
        <f>formatIP(Table1[[#This Row],[Address A]])</f>
        <v>010.012.001.124</v>
      </c>
      <c r="P1318" s="8" t="str">
        <f>formatIP(Table1[[#This Row],[Address B]])</f>
        <v>010.001.001.002</v>
      </c>
      <c r="Q1318" s="8" t="str">
        <f>VLOOKUP(Table1[[#This Row],[Address A]],IP_Master[],4,FALSE)</f>
        <v>KBPPLC</v>
      </c>
      <c r="R1318" s="8" t="e">
        <f>VLOOKUP(Table1[[#This Row],[Address B]],IP_Master[],4,FALSE)</f>
        <v>#N/A</v>
      </c>
      <c r="S1318" s="8" t="str">
        <f>VLOOKUP(Table1[[#This Row],[Address A]],IP_Master[],2,FALSE)</f>
        <v>Slag Fumer</v>
      </c>
      <c r="T1318" s="8" t="e">
        <f>VLOOKUP(Table1[[#This Row],[Address B]],IP_Master[],2,FALSE)</f>
        <v>#N/A</v>
      </c>
      <c r="U1318" s="9" t="str">
        <f>VLOOKUP(Table1[[#This Row],[Address A]],IP_Master[],3,FALSE)</f>
        <v>PLCs &amp; Control Equipment</v>
      </c>
      <c r="V1318" s="9" t="e">
        <f>VLOOKUP(Table1[[#This Row],[Address B]],IP_Master[],3,FALSE)</f>
        <v>#N/A</v>
      </c>
      <c r="W1318" s="9" t="str">
        <f>VLOOKUP(Table1[[#This Row],[Port B]],traffic_types[],2,FALSE)</f>
        <v>Modbus</v>
      </c>
    </row>
    <row r="1319" spans="1:23" x14ac:dyDescent="0.6">
      <c r="A1319" t="s">
        <v>174</v>
      </c>
      <c r="B1319">
        <v>4352</v>
      </c>
      <c r="C1319" t="s">
        <v>175</v>
      </c>
      <c r="D1319">
        <v>502</v>
      </c>
      <c r="E1319">
        <v>5</v>
      </c>
      <c r="F1319" s="13">
        <v>320</v>
      </c>
      <c r="G1319">
        <v>5</v>
      </c>
      <c r="H1319">
        <v>320</v>
      </c>
      <c r="I1319">
        <v>0</v>
      </c>
      <c r="J1319">
        <v>0</v>
      </c>
      <c r="K1319">
        <v>25.548911</v>
      </c>
      <c r="L1319">
        <v>34.950482000000001</v>
      </c>
      <c r="M1319">
        <v>73.246486271634296</v>
      </c>
      <c r="N1319">
        <v>0</v>
      </c>
      <c r="O1319" s="8" t="str">
        <f>formatIP(Table1[[#This Row],[Address A]])</f>
        <v>010.012.001.124</v>
      </c>
      <c r="P1319" s="8" t="str">
        <f>formatIP(Table1[[#This Row],[Address B]])</f>
        <v>010.001.001.002</v>
      </c>
      <c r="Q1319" s="8" t="str">
        <f>VLOOKUP(Table1[[#This Row],[Address A]],IP_Master[],4,FALSE)</f>
        <v>KBPPLC</v>
      </c>
      <c r="R1319" s="8" t="e">
        <f>VLOOKUP(Table1[[#This Row],[Address B]],IP_Master[],4,FALSE)</f>
        <v>#N/A</v>
      </c>
      <c r="S1319" s="8" t="str">
        <f>VLOOKUP(Table1[[#This Row],[Address A]],IP_Master[],2,FALSE)</f>
        <v>Slag Fumer</v>
      </c>
      <c r="T1319" s="8" t="e">
        <f>VLOOKUP(Table1[[#This Row],[Address B]],IP_Master[],2,FALSE)</f>
        <v>#N/A</v>
      </c>
      <c r="U1319" s="9" t="str">
        <f>VLOOKUP(Table1[[#This Row],[Address A]],IP_Master[],3,FALSE)</f>
        <v>PLCs &amp; Control Equipment</v>
      </c>
      <c r="V1319" s="9" t="e">
        <f>VLOOKUP(Table1[[#This Row],[Address B]],IP_Master[],3,FALSE)</f>
        <v>#N/A</v>
      </c>
      <c r="W1319" s="9" t="str">
        <f>VLOOKUP(Table1[[#This Row],[Port B]],traffic_types[],2,FALSE)</f>
        <v>Modbus</v>
      </c>
    </row>
    <row r="1320" spans="1:23" x14ac:dyDescent="0.6">
      <c r="A1320" t="s">
        <v>174</v>
      </c>
      <c r="B1320">
        <v>3969</v>
      </c>
      <c r="C1320" t="s">
        <v>176</v>
      </c>
      <c r="D1320">
        <v>502</v>
      </c>
      <c r="E1320">
        <v>1</v>
      </c>
      <c r="F1320" s="13">
        <v>64</v>
      </c>
      <c r="G1320">
        <v>1</v>
      </c>
      <c r="H1320">
        <v>64</v>
      </c>
      <c r="I1320">
        <v>0</v>
      </c>
      <c r="J1320">
        <v>0</v>
      </c>
      <c r="K1320">
        <v>29.779053999999999</v>
      </c>
      <c r="L1320">
        <v>0</v>
      </c>
      <c r="M1320">
        <v>0</v>
      </c>
      <c r="N1320">
        <v>0</v>
      </c>
      <c r="O1320" s="8" t="str">
        <f>formatIP(Table1[[#This Row],[Address A]])</f>
        <v>010.012.001.124</v>
      </c>
      <c r="P1320" s="8" t="str">
        <f>formatIP(Table1[[#This Row],[Address B]])</f>
        <v>010.001.001.003</v>
      </c>
      <c r="Q1320" s="8" t="str">
        <f>VLOOKUP(Table1[[#This Row],[Address A]],IP_Master[],4,FALSE)</f>
        <v>KBPPLC</v>
      </c>
      <c r="R1320" s="8" t="e">
        <f>VLOOKUP(Table1[[#This Row],[Address B]],IP_Master[],4,FALSE)</f>
        <v>#N/A</v>
      </c>
      <c r="S1320" s="8" t="str">
        <f>VLOOKUP(Table1[[#This Row],[Address A]],IP_Master[],2,FALSE)</f>
        <v>Slag Fumer</v>
      </c>
      <c r="T1320" s="8" t="e">
        <f>VLOOKUP(Table1[[#This Row],[Address B]],IP_Master[],2,FALSE)</f>
        <v>#N/A</v>
      </c>
      <c r="U1320" s="9" t="str">
        <f>VLOOKUP(Table1[[#This Row],[Address A]],IP_Master[],3,FALSE)</f>
        <v>PLCs &amp; Control Equipment</v>
      </c>
      <c r="V1320" s="9" t="e">
        <f>VLOOKUP(Table1[[#This Row],[Address B]],IP_Master[],3,FALSE)</f>
        <v>#N/A</v>
      </c>
      <c r="W1320" s="9" t="str">
        <f>VLOOKUP(Table1[[#This Row],[Port B]],traffic_types[],2,FALSE)</f>
        <v>Modbus</v>
      </c>
    </row>
    <row r="1321" spans="1:23" x14ac:dyDescent="0.6">
      <c r="A1321" t="s">
        <v>174</v>
      </c>
      <c r="B1321">
        <v>3969</v>
      </c>
      <c r="C1321" t="s">
        <v>176</v>
      </c>
      <c r="D1321">
        <v>502</v>
      </c>
      <c r="E1321">
        <v>5</v>
      </c>
      <c r="F1321" s="13">
        <v>320</v>
      </c>
      <c r="G1321">
        <v>5</v>
      </c>
      <c r="H1321">
        <v>320</v>
      </c>
      <c r="I1321">
        <v>0</v>
      </c>
      <c r="J1321">
        <v>0</v>
      </c>
      <c r="K1321">
        <v>29.779057999999999</v>
      </c>
      <c r="L1321">
        <v>125.87179</v>
      </c>
      <c r="M1321">
        <v>20.338155197443399</v>
      </c>
      <c r="N1321">
        <v>0</v>
      </c>
      <c r="O1321" s="8" t="str">
        <f>formatIP(Table1[[#This Row],[Address A]])</f>
        <v>010.012.001.124</v>
      </c>
      <c r="P1321" s="8" t="str">
        <f>formatIP(Table1[[#This Row],[Address B]])</f>
        <v>010.001.001.003</v>
      </c>
      <c r="Q1321" s="8" t="str">
        <f>VLOOKUP(Table1[[#This Row],[Address A]],IP_Master[],4,FALSE)</f>
        <v>KBPPLC</v>
      </c>
      <c r="R1321" s="8" t="e">
        <f>VLOOKUP(Table1[[#This Row],[Address B]],IP_Master[],4,FALSE)</f>
        <v>#N/A</v>
      </c>
      <c r="S1321" s="8" t="str">
        <f>VLOOKUP(Table1[[#This Row],[Address A]],IP_Master[],2,FALSE)</f>
        <v>Slag Fumer</v>
      </c>
      <c r="T1321" s="8" t="e">
        <f>VLOOKUP(Table1[[#This Row],[Address B]],IP_Master[],2,FALSE)</f>
        <v>#N/A</v>
      </c>
      <c r="U1321" s="9" t="str">
        <f>VLOOKUP(Table1[[#This Row],[Address A]],IP_Master[],3,FALSE)</f>
        <v>PLCs &amp; Control Equipment</v>
      </c>
      <c r="V1321" s="9" t="e">
        <f>VLOOKUP(Table1[[#This Row],[Address B]],IP_Master[],3,FALSE)</f>
        <v>#N/A</v>
      </c>
      <c r="W1321" s="9" t="str">
        <f>VLOOKUP(Table1[[#This Row],[Port B]],traffic_types[],2,FALSE)</f>
        <v>Modbus</v>
      </c>
    </row>
    <row r="1322" spans="1:23" x14ac:dyDescent="0.6">
      <c r="A1322" t="s">
        <v>174</v>
      </c>
      <c r="B1322">
        <v>3072</v>
      </c>
      <c r="C1322" t="s">
        <v>175</v>
      </c>
      <c r="D1322">
        <v>502</v>
      </c>
      <c r="E1322">
        <v>5</v>
      </c>
      <c r="F1322" s="13">
        <v>320</v>
      </c>
      <c r="G1322">
        <v>5</v>
      </c>
      <c r="H1322">
        <v>320</v>
      </c>
      <c r="I1322">
        <v>0</v>
      </c>
      <c r="J1322">
        <v>0</v>
      </c>
      <c r="K1322">
        <v>32.538983000000002</v>
      </c>
      <c r="L1322">
        <v>104.851513</v>
      </c>
      <c r="M1322">
        <v>24.4154798224037</v>
      </c>
      <c r="N1322">
        <v>0</v>
      </c>
      <c r="O1322" s="8" t="str">
        <f>formatIP(Table1[[#This Row],[Address A]])</f>
        <v>010.012.001.124</v>
      </c>
      <c r="P1322" s="8" t="str">
        <f>formatIP(Table1[[#This Row],[Address B]])</f>
        <v>010.001.001.002</v>
      </c>
      <c r="Q1322" s="8" t="str">
        <f>VLOOKUP(Table1[[#This Row],[Address A]],IP_Master[],4,FALSE)</f>
        <v>KBPPLC</v>
      </c>
      <c r="R1322" s="8" t="e">
        <f>VLOOKUP(Table1[[#This Row],[Address B]],IP_Master[],4,FALSE)</f>
        <v>#N/A</v>
      </c>
      <c r="S1322" s="8" t="str">
        <f>VLOOKUP(Table1[[#This Row],[Address A]],IP_Master[],2,FALSE)</f>
        <v>Slag Fumer</v>
      </c>
      <c r="T1322" s="8" t="e">
        <f>VLOOKUP(Table1[[#This Row],[Address B]],IP_Master[],2,FALSE)</f>
        <v>#N/A</v>
      </c>
      <c r="U1322" s="9" t="str">
        <f>VLOOKUP(Table1[[#This Row],[Address A]],IP_Master[],3,FALSE)</f>
        <v>PLCs &amp; Control Equipment</v>
      </c>
      <c r="V1322" s="9" t="e">
        <f>VLOOKUP(Table1[[#This Row],[Address B]],IP_Master[],3,FALSE)</f>
        <v>#N/A</v>
      </c>
      <c r="W1322" s="9" t="str">
        <f>VLOOKUP(Table1[[#This Row],[Port B]],traffic_types[],2,FALSE)</f>
        <v>Modbus</v>
      </c>
    </row>
    <row r="1323" spans="1:23" x14ac:dyDescent="0.6">
      <c r="A1323" t="s">
        <v>174</v>
      </c>
      <c r="B1323">
        <v>4481</v>
      </c>
      <c r="C1323" t="s">
        <v>176</v>
      </c>
      <c r="D1323">
        <v>502</v>
      </c>
      <c r="E1323">
        <v>1</v>
      </c>
      <c r="F1323" s="13">
        <v>64</v>
      </c>
      <c r="G1323">
        <v>1</v>
      </c>
      <c r="H1323">
        <v>64</v>
      </c>
      <c r="I1323">
        <v>0</v>
      </c>
      <c r="J1323">
        <v>0</v>
      </c>
      <c r="K1323">
        <v>36.769025999999997</v>
      </c>
      <c r="L1323">
        <v>0</v>
      </c>
      <c r="M1323">
        <v>0</v>
      </c>
      <c r="N1323">
        <v>0</v>
      </c>
      <c r="O1323" s="8" t="str">
        <f>formatIP(Table1[[#This Row],[Address A]])</f>
        <v>010.012.001.124</v>
      </c>
      <c r="P1323" s="8" t="str">
        <f>formatIP(Table1[[#This Row],[Address B]])</f>
        <v>010.001.001.003</v>
      </c>
      <c r="Q1323" s="8" t="str">
        <f>VLOOKUP(Table1[[#This Row],[Address A]],IP_Master[],4,FALSE)</f>
        <v>KBPPLC</v>
      </c>
      <c r="R1323" s="8" t="e">
        <f>VLOOKUP(Table1[[#This Row],[Address B]],IP_Master[],4,FALSE)</f>
        <v>#N/A</v>
      </c>
      <c r="S1323" s="8" t="str">
        <f>VLOOKUP(Table1[[#This Row],[Address A]],IP_Master[],2,FALSE)</f>
        <v>Slag Fumer</v>
      </c>
      <c r="T1323" s="8" t="e">
        <f>VLOOKUP(Table1[[#This Row],[Address B]],IP_Master[],2,FALSE)</f>
        <v>#N/A</v>
      </c>
      <c r="U1323" s="9" t="str">
        <f>VLOOKUP(Table1[[#This Row],[Address A]],IP_Master[],3,FALSE)</f>
        <v>PLCs &amp; Control Equipment</v>
      </c>
      <c r="V1323" s="9" t="e">
        <f>VLOOKUP(Table1[[#This Row],[Address B]],IP_Master[],3,FALSE)</f>
        <v>#N/A</v>
      </c>
      <c r="W1323" s="9" t="str">
        <f>VLOOKUP(Table1[[#This Row],[Port B]],traffic_types[],2,FALSE)</f>
        <v>Modbus</v>
      </c>
    </row>
    <row r="1324" spans="1:23" x14ac:dyDescent="0.6">
      <c r="A1324" t="s">
        <v>174</v>
      </c>
      <c r="B1324">
        <v>4481</v>
      </c>
      <c r="C1324" t="s">
        <v>176</v>
      </c>
      <c r="D1324">
        <v>502</v>
      </c>
      <c r="E1324">
        <v>5</v>
      </c>
      <c r="F1324" s="13">
        <v>320</v>
      </c>
      <c r="G1324">
        <v>5</v>
      </c>
      <c r="H1324">
        <v>320</v>
      </c>
      <c r="I1324">
        <v>0</v>
      </c>
      <c r="J1324">
        <v>0</v>
      </c>
      <c r="K1324">
        <v>36.769029000000003</v>
      </c>
      <c r="L1324">
        <v>34.970574999999997</v>
      </c>
      <c r="M1324">
        <v>73.204401128663207</v>
      </c>
      <c r="N1324">
        <v>0</v>
      </c>
      <c r="O1324" s="8" t="str">
        <f>formatIP(Table1[[#This Row],[Address A]])</f>
        <v>010.012.001.124</v>
      </c>
      <c r="P1324" s="8" t="str">
        <f>formatIP(Table1[[#This Row],[Address B]])</f>
        <v>010.001.001.003</v>
      </c>
      <c r="Q1324" s="8" t="str">
        <f>VLOOKUP(Table1[[#This Row],[Address A]],IP_Master[],4,FALSE)</f>
        <v>KBPPLC</v>
      </c>
      <c r="R1324" s="8" t="e">
        <f>VLOOKUP(Table1[[#This Row],[Address B]],IP_Master[],4,FALSE)</f>
        <v>#N/A</v>
      </c>
      <c r="S1324" s="8" t="str">
        <f>VLOOKUP(Table1[[#This Row],[Address A]],IP_Master[],2,FALSE)</f>
        <v>Slag Fumer</v>
      </c>
      <c r="T1324" s="8" t="e">
        <f>VLOOKUP(Table1[[#This Row],[Address B]],IP_Master[],2,FALSE)</f>
        <v>#N/A</v>
      </c>
      <c r="U1324" s="9" t="str">
        <f>VLOOKUP(Table1[[#This Row],[Address A]],IP_Master[],3,FALSE)</f>
        <v>PLCs &amp; Control Equipment</v>
      </c>
      <c r="V1324" s="9" t="e">
        <f>VLOOKUP(Table1[[#This Row],[Address B]],IP_Master[],3,FALSE)</f>
        <v>#N/A</v>
      </c>
      <c r="W1324" s="9" t="str">
        <f>VLOOKUP(Table1[[#This Row],[Port B]],traffic_types[],2,FALSE)</f>
        <v>Modbus</v>
      </c>
    </row>
    <row r="1325" spans="1:23" x14ac:dyDescent="0.6">
      <c r="A1325" t="s">
        <v>174</v>
      </c>
      <c r="B1325">
        <v>3584</v>
      </c>
      <c r="C1325" t="s">
        <v>175</v>
      </c>
      <c r="D1325">
        <v>502</v>
      </c>
      <c r="E1325">
        <v>1</v>
      </c>
      <c r="F1325" s="13">
        <v>64</v>
      </c>
      <c r="G1325">
        <v>1</v>
      </c>
      <c r="H1325">
        <v>64</v>
      </c>
      <c r="I1325">
        <v>0</v>
      </c>
      <c r="J1325">
        <v>0</v>
      </c>
      <c r="K1325">
        <v>39.529172000000003</v>
      </c>
      <c r="L1325">
        <v>0</v>
      </c>
      <c r="M1325">
        <v>0</v>
      </c>
      <c r="N1325">
        <v>0</v>
      </c>
      <c r="O1325" s="8" t="str">
        <f>formatIP(Table1[[#This Row],[Address A]])</f>
        <v>010.012.001.124</v>
      </c>
      <c r="P1325" s="8" t="str">
        <f>formatIP(Table1[[#This Row],[Address B]])</f>
        <v>010.001.001.002</v>
      </c>
      <c r="Q1325" s="8" t="str">
        <f>VLOOKUP(Table1[[#This Row],[Address A]],IP_Master[],4,FALSE)</f>
        <v>KBPPLC</v>
      </c>
      <c r="R1325" s="8" t="e">
        <f>VLOOKUP(Table1[[#This Row],[Address B]],IP_Master[],4,FALSE)</f>
        <v>#N/A</v>
      </c>
      <c r="S1325" s="8" t="str">
        <f>VLOOKUP(Table1[[#This Row],[Address A]],IP_Master[],2,FALSE)</f>
        <v>Slag Fumer</v>
      </c>
      <c r="T1325" s="8" t="e">
        <f>VLOOKUP(Table1[[#This Row],[Address B]],IP_Master[],2,FALSE)</f>
        <v>#N/A</v>
      </c>
      <c r="U1325" s="9" t="str">
        <f>VLOOKUP(Table1[[#This Row],[Address A]],IP_Master[],3,FALSE)</f>
        <v>PLCs &amp; Control Equipment</v>
      </c>
      <c r="V1325" s="9" t="e">
        <f>VLOOKUP(Table1[[#This Row],[Address B]],IP_Master[],3,FALSE)</f>
        <v>#N/A</v>
      </c>
      <c r="W1325" s="9" t="str">
        <f>VLOOKUP(Table1[[#This Row],[Port B]],traffic_types[],2,FALSE)</f>
        <v>Modbus</v>
      </c>
    </row>
    <row r="1326" spans="1:23" x14ac:dyDescent="0.6">
      <c r="A1326" t="s">
        <v>174</v>
      </c>
      <c r="B1326">
        <v>3584</v>
      </c>
      <c r="C1326" t="s">
        <v>175</v>
      </c>
      <c r="D1326">
        <v>502</v>
      </c>
      <c r="E1326">
        <v>5</v>
      </c>
      <c r="F1326" s="13">
        <v>320</v>
      </c>
      <c r="G1326">
        <v>5</v>
      </c>
      <c r="H1326">
        <v>320</v>
      </c>
      <c r="I1326">
        <v>0</v>
      </c>
      <c r="J1326">
        <v>0</v>
      </c>
      <c r="K1326">
        <v>39.529175000000002</v>
      </c>
      <c r="L1326">
        <v>34.950493999999999</v>
      </c>
      <c r="M1326">
        <v>73.2464611229816</v>
      </c>
      <c r="N1326">
        <v>0</v>
      </c>
      <c r="O1326" s="8" t="str">
        <f>formatIP(Table1[[#This Row],[Address A]])</f>
        <v>010.012.001.124</v>
      </c>
      <c r="P1326" s="8" t="str">
        <f>formatIP(Table1[[#This Row],[Address B]])</f>
        <v>010.001.001.002</v>
      </c>
      <c r="Q1326" s="8" t="str">
        <f>VLOOKUP(Table1[[#This Row],[Address A]],IP_Master[],4,FALSE)</f>
        <v>KBPPLC</v>
      </c>
      <c r="R1326" s="8" t="e">
        <f>VLOOKUP(Table1[[#This Row],[Address B]],IP_Master[],4,FALSE)</f>
        <v>#N/A</v>
      </c>
      <c r="S1326" s="8" t="str">
        <f>VLOOKUP(Table1[[#This Row],[Address A]],IP_Master[],2,FALSE)</f>
        <v>Slag Fumer</v>
      </c>
      <c r="T1326" s="8" t="e">
        <f>VLOOKUP(Table1[[#This Row],[Address B]],IP_Master[],2,FALSE)</f>
        <v>#N/A</v>
      </c>
      <c r="U1326" s="9" t="str">
        <f>VLOOKUP(Table1[[#This Row],[Address A]],IP_Master[],3,FALSE)</f>
        <v>PLCs &amp; Control Equipment</v>
      </c>
      <c r="V1326" s="9" t="e">
        <f>VLOOKUP(Table1[[#This Row],[Address B]],IP_Master[],3,FALSE)</f>
        <v>#N/A</v>
      </c>
      <c r="W1326" s="9" t="str">
        <f>VLOOKUP(Table1[[#This Row],[Port B]],traffic_types[],2,FALSE)</f>
        <v>Modbus</v>
      </c>
    </row>
    <row r="1327" spans="1:23" x14ac:dyDescent="0.6">
      <c r="A1327" t="s">
        <v>174</v>
      </c>
      <c r="B1327">
        <v>4097</v>
      </c>
      <c r="C1327" t="s">
        <v>176</v>
      </c>
      <c r="D1327">
        <v>502</v>
      </c>
      <c r="E1327">
        <v>1</v>
      </c>
      <c r="F1327" s="13">
        <v>64</v>
      </c>
      <c r="G1327">
        <v>1</v>
      </c>
      <c r="H1327">
        <v>64</v>
      </c>
      <c r="I1327">
        <v>0</v>
      </c>
      <c r="J1327">
        <v>0</v>
      </c>
      <c r="K1327">
        <v>43.759987000000002</v>
      </c>
      <c r="L1327">
        <v>0</v>
      </c>
      <c r="M1327">
        <v>0</v>
      </c>
      <c r="N1327">
        <v>0</v>
      </c>
      <c r="O1327" s="8" t="str">
        <f>formatIP(Table1[[#This Row],[Address A]])</f>
        <v>010.012.001.124</v>
      </c>
      <c r="P1327" s="8" t="str">
        <f>formatIP(Table1[[#This Row],[Address B]])</f>
        <v>010.001.001.003</v>
      </c>
      <c r="Q1327" s="8" t="str">
        <f>VLOOKUP(Table1[[#This Row],[Address A]],IP_Master[],4,FALSE)</f>
        <v>KBPPLC</v>
      </c>
      <c r="R1327" s="8" t="e">
        <f>VLOOKUP(Table1[[#This Row],[Address B]],IP_Master[],4,FALSE)</f>
        <v>#N/A</v>
      </c>
      <c r="S1327" s="8" t="str">
        <f>VLOOKUP(Table1[[#This Row],[Address A]],IP_Master[],2,FALSE)</f>
        <v>Slag Fumer</v>
      </c>
      <c r="T1327" s="8" t="e">
        <f>VLOOKUP(Table1[[#This Row],[Address B]],IP_Master[],2,FALSE)</f>
        <v>#N/A</v>
      </c>
      <c r="U1327" s="9" t="str">
        <f>VLOOKUP(Table1[[#This Row],[Address A]],IP_Master[],3,FALSE)</f>
        <v>PLCs &amp; Control Equipment</v>
      </c>
      <c r="V1327" s="9" t="e">
        <f>VLOOKUP(Table1[[#This Row],[Address B]],IP_Master[],3,FALSE)</f>
        <v>#N/A</v>
      </c>
      <c r="W1327" s="9" t="str">
        <f>VLOOKUP(Table1[[#This Row],[Port B]],traffic_types[],2,FALSE)</f>
        <v>Modbus</v>
      </c>
    </row>
    <row r="1328" spans="1:23" x14ac:dyDescent="0.6">
      <c r="A1328" t="s">
        <v>174</v>
      </c>
      <c r="B1328">
        <v>4097</v>
      </c>
      <c r="C1328" t="s">
        <v>176</v>
      </c>
      <c r="D1328">
        <v>502</v>
      </c>
      <c r="E1328">
        <v>5</v>
      </c>
      <c r="F1328" s="13">
        <v>320</v>
      </c>
      <c r="G1328">
        <v>5</v>
      </c>
      <c r="H1328">
        <v>320</v>
      </c>
      <c r="I1328">
        <v>0</v>
      </c>
      <c r="J1328">
        <v>0</v>
      </c>
      <c r="K1328">
        <v>43.759990999999999</v>
      </c>
      <c r="L1328">
        <v>34.969779000000003</v>
      </c>
      <c r="M1328">
        <v>73.206067444692707</v>
      </c>
      <c r="N1328">
        <v>0</v>
      </c>
      <c r="O1328" s="8" t="str">
        <f>formatIP(Table1[[#This Row],[Address A]])</f>
        <v>010.012.001.124</v>
      </c>
      <c r="P1328" s="8" t="str">
        <f>formatIP(Table1[[#This Row],[Address B]])</f>
        <v>010.001.001.003</v>
      </c>
      <c r="Q1328" s="8" t="str">
        <f>VLOOKUP(Table1[[#This Row],[Address A]],IP_Master[],4,FALSE)</f>
        <v>KBPPLC</v>
      </c>
      <c r="R1328" s="8" t="e">
        <f>VLOOKUP(Table1[[#This Row],[Address B]],IP_Master[],4,FALSE)</f>
        <v>#N/A</v>
      </c>
      <c r="S1328" s="8" t="str">
        <f>VLOOKUP(Table1[[#This Row],[Address A]],IP_Master[],2,FALSE)</f>
        <v>Slag Fumer</v>
      </c>
      <c r="T1328" s="8" t="e">
        <f>VLOOKUP(Table1[[#This Row],[Address B]],IP_Master[],2,FALSE)</f>
        <v>#N/A</v>
      </c>
      <c r="U1328" s="9" t="str">
        <f>VLOOKUP(Table1[[#This Row],[Address A]],IP_Master[],3,FALSE)</f>
        <v>PLCs &amp; Control Equipment</v>
      </c>
      <c r="V1328" s="9" t="e">
        <f>VLOOKUP(Table1[[#This Row],[Address B]],IP_Master[],3,FALSE)</f>
        <v>#N/A</v>
      </c>
      <c r="W1328" s="9" t="str">
        <f>VLOOKUP(Table1[[#This Row],[Port B]],traffic_types[],2,FALSE)</f>
        <v>Modbus</v>
      </c>
    </row>
    <row r="1329" spans="1:23" x14ac:dyDescent="0.6">
      <c r="A1329" t="s">
        <v>174</v>
      </c>
      <c r="B1329">
        <v>3200</v>
      </c>
      <c r="C1329" t="s">
        <v>175</v>
      </c>
      <c r="D1329">
        <v>502</v>
      </c>
      <c r="E1329">
        <v>1</v>
      </c>
      <c r="F1329" s="13">
        <v>64</v>
      </c>
      <c r="G1329">
        <v>1</v>
      </c>
      <c r="H1329">
        <v>64</v>
      </c>
      <c r="I1329">
        <v>0</v>
      </c>
      <c r="J1329">
        <v>0</v>
      </c>
      <c r="K1329">
        <v>46.519260000000003</v>
      </c>
      <c r="L1329">
        <v>0</v>
      </c>
      <c r="M1329">
        <v>0</v>
      </c>
      <c r="N1329">
        <v>0</v>
      </c>
      <c r="O1329" s="8" t="str">
        <f>formatIP(Table1[[#This Row],[Address A]])</f>
        <v>010.012.001.124</v>
      </c>
      <c r="P1329" s="8" t="str">
        <f>formatIP(Table1[[#This Row],[Address B]])</f>
        <v>010.001.001.002</v>
      </c>
      <c r="Q1329" s="8" t="str">
        <f>VLOOKUP(Table1[[#This Row],[Address A]],IP_Master[],4,FALSE)</f>
        <v>KBPPLC</v>
      </c>
      <c r="R1329" s="8" t="e">
        <f>VLOOKUP(Table1[[#This Row],[Address B]],IP_Master[],4,FALSE)</f>
        <v>#N/A</v>
      </c>
      <c r="S1329" s="8" t="str">
        <f>VLOOKUP(Table1[[#This Row],[Address A]],IP_Master[],2,FALSE)</f>
        <v>Slag Fumer</v>
      </c>
      <c r="T1329" s="8" t="e">
        <f>VLOOKUP(Table1[[#This Row],[Address B]],IP_Master[],2,FALSE)</f>
        <v>#N/A</v>
      </c>
      <c r="U1329" s="9" t="str">
        <f>VLOOKUP(Table1[[#This Row],[Address A]],IP_Master[],3,FALSE)</f>
        <v>PLCs &amp; Control Equipment</v>
      </c>
      <c r="V1329" s="9" t="e">
        <f>VLOOKUP(Table1[[#This Row],[Address B]],IP_Master[],3,FALSE)</f>
        <v>#N/A</v>
      </c>
      <c r="W1329" s="9" t="str">
        <f>VLOOKUP(Table1[[#This Row],[Port B]],traffic_types[],2,FALSE)</f>
        <v>Modbus</v>
      </c>
    </row>
    <row r="1330" spans="1:23" x14ac:dyDescent="0.6">
      <c r="A1330" t="s">
        <v>174</v>
      </c>
      <c r="B1330">
        <v>3200</v>
      </c>
      <c r="C1330" t="s">
        <v>175</v>
      </c>
      <c r="D1330">
        <v>502</v>
      </c>
      <c r="E1330">
        <v>5</v>
      </c>
      <c r="F1330" s="13">
        <v>320</v>
      </c>
      <c r="G1330">
        <v>5</v>
      </c>
      <c r="H1330">
        <v>320</v>
      </c>
      <c r="I1330">
        <v>0</v>
      </c>
      <c r="J1330">
        <v>0</v>
      </c>
      <c r="K1330">
        <v>46.519263000000002</v>
      </c>
      <c r="L1330">
        <v>34.950490000000002</v>
      </c>
      <c r="M1330">
        <v>73.246469505863899</v>
      </c>
      <c r="N1330">
        <v>0</v>
      </c>
      <c r="O1330" s="8" t="str">
        <f>formatIP(Table1[[#This Row],[Address A]])</f>
        <v>010.012.001.124</v>
      </c>
      <c r="P1330" s="8" t="str">
        <f>formatIP(Table1[[#This Row],[Address B]])</f>
        <v>010.001.001.002</v>
      </c>
      <c r="Q1330" s="8" t="str">
        <f>VLOOKUP(Table1[[#This Row],[Address A]],IP_Master[],4,FALSE)</f>
        <v>KBPPLC</v>
      </c>
      <c r="R1330" s="8" t="e">
        <f>VLOOKUP(Table1[[#This Row],[Address B]],IP_Master[],4,FALSE)</f>
        <v>#N/A</v>
      </c>
      <c r="S1330" s="8" t="str">
        <f>VLOOKUP(Table1[[#This Row],[Address A]],IP_Master[],2,FALSE)</f>
        <v>Slag Fumer</v>
      </c>
      <c r="T1330" s="8" t="e">
        <f>VLOOKUP(Table1[[#This Row],[Address B]],IP_Master[],2,FALSE)</f>
        <v>#N/A</v>
      </c>
      <c r="U1330" s="9" t="str">
        <f>VLOOKUP(Table1[[#This Row],[Address A]],IP_Master[],3,FALSE)</f>
        <v>PLCs &amp; Control Equipment</v>
      </c>
      <c r="V1330" s="9" t="e">
        <f>VLOOKUP(Table1[[#This Row],[Address B]],IP_Master[],3,FALSE)</f>
        <v>#N/A</v>
      </c>
      <c r="W1330" s="9" t="str">
        <f>VLOOKUP(Table1[[#This Row],[Port B]],traffic_types[],2,FALSE)</f>
        <v>Modbus</v>
      </c>
    </row>
    <row r="1331" spans="1:23" x14ac:dyDescent="0.6">
      <c r="A1331" t="s">
        <v>174</v>
      </c>
      <c r="B1331">
        <v>3713</v>
      </c>
      <c r="C1331" t="s">
        <v>176</v>
      </c>
      <c r="D1331">
        <v>502</v>
      </c>
      <c r="E1331">
        <v>1</v>
      </c>
      <c r="F1331" s="13">
        <v>64</v>
      </c>
      <c r="G1331">
        <v>1</v>
      </c>
      <c r="H1331">
        <v>64</v>
      </c>
      <c r="I1331">
        <v>0</v>
      </c>
      <c r="J1331">
        <v>0</v>
      </c>
      <c r="K1331">
        <v>50.759306000000002</v>
      </c>
      <c r="L1331">
        <v>0</v>
      </c>
      <c r="M1331">
        <v>0</v>
      </c>
      <c r="N1331">
        <v>0</v>
      </c>
      <c r="O1331" s="8" t="str">
        <f>formatIP(Table1[[#This Row],[Address A]])</f>
        <v>010.012.001.124</v>
      </c>
      <c r="P1331" s="8" t="str">
        <f>formatIP(Table1[[#This Row],[Address B]])</f>
        <v>010.001.001.003</v>
      </c>
      <c r="Q1331" s="8" t="str">
        <f>VLOOKUP(Table1[[#This Row],[Address A]],IP_Master[],4,FALSE)</f>
        <v>KBPPLC</v>
      </c>
      <c r="R1331" s="8" t="e">
        <f>VLOOKUP(Table1[[#This Row],[Address B]],IP_Master[],4,FALSE)</f>
        <v>#N/A</v>
      </c>
      <c r="S1331" s="8" t="str">
        <f>VLOOKUP(Table1[[#This Row],[Address A]],IP_Master[],2,FALSE)</f>
        <v>Slag Fumer</v>
      </c>
      <c r="T1331" s="8" t="e">
        <f>VLOOKUP(Table1[[#This Row],[Address B]],IP_Master[],2,FALSE)</f>
        <v>#N/A</v>
      </c>
      <c r="U1331" s="9" t="str">
        <f>VLOOKUP(Table1[[#This Row],[Address A]],IP_Master[],3,FALSE)</f>
        <v>PLCs &amp; Control Equipment</v>
      </c>
      <c r="V1331" s="9" t="e">
        <f>VLOOKUP(Table1[[#This Row],[Address B]],IP_Master[],3,FALSE)</f>
        <v>#N/A</v>
      </c>
      <c r="W1331" s="9" t="str">
        <f>VLOOKUP(Table1[[#This Row],[Port B]],traffic_types[],2,FALSE)</f>
        <v>Modbus</v>
      </c>
    </row>
    <row r="1332" spans="1:23" x14ac:dyDescent="0.6">
      <c r="A1332" t="s">
        <v>174</v>
      </c>
      <c r="B1332">
        <v>3713</v>
      </c>
      <c r="C1332" t="s">
        <v>176</v>
      </c>
      <c r="D1332">
        <v>502</v>
      </c>
      <c r="E1332">
        <v>5</v>
      </c>
      <c r="F1332" s="13">
        <v>320</v>
      </c>
      <c r="G1332">
        <v>5</v>
      </c>
      <c r="H1332">
        <v>320</v>
      </c>
      <c r="I1332">
        <v>0</v>
      </c>
      <c r="J1332">
        <v>0</v>
      </c>
      <c r="K1332">
        <v>50.759309000000002</v>
      </c>
      <c r="L1332">
        <v>160.82232400000001</v>
      </c>
      <c r="M1332">
        <v>15.918188074436699</v>
      </c>
      <c r="N1332">
        <v>0</v>
      </c>
      <c r="O1332" s="8" t="str">
        <f>formatIP(Table1[[#This Row],[Address A]])</f>
        <v>010.012.001.124</v>
      </c>
      <c r="P1332" s="8" t="str">
        <f>formatIP(Table1[[#This Row],[Address B]])</f>
        <v>010.001.001.003</v>
      </c>
      <c r="Q1332" s="8" t="str">
        <f>VLOOKUP(Table1[[#This Row],[Address A]],IP_Master[],4,FALSE)</f>
        <v>KBPPLC</v>
      </c>
      <c r="R1332" s="8" t="e">
        <f>VLOOKUP(Table1[[#This Row],[Address B]],IP_Master[],4,FALSE)</f>
        <v>#N/A</v>
      </c>
      <c r="S1332" s="8" t="str">
        <f>VLOOKUP(Table1[[#This Row],[Address A]],IP_Master[],2,FALSE)</f>
        <v>Slag Fumer</v>
      </c>
      <c r="T1332" s="8" t="e">
        <f>VLOOKUP(Table1[[#This Row],[Address B]],IP_Master[],2,FALSE)</f>
        <v>#N/A</v>
      </c>
      <c r="U1332" s="9" t="str">
        <f>VLOOKUP(Table1[[#This Row],[Address A]],IP_Master[],3,FALSE)</f>
        <v>PLCs &amp; Control Equipment</v>
      </c>
      <c r="V1332" s="9" t="e">
        <f>VLOOKUP(Table1[[#This Row],[Address B]],IP_Master[],3,FALSE)</f>
        <v>#N/A</v>
      </c>
      <c r="W1332" s="9" t="str">
        <f>VLOOKUP(Table1[[#This Row],[Port B]],traffic_types[],2,FALSE)</f>
        <v>Modbus</v>
      </c>
    </row>
    <row r="1333" spans="1:23" x14ac:dyDescent="0.6">
      <c r="A1333" t="s">
        <v>174</v>
      </c>
      <c r="B1333">
        <v>4736</v>
      </c>
      <c r="C1333" t="s">
        <v>175</v>
      </c>
      <c r="D1333">
        <v>502</v>
      </c>
      <c r="E1333">
        <v>1</v>
      </c>
      <c r="F1333" s="13">
        <v>64</v>
      </c>
      <c r="G1333">
        <v>1</v>
      </c>
      <c r="H1333">
        <v>64</v>
      </c>
      <c r="I1333">
        <v>0</v>
      </c>
      <c r="J1333">
        <v>0</v>
      </c>
      <c r="K1333">
        <v>53.509222999999999</v>
      </c>
      <c r="L1333">
        <v>0</v>
      </c>
      <c r="M1333">
        <v>0</v>
      </c>
      <c r="N1333">
        <v>0</v>
      </c>
      <c r="O1333" s="8" t="str">
        <f>formatIP(Table1[[#This Row],[Address A]])</f>
        <v>010.012.001.124</v>
      </c>
      <c r="P1333" s="8" t="str">
        <f>formatIP(Table1[[#This Row],[Address B]])</f>
        <v>010.001.001.002</v>
      </c>
      <c r="Q1333" s="8" t="str">
        <f>VLOOKUP(Table1[[#This Row],[Address A]],IP_Master[],4,FALSE)</f>
        <v>KBPPLC</v>
      </c>
      <c r="R1333" s="8" t="e">
        <f>VLOOKUP(Table1[[#This Row],[Address B]],IP_Master[],4,FALSE)</f>
        <v>#N/A</v>
      </c>
      <c r="S1333" s="8" t="str">
        <f>VLOOKUP(Table1[[#This Row],[Address A]],IP_Master[],2,FALSE)</f>
        <v>Slag Fumer</v>
      </c>
      <c r="T1333" s="8" t="e">
        <f>VLOOKUP(Table1[[#This Row],[Address B]],IP_Master[],2,FALSE)</f>
        <v>#N/A</v>
      </c>
      <c r="U1333" s="9" t="str">
        <f>VLOOKUP(Table1[[#This Row],[Address A]],IP_Master[],3,FALSE)</f>
        <v>PLCs &amp; Control Equipment</v>
      </c>
      <c r="V1333" s="9" t="e">
        <f>VLOOKUP(Table1[[#This Row],[Address B]],IP_Master[],3,FALSE)</f>
        <v>#N/A</v>
      </c>
      <c r="W1333" s="9" t="str">
        <f>VLOOKUP(Table1[[#This Row],[Port B]],traffic_types[],2,FALSE)</f>
        <v>Modbus</v>
      </c>
    </row>
    <row r="1334" spans="1:23" x14ac:dyDescent="0.6">
      <c r="A1334" t="s">
        <v>174</v>
      </c>
      <c r="B1334">
        <v>4736</v>
      </c>
      <c r="C1334" t="s">
        <v>175</v>
      </c>
      <c r="D1334">
        <v>502</v>
      </c>
      <c r="E1334">
        <v>5</v>
      </c>
      <c r="F1334" s="13">
        <v>320</v>
      </c>
      <c r="G1334">
        <v>5</v>
      </c>
      <c r="H1334">
        <v>320</v>
      </c>
      <c r="I1334">
        <v>0</v>
      </c>
      <c r="J1334">
        <v>0</v>
      </c>
      <c r="K1334">
        <v>53.509224000000003</v>
      </c>
      <c r="L1334">
        <v>125.83193900000001</v>
      </c>
      <c r="M1334">
        <v>20.344596295222001</v>
      </c>
      <c r="N1334">
        <v>0</v>
      </c>
      <c r="O1334" s="8" t="str">
        <f>formatIP(Table1[[#This Row],[Address A]])</f>
        <v>010.012.001.124</v>
      </c>
      <c r="P1334" s="8" t="str">
        <f>formatIP(Table1[[#This Row],[Address B]])</f>
        <v>010.001.001.002</v>
      </c>
      <c r="Q1334" s="8" t="str">
        <f>VLOOKUP(Table1[[#This Row],[Address A]],IP_Master[],4,FALSE)</f>
        <v>KBPPLC</v>
      </c>
      <c r="R1334" s="8" t="e">
        <f>VLOOKUP(Table1[[#This Row],[Address B]],IP_Master[],4,FALSE)</f>
        <v>#N/A</v>
      </c>
      <c r="S1334" s="8" t="str">
        <f>VLOOKUP(Table1[[#This Row],[Address A]],IP_Master[],2,FALSE)</f>
        <v>Slag Fumer</v>
      </c>
      <c r="T1334" s="8" t="e">
        <f>VLOOKUP(Table1[[#This Row],[Address B]],IP_Master[],2,FALSE)</f>
        <v>#N/A</v>
      </c>
      <c r="U1334" s="9" t="str">
        <f>VLOOKUP(Table1[[#This Row],[Address A]],IP_Master[],3,FALSE)</f>
        <v>PLCs &amp; Control Equipment</v>
      </c>
      <c r="V1334" s="9" t="e">
        <f>VLOOKUP(Table1[[#This Row],[Address B]],IP_Master[],3,FALSE)</f>
        <v>#N/A</v>
      </c>
      <c r="W1334" s="9" t="str">
        <f>VLOOKUP(Table1[[#This Row],[Port B]],traffic_types[],2,FALSE)</f>
        <v>Modbus</v>
      </c>
    </row>
    <row r="1335" spans="1:23" x14ac:dyDescent="0.6">
      <c r="A1335" t="s">
        <v>174</v>
      </c>
      <c r="B1335">
        <v>3329</v>
      </c>
      <c r="C1335" t="s">
        <v>176</v>
      </c>
      <c r="D1335">
        <v>502</v>
      </c>
      <c r="E1335">
        <v>5</v>
      </c>
      <c r="F1335" s="13">
        <v>320</v>
      </c>
      <c r="G1335">
        <v>5</v>
      </c>
      <c r="H1335">
        <v>320</v>
      </c>
      <c r="I1335">
        <v>0</v>
      </c>
      <c r="J1335">
        <v>0</v>
      </c>
      <c r="K1335">
        <v>57.750252000000003</v>
      </c>
      <c r="L1335">
        <v>160.82156800000001</v>
      </c>
      <c r="M1335">
        <v>15.9182629036424</v>
      </c>
      <c r="N1335">
        <v>0</v>
      </c>
      <c r="O1335" s="8" t="str">
        <f>formatIP(Table1[[#This Row],[Address A]])</f>
        <v>010.012.001.124</v>
      </c>
      <c r="P1335" s="8" t="str">
        <f>formatIP(Table1[[#This Row],[Address B]])</f>
        <v>010.001.001.003</v>
      </c>
      <c r="Q1335" s="8" t="str">
        <f>VLOOKUP(Table1[[#This Row],[Address A]],IP_Master[],4,FALSE)</f>
        <v>KBPPLC</v>
      </c>
      <c r="R1335" s="8" t="e">
        <f>VLOOKUP(Table1[[#This Row],[Address B]],IP_Master[],4,FALSE)</f>
        <v>#N/A</v>
      </c>
      <c r="S1335" s="8" t="str">
        <f>VLOOKUP(Table1[[#This Row],[Address A]],IP_Master[],2,FALSE)</f>
        <v>Slag Fumer</v>
      </c>
      <c r="T1335" s="8" t="e">
        <f>VLOOKUP(Table1[[#This Row],[Address B]],IP_Master[],2,FALSE)</f>
        <v>#N/A</v>
      </c>
      <c r="U1335" s="9" t="str">
        <f>VLOOKUP(Table1[[#This Row],[Address A]],IP_Master[],3,FALSE)</f>
        <v>PLCs &amp; Control Equipment</v>
      </c>
      <c r="V1335" s="9" t="e">
        <f>VLOOKUP(Table1[[#This Row],[Address B]],IP_Master[],3,FALSE)</f>
        <v>#N/A</v>
      </c>
      <c r="W1335" s="9" t="str">
        <f>VLOOKUP(Table1[[#This Row],[Port B]],traffic_types[],2,FALSE)</f>
        <v>Modbus</v>
      </c>
    </row>
    <row r="1336" spans="1:23" x14ac:dyDescent="0.6">
      <c r="A1336" t="s">
        <v>174</v>
      </c>
      <c r="B1336">
        <v>4352</v>
      </c>
      <c r="C1336" t="s">
        <v>175</v>
      </c>
      <c r="D1336">
        <v>502</v>
      </c>
      <c r="E1336">
        <v>5</v>
      </c>
      <c r="F1336" s="13">
        <v>320</v>
      </c>
      <c r="G1336">
        <v>5</v>
      </c>
      <c r="H1336">
        <v>320</v>
      </c>
      <c r="I1336">
        <v>0</v>
      </c>
      <c r="J1336">
        <v>0</v>
      </c>
      <c r="K1336">
        <v>60.499394000000002</v>
      </c>
      <c r="L1336">
        <v>34.95073</v>
      </c>
      <c r="M1336">
        <v>73.245966536321305</v>
      </c>
      <c r="N1336">
        <v>0</v>
      </c>
      <c r="O1336" s="8" t="str">
        <f>formatIP(Table1[[#This Row],[Address A]])</f>
        <v>010.012.001.124</v>
      </c>
      <c r="P1336" s="8" t="str">
        <f>formatIP(Table1[[#This Row],[Address B]])</f>
        <v>010.001.001.002</v>
      </c>
      <c r="Q1336" s="8" t="str">
        <f>VLOOKUP(Table1[[#This Row],[Address A]],IP_Master[],4,FALSE)</f>
        <v>KBPPLC</v>
      </c>
      <c r="R1336" s="8" t="e">
        <f>VLOOKUP(Table1[[#This Row],[Address B]],IP_Master[],4,FALSE)</f>
        <v>#N/A</v>
      </c>
      <c r="S1336" s="8" t="str">
        <f>VLOOKUP(Table1[[#This Row],[Address A]],IP_Master[],2,FALSE)</f>
        <v>Slag Fumer</v>
      </c>
      <c r="T1336" s="8" t="e">
        <f>VLOOKUP(Table1[[#This Row],[Address B]],IP_Master[],2,FALSE)</f>
        <v>#N/A</v>
      </c>
      <c r="U1336" s="9" t="str">
        <f>VLOOKUP(Table1[[#This Row],[Address A]],IP_Master[],3,FALSE)</f>
        <v>PLCs &amp; Control Equipment</v>
      </c>
      <c r="V1336" s="9" t="e">
        <f>VLOOKUP(Table1[[#This Row],[Address B]],IP_Master[],3,FALSE)</f>
        <v>#N/A</v>
      </c>
      <c r="W1336" s="9" t="str">
        <f>VLOOKUP(Table1[[#This Row],[Port B]],traffic_types[],2,FALSE)</f>
        <v>Modbus</v>
      </c>
    </row>
    <row r="1337" spans="1:23" x14ac:dyDescent="0.6">
      <c r="A1337" t="s">
        <v>174</v>
      </c>
      <c r="B1337">
        <v>4865</v>
      </c>
      <c r="C1337" t="s">
        <v>176</v>
      </c>
      <c r="D1337">
        <v>502</v>
      </c>
      <c r="E1337">
        <v>1</v>
      </c>
      <c r="F1337" s="13">
        <v>64</v>
      </c>
      <c r="G1337">
        <v>1</v>
      </c>
      <c r="H1337">
        <v>64</v>
      </c>
      <c r="I1337">
        <v>0</v>
      </c>
      <c r="J1337">
        <v>0</v>
      </c>
      <c r="K1337">
        <v>64.749540999999994</v>
      </c>
      <c r="L1337">
        <v>0</v>
      </c>
      <c r="M1337">
        <v>0</v>
      </c>
      <c r="N1337">
        <v>0</v>
      </c>
      <c r="O1337" s="8" t="str">
        <f>formatIP(Table1[[#This Row],[Address A]])</f>
        <v>010.012.001.124</v>
      </c>
      <c r="P1337" s="8" t="str">
        <f>formatIP(Table1[[#This Row],[Address B]])</f>
        <v>010.001.001.003</v>
      </c>
      <c r="Q1337" s="8" t="str">
        <f>VLOOKUP(Table1[[#This Row],[Address A]],IP_Master[],4,FALSE)</f>
        <v>KBPPLC</v>
      </c>
      <c r="R1337" s="8" t="e">
        <f>VLOOKUP(Table1[[#This Row],[Address B]],IP_Master[],4,FALSE)</f>
        <v>#N/A</v>
      </c>
      <c r="S1337" s="8" t="str">
        <f>VLOOKUP(Table1[[#This Row],[Address A]],IP_Master[],2,FALSE)</f>
        <v>Slag Fumer</v>
      </c>
      <c r="T1337" s="8" t="e">
        <f>VLOOKUP(Table1[[#This Row],[Address B]],IP_Master[],2,FALSE)</f>
        <v>#N/A</v>
      </c>
      <c r="U1337" s="9" t="str">
        <f>VLOOKUP(Table1[[#This Row],[Address A]],IP_Master[],3,FALSE)</f>
        <v>PLCs &amp; Control Equipment</v>
      </c>
      <c r="V1337" s="9" t="e">
        <f>VLOOKUP(Table1[[#This Row],[Address B]],IP_Master[],3,FALSE)</f>
        <v>#N/A</v>
      </c>
      <c r="W1337" s="9" t="str">
        <f>VLOOKUP(Table1[[#This Row],[Port B]],traffic_types[],2,FALSE)</f>
        <v>Modbus</v>
      </c>
    </row>
    <row r="1338" spans="1:23" x14ac:dyDescent="0.6">
      <c r="A1338" t="s">
        <v>174</v>
      </c>
      <c r="B1338">
        <v>4865</v>
      </c>
      <c r="C1338" t="s">
        <v>176</v>
      </c>
      <c r="D1338">
        <v>502</v>
      </c>
      <c r="E1338">
        <v>5</v>
      </c>
      <c r="F1338" s="13">
        <v>320</v>
      </c>
      <c r="G1338">
        <v>5</v>
      </c>
      <c r="H1338">
        <v>320</v>
      </c>
      <c r="I1338">
        <v>0</v>
      </c>
      <c r="J1338">
        <v>0</v>
      </c>
      <c r="K1338">
        <v>64.749544</v>
      </c>
      <c r="L1338">
        <v>286.66398700000002</v>
      </c>
      <c r="M1338">
        <v>8.9303160358262907</v>
      </c>
      <c r="N1338">
        <v>0</v>
      </c>
      <c r="O1338" s="8" t="str">
        <f>formatIP(Table1[[#This Row],[Address A]])</f>
        <v>010.012.001.124</v>
      </c>
      <c r="P1338" s="8" t="str">
        <f>formatIP(Table1[[#This Row],[Address B]])</f>
        <v>010.001.001.003</v>
      </c>
      <c r="Q1338" s="8" t="str">
        <f>VLOOKUP(Table1[[#This Row],[Address A]],IP_Master[],4,FALSE)</f>
        <v>KBPPLC</v>
      </c>
      <c r="R1338" s="8" t="e">
        <f>VLOOKUP(Table1[[#This Row],[Address B]],IP_Master[],4,FALSE)</f>
        <v>#N/A</v>
      </c>
      <c r="S1338" s="8" t="str">
        <f>VLOOKUP(Table1[[#This Row],[Address A]],IP_Master[],2,FALSE)</f>
        <v>Slag Fumer</v>
      </c>
      <c r="T1338" s="8" t="e">
        <f>VLOOKUP(Table1[[#This Row],[Address B]],IP_Master[],2,FALSE)</f>
        <v>#N/A</v>
      </c>
      <c r="U1338" s="9" t="str">
        <f>VLOOKUP(Table1[[#This Row],[Address A]],IP_Master[],3,FALSE)</f>
        <v>PLCs &amp; Control Equipment</v>
      </c>
      <c r="V1338" s="9" t="e">
        <f>VLOOKUP(Table1[[#This Row],[Address B]],IP_Master[],3,FALSE)</f>
        <v>#N/A</v>
      </c>
      <c r="W1338" s="9" t="str">
        <f>VLOOKUP(Table1[[#This Row],[Port B]],traffic_types[],2,FALSE)</f>
        <v>Modbus</v>
      </c>
    </row>
    <row r="1339" spans="1:23" x14ac:dyDescent="0.6">
      <c r="A1339" t="s">
        <v>174</v>
      </c>
      <c r="B1339">
        <v>3968</v>
      </c>
      <c r="C1339" t="s">
        <v>175</v>
      </c>
      <c r="D1339">
        <v>502</v>
      </c>
      <c r="E1339">
        <v>1</v>
      </c>
      <c r="F1339" s="13">
        <v>64</v>
      </c>
      <c r="G1339">
        <v>1</v>
      </c>
      <c r="H1339">
        <v>64</v>
      </c>
      <c r="I1339">
        <v>0</v>
      </c>
      <c r="J1339">
        <v>0</v>
      </c>
      <c r="K1339">
        <v>67.489621</v>
      </c>
      <c r="L1339">
        <v>0</v>
      </c>
      <c r="M1339">
        <v>0</v>
      </c>
      <c r="N1339">
        <v>0</v>
      </c>
      <c r="O1339" s="8" t="str">
        <f>formatIP(Table1[[#This Row],[Address A]])</f>
        <v>010.012.001.124</v>
      </c>
      <c r="P1339" s="8" t="str">
        <f>formatIP(Table1[[#This Row],[Address B]])</f>
        <v>010.001.001.002</v>
      </c>
      <c r="Q1339" s="8" t="str">
        <f>VLOOKUP(Table1[[#This Row],[Address A]],IP_Master[],4,FALSE)</f>
        <v>KBPPLC</v>
      </c>
      <c r="R1339" s="8" t="e">
        <f>VLOOKUP(Table1[[#This Row],[Address B]],IP_Master[],4,FALSE)</f>
        <v>#N/A</v>
      </c>
      <c r="S1339" s="8" t="str">
        <f>VLOOKUP(Table1[[#This Row],[Address A]],IP_Master[],2,FALSE)</f>
        <v>Slag Fumer</v>
      </c>
      <c r="T1339" s="8" t="e">
        <f>VLOOKUP(Table1[[#This Row],[Address B]],IP_Master[],2,FALSE)</f>
        <v>#N/A</v>
      </c>
      <c r="U1339" s="9" t="str">
        <f>VLOOKUP(Table1[[#This Row],[Address A]],IP_Master[],3,FALSE)</f>
        <v>PLCs &amp; Control Equipment</v>
      </c>
      <c r="V1339" s="9" t="e">
        <f>VLOOKUP(Table1[[#This Row],[Address B]],IP_Master[],3,FALSE)</f>
        <v>#N/A</v>
      </c>
      <c r="W1339" s="9" t="str">
        <f>VLOOKUP(Table1[[#This Row],[Port B]],traffic_types[],2,FALSE)</f>
        <v>Modbus</v>
      </c>
    </row>
    <row r="1340" spans="1:23" x14ac:dyDescent="0.6">
      <c r="A1340" t="s">
        <v>174</v>
      </c>
      <c r="B1340">
        <v>3968</v>
      </c>
      <c r="C1340" t="s">
        <v>175</v>
      </c>
      <c r="D1340">
        <v>502</v>
      </c>
      <c r="E1340">
        <v>5</v>
      </c>
      <c r="F1340" s="13">
        <v>320</v>
      </c>
      <c r="G1340">
        <v>5</v>
      </c>
      <c r="H1340">
        <v>320</v>
      </c>
      <c r="I1340">
        <v>0</v>
      </c>
      <c r="J1340">
        <v>0</v>
      </c>
      <c r="K1340">
        <v>67.489626000000001</v>
      </c>
      <c r="L1340">
        <v>125.83166900000001</v>
      </c>
      <c r="M1340">
        <v>20.3446399491053</v>
      </c>
      <c r="N1340">
        <v>0</v>
      </c>
      <c r="O1340" s="8" t="str">
        <f>formatIP(Table1[[#This Row],[Address A]])</f>
        <v>010.012.001.124</v>
      </c>
      <c r="P1340" s="8" t="str">
        <f>formatIP(Table1[[#This Row],[Address B]])</f>
        <v>010.001.001.002</v>
      </c>
      <c r="Q1340" s="8" t="str">
        <f>VLOOKUP(Table1[[#This Row],[Address A]],IP_Master[],4,FALSE)</f>
        <v>KBPPLC</v>
      </c>
      <c r="R1340" s="8" t="e">
        <f>VLOOKUP(Table1[[#This Row],[Address B]],IP_Master[],4,FALSE)</f>
        <v>#N/A</v>
      </c>
      <c r="S1340" s="8" t="str">
        <f>VLOOKUP(Table1[[#This Row],[Address A]],IP_Master[],2,FALSE)</f>
        <v>Slag Fumer</v>
      </c>
      <c r="T1340" s="8" t="e">
        <f>VLOOKUP(Table1[[#This Row],[Address B]],IP_Master[],2,FALSE)</f>
        <v>#N/A</v>
      </c>
      <c r="U1340" s="9" t="str">
        <f>VLOOKUP(Table1[[#This Row],[Address A]],IP_Master[],3,FALSE)</f>
        <v>PLCs &amp; Control Equipment</v>
      </c>
      <c r="V1340" s="9" t="e">
        <f>VLOOKUP(Table1[[#This Row],[Address B]],IP_Master[],3,FALSE)</f>
        <v>#N/A</v>
      </c>
      <c r="W1340" s="9" t="str">
        <f>VLOOKUP(Table1[[#This Row],[Port B]],traffic_types[],2,FALSE)</f>
        <v>Modbus</v>
      </c>
    </row>
    <row r="1341" spans="1:23" x14ac:dyDescent="0.6">
      <c r="A1341" t="s">
        <v>174</v>
      </c>
      <c r="B1341">
        <v>4481</v>
      </c>
      <c r="C1341" t="s">
        <v>176</v>
      </c>
      <c r="D1341">
        <v>502</v>
      </c>
      <c r="E1341">
        <v>5</v>
      </c>
      <c r="F1341" s="13">
        <v>320</v>
      </c>
      <c r="G1341">
        <v>5</v>
      </c>
      <c r="H1341">
        <v>320</v>
      </c>
      <c r="I1341">
        <v>0</v>
      </c>
      <c r="J1341">
        <v>0</v>
      </c>
      <c r="K1341">
        <v>71.739605999999995</v>
      </c>
      <c r="L1341">
        <v>251.713482</v>
      </c>
      <c r="M1341">
        <v>10.170293540335701</v>
      </c>
      <c r="N1341">
        <v>0</v>
      </c>
      <c r="O1341" s="8" t="str">
        <f>formatIP(Table1[[#This Row],[Address A]])</f>
        <v>010.012.001.124</v>
      </c>
      <c r="P1341" s="8" t="str">
        <f>formatIP(Table1[[#This Row],[Address B]])</f>
        <v>010.001.001.003</v>
      </c>
      <c r="Q1341" s="8" t="str">
        <f>VLOOKUP(Table1[[#This Row],[Address A]],IP_Master[],4,FALSE)</f>
        <v>KBPPLC</v>
      </c>
      <c r="R1341" s="8" t="e">
        <f>VLOOKUP(Table1[[#This Row],[Address B]],IP_Master[],4,FALSE)</f>
        <v>#N/A</v>
      </c>
      <c r="S1341" s="8" t="str">
        <f>VLOOKUP(Table1[[#This Row],[Address A]],IP_Master[],2,FALSE)</f>
        <v>Slag Fumer</v>
      </c>
      <c r="T1341" s="8" t="e">
        <f>VLOOKUP(Table1[[#This Row],[Address B]],IP_Master[],2,FALSE)</f>
        <v>#N/A</v>
      </c>
      <c r="U1341" s="9" t="str">
        <f>VLOOKUP(Table1[[#This Row],[Address A]],IP_Master[],3,FALSE)</f>
        <v>PLCs &amp; Control Equipment</v>
      </c>
      <c r="V1341" s="9" t="e">
        <f>VLOOKUP(Table1[[#This Row],[Address B]],IP_Master[],3,FALSE)</f>
        <v>#N/A</v>
      </c>
      <c r="W1341" s="9" t="str">
        <f>VLOOKUP(Table1[[#This Row],[Port B]],traffic_types[],2,FALSE)</f>
        <v>Modbus</v>
      </c>
    </row>
    <row r="1342" spans="1:23" x14ac:dyDescent="0.6">
      <c r="A1342" t="s">
        <v>174</v>
      </c>
      <c r="B1342">
        <v>3584</v>
      </c>
      <c r="C1342" t="s">
        <v>175</v>
      </c>
      <c r="D1342">
        <v>502</v>
      </c>
      <c r="E1342">
        <v>5</v>
      </c>
      <c r="F1342" s="13">
        <v>320</v>
      </c>
      <c r="G1342">
        <v>5</v>
      </c>
      <c r="H1342">
        <v>320</v>
      </c>
      <c r="I1342">
        <v>0</v>
      </c>
      <c r="J1342">
        <v>0</v>
      </c>
      <c r="K1342">
        <v>74.479670999999996</v>
      </c>
      <c r="L1342">
        <v>160.80224699999999</v>
      </c>
      <c r="M1342">
        <v>15.9201755433181</v>
      </c>
      <c r="N1342">
        <v>0</v>
      </c>
      <c r="O1342" s="8" t="str">
        <f>formatIP(Table1[[#This Row],[Address A]])</f>
        <v>010.012.001.124</v>
      </c>
      <c r="P1342" s="8" t="str">
        <f>formatIP(Table1[[#This Row],[Address B]])</f>
        <v>010.001.001.002</v>
      </c>
      <c r="Q1342" s="8" t="str">
        <f>VLOOKUP(Table1[[#This Row],[Address A]],IP_Master[],4,FALSE)</f>
        <v>KBPPLC</v>
      </c>
      <c r="R1342" s="8" t="e">
        <f>VLOOKUP(Table1[[#This Row],[Address B]],IP_Master[],4,FALSE)</f>
        <v>#N/A</v>
      </c>
      <c r="S1342" s="8" t="str">
        <f>VLOOKUP(Table1[[#This Row],[Address A]],IP_Master[],2,FALSE)</f>
        <v>Slag Fumer</v>
      </c>
      <c r="T1342" s="8" t="e">
        <f>VLOOKUP(Table1[[#This Row],[Address B]],IP_Master[],2,FALSE)</f>
        <v>#N/A</v>
      </c>
      <c r="U1342" s="9" t="str">
        <f>VLOOKUP(Table1[[#This Row],[Address A]],IP_Master[],3,FALSE)</f>
        <v>PLCs &amp; Control Equipment</v>
      </c>
      <c r="V1342" s="9" t="e">
        <f>VLOOKUP(Table1[[#This Row],[Address B]],IP_Master[],3,FALSE)</f>
        <v>#N/A</v>
      </c>
      <c r="W1342" s="9" t="str">
        <f>VLOOKUP(Table1[[#This Row],[Port B]],traffic_types[],2,FALSE)</f>
        <v>Modbus</v>
      </c>
    </row>
    <row r="1343" spans="1:23" x14ac:dyDescent="0.6">
      <c r="A1343" t="s">
        <v>174</v>
      </c>
      <c r="B1343">
        <v>4097</v>
      </c>
      <c r="C1343" t="s">
        <v>176</v>
      </c>
      <c r="D1343">
        <v>502</v>
      </c>
      <c r="E1343">
        <v>5</v>
      </c>
      <c r="F1343" s="13">
        <v>320</v>
      </c>
      <c r="G1343">
        <v>5</v>
      </c>
      <c r="H1343">
        <v>320</v>
      </c>
      <c r="I1343">
        <v>0</v>
      </c>
      <c r="J1343">
        <v>0</v>
      </c>
      <c r="K1343">
        <v>78.729775000000004</v>
      </c>
      <c r="L1343">
        <v>125.861801</v>
      </c>
      <c r="M1343">
        <v>20.339769331602</v>
      </c>
      <c r="N1343">
        <v>0</v>
      </c>
      <c r="O1343" s="8" t="str">
        <f>formatIP(Table1[[#This Row],[Address A]])</f>
        <v>010.012.001.124</v>
      </c>
      <c r="P1343" s="8" t="str">
        <f>formatIP(Table1[[#This Row],[Address B]])</f>
        <v>010.001.001.003</v>
      </c>
      <c r="Q1343" s="8" t="str">
        <f>VLOOKUP(Table1[[#This Row],[Address A]],IP_Master[],4,FALSE)</f>
        <v>KBPPLC</v>
      </c>
      <c r="R1343" s="8" t="e">
        <f>VLOOKUP(Table1[[#This Row],[Address B]],IP_Master[],4,FALSE)</f>
        <v>#N/A</v>
      </c>
      <c r="S1343" s="8" t="str">
        <f>VLOOKUP(Table1[[#This Row],[Address A]],IP_Master[],2,FALSE)</f>
        <v>Slag Fumer</v>
      </c>
      <c r="T1343" s="8" t="e">
        <f>VLOOKUP(Table1[[#This Row],[Address B]],IP_Master[],2,FALSE)</f>
        <v>#N/A</v>
      </c>
      <c r="U1343" s="9" t="str">
        <f>VLOOKUP(Table1[[#This Row],[Address A]],IP_Master[],3,FALSE)</f>
        <v>PLCs &amp; Control Equipment</v>
      </c>
      <c r="V1343" s="9" t="e">
        <f>VLOOKUP(Table1[[#This Row],[Address B]],IP_Master[],3,FALSE)</f>
        <v>#N/A</v>
      </c>
      <c r="W1343" s="9" t="str">
        <f>VLOOKUP(Table1[[#This Row],[Port B]],traffic_types[],2,FALSE)</f>
        <v>Modbus</v>
      </c>
    </row>
    <row r="1344" spans="1:23" x14ac:dyDescent="0.6">
      <c r="A1344" t="s">
        <v>174</v>
      </c>
      <c r="B1344">
        <v>3200</v>
      </c>
      <c r="C1344" t="s">
        <v>175</v>
      </c>
      <c r="D1344">
        <v>502</v>
      </c>
      <c r="E1344">
        <v>5</v>
      </c>
      <c r="F1344" s="13">
        <v>320</v>
      </c>
      <c r="G1344">
        <v>5</v>
      </c>
      <c r="H1344">
        <v>320</v>
      </c>
      <c r="I1344">
        <v>0</v>
      </c>
      <c r="J1344">
        <v>0</v>
      </c>
      <c r="K1344">
        <v>81.469755000000006</v>
      </c>
      <c r="L1344">
        <v>356.54510800000003</v>
      </c>
      <c r="M1344">
        <v>7.1800171775179704</v>
      </c>
      <c r="N1344">
        <v>0</v>
      </c>
      <c r="O1344" s="8" t="str">
        <f>formatIP(Table1[[#This Row],[Address A]])</f>
        <v>010.012.001.124</v>
      </c>
      <c r="P1344" s="8" t="str">
        <f>formatIP(Table1[[#This Row],[Address B]])</f>
        <v>010.001.001.002</v>
      </c>
      <c r="Q1344" s="8" t="str">
        <f>VLOOKUP(Table1[[#This Row],[Address A]],IP_Master[],4,FALSE)</f>
        <v>KBPPLC</v>
      </c>
      <c r="R1344" s="8" t="e">
        <f>VLOOKUP(Table1[[#This Row],[Address B]],IP_Master[],4,FALSE)</f>
        <v>#N/A</v>
      </c>
      <c r="S1344" s="8" t="str">
        <f>VLOOKUP(Table1[[#This Row],[Address A]],IP_Master[],2,FALSE)</f>
        <v>Slag Fumer</v>
      </c>
      <c r="T1344" s="8" t="e">
        <f>VLOOKUP(Table1[[#This Row],[Address B]],IP_Master[],2,FALSE)</f>
        <v>#N/A</v>
      </c>
      <c r="U1344" s="9" t="str">
        <f>VLOOKUP(Table1[[#This Row],[Address A]],IP_Master[],3,FALSE)</f>
        <v>PLCs &amp; Control Equipment</v>
      </c>
      <c r="V1344" s="9" t="e">
        <f>VLOOKUP(Table1[[#This Row],[Address B]],IP_Master[],3,FALSE)</f>
        <v>#N/A</v>
      </c>
      <c r="W1344" s="9" t="str">
        <f>VLOOKUP(Table1[[#This Row],[Port B]],traffic_types[],2,FALSE)</f>
        <v>Modbus</v>
      </c>
    </row>
    <row r="1345" spans="1:23" x14ac:dyDescent="0.6">
      <c r="A1345" t="s">
        <v>174</v>
      </c>
      <c r="B1345">
        <v>3841</v>
      </c>
      <c r="C1345" t="s">
        <v>176</v>
      </c>
      <c r="D1345">
        <v>502</v>
      </c>
      <c r="E1345">
        <v>1</v>
      </c>
      <c r="F1345" s="13">
        <v>64</v>
      </c>
      <c r="G1345">
        <v>1</v>
      </c>
      <c r="H1345">
        <v>64</v>
      </c>
      <c r="I1345">
        <v>0</v>
      </c>
      <c r="J1345">
        <v>0</v>
      </c>
      <c r="K1345">
        <v>85.719791999999998</v>
      </c>
      <c r="L1345">
        <v>0</v>
      </c>
      <c r="M1345">
        <v>0</v>
      </c>
      <c r="N1345">
        <v>0</v>
      </c>
      <c r="O1345" s="8" t="str">
        <f>formatIP(Table1[[#This Row],[Address A]])</f>
        <v>010.012.001.124</v>
      </c>
      <c r="P1345" s="8" t="str">
        <f>formatIP(Table1[[#This Row],[Address B]])</f>
        <v>010.001.001.003</v>
      </c>
      <c r="Q1345" s="8" t="str">
        <f>VLOOKUP(Table1[[#This Row],[Address A]],IP_Master[],4,FALSE)</f>
        <v>KBPPLC</v>
      </c>
      <c r="R1345" s="8" t="e">
        <f>VLOOKUP(Table1[[#This Row],[Address B]],IP_Master[],4,FALSE)</f>
        <v>#N/A</v>
      </c>
      <c r="S1345" s="8" t="str">
        <f>VLOOKUP(Table1[[#This Row],[Address A]],IP_Master[],2,FALSE)</f>
        <v>Slag Fumer</v>
      </c>
      <c r="T1345" s="8" t="e">
        <f>VLOOKUP(Table1[[#This Row],[Address B]],IP_Master[],2,FALSE)</f>
        <v>#N/A</v>
      </c>
      <c r="U1345" s="9" t="str">
        <f>VLOOKUP(Table1[[#This Row],[Address A]],IP_Master[],3,FALSE)</f>
        <v>PLCs &amp; Control Equipment</v>
      </c>
      <c r="V1345" s="9" t="e">
        <f>VLOOKUP(Table1[[#This Row],[Address B]],IP_Master[],3,FALSE)</f>
        <v>#N/A</v>
      </c>
      <c r="W1345" s="9" t="str">
        <f>VLOOKUP(Table1[[#This Row],[Port B]],traffic_types[],2,FALSE)</f>
        <v>Modbus</v>
      </c>
    </row>
    <row r="1346" spans="1:23" x14ac:dyDescent="0.6">
      <c r="A1346" t="s">
        <v>174</v>
      </c>
      <c r="B1346">
        <v>3841</v>
      </c>
      <c r="C1346" t="s">
        <v>176</v>
      </c>
      <c r="D1346">
        <v>502</v>
      </c>
      <c r="E1346">
        <v>5</v>
      </c>
      <c r="F1346" s="13">
        <v>320</v>
      </c>
      <c r="G1346">
        <v>5</v>
      </c>
      <c r="H1346">
        <v>320</v>
      </c>
      <c r="I1346">
        <v>0</v>
      </c>
      <c r="J1346">
        <v>0</v>
      </c>
      <c r="K1346">
        <v>85.719793999999993</v>
      </c>
      <c r="L1346">
        <v>34.951160000000002</v>
      </c>
      <c r="M1346">
        <v>73.2450653998322</v>
      </c>
      <c r="N1346">
        <v>0</v>
      </c>
      <c r="O1346" s="8" t="str">
        <f>formatIP(Table1[[#This Row],[Address A]])</f>
        <v>010.012.001.124</v>
      </c>
      <c r="P1346" s="8" t="str">
        <f>formatIP(Table1[[#This Row],[Address B]])</f>
        <v>010.001.001.003</v>
      </c>
      <c r="Q1346" s="8" t="str">
        <f>VLOOKUP(Table1[[#This Row],[Address A]],IP_Master[],4,FALSE)</f>
        <v>KBPPLC</v>
      </c>
      <c r="R1346" s="8" t="e">
        <f>VLOOKUP(Table1[[#This Row],[Address B]],IP_Master[],4,FALSE)</f>
        <v>#N/A</v>
      </c>
      <c r="S1346" s="8" t="str">
        <f>VLOOKUP(Table1[[#This Row],[Address A]],IP_Master[],2,FALSE)</f>
        <v>Slag Fumer</v>
      </c>
      <c r="T1346" s="8" t="e">
        <f>VLOOKUP(Table1[[#This Row],[Address B]],IP_Master[],2,FALSE)</f>
        <v>#N/A</v>
      </c>
      <c r="U1346" s="9" t="str">
        <f>VLOOKUP(Table1[[#This Row],[Address A]],IP_Master[],3,FALSE)</f>
        <v>PLCs &amp; Control Equipment</v>
      </c>
      <c r="V1346" s="9" t="e">
        <f>VLOOKUP(Table1[[#This Row],[Address B]],IP_Master[],3,FALSE)</f>
        <v>#N/A</v>
      </c>
      <c r="W1346" s="9" t="str">
        <f>VLOOKUP(Table1[[#This Row],[Port B]],traffic_types[],2,FALSE)</f>
        <v>Modbus</v>
      </c>
    </row>
    <row r="1347" spans="1:23" x14ac:dyDescent="0.6">
      <c r="A1347" t="s">
        <v>174</v>
      </c>
      <c r="B1347">
        <v>4864</v>
      </c>
      <c r="C1347" t="s">
        <v>175</v>
      </c>
      <c r="D1347">
        <v>502</v>
      </c>
      <c r="E1347">
        <v>1</v>
      </c>
      <c r="F1347" s="13">
        <v>64</v>
      </c>
      <c r="G1347">
        <v>1</v>
      </c>
      <c r="H1347">
        <v>64</v>
      </c>
      <c r="I1347">
        <v>0</v>
      </c>
      <c r="J1347">
        <v>0</v>
      </c>
      <c r="K1347">
        <v>88.459890999999999</v>
      </c>
      <c r="L1347">
        <v>0</v>
      </c>
      <c r="M1347">
        <v>0</v>
      </c>
      <c r="N1347">
        <v>0</v>
      </c>
      <c r="O1347" s="8" t="str">
        <f>formatIP(Table1[[#This Row],[Address A]])</f>
        <v>010.012.001.124</v>
      </c>
      <c r="P1347" s="8" t="str">
        <f>formatIP(Table1[[#This Row],[Address B]])</f>
        <v>010.001.001.002</v>
      </c>
      <c r="Q1347" s="8" t="str">
        <f>VLOOKUP(Table1[[#This Row],[Address A]],IP_Master[],4,FALSE)</f>
        <v>KBPPLC</v>
      </c>
      <c r="R1347" s="8" t="e">
        <f>VLOOKUP(Table1[[#This Row],[Address B]],IP_Master[],4,FALSE)</f>
        <v>#N/A</v>
      </c>
      <c r="S1347" s="8" t="str">
        <f>VLOOKUP(Table1[[#This Row],[Address A]],IP_Master[],2,FALSE)</f>
        <v>Slag Fumer</v>
      </c>
      <c r="T1347" s="8" t="e">
        <f>VLOOKUP(Table1[[#This Row],[Address B]],IP_Master[],2,FALSE)</f>
        <v>#N/A</v>
      </c>
      <c r="U1347" s="9" t="str">
        <f>VLOOKUP(Table1[[#This Row],[Address A]],IP_Master[],3,FALSE)</f>
        <v>PLCs &amp; Control Equipment</v>
      </c>
      <c r="V1347" s="9" t="e">
        <f>VLOOKUP(Table1[[#This Row],[Address B]],IP_Master[],3,FALSE)</f>
        <v>#N/A</v>
      </c>
      <c r="W1347" s="9" t="str">
        <f>VLOOKUP(Table1[[#This Row],[Port B]],traffic_types[],2,FALSE)</f>
        <v>Modbus</v>
      </c>
    </row>
    <row r="1348" spans="1:23" x14ac:dyDescent="0.6">
      <c r="A1348" t="s">
        <v>174</v>
      </c>
      <c r="B1348">
        <v>4864</v>
      </c>
      <c r="C1348" t="s">
        <v>175</v>
      </c>
      <c r="D1348">
        <v>502</v>
      </c>
      <c r="E1348">
        <v>5</v>
      </c>
      <c r="F1348" s="13">
        <v>320</v>
      </c>
      <c r="G1348">
        <v>5</v>
      </c>
      <c r="H1348">
        <v>320</v>
      </c>
      <c r="I1348">
        <v>0</v>
      </c>
      <c r="J1348">
        <v>0</v>
      </c>
      <c r="K1348">
        <v>88.459894000000006</v>
      </c>
      <c r="L1348">
        <v>139.82193100000001</v>
      </c>
      <c r="M1348">
        <v>18.309001897563601</v>
      </c>
      <c r="N1348">
        <v>0</v>
      </c>
      <c r="O1348" s="8" t="str">
        <f>formatIP(Table1[[#This Row],[Address A]])</f>
        <v>010.012.001.124</v>
      </c>
      <c r="P1348" s="8" t="str">
        <f>formatIP(Table1[[#This Row],[Address B]])</f>
        <v>010.001.001.002</v>
      </c>
      <c r="Q1348" s="8" t="str">
        <f>VLOOKUP(Table1[[#This Row],[Address A]],IP_Master[],4,FALSE)</f>
        <v>KBPPLC</v>
      </c>
      <c r="R1348" s="8" t="e">
        <f>VLOOKUP(Table1[[#This Row],[Address B]],IP_Master[],4,FALSE)</f>
        <v>#N/A</v>
      </c>
      <c r="S1348" s="8" t="str">
        <f>VLOOKUP(Table1[[#This Row],[Address A]],IP_Master[],2,FALSE)</f>
        <v>Slag Fumer</v>
      </c>
      <c r="T1348" s="8" t="e">
        <f>VLOOKUP(Table1[[#This Row],[Address B]],IP_Master[],2,FALSE)</f>
        <v>#N/A</v>
      </c>
      <c r="U1348" s="9" t="str">
        <f>VLOOKUP(Table1[[#This Row],[Address A]],IP_Master[],3,FALSE)</f>
        <v>PLCs &amp; Control Equipment</v>
      </c>
      <c r="V1348" s="9" t="e">
        <f>VLOOKUP(Table1[[#This Row],[Address B]],IP_Master[],3,FALSE)</f>
        <v>#N/A</v>
      </c>
      <c r="W1348" s="9" t="str">
        <f>VLOOKUP(Table1[[#This Row],[Port B]],traffic_types[],2,FALSE)</f>
        <v>Modbus</v>
      </c>
    </row>
    <row r="1349" spans="1:23" x14ac:dyDescent="0.6">
      <c r="A1349" t="s">
        <v>174</v>
      </c>
      <c r="B1349">
        <v>3457</v>
      </c>
      <c r="C1349" t="s">
        <v>176</v>
      </c>
      <c r="D1349">
        <v>502</v>
      </c>
      <c r="E1349">
        <v>1</v>
      </c>
      <c r="F1349" s="13">
        <v>64</v>
      </c>
      <c r="G1349">
        <v>1</v>
      </c>
      <c r="H1349">
        <v>64</v>
      </c>
      <c r="I1349">
        <v>0</v>
      </c>
      <c r="J1349">
        <v>0</v>
      </c>
      <c r="K1349">
        <v>92.709902999999997</v>
      </c>
      <c r="L1349">
        <v>0</v>
      </c>
      <c r="M1349">
        <v>0</v>
      </c>
      <c r="N1349">
        <v>0</v>
      </c>
      <c r="O1349" s="8" t="str">
        <f>formatIP(Table1[[#This Row],[Address A]])</f>
        <v>010.012.001.124</v>
      </c>
      <c r="P1349" s="8" t="str">
        <f>formatIP(Table1[[#This Row],[Address B]])</f>
        <v>010.001.001.003</v>
      </c>
      <c r="Q1349" s="8" t="str">
        <f>VLOOKUP(Table1[[#This Row],[Address A]],IP_Master[],4,FALSE)</f>
        <v>KBPPLC</v>
      </c>
      <c r="R1349" s="8" t="e">
        <f>VLOOKUP(Table1[[#This Row],[Address B]],IP_Master[],4,FALSE)</f>
        <v>#N/A</v>
      </c>
      <c r="S1349" s="8" t="str">
        <f>VLOOKUP(Table1[[#This Row],[Address A]],IP_Master[],2,FALSE)</f>
        <v>Slag Fumer</v>
      </c>
      <c r="T1349" s="8" t="e">
        <f>VLOOKUP(Table1[[#This Row],[Address B]],IP_Master[],2,FALSE)</f>
        <v>#N/A</v>
      </c>
      <c r="U1349" s="9" t="str">
        <f>VLOOKUP(Table1[[#This Row],[Address A]],IP_Master[],3,FALSE)</f>
        <v>PLCs &amp; Control Equipment</v>
      </c>
      <c r="V1349" s="9" t="e">
        <f>VLOOKUP(Table1[[#This Row],[Address B]],IP_Master[],3,FALSE)</f>
        <v>#N/A</v>
      </c>
      <c r="W1349" s="9" t="str">
        <f>VLOOKUP(Table1[[#This Row],[Port B]],traffic_types[],2,FALSE)</f>
        <v>Modbus</v>
      </c>
    </row>
    <row r="1350" spans="1:23" x14ac:dyDescent="0.6">
      <c r="A1350" t="s">
        <v>174</v>
      </c>
      <c r="B1350">
        <v>3457</v>
      </c>
      <c r="C1350" t="s">
        <v>176</v>
      </c>
      <c r="D1350">
        <v>502</v>
      </c>
      <c r="E1350">
        <v>5</v>
      </c>
      <c r="F1350" s="13">
        <v>320</v>
      </c>
      <c r="G1350">
        <v>5</v>
      </c>
      <c r="H1350">
        <v>320</v>
      </c>
      <c r="I1350">
        <v>0</v>
      </c>
      <c r="J1350">
        <v>0</v>
      </c>
      <c r="K1350">
        <v>92.709906000000004</v>
      </c>
      <c r="L1350">
        <v>34.961320000000001</v>
      </c>
      <c r="M1350">
        <v>73.223779880164699</v>
      </c>
      <c r="N1350">
        <v>0</v>
      </c>
      <c r="O1350" s="8" t="str">
        <f>formatIP(Table1[[#This Row],[Address A]])</f>
        <v>010.012.001.124</v>
      </c>
      <c r="P1350" s="8" t="str">
        <f>formatIP(Table1[[#This Row],[Address B]])</f>
        <v>010.001.001.003</v>
      </c>
      <c r="Q1350" s="8" t="str">
        <f>VLOOKUP(Table1[[#This Row],[Address A]],IP_Master[],4,FALSE)</f>
        <v>KBPPLC</v>
      </c>
      <c r="R1350" s="8" t="e">
        <f>VLOOKUP(Table1[[#This Row],[Address B]],IP_Master[],4,FALSE)</f>
        <v>#N/A</v>
      </c>
      <c r="S1350" s="8" t="str">
        <f>VLOOKUP(Table1[[#This Row],[Address A]],IP_Master[],2,FALSE)</f>
        <v>Slag Fumer</v>
      </c>
      <c r="T1350" s="8" t="e">
        <f>VLOOKUP(Table1[[#This Row],[Address B]],IP_Master[],2,FALSE)</f>
        <v>#N/A</v>
      </c>
      <c r="U1350" s="9" t="str">
        <f>VLOOKUP(Table1[[#This Row],[Address A]],IP_Master[],3,FALSE)</f>
        <v>PLCs &amp; Control Equipment</v>
      </c>
      <c r="V1350" s="9" t="e">
        <f>VLOOKUP(Table1[[#This Row],[Address B]],IP_Master[],3,FALSE)</f>
        <v>#N/A</v>
      </c>
      <c r="W1350" s="9" t="str">
        <f>VLOOKUP(Table1[[#This Row],[Port B]],traffic_types[],2,FALSE)</f>
        <v>Modbus</v>
      </c>
    </row>
    <row r="1351" spans="1:23" x14ac:dyDescent="0.6">
      <c r="A1351" t="s">
        <v>174</v>
      </c>
      <c r="B1351">
        <v>4352</v>
      </c>
      <c r="C1351" t="s">
        <v>175</v>
      </c>
      <c r="D1351">
        <v>502</v>
      </c>
      <c r="E1351">
        <v>5</v>
      </c>
      <c r="F1351" s="13">
        <v>320</v>
      </c>
      <c r="G1351">
        <v>5</v>
      </c>
      <c r="H1351">
        <v>320</v>
      </c>
      <c r="I1351">
        <v>0</v>
      </c>
      <c r="J1351">
        <v>0</v>
      </c>
      <c r="K1351">
        <v>95.450126999999995</v>
      </c>
      <c r="L1351">
        <v>90.881072000000003</v>
      </c>
      <c r="M1351">
        <v>28.168681813084198</v>
      </c>
      <c r="N1351">
        <v>0</v>
      </c>
      <c r="O1351" s="8" t="str">
        <f>formatIP(Table1[[#This Row],[Address A]])</f>
        <v>010.012.001.124</v>
      </c>
      <c r="P1351" s="8" t="str">
        <f>formatIP(Table1[[#This Row],[Address B]])</f>
        <v>010.001.001.002</v>
      </c>
      <c r="Q1351" s="8" t="str">
        <f>VLOOKUP(Table1[[#This Row],[Address A]],IP_Master[],4,FALSE)</f>
        <v>KBPPLC</v>
      </c>
      <c r="R1351" s="8" t="e">
        <f>VLOOKUP(Table1[[#This Row],[Address B]],IP_Master[],4,FALSE)</f>
        <v>#N/A</v>
      </c>
      <c r="S1351" s="8" t="str">
        <f>VLOOKUP(Table1[[#This Row],[Address A]],IP_Master[],2,FALSE)</f>
        <v>Slag Fumer</v>
      </c>
      <c r="T1351" s="8" t="e">
        <f>VLOOKUP(Table1[[#This Row],[Address B]],IP_Master[],2,FALSE)</f>
        <v>#N/A</v>
      </c>
      <c r="U1351" s="9" t="str">
        <f>VLOOKUP(Table1[[#This Row],[Address A]],IP_Master[],3,FALSE)</f>
        <v>PLCs &amp; Control Equipment</v>
      </c>
      <c r="V1351" s="9" t="e">
        <f>VLOOKUP(Table1[[#This Row],[Address B]],IP_Master[],3,FALSE)</f>
        <v>#N/A</v>
      </c>
      <c r="W1351" s="9" t="str">
        <f>VLOOKUP(Table1[[#This Row],[Port B]],traffic_types[],2,FALSE)</f>
        <v>Modbus</v>
      </c>
    </row>
    <row r="1352" spans="1:23" x14ac:dyDescent="0.6">
      <c r="A1352" t="s">
        <v>174</v>
      </c>
      <c r="B1352">
        <v>3073</v>
      </c>
      <c r="C1352" t="s">
        <v>176</v>
      </c>
      <c r="D1352">
        <v>502</v>
      </c>
      <c r="E1352">
        <v>5</v>
      </c>
      <c r="F1352" s="13">
        <v>320</v>
      </c>
      <c r="G1352">
        <v>5</v>
      </c>
      <c r="H1352">
        <v>320</v>
      </c>
      <c r="I1352">
        <v>0</v>
      </c>
      <c r="J1352">
        <v>0</v>
      </c>
      <c r="K1352">
        <v>99.700002999999995</v>
      </c>
      <c r="L1352">
        <v>34.970483999999999</v>
      </c>
      <c r="M1352">
        <v>73.204591620750804</v>
      </c>
      <c r="N1352">
        <v>0</v>
      </c>
      <c r="O1352" s="8" t="str">
        <f>formatIP(Table1[[#This Row],[Address A]])</f>
        <v>010.012.001.124</v>
      </c>
      <c r="P1352" s="8" t="str">
        <f>formatIP(Table1[[#This Row],[Address B]])</f>
        <v>010.001.001.003</v>
      </c>
      <c r="Q1352" s="8" t="str">
        <f>VLOOKUP(Table1[[#This Row],[Address A]],IP_Master[],4,FALSE)</f>
        <v>KBPPLC</v>
      </c>
      <c r="R1352" s="8" t="e">
        <f>VLOOKUP(Table1[[#This Row],[Address B]],IP_Master[],4,FALSE)</f>
        <v>#N/A</v>
      </c>
      <c r="S1352" s="8" t="str">
        <f>VLOOKUP(Table1[[#This Row],[Address A]],IP_Master[],2,FALSE)</f>
        <v>Slag Fumer</v>
      </c>
      <c r="T1352" s="8" t="e">
        <f>VLOOKUP(Table1[[#This Row],[Address B]],IP_Master[],2,FALSE)</f>
        <v>#N/A</v>
      </c>
      <c r="U1352" s="9" t="str">
        <f>VLOOKUP(Table1[[#This Row],[Address A]],IP_Master[],3,FALSE)</f>
        <v>PLCs &amp; Control Equipment</v>
      </c>
      <c r="V1352" s="9" t="e">
        <f>VLOOKUP(Table1[[#This Row],[Address B]],IP_Master[],3,FALSE)</f>
        <v>#N/A</v>
      </c>
      <c r="W1352" s="9" t="str">
        <f>VLOOKUP(Table1[[#This Row],[Port B]],traffic_types[],2,FALSE)</f>
        <v>Modbus</v>
      </c>
    </row>
    <row r="1353" spans="1:23" x14ac:dyDescent="0.6">
      <c r="A1353" t="s">
        <v>174</v>
      </c>
      <c r="B1353">
        <v>4096</v>
      </c>
      <c r="C1353" t="s">
        <v>175</v>
      </c>
      <c r="D1353">
        <v>502</v>
      </c>
      <c r="E1353">
        <v>1</v>
      </c>
      <c r="F1353" s="13">
        <v>64</v>
      </c>
      <c r="G1353">
        <v>1</v>
      </c>
      <c r="H1353">
        <v>64</v>
      </c>
      <c r="I1353">
        <v>0</v>
      </c>
      <c r="J1353">
        <v>0</v>
      </c>
      <c r="K1353">
        <v>102.439986</v>
      </c>
      <c r="L1353">
        <v>0</v>
      </c>
      <c r="M1353">
        <v>0</v>
      </c>
      <c r="N1353">
        <v>0</v>
      </c>
      <c r="O1353" s="8" t="str">
        <f>formatIP(Table1[[#This Row],[Address A]])</f>
        <v>010.012.001.124</v>
      </c>
      <c r="P1353" s="8" t="str">
        <f>formatIP(Table1[[#This Row],[Address B]])</f>
        <v>010.001.001.002</v>
      </c>
      <c r="Q1353" s="8" t="str">
        <f>VLOOKUP(Table1[[#This Row],[Address A]],IP_Master[],4,FALSE)</f>
        <v>KBPPLC</v>
      </c>
      <c r="R1353" s="8" t="e">
        <f>VLOOKUP(Table1[[#This Row],[Address B]],IP_Master[],4,FALSE)</f>
        <v>#N/A</v>
      </c>
      <c r="S1353" s="8" t="str">
        <f>VLOOKUP(Table1[[#This Row],[Address A]],IP_Master[],2,FALSE)</f>
        <v>Slag Fumer</v>
      </c>
      <c r="T1353" s="8" t="e">
        <f>VLOOKUP(Table1[[#This Row],[Address B]],IP_Master[],2,FALSE)</f>
        <v>#N/A</v>
      </c>
      <c r="U1353" s="9" t="str">
        <f>VLOOKUP(Table1[[#This Row],[Address A]],IP_Master[],3,FALSE)</f>
        <v>PLCs &amp; Control Equipment</v>
      </c>
      <c r="V1353" s="9" t="e">
        <f>VLOOKUP(Table1[[#This Row],[Address B]],IP_Master[],3,FALSE)</f>
        <v>#N/A</v>
      </c>
      <c r="W1353" s="9" t="str">
        <f>VLOOKUP(Table1[[#This Row],[Port B]],traffic_types[],2,FALSE)</f>
        <v>Modbus</v>
      </c>
    </row>
    <row r="1354" spans="1:23" x14ac:dyDescent="0.6">
      <c r="A1354" t="s">
        <v>174</v>
      </c>
      <c r="B1354">
        <v>4096</v>
      </c>
      <c r="C1354" t="s">
        <v>175</v>
      </c>
      <c r="D1354">
        <v>502</v>
      </c>
      <c r="E1354">
        <v>5</v>
      </c>
      <c r="F1354" s="13">
        <v>320</v>
      </c>
      <c r="G1354">
        <v>5</v>
      </c>
      <c r="H1354">
        <v>320</v>
      </c>
      <c r="I1354">
        <v>0</v>
      </c>
      <c r="J1354">
        <v>0</v>
      </c>
      <c r="K1354">
        <v>102.439987</v>
      </c>
      <c r="L1354">
        <v>104.862245</v>
      </c>
      <c r="M1354">
        <v>24.412981049566501</v>
      </c>
      <c r="N1354">
        <v>0</v>
      </c>
      <c r="O1354" s="8" t="str">
        <f>formatIP(Table1[[#This Row],[Address A]])</f>
        <v>010.012.001.124</v>
      </c>
      <c r="P1354" s="8" t="str">
        <f>formatIP(Table1[[#This Row],[Address B]])</f>
        <v>010.001.001.002</v>
      </c>
      <c r="Q1354" s="8" t="str">
        <f>VLOOKUP(Table1[[#This Row],[Address A]],IP_Master[],4,FALSE)</f>
        <v>KBPPLC</v>
      </c>
      <c r="R1354" s="8" t="e">
        <f>VLOOKUP(Table1[[#This Row],[Address B]],IP_Master[],4,FALSE)</f>
        <v>#N/A</v>
      </c>
      <c r="S1354" s="8" t="str">
        <f>VLOOKUP(Table1[[#This Row],[Address A]],IP_Master[],2,FALSE)</f>
        <v>Slag Fumer</v>
      </c>
      <c r="T1354" s="8" t="e">
        <f>VLOOKUP(Table1[[#This Row],[Address B]],IP_Master[],2,FALSE)</f>
        <v>#N/A</v>
      </c>
      <c r="U1354" s="9" t="str">
        <f>VLOOKUP(Table1[[#This Row],[Address A]],IP_Master[],3,FALSE)</f>
        <v>PLCs &amp; Control Equipment</v>
      </c>
      <c r="V1354" s="9" t="e">
        <f>VLOOKUP(Table1[[#This Row],[Address B]],IP_Master[],3,FALSE)</f>
        <v>#N/A</v>
      </c>
      <c r="W1354" s="9" t="str">
        <f>VLOOKUP(Table1[[#This Row],[Port B]],traffic_types[],2,FALSE)</f>
        <v>Modbus</v>
      </c>
    </row>
    <row r="1355" spans="1:23" x14ac:dyDescent="0.6">
      <c r="A1355" t="s">
        <v>174</v>
      </c>
      <c r="B1355">
        <v>4609</v>
      </c>
      <c r="C1355" t="s">
        <v>176</v>
      </c>
      <c r="D1355">
        <v>502</v>
      </c>
      <c r="E1355">
        <v>1</v>
      </c>
      <c r="F1355" s="13">
        <v>64</v>
      </c>
      <c r="G1355">
        <v>1</v>
      </c>
      <c r="H1355">
        <v>64</v>
      </c>
      <c r="I1355">
        <v>0</v>
      </c>
      <c r="J1355">
        <v>0</v>
      </c>
      <c r="K1355">
        <v>106.690096</v>
      </c>
      <c r="L1355">
        <v>0</v>
      </c>
      <c r="M1355">
        <v>0</v>
      </c>
      <c r="N1355">
        <v>0</v>
      </c>
      <c r="O1355" s="8" t="str">
        <f>formatIP(Table1[[#This Row],[Address A]])</f>
        <v>010.012.001.124</v>
      </c>
      <c r="P1355" s="8" t="str">
        <f>formatIP(Table1[[#This Row],[Address B]])</f>
        <v>010.001.001.003</v>
      </c>
      <c r="Q1355" s="8" t="str">
        <f>VLOOKUP(Table1[[#This Row],[Address A]],IP_Master[],4,FALSE)</f>
        <v>KBPPLC</v>
      </c>
      <c r="R1355" s="8" t="e">
        <f>VLOOKUP(Table1[[#This Row],[Address B]],IP_Master[],4,FALSE)</f>
        <v>#N/A</v>
      </c>
      <c r="S1355" s="8" t="str">
        <f>VLOOKUP(Table1[[#This Row],[Address A]],IP_Master[],2,FALSE)</f>
        <v>Slag Fumer</v>
      </c>
      <c r="T1355" s="8" t="e">
        <f>VLOOKUP(Table1[[#This Row],[Address B]],IP_Master[],2,FALSE)</f>
        <v>#N/A</v>
      </c>
      <c r="U1355" s="9" t="str">
        <f>VLOOKUP(Table1[[#This Row],[Address A]],IP_Master[],3,FALSE)</f>
        <v>PLCs &amp; Control Equipment</v>
      </c>
      <c r="V1355" s="9" t="e">
        <f>VLOOKUP(Table1[[#This Row],[Address B]],IP_Master[],3,FALSE)</f>
        <v>#N/A</v>
      </c>
      <c r="W1355" s="9" t="str">
        <f>VLOOKUP(Table1[[#This Row],[Port B]],traffic_types[],2,FALSE)</f>
        <v>Modbus</v>
      </c>
    </row>
    <row r="1356" spans="1:23" x14ac:dyDescent="0.6">
      <c r="A1356" t="s">
        <v>174</v>
      </c>
      <c r="B1356">
        <v>4609</v>
      </c>
      <c r="C1356" t="s">
        <v>176</v>
      </c>
      <c r="D1356">
        <v>502</v>
      </c>
      <c r="E1356">
        <v>5</v>
      </c>
      <c r="F1356" s="13">
        <v>320</v>
      </c>
      <c r="G1356">
        <v>5</v>
      </c>
      <c r="H1356">
        <v>320</v>
      </c>
      <c r="I1356">
        <v>0</v>
      </c>
      <c r="J1356">
        <v>0</v>
      </c>
      <c r="K1356">
        <v>106.690099</v>
      </c>
      <c r="L1356">
        <v>34.971238999999997</v>
      </c>
      <c r="M1356">
        <v>73.203011194427503</v>
      </c>
      <c r="N1356">
        <v>0</v>
      </c>
      <c r="O1356" s="8" t="str">
        <f>formatIP(Table1[[#This Row],[Address A]])</f>
        <v>010.012.001.124</v>
      </c>
      <c r="P1356" s="8" t="str">
        <f>formatIP(Table1[[#This Row],[Address B]])</f>
        <v>010.001.001.003</v>
      </c>
      <c r="Q1356" s="8" t="str">
        <f>VLOOKUP(Table1[[#This Row],[Address A]],IP_Master[],4,FALSE)</f>
        <v>KBPPLC</v>
      </c>
      <c r="R1356" s="8" t="e">
        <f>VLOOKUP(Table1[[#This Row],[Address B]],IP_Master[],4,FALSE)</f>
        <v>#N/A</v>
      </c>
      <c r="S1356" s="8" t="str">
        <f>VLOOKUP(Table1[[#This Row],[Address A]],IP_Master[],2,FALSE)</f>
        <v>Slag Fumer</v>
      </c>
      <c r="T1356" s="8" t="e">
        <f>VLOOKUP(Table1[[#This Row],[Address B]],IP_Master[],2,FALSE)</f>
        <v>#N/A</v>
      </c>
      <c r="U1356" s="9" t="str">
        <f>VLOOKUP(Table1[[#This Row],[Address A]],IP_Master[],3,FALSE)</f>
        <v>PLCs &amp; Control Equipment</v>
      </c>
      <c r="V1356" s="9" t="e">
        <f>VLOOKUP(Table1[[#This Row],[Address B]],IP_Master[],3,FALSE)</f>
        <v>#N/A</v>
      </c>
      <c r="W1356" s="9" t="str">
        <f>VLOOKUP(Table1[[#This Row],[Port B]],traffic_types[],2,FALSE)</f>
        <v>Modbus</v>
      </c>
    </row>
    <row r="1357" spans="1:23" x14ac:dyDescent="0.6">
      <c r="A1357" t="s">
        <v>174</v>
      </c>
      <c r="B1357">
        <v>4608</v>
      </c>
      <c r="C1357" t="s">
        <v>175</v>
      </c>
      <c r="D1357">
        <v>502</v>
      </c>
      <c r="E1357">
        <v>5</v>
      </c>
      <c r="F1357" s="13">
        <v>320</v>
      </c>
      <c r="G1357">
        <v>5</v>
      </c>
      <c r="H1357">
        <v>320</v>
      </c>
      <c r="I1357">
        <v>0</v>
      </c>
      <c r="J1357">
        <v>0</v>
      </c>
      <c r="K1357">
        <v>109.430144</v>
      </c>
      <c r="L1357">
        <v>34.951244000000003</v>
      </c>
      <c r="M1357">
        <v>73.244889366455794</v>
      </c>
      <c r="N1357">
        <v>0</v>
      </c>
      <c r="O1357" s="8" t="str">
        <f>formatIP(Table1[[#This Row],[Address A]])</f>
        <v>010.012.001.124</v>
      </c>
      <c r="P1357" s="8" t="str">
        <f>formatIP(Table1[[#This Row],[Address B]])</f>
        <v>010.001.001.002</v>
      </c>
      <c r="Q1357" s="8" t="str">
        <f>VLOOKUP(Table1[[#This Row],[Address A]],IP_Master[],4,FALSE)</f>
        <v>KBPPLC</v>
      </c>
      <c r="R1357" s="8" t="e">
        <f>VLOOKUP(Table1[[#This Row],[Address B]],IP_Master[],4,FALSE)</f>
        <v>#N/A</v>
      </c>
      <c r="S1357" s="8" t="str">
        <f>VLOOKUP(Table1[[#This Row],[Address A]],IP_Master[],2,FALSE)</f>
        <v>Slag Fumer</v>
      </c>
      <c r="T1357" s="8" t="e">
        <f>VLOOKUP(Table1[[#This Row],[Address B]],IP_Master[],2,FALSE)</f>
        <v>#N/A</v>
      </c>
      <c r="U1357" s="9" t="str">
        <f>VLOOKUP(Table1[[#This Row],[Address A]],IP_Master[],3,FALSE)</f>
        <v>PLCs &amp; Control Equipment</v>
      </c>
      <c r="V1357" s="9" t="e">
        <f>VLOOKUP(Table1[[#This Row],[Address B]],IP_Master[],3,FALSE)</f>
        <v>#N/A</v>
      </c>
      <c r="W1357" s="9" t="str">
        <f>VLOOKUP(Table1[[#This Row],[Port B]],traffic_types[],2,FALSE)</f>
        <v>Modbus</v>
      </c>
    </row>
    <row r="1358" spans="1:23" x14ac:dyDescent="0.6">
      <c r="A1358" t="s">
        <v>174</v>
      </c>
      <c r="B1358">
        <v>4225</v>
      </c>
      <c r="C1358" t="s">
        <v>176</v>
      </c>
      <c r="D1358">
        <v>502</v>
      </c>
      <c r="E1358">
        <v>1</v>
      </c>
      <c r="F1358" s="13">
        <v>64</v>
      </c>
      <c r="G1358">
        <v>1</v>
      </c>
      <c r="H1358">
        <v>64</v>
      </c>
      <c r="I1358">
        <v>0</v>
      </c>
      <c r="J1358">
        <v>0</v>
      </c>
      <c r="K1358">
        <v>113.680162</v>
      </c>
      <c r="L1358">
        <v>0</v>
      </c>
      <c r="M1358">
        <v>0</v>
      </c>
      <c r="N1358">
        <v>0</v>
      </c>
      <c r="O1358" s="8" t="str">
        <f>formatIP(Table1[[#This Row],[Address A]])</f>
        <v>010.012.001.124</v>
      </c>
      <c r="P1358" s="8" t="str">
        <f>formatIP(Table1[[#This Row],[Address B]])</f>
        <v>010.001.001.003</v>
      </c>
      <c r="Q1358" s="8" t="str">
        <f>VLOOKUP(Table1[[#This Row],[Address A]],IP_Master[],4,FALSE)</f>
        <v>KBPPLC</v>
      </c>
      <c r="R1358" s="8" t="e">
        <f>VLOOKUP(Table1[[#This Row],[Address B]],IP_Master[],4,FALSE)</f>
        <v>#N/A</v>
      </c>
      <c r="S1358" s="8" t="str">
        <f>VLOOKUP(Table1[[#This Row],[Address A]],IP_Master[],2,FALSE)</f>
        <v>Slag Fumer</v>
      </c>
      <c r="T1358" s="8" t="e">
        <f>VLOOKUP(Table1[[#This Row],[Address B]],IP_Master[],2,FALSE)</f>
        <v>#N/A</v>
      </c>
      <c r="U1358" s="9" t="str">
        <f>VLOOKUP(Table1[[#This Row],[Address A]],IP_Master[],3,FALSE)</f>
        <v>PLCs &amp; Control Equipment</v>
      </c>
      <c r="V1358" s="9" t="e">
        <f>VLOOKUP(Table1[[#This Row],[Address B]],IP_Master[],3,FALSE)</f>
        <v>#N/A</v>
      </c>
      <c r="W1358" s="9" t="str">
        <f>VLOOKUP(Table1[[#This Row],[Port B]],traffic_types[],2,FALSE)</f>
        <v>Modbus</v>
      </c>
    </row>
    <row r="1359" spans="1:23" x14ac:dyDescent="0.6">
      <c r="A1359" t="s">
        <v>174</v>
      </c>
      <c r="B1359">
        <v>4225</v>
      </c>
      <c r="C1359" t="s">
        <v>176</v>
      </c>
      <c r="D1359">
        <v>502</v>
      </c>
      <c r="E1359">
        <v>5</v>
      </c>
      <c r="F1359" s="13">
        <v>320</v>
      </c>
      <c r="G1359">
        <v>5</v>
      </c>
      <c r="H1359">
        <v>320</v>
      </c>
      <c r="I1359">
        <v>0</v>
      </c>
      <c r="J1359">
        <v>0</v>
      </c>
      <c r="K1359">
        <v>113.68016299999999</v>
      </c>
      <c r="L1359">
        <v>125.87183899999999</v>
      </c>
      <c r="M1359">
        <v>20.338147280107702</v>
      </c>
      <c r="N1359">
        <v>0</v>
      </c>
      <c r="O1359" s="8" t="str">
        <f>formatIP(Table1[[#This Row],[Address A]])</f>
        <v>010.012.001.124</v>
      </c>
      <c r="P1359" s="8" t="str">
        <f>formatIP(Table1[[#This Row],[Address B]])</f>
        <v>010.001.001.003</v>
      </c>
      <c r="Q1359" s="8" t="str">
        <f>VLOOKUP(Table1[[#This Row],[Address A]],IP_Master[],4,FALSE)</f>
        <v>KBPPLC</v>
      </c>
      <c r="R1359" s="8" t="e">
        <f>VLOOKUP(Table1[[#This Row],[Address B]],IP_Master[],4,FALSE)</f>
        <v>#N/A</v>
      </c>
      <c r="S1359" s="8" t="str">
        <f>VLOOKUP(Table1[[#This Row],[Address A]],IP_Master[],2,FALSE)</f>
        <v>Slag Fumer</v>
      </c>
      <c r="T1359" s="8" t="e">
        <f>VLOOKUP(Table1[[#This Row],[Address B]],IP_Master[],2,FALSE)</f>
        <v>#N/A</v>
      </c>
      <c r="U1359" s="9" t="str">
        <f>VLOOKUP(Table1[[#This Row],[Address A]],IP_Master[],3,FALSE)</f>
        <v>PLCs &amp; Control Equipment</v>
      </c>
      <c r="V1359" s="9" t="e">
        <f>VLOOKUP(Table1[[#This Row],[Address B]],IP_Master[],3,FALSE)</f>
        <v>#N/A</v>
      </c>
      <c r="W1359" s="9" t="str">
        <f>VLOOKUP(Table1[[#This Row],[Port B]],traffic_types[],2,FALSE)</f>
        <v>Modbus</v>
      </c>
    </row>
    <row r="1360" spans="1:23" x14ac:dyDescent="0.6">
      <c r="A1360" t="s">
        <v>174</v>
      </c>
      <c r="B1360">
        <v>4224</v>
      </c>
      <c r="C1360" t="s">
        <v>175</v>
      </c>
      <c r="D1360">
        <v>502</v>
      </c>
      <c r="E1360">
        <v>5</v>
      </c>
      <c r="F1360" s="13">
        <v>320</v>
      </c>
      <c r="G1360">
        <v>5</v>
      </c>
      <c r="H1360">
        <v>320</v>
      </c>
      <c r="I1360">
        <v>0</v>
      </c>
      <c r="J1360">
        <v>0</v>
      </c>
      <c r="K1360">
        <v>116.42023</v>
      </c>
      <c r="L1360">
        <v>34.960527999999996</v>
      </c>
      <c r="M1360">
        <v>73.225438700468203</v>
      </c>
      <c r="N1360">
        <v>0</v>
      </c>
      <c r="O1360" s="8" t="str">
        <f>formatIP(Table1[[#This Row],[Address A]])</f>
        <v>010.012.001.124</v>
      </c>
      <c r="P1360" s="8" t="str">
        <f>formatIP(Table1[[#This Row],[Address B]])</f>
        <v>010.001.001.002</v>
      </c>
      <c r="Q1360" s="8" t="str">
        <f>VLOOKUP(Table1[[#This Row],[Address A]],IP_Master[],4,FALSE)</f>
        <v>KBPPLC</v>
      </c>
      <c r="R1360" s="8" t="e">
        <f>VLOOKUP(Table1[[#This Row],[Address B]],IP_Master[],4,FALSE)</f>
        <v>#N/A</v>
      </c>
      <c r="S1360" s="8" t="str">
        <f>VLOOKUP(Table1[[#This Row],[Address A]],IP_Master[],2,FALSE)</f>
        <v>Slag Fumer</v>
      </c>
      <c r="T1360" s="8" t="e">
        <f>VLOOKUP(Table1[[#This Row],[Address B]],IP_Master[],2,FALSE)</f>
        <v>#N/A</v>
      </c>
      <c r="U1360" s="9" t="str">
        <f>VLOOKUP(Table1[[#This Row],[Address A]],IP_Master[],3,FALSE)</f>
        <v>PLCs &amp; Control Equipment</v>
      </c>
      <c r="V1360" s="9" t="e">
        <f>VLOOKUP(Table1[[#This Row],[Address B]],IP_Master[],3,FALSE)</f>
        <v>#N/A</v>
      </c>
      <c r="W1360" s="9" t="str">
        <f>VLOOKUP(Table1[[#This Row],[Port B]],traffic_types[],2,FALSE)</f>
        <v>Modbus</v>
      </c>
    </row>
    <row r="1361" spans="1:23" x14ac:dyDescent="0.6">
      <c r="A1361" t="s">
        <v>174</v>
      </c>
      <c r="B1361">
        <v>3841</v>
      </c>
      <c r="C1361" t="s">
        <v>176</v>
      </c>
      <c r="D1361">
        <v>502</v>
      </c>
      <c r="E1361">
        <v>5</v>
      </c>
      <c r="F1361" s="13">
        <v>320</v>
      </c>
      <c r="G1361">
        <v>5</v>
      </c>
      <c r="H1361">
        <v>320</v>
      </c>
      <c r="I1361">
        <v>0</v>
      </c>
      <c r="J1361">
        <v>0</v>
      </c>
      <c r="K1361">
        <v>120.67095999999999</v>
      </c>
      <c r="L1361">
        <v>125.871134</v>
      </c>
      <c r="M1361">
        <v>20.338261193388501</v>
      </c>
      <c r="N1361">
        <v>0</v>
      </c>
      <c r="O1361" s="8" t="str">
        <f>formatIP(Table1[[#This Row],[Address A]])</f>
        <v>010.012.001.124</v>
      </c>
      <c r="P1361" s="8" t="str">
        <f>formatIP(Table1[[#This Row],[Address B]])</f>
        <v>010.001.001.003</v>
      </c>
      <c r="Q1361" s="8" t="str">
        <f>VLOOKUP(Table1[[#This Row],[Address A]],IP_Master[],4,FALSE)</f>
        <v>KBPPLC</v>
      </c>
      <c r="R1361" s="8" t="e">
        <f>VLOOKUP(Table1[[#This Row],[Address B]],IP_Master[],4,FALSE)</f>
        <v>#N/A</v>
      </c>
      <c r="S1361" s="8" t="str">
        <f>VLOOKUP(Table1[[#This Row],[Address A]],IP_Master[],2,FALSE)</f>
        <v>Slag Fumer</v>
      </c>
      <c r="T1361" s="8" t="e">
        <f>VLOOKUP(Table1[[#This Row],[Address B]],IP_Master[],2,FALSE)</f>
        <v>#N/A</v>
      </c>
      <c r="U1361" s="9" t="str">
        <f>VLOOKUP(Table1[[#This Row],[Address A]],IP_Master[],3,FALSE)</f>
        <v>PLCs &amp; Control Equipment</v>
      </c>
      <c r="V1361" s="9" t="e">
        <f>VLOOKUP(Table1[[#This Row],[Address B]],IP_Master[],3,FALSE)</f>
        <v>#N/A</v>
      </c>
      <c r="W1361" s="9" t="str">
        <f>VLOOKUP(Table1[[#This Row],[Port B]],traffic_types[],2,FALSE)</f>
        <v>Modbus</v>
      </c>
    </row>
    <row r="1362" spans="1:23" x14ac:dyDescent="0.6">
      <c r="A1362" t="s">
        <v>174</v>
      </c>
      <c r="B1362">
        <v>3840</v>
      </c>
      <c r="C1362" t="s">
        <v>175</v>
      </c>
      <c r="D1362">
        <v>502</v>
      </c>
      <c r="E1362">
        <v>5</v>
      </c>
      <c r="F1362" s="13">
        <v>320</v>
      </c>
      <c r="G1362">
        <v>5</v>
      </c>
      <c r="H1362">
        <v>320</v>
      </c>
      <c r="I1362">
        <v>0</v>
      </c>
      <c r="J1362">
        <v>0</v>
      </c>
      <c r="K1362">
        <v>123.410355</v>
      </c>
      <c r="L1362">
        <v>34.960436000000001</v>
      </c>
      <c r="M1362">
        <v>73.225631396587801</v>
      </c>
      <c r="N1362">
        <v>0</v>
      </c>
      <c r="O1362" s="8" t="str">
        <f>formatIP(Table1[[#This Row],[Address A]])</f>
        <v>010.012.001.124</v>
      </c>
      <c r="P1362" s="8" t="str">
        <f>formatIP(Table1[[#This Row],[Address B]])</f>
        <v>010.001.001.002</v>
      </c>
      <c r="Q1362" s="8" t="str">
        <f>VLOOKUP(Table1[[#This Row],[Address A]],IP_Master[],4,FALSE)</f>
        <v>KBPPLC</v>
      </c>
      <c r="R1362" s="8" t="e">
        <f>VLOOKUP(Table1[[#This Row],[Address B]],IP_Master[],4,FALSE)</f>
        <v>#N/A</v>
      </c>
      <c r="S1362" s="8" t="str">
        <f>VLOOKUP(Table1[[#This Row],[Address A]],IP_Master[],2,FALSE)</f>
        <v>Slag Fumer</v>
      </c>
      <c r="T1362" s="8" t="e">
        <f>VLOOKUP(Table1[[#This Row],[Address B]],IP_Master[],2,FALSE)</f>
        <v>#N/A</v>
      </c>
      <c r="U1362" s="9" t="str">
        <f>VLOOKUP(Table1[[#This Row],[Address A]],IP_Master[],3,FALSE)</f>
        <v>PLCs &amp; Control Equipment</v>
      </c>
      <c r="V1362" s="9" t="e">
        <f>VLOOKUP(Table1[[#This Row],[Address B]],IP_Master[],3,FALSE)</f>
        <v>#N/A</v>
      </c>
      <c r="W1362" s="9" t="str">
        <f>VLOOKUP(Table1[[#This Row],[Port B]],traffic_types[],2,FALSE)</f>
        <v>Modbus</v>
      </c>
    </row>
    <row r="1363" spans="1:23" x14ac:dyDescent="0.6">
      <c r="A1363" t="s">
        <v>174</v>
      </c>
      <c r="B1363">
        <v>3457</v>
      </c>
      <c r="C1363" t="s">
        <v>176</v>
      </c>
      <c r="D1363">
        <v>502</v>
      </c>
      <c r="E1363">
        <v>5</v>
      </c>
      <c r="F1363" s="13">
        <v>320</v>
      </c>
      <c r="G1363">
        <v>5</v>
      </c>
      <c r="H1363">
        <v>320</v>
      </c>
      <c r="I1363">
        <v>0</v>
      </c>
      <c r="J1363">
        <v>0</v>
      </c>
      <c r="K1363">
        <v>127.671229</v>
      </c>
      <c r="L1363">
        <v>125.86176500000001</v>
      </c>
      <c r="M1363">
        <v>20.3397751493474</v>
      </c>
      <c r="N1363">
        <v>0</v>
      </c>
      <c r="O1363" s="8" t="str">
        <f>formatIP(Table1[[#This Row],[Address A]])</f>
        <v>010.012.001.124</v>
      </c>
      <c r="P1363" s="8" t="str">
        <f>formatIP(Table1[[#This Row],[Address B]])</f>
        <v>010.001.001.003</v>
      </c>
      <c r="Q1363" s="8" t="str">
        <f>VLOOKUP(Table1[[#This Row],[Address A]],IP_Master[],4,FALSE)</f>
        <v>KBPPLC</v>
      </c>
      <c r="R1363" s="8" t="e">
        <f>VLOOKUP(Table1[[#This Row],[Address B]],IP_Master[],4,FALSE)</f>
        <v>#N/A</v>
      </c>
      <c r="S1363" s="8" t="str">
        <f>VLOOKUP(Table1[[#This Row],[Address A]],IP_Master[],2,FALSE)</f>
        <v>Slag Fumer</v>
      </c>
      <c r="T1363" s="8" t="e">
        <f>VLOOKUP(Table1[[#This Row],[Address B]],IP_Master[],2,FALSE)</f>
        <v>#N/A</v>
      </c>
      <c r="U1363" s="9" t="str">
        <f>VLOOKUP(Table1[[#This Row],[Address A]],IP_Master[],3,FALSE)</f>
        <v>PLCs &amp; Control Equipment</v>
      </c>
      <c r="V1363" s="9" t="e">
        <f>VLOOKUP(Table1[[#This Row],[Address B]],IP_Master[],3,FALSE)</f>
        <v>#N/A</v>
      </c>
      <c r="W1363" s="9" t="str">
        <f>VLOOKUP(Table1[[#This Row],[Port B]],traffic_types[],2,FALSE)</f>
        <v>Modbus</v>
      </c>
    </row>
    <row r="1364" spans="1:23" x14ac:dyDescent="0.6">
      <c r="A1364" t="s">
        <v>174</v>
      </c>
      <c r="B1364">
        <v>3456</v>
      </c>
      <c r="C1364" t="s">
        <v>175</v>
      </c>
      <c r="D1364">
        <v>502</v>
      </c>
      <c r="E1364">
        <v>1</v>
      </c>
      <c r="F1364" s="13">
        <v>64</v>
      </c>
      <c r="G1364">
        <v>1</v>
      </c>
      <c r="H1364">
        <v>64</v>
      </c>
      <c r="I1364">
        <v>0</v>
      </c>
      <c r="J1364">
        <v>0</v>
      </c>
      <c r="K1364">
        <v>130.40043600000001</v>
      </c>
      <c r="L1364">
        <v>0</v>
      </c>
      <c r="M1364">
        <v>0</v>
      </c>
      <c r="N1364">
        <v>0</v>
      </c>
      <c r="O1364" s="8" t="str">
        <f>formatIP(Table1[[#This Row],[Address A]])</f>
        <v>010.012.001.124</v>
      </c>
      <c r="P1364" s="8" t="str">
        <f>formatIP(Table1[[#This Row],[Address B]])</f>
        <v>010.001.001.002</v>
      </c>
      <c r="Q1364" s="8" t="str">
        <f>VLOOKUP(Table1[[#This Row],[Address A]],IP_Master[],4,FALSE)</f>
        <v>KBPPLC</v>
      </c>
      <c r="R1364" s="8" t="e">
        <f>VLOOKUP(Table1[[#This Row],[Address B]],IP_Master[],4,FALSE)</f>
        <v>#N/A</v>
      </c>
      <c r="S1364" s="8" t="str">
        <f>VLOOKUP(Table1[[#This Row],[Address A]],IP_Master[],2,FALSE)</f>
        <v>Slag Fumer</v>
      </c>
      <c r="T1364" s="8" t="e">
        <f>VLOOKUP(Table1[[#This Row],[Address B]],IP_Master[],2,FALSE)</f>
        <v>#N/A</v>
      </c>
      <c r="U1364" s="9" t="str">
        <f>VLOOKUP(Table1[[#This Row],[Address A]],IP_Master[],3,FALSE)</f>
        <v>PLCs &amp; Control Equipment</v>
      </c>
      <c r="V1364" s="9" t="e">
        <f>VLOOKUP(Table1[[#This Row],[Address B]],IP_Master[],3,FALSE)</f>
        <v>#N/A</v>
      </c>
      <c r="W1364" s="9" t="str">
        <f>VLOOKUP(Table1[[#This Row],[Port B]],traffic_types[],2,FALSE)</f>
        <v>Modbus</v>
      </c>
    </row>
    <row r="1365" spans="1:23" x14ac:dyDescent="0.6">
      <c r="A1365" t="s">
        <v>174</v>
      </c>
      <c r="B1365">
        <v>3456</v>
      </c>
      <c r="C1365" t="s">
        <v>175</v>
      </c>
      <c r="D1365">
        <v>502</v>
      </c>
      <c r="E1365">
        <v>5</v>
      </c>
      <c r="F1365" s="13">
        <v>320</v>
      </c>
      <c r="G1365">
        <v>5</v>
      </c>
      <c r="H1365">
        <v>320</v>
      </c>
      <c r="I1365">
        <v>0</v>
      </c>
      <c r="J1365">
        <v>0</v>
      </c>
      <c r="K1365">
        <v>130.40043800000001</v>
      </c>
      <c r="L1365">
        <v>34.960445</v>
      </c>
      <c r="M1365">
        <v>73.225612545835702</v>
      </c>
      <c r="N1365">
        <v>0</v>
      </c>
      <c r="O1365" s="8" t="str">
        <f>formatIP(Table1[[#This Row],[Address A]])</f>
        <v>010.012.001.124</v>
      </c>
      <c r="P1365" s="8" t="str">
        <f>formatIP(Table1[[#This Row],[Address B]])</f>
        <v>010.001.001.002</v>
      </c>
      <c r="Q1365" s="8" t="str">
        <f>VLOOKUP(Table1[[#This Row],[Address A]],IP_Master[],4,FALSE)</f>
        <v>KBPPLC</v>
      </c>
      <c r="R1365" s="8" t="e">
        <f>VLOOKUP(Table1[[#This Row],[Address B]],IP_Master[],4,FALSE)</f>
        <v>#N/A</v>
      </c>
      <c r="S1365" s="8" t="str">
        <f>VLOOKUP(Table1[[#This Row],[Address A]],IP_Master[],2,FALSE)</f>
        <v>Slag Fumer</v>
      </c>
      <c r="T1365" s="8" t="e">
        <f>VLOOKUP(Table1[[#This Row],[Address B]],IP_Master[],2,FALSE)</f>
        <v>#N/A</v>
      </c>
      <c r="U1365" s="9" t="str">
        <f>VLOOKUP(Table1[[#This Row],[Address A]],IP_Master[],3,FALSE)</f>
        <v>PLCs &amp; Control Equipment</v>
      </c>
      <c r="V1365" s="9" t="e">
        <f>VLOOKUP(Table1[[#This Row],[Address B]],IP_Master[],3,FALSE)</f>
        <v>#N/A</v>
      </c>
      <c r="W1365" s="9" t="str">
        <f>VLOOKUP(Table1[[#This Row],[Port B]],traffic_types[],2,FALSE)</f>
        <v>Modbus</v>
      </c>
    </row>
    <row r="1366" spans="1:23" x14ac:dyDescent="0.6">
      <c r="A1366" t="s">
        <v>174</v>
      </c>
      <c r="B1366">
        <v>3073</v>
      </c>
      <c r="C1366" t="s">
        <v>176</v>
      </c>
      <c r="D1366">
        <v>502</v>
      </c>
      <c r="E1366">
        <v>5</v>
      </c>
      <c r="F1366" s="13">
        <v>320</v>
      </c>
      <c r="G1366">
        <v>5</v>
      </c>
      <c r="H1366">
        <v>320</v>
      </c>
      <c r="I1366">
        <v>0</v>
      </c>
      <c r="J1366">
        <v>0</v>
      </c>
      <c r="K1366">
        <v>134.67049</v>
      </c>
      <c r="L1366">
        <v>90.891302999999994</v>
      </c>
      <c r="M1366">
        <v>28.165511061052801</v>
      </c>
      <c r="N1366">
        <v>0</v>
      </c>
      <c r="O1366" s="8" t="str">
        <f>formatIP(Table1[[#This Row],[Address A]])</f>
        <v>010.012.001.124</v>
      </c>
      <c r="P1366" s="8" t="str">
        <f>formatIP(Table1[[#This Row],[Address B]])</f>
        <v>010.001.001.003</v>
      </c>
      <c r="Q1366" s="8" t="str">
        <f>VLOOKUP(Table1[[#This Row],[Address A]],IP_Master[],4,FALSE)</f>
        <v>KBPPLC</v>
      </c>
      <c r="R1366" s="8" t="e">
        <f>VLOOKUP(Table1[[#This Row],[Address B]],IP_Master[],4,FALSE)</f>
        <v>#N/A</v>
      </c>
      <c r="S1366" s="8" t="str">
        <f>VLOOKUP(Table1[[#This Row],[Address A]],IP_Master[],2,FALSE)</f>
        <v>Slag Fumer</v>
      </c>
      <c r="T1366" s="8" t="e">
        <f>VLOOKUP(Table1[[#This Row],[Address B]],IP_Master[],2,FALSE)</f>
        <v>#N/A</v>
      </c>
      <c r="U1366" s="9" t="str">
        <f>VLOOKUP(Table1[[#This Row],[Address A]],IP_Master[],3,FALSE)</f>
        <v>PLCs &amp; Control Equipment</v>
      </c>
      <c r="V1366" s="9" t="e">
        <f>VLOOKUP(Table1[[#This Row],[Address B]],IP_Master[],3,FALSE)</f>
        <v>#N/A</v>
      </c>
      <c r="W1366" s="9" t="str">
        <f>VLOOKUP(Table1[[#This Row],[Port B]],traffic_types[],2,FALSE)</f>
        <v>Modbus</v>
      </c>
    </row>
    <row r="1367" spans="1:23" x14ac:dyDescent="0.6">
      <c r="A1367" t="s">
        <v>174</v>
      </c>
      <c r="B1367">
        <v>3072</v>
      </c>
      <c r="C1367" t="s">
        <v>175</v>
      </c>
      <c r="D1367">
        <v>502</v>
      </c>
      <c r="E1367">
        <v>5</v>
      </c>
      <c r="F1367" s="13">
        <v>320</v>
      </c>
      <c r="G1367">
        <v>5</v>
      </c>
      <c r="H1367">
        <v>320</v>
      </c>
      <c r="I1367">
        <v>0</v>
      </c>
      <c r="J1367">
        <v>0</v>
      </c>
      <c r="K1367">
        <v>137.39049900000001</v>
      </c>
      <c r="L1367">
        <v>34.960535</v>
      </c>
      <c r="M1367">
        <v>73.225424038848402</v>
      </c>
      <c r="N1367">
        <v>0</v>
      </c>
      <c r="O1367" s="8" t="str">
        <f>formatIP(Table1[[#This Row],[Address A]])</f>
        <v>010.012.001.124</v>
      </c>
      <c r="P1367" s="8" t="str">
        <f>formatIP(Table1[[#This Row],[Address B]])</f>
        <v>010.001.001.002</v>
      </c>
      <c r="Q1367" s="8" t="str">
        <f>VLOOKUP(Table1[[#This Row],[Address A]],IP_Master[],4,FALSE)</f>
        <v>KBPPLC</v>
      </c>
      <c r="R1367" s="8" t="e">
        <f>VLOOKUP(Table1[[#This Row],[Address B]],IP_Master[],4,FALSE)</f>
        <v>#N/A</v>
      </c>
      <c r="S1367" s="8" t="str">
        <f>VLOOKUP(Table1[[#This Row],[Address A]],IP_Master[],2,FALSE)</f>
        <v>Slag Fumer</v>
      </c>
      <c r="T1367" s="8" t="e">
        <f>VLOOKUP(Table1[[#This Row],[Address B]],IP_Master[],2,FALSE)</f>
        <v>#N/A</v>
      </c>
      <c r="U1367" s="9" t="str">
        <f>VLOOKUP(Table1[[#This Row],[Address A]],IP_Master[],3,FALSE)</f>
        <v>PLCs &amp; Control Equipment</v>
      </c>
      <c r="V1367" s="9" t="e">
        <f>VLOOKUP(Table1[[#This Row],[Address B]],IP_Master[],3,FALSE)</f>
        <v>#N/A</v>
      </c>
      <c r="W1367" s="9" t="str">
        <f>VLOOKUP(Table1[[#This Row],[Port B]],traffic_types[],2,FALSE)</f>
        <v>Modbus</v>
      </c>
    </row>
    <row r="1368" spans="1:23" x14ac:dyDescent="0.6">
      <c r="A1368" t="s">
        <v>174</v>
      </c>
      <c r="B1368">
        <v>4609</v>
      </c>
      <c r="C1368" t="s">
        <v>176</v>
      </c>
      <c r="D1368">
        <v>502</v>
      </c>
      <c r="E1368">
        <v>5</v>
      </c>
      <c r="F1368" s="13">
        <v>320</v>
      </c>
      <c r="G1368">
        <v>5</v>
      </c>
      <c r="H1368">
        <v>320</v>
      </c>
      <c r="I1368">
        <v>0</v>
      </c>
      <c r="J1368">
        <v>0</v>
      </c>
      <c r="K1368">
        <v>141.66134099999999</v>
      </c>
      <c r="L1368">
        <v>90.891327000000004</v>
      </c>
      <c r="M1368">
        <v>28.165503623904598</v>
      </c>
      <c r="N1368">
        <v>0</v>
      </c>
      <c r="O1368" s="8" t="str">
        <f>formatIP(Table1[[#This Row],[Address A]])</f>
        <v>010.012.001.124</v>
      </c>
      <c r="P1368" s="8" t="str">
        <f>formatIP(Table1[[#This Row],[Address B]])</f>
        <v>010.001.001.003</v>
      </c>
      <c r="Q1368" s="8" t="str">
        <f>VLOOKUP(Table1[[#This Row],[Address A]],IP_Master[],4,FALSE)</f>
        <v>KBPPLC</v>
      </c>
      <c r="R1368" s="8" t="e">
        <f>VLOOKUP(Table1[[#This Row],[Address B]],IP_Master[],4,FALSE)</f>
        <v>#N/A</v>
      </c>
      <c r="S1368" s="8" t="str">
        <f>VLOOKUP(Table1[[#This Row],[Address A]],IP_Master[],2,FALSE)</f>
        <v>Slag Fumer</v>
      </c>
      <c r="T1368" s="8" t="e">
        <f>VLOOKUP(Table1[[#This Row],[Address B]],IP_Master[],2,FALSE)</f>
        <v>#N/A</v>
      </c>
      <c r="U1368" s="9" t="str">
        <f>VLOOKUP(Table1[[#This Row],[Address A]],IP_Master[],3,FALSE)</f>
        <v>PLCs &amp; Control Equipment</v>
      </c>
      <c r="V1368" s="9" t="e">
        <f>VLOOKUP(Table1[[#This Row],[Address B]],IP_Master[],3,FALSE)</f>
        <v>#N/A</v>
      </c>
      <c r="W1368" s="9" t="str">
        <f>VLOOKUP(Table1[[#This Row],[Port B]],traffic_types[],2,FALSE)</f>
        <v>Modbus</v>
      </c>
    </row>
    <row r="1369" spans="1:23" x14ac:dyDescent="0.6">
      <c r="A1369" t="s">
        <v>174</v>
      </c>
      <c r="B1369">
        <v>4608</v>
      </c>
      <c r="C1369" t="s">
        <v>175</v>
      </c>
      <c r="D1369">
        <v>502</v>
      </c>
      <c r="E1369">
        <v>5</v>
      </c>
      <c r="F1369" s="13">
        <v>320</v>
      </c>
      <c r="G1369">
        <v>5</v>
      </c>
      <c r="H1369">
        <v>320</v>
      </c>
      <c r="I1369">
        <v>0</v>
      </c>
      <c r="J1369">
        <v>0</v>
      </c>
      <c r="K1369">
        <v>144.38139100000001</v>
      </c>
      <c r="L1369">
        <v>125.85102999999999</v>
      </c>
      <c r="M1369">
        <v>20.341510117159899</v>
      </c>
      <c r="N1369">
        <v>0</v>
      </c>
      <c r="O1369" s="8" t="str">
        <f>formatIP(Table1[[#This Row],[Address A]])</f>
        <v>010.012.001.124</v>
      </c>
      <c r="P1369" s="8" t="str">
        <f>formatIP(Table1[[#This Row],[Address B]])</f>
        <v>010.001.001.002</v>
      </c>
      <c r="Q1369" s="8" t="str">
        <f>VLOOKUP(Table1[[#This Row],[Address A]],IP_Master[],4,FALSE)</f>
        <v>KBPPLC</v>
      </c>
      <c r="R1369" s="8" t="e">
        <f>VLOOKUP(Table1[[#This Row],[Address B]],IP_Master[],4,FALSE)</f>
        <v>#N/A</v>
      </c>
      <c r="S1369" s="8" t="str">
        <f>VLOOKUP(Table1[[#This Row],[Address A]],IP_Master[],2,FALSE)</f>
        <v>Slag Fumer</v>
      </c>
      <c r="T1369" s="8" t="e">
        <f>VLOOKUP(Table1[[#This Row],[Address B]],IP_Master[],2,FALSE)</f>
        <v>#N/A</v>
      </c>
      <c r="U1369" s="9" t="str">
        <f>VLOOKUP(Table1[[#This Row],[Address A]],IP_Master[],3,FALSE)</f>
        <v>PLCs &amp; Control Equipment</v>
      </c>
      <c r="V1369" s="9" t="e">
        <f>VLOOKUP(Table1[[#This Row],[Address B]],IP_Master[],3,FALSE)</f>
        <v>#N/A</v>
      </c>
      <c r="W1369" s="9" t="str">
        <f>VLOOKUP(Table1[[#This Row],[Port B]],traffic_types[],2,FALSE)</f>
        <v>Modbus</v>
      </c>
    </row>
    <row r="1370" spans="1:23" x14ac:dyDescent="0.6">
      <c r="A1370" t="s">
        <v>174</v>
      </c>
      <c r="B1370">
        <v>4353</v>
      </c>
      <c r="C1370" t="s">
        <v>176</v>
      </c>
      <c r="D1370">
        <v>502</v>
      </c>
      <c r="E1370">
        <v>5</v>
      </c>
      <c r="F1370" s="13">
        <v>320</v>
      </c>
      <c r="G1370">
        <v>5</v>
      </c>
      <c r="H1370">
        <v>320</v>
      </c>
      <c r="I1370">
        <v>0</v>
      </c>
      <c r="J1370">
        <v>0</v>
      </c>
      <c r="K1370">
        <v>148.66067200000001</v>
      </c>
      <c r="L1370">
        <v>34.960527999999996</v>
      </c>
      <c r="M1370">
        <v>73.225438700468203</v>
      </c>
      <c r="N1370">
        <v>0</v>
      </c>
      <c r="O1370" s="8" t="str">
        <f>formatIP(Table1[[#This Row],[Address A]])</f>
        <v>010.012.001.124</v>
      </c>
      <c r="P1370" s="8" t="str">
        <f>formatIP(Table1[[#This Row],[Address B]])</f>
        <v>010.001.001.003</v>
      </c>
      <c r="Q1370" s="8" t="str">
        <f>VLOOKUP(Table1[[#This Row],[Address A]],IP_Master[],4,FALSE)</f>
        <v>KBPPLC</v>
      </c>
      <c r="R1370" s="8" t="e">
        <f>VLOOKUP(Table1[[#This Row],[Address B]],IP_Master[],4,FALSE)</f>
        <v>#N/A</v>
      </c>
      <c r="S1370" s="8" t="str">
        <f>VLOOKUP(Table1[[#This Row],[Address A]],IP_Master[],2,FALSE)</f>
        <v>Slag Fumer</v>
      </c>
      <c r="T1370" s="8" t="e">
        <f>VLOOKUP(Table1[[#This Row],[Address B]],IP_Master[],2,FALSE)</f>
        <v>#N/A</v>
      </c>
      <c r="U1370" s="9" t="str">
        <f>VLOOKUP(Table1[[#This Row],[Address A]],IP_Master[],3,FALSE)</f>
        <v>PLCs &amp; Control Equipment</v>
      </c>
      <c r="V1370" s="9" t="e">
        <f>VLOOKUP(Table1[[#This Row],[Address B]],IP_Master[],3,FALSE)</f>
        <v>#N/A</v>
      </c>
      <c r="W1370" s="9" t="str">
        <f>VLOOKUP(Table1[[#This Row],[Port B]],traffic_types[],2,FALSE)</f>
        <v>Modbus</v>
      </c>
    </row>
    <row r="1371" spans="1:23" x14ac:dyDescent="0.6">
      <c r="A1371" t="s">
        <v>174</v>
      </c>
      <c r="B1371">
        <v>4224</v>
      </c>
      <c r="C1371" t="s">
        <v>175</v>
      </c>
      <c r="D1371">
        <v>502</v>
      </c>
      <c r="E1371">
        <v>5</v>
      </c>
      <c r="F1371" s="13">
        <v>320</v>
      </c>
      <c r="G1371">
        <v>5</v>
      </c>
      <c r="H1371">
        <v>320</v>
      </c>
      <c r="I1371">
        <v>0</v>
      </c>
      <c r="J1371">
        <v>0</v>
      </c>
      <c r="K1371">
        <v>151.380762</v>
      </c>
      <c r="L1371">
        <v>125.84174</v>
      </c>
      <c r="M1371">
        <v>20.3430117860735</v>
      </c>
      <c r="N1371">
        <v>0</v>
      </c>
      <c r="O1371" s="8" t="str">
        <f>formatIP(Table1[[#This Row],[Address A]])</f>
        <v>010.012.001.124</v>
      </c>
      <c r="P1371" s="8" t="str">
        <f>formatIP(Table1[[#This Row],[Address B]])</f>
        <v>010.001.001.002</v>
      </c>
      <c r="Q1371" s="8" t="str">
        <f>VLOOKUP(Table1[[#This Row],[Address A]],IP_Master[],4,FALSE)</f>
        <v>KBPPLC</v>
      </c>
      <c r="R1371" s="8" t="e">
        <f>VLOOKUP(Table1[[#This Row],[Address B]],IP_Master[],4,FALSE)</f>
        <v>#N/A</v>
      </c>
      <c r="S1371" s="8" t="str">
        <f>VLOOKUP(Table1[[#This Row],[Address A]],IP_Master[],2,FALSE)</f>
        <v>Slag Fumer</v>
      </c>
      <c r="T1371" s="8" t="e">
        <f>VLOOKUP(Table1[[#This Row],[Address B]],IP_Master[],2,FALSE)</f>
        <v>#N/A</v>
      </c>
      <c r="U1371" s="9" t="str">
        <f>VLOOKUP(Table1[[#This Row],[Address A]],IP_Master[],3,FALSE)</f>
        <v>PLCs &amp; Control Equipment</v>
      </c>
      <c r="V1371" s="9" t="e">
        <f>VLOOKUP(Table1[[#This Row],[Address B]],IP_Master[],3,FALSE)</f>
        <v>#N/A</v>
      </c>
      <c r="W1371" s="9" t="str">
        <f>VLOOKUP(Table1[[#This Row],[Port B]],traffic_types[],2,FALSE)</f>
        <v>Modbus</v>
      </c>
    </row>
    <row r="1372" spans="1:23" x14ac:dyDescent="0.6">
      <c r="A1372" t="s">
        <v>174</v>
      </c>
      <c r="B1372">
        <v>3969</v>
      </c>
      <c r="C1372" t="s">
        <v>176</v>
      </c>
      <c r="D1372">
        <v>502</v>
      </c>
      <c r="E1372">
        <v>5</v>
      </c>
      <c r="F1372" s="13">
        <v>320</v>
      </c>
      <c r="G1372">
        <v>5</v>
      </c>
      <c r="H1372">
        <v>320</v>
      </c>
      <c r="I1372">
        <v>0</v>
      </c>
      <c r="J1372">
        <v>0</v>
      </c>
      <c r="K1372">
        <v>155.65085199999999</v>
      </c>
      <c r="L1372">
        <v>34.960413000000003</v>
      </c>
      <c r="M1372">
        <v>73.225679570776194</v>
      </c>
      <c r="N1372">
        <v>0</v>
      </c>
      <c r="O1372" s="8" t="str">
        <f>formatIP(Table1[[#This Row],[Address A]])</f>
        <v>010.012.001.124</v>
      </c>
      <c r="P1372" s="8" t="str">
        <f>formatIP(Table1[[#This Row],[Address B]])</f>
        <v>010.001.001.003</v>
      </c>
      <c r="Q1372" s="8" t="str">
        <f>VLOOKUP(Table1[[#This Row],[Address A]],IP_Master[],4,FALSE)</f>
        <v>KBPPLC</v>
      </c>
      <c r="R1372" s="8" t="e">
        <f>VLOOKUP(Table1[[#This Row],[Address B]],IP_Master[],4,FALSE)</f>
        <v>#N/A</v>
      </c>
      <c r="S1372" s="8" t="str">
        <f>VLOOKUP(Table1[[#This Row],[Address A]],IP_Master[],2,FALSE)</f>
        <v>Slag Fumer</v>
      </c>
      <c r="T1372" s="8" t="e">
        <f>VLOOKUP(Table1[[#This Row],[Address B]],IP_Master[],2,FALSE)</f>
        <v>#N/A</v>
      </c>
      <c r="U1372" s="9" t="str">
        <f>VLOOKUP(Table1[[#This Row],[Address A]],IP_Master[],3,FALSE)</f>
        <v>PLCs &amp; Control Equipment</v>
      </c>
      <c r="V1372" s="9" t="e">
        <f>VLOOKUP(Table1[[#This Row],[Address B]],IP_Master[],3,FALSE)</f>
        <v>#N/A</v>
      </c>
      <c r="W1372" s="9" t="str">
        <f>VLOOKUP(Table1[[#This Row],[Port B]],traffic_types[],2,FALSE)</f>
        <v>Modbus</v>
      </c>
    </row>
    <row r="1373" spans="1:23" x14ac:dyDescent="0.6">
      <c r="A1373" t="s">
        <v>174</v>
      </c>
      <c r="B1373">
        <v>3840</v>
      </c>
      <c r="C1373" t="s">
        <v>175</v>
      </c>
      <c r="D1373">
        <v>502</v>
      </c>
      <c r="E1373">
        <v>5</v>
      </c>
      <c r="F1373" s="13">
        <v>320</v>
      </c>
      <c r="G1373">
        <v>5</v>
      </c>
      <c r="H1373">
        <v>320</v>
      </c>
      <c r="I1373">
        <v>0</v>
      </c>
      <c r="J1373">
        <v>0</v>
      </c>
      <c r="K1373">
        <v>158.37079399999999</v>
      </c>
      <c r="L1373">
        <v>90.891405000000006</v>
      </c>
      <c r="M1373">
        <v>28.165479453200199</v>
      </c>
      <c r="N1373">
        <v>0</v>
      </c>
      <c r="O1373" s="8" t="str">
        <f>formatIP(Table1[[#This Row],[Address A]])</f>
        <v>010.012.001.124</v>
      </c>
      <c r="P1373" s="8" t="str">
        <f>formatIP(Table1[[#This Row],[Address B]])</f>
        <v>010.001.001.002</v>
      </c>
      <c r="Q1373" s="8" t="str">
        <f>VLOOKUP(Table1[[#This Row],[Address A]],IP_Master[],4,FALSE)</f>
        <v>KBPPLC</v>
      </c>
      <c r="R1373" s="8" t="e">
        <f>VLOOKUP(Table1[[#This Row],[Address B]],IP_Master[],4,FALSE)</f>
        <v>#N/A</v>
      </c>
      <c r="S1373" s="8" t="str">
        <f>VLOOKUP(Table1[[#This Row],[Address A]],IP_Master[],2,FALSE)</f>
        <v>Slag Fumer</v>
      </c>
      <c r="T1373" s="8" t="e">
        <f>VLOOKUP(Table1[[#This Row],[Address B]],IP_Master[],2,FALSE)</f>
        <v>#N/A</v>
      </c>
      <c r="U1373" s="9" t="str">
        <f>VLOOKUP(Table1[[#This Row],[Address A]],IP_Master[],3,FALSE)</f>
        <v>PLCs &amp; Control Equipment</v>
      </c>
      <c r="V1373" s="9" t="e">
        <f>VLOOKUP(Table1[[#This Row],[Address B]],IP_Master[],3,FALSE)</f>
        <v>#N/A</v>
      </c>
      <c r="W1373" s="9" t="str">
        <f>VLOOKUP(Table1[[#This Row],[Port B]],traffic_types[],2,FALSE)</f>
        <v>Modbus</v>
      </c>
    </row>
    <row r="1374" spans="1:23" x14ac:dyDescent="0.6">
      <c r="A1374" t="s">
        <v>174</v>
      </c>
      <c r="B1374">
        <v>3585</v>
      </c>
      <c r="C1374" t="s">
        <v>176</v>
      </c>
      <c r="D1374">
        <v>502</v>
      </c>
      <c r="E1374">
        <v>5</v>
      </c>
      <c r="F1374" s="13">
        <v>320</v>
      </c>
      <c r="G1374">
        <v>5</v>
      </c>
      <c r="H1374">
        <v>320</v>
      </c>
      <c r="I1374">
        <v>0</v>
      </c>
      <c r="J1374">
        <v>0</v>
      </c>
      <c r="K1374">
        <v>162.64077</v>
      </c>
      <c r="L1374">
        <v>34.960687999999998</v>
      </c>
      <c r="M1374">
        <v>73.225103579197295</v>
      </c>
      <c r="N1374">
        <v>0</v>
      </c>
      <c r="O1374" s="8" t="str">
        <f>formatIP(Table1[[#This Row],[Address A]])</f>
        <v>010.012.001.124</v>
      </c>
      <c r="P1374" s="8" t="str">
        <f>formatIP(Table1[[#This Row],[Address B]])</f>
        <v>010.001.001.003</v>
      </c>
      <c r="Q1374" s="8" t="str">
        <f>VLOOKUP(Table1[[#This Row],[Address A]],IP_Master[],4,FALSE)</f>
        <v>KBPPLC</v>
      </c>
      <c r="R1374" s="8" t="e">
        <f>VLOOKUP(Table1[[#This Row],[Address B]],IP_Master[],4,FALSE)</f>
        <v>#N/A</v>
      </c>
      <c r="S1374" s="8" t="str">
        <f>VLOOKUP(Table1[[#This Row],[Address A]],IP_Master[],2,FALSE)</f>
        <v>Slag Fumer</v>
      </c>
      <c r="T1374" s="8" t="e">
        <f>VLOOKUP(Table1[[#This Row],[Address B]],IP_Master[],2,FALSE)</f>
        <v>#N/A</v>
      </c>
      <c r="U1374" s="9" t="str">
        <f>VLOOKUP(Table1[[#This Row],[Address A]],IP_Master[],3,FALSE)</f>
        <v>PLCs &amp; Control Equipment</v>
      </c>
      <c r="V1374" s="9" t="e">
        <f>VLOOKUP(Table1[[#This Row],[Address B]],IP_Master[],3,FALSE)</f>
        <v>#N/A</v>
      </c>
      <c r="W1374" s="9" t="str">
        <f>VLOOKUP(Table1[[#This Row],[Port B]],traffic_types[],2,FALSE)</f>
        <v>Modbus</v>
      </c>
    </row>
    <row r="1375" spans="1:23" x14ac:dyDescent="0.6">
      <c r="A1375" t="s">
        <v>174</v>
      </c>
      <c r="B1375">
        <v>3456</v>
      </c>
      <c r="C1375" t="s">
        <v>175</v>
      </c>
      <c r="D1375">
        <v>502</v>
      </c>
      <c r="E1375">
        <v>5</v>
      </c>
      <c r="F1375" s="13">
        <v>320</v>
      </c>
      <c r="G1375">
        <v>5</v>
      </c>
      <c r="H1375">
        <v>320</v>
      </c>
      <c r="I1375">
        <v>0</v>
      </c>
      <c r="J1375">
        <v>0</v>
      </c>
      <c r="K1375">
        <v>165.36088599999999</v>
      </c>
      <c r="L1375">
        <v>90.891345000000001</v>
      </c>
      <c r="M1375">
        <v>28.1654980460461</v>
      </c>
      <c r="N1375">
        <v>0</v>
      </c>
      <c r="O1375" s="8" t="str">
        <f>formatIP(Table1[[#This Row],[Address A]])</f>
        <v>010.012.001.124</v>
      </c>
      <c r="P1375" s="8" t="str">
        <f>formatIP(Table1[[#This Row],[Address B]])</f>
        <v>010.001.001.002</v>
      </c>
      <c r="Q1375" s="8" t="str">
        <f>VLOOKUP(Table1[[#This Row],[Address A]],IP_Master[],4,FALSE)</f>
        <v>KBPPLC</v>
      </c>
      <c r="R1375" s="8" t="e">
        <f>VLOOKUP(Table1[[#This Row],[Address B]],IP_Master[],4,FALSE)</f>
        <v>#N/A</v>
      </c>
      <c r="S1375" s="8" t="str">
        <f>VLOOKUP(Table1[[#This Row],[Address A]],IP_Master[],2,FALSE)</f>
        <v>Slag Fumer</v>
      </c>
      <c r="T1375" s="8" t="e">
        <f>VLOOKUP(Table1[[#This Row],[Address B]],IP_Master[],2,FALSE)</f>
        <v>#N/A</v>
      </c>
      <c r="U1375" s="9" t="str">
        <f>VLOOKUP(Table1[[#This Row],[Address A]],IP_Master[],3,FALSE)</f>
        <v>PLCs &amp; Control Equipment</v>
      </c>
      <c r="V1375" s="9" t="e">
        <f>VLOOKUP(Table1[[#This Row],[Address B]],IP_Master[],3,FALSE)</f>
        <v>#N/A</v>
      </c>
      <c r="W1375" s="9" t="str">
        <f>VLOOKUP(Table1[[#This Row],[Port B]],traffic_types[],2,FALSE)</f>
        <v>Modbus</v>
      </c>
    </row>
    <row r="1376" spans="1:23" x14ac:dyDescent="0.6">
      <c r="A1376" t="s">
        <v>174</v>
      </c>
      <c r="B1376">
        <v>3201</v>
      </c>
      <c r="C1376" t="s">
        <v>176</v>
      </c>
      <c r="D1376">
        <v>502</v>
      </c>
      <c r="E1376">
        <v>1</v>
      </c>
      <c r="F1376" s="13">
        <v>64</v>
      </c>
      <c r="G1376">
        <v>1</v>
      </c>
      <c r="H1376">
        <v>64</v>
      </c>
      <c r="I1376">
        <v>0</v>
      </c>
      <c r="J1376">
        <v>0</v>
      </c>
      <c r="K1376">
        <v>169.631024</v>
      </c>
      <c r="L1376">
        <v>0</v>
      </c>
      <c r="M1376">
        <v>0</v>
      </c>
      <c r="N1376">
        <v>0</v>
      </c>
      <c r="O1376" s="8" t="str">
        <f>formatIP(Table1[[#This Row],[Address A]])</f>
        <v>010.012.001.124</v>
      </c>
      <c r="P1376" s="8" t="str">
        <f>formatIP(Table1[[#This Row],[Address B]])</f>
        <v>010.001.001.003</v>
      </c>
      <c r="Q1376" s="8" t="str">
        <f>VLOOKUP(Table1[[#This Row],[Address A]],IP_Master[],4,FALSE)</f>
        <v>KBPPLC</v>
      </c>
      <c r="R1376" s="8" t="e">
        <f>VLOOKUP(Table1[[#This Row],[Address B]],IP_Master[],4,FALSE)</f>
        <v>#N/A</v>
      </c>
      <c r="S1376" s="8" t="str">
        <f>VLOOKUP(Table1[[#This Row],[Address A]],IP_Master[],2,FALSE)</f>
        <v>Slag Fumer</v>
      </c>
      <c r="T1376" s="8" t="e">
        <f>VLOOKUP(Table1[[#This Row],[Address B]],IP_Master[],2,FALSE)</f>
        <v>#N/A</v>
      </c>
      <c r="U1376" s="9" t="str">
        <f>VLOOKUP(Table1[[#This Row],[Address A]],IP_Master[],3,FALSE)</f>
        <v>PLCs &amp; Control Equipment</v>
      </c>
      <c r="V1376" s="9" t="e">
        <f>VLOOKUP(Table1[[#This Row],[Address B]],IP_Master[],3,FALSE)</f>
        <v>#N/A</v>
      </c>
      <c r="W1376" s="9" t="str">
        <f>VLOOKUP(Table1[[#This Row],[Port B]],traffic_types[],2,FALSE)</f>
        <v>Modbus</v>
      </c>
    </row>
    <row r="1377" spans="1:23" x14ac:dyDescent="0.6">
      <c r="A1377" t="s">
        <v>174</v>
      </c>
      <c r="B1377">
        <v>3201</v>
      </c>
      <c r="C1377" t="s">
        <v>176</v>
      </c>
      <c r="D1377">
        <v>502</v>
      </c>
      <c r="E1377">
        <v>5</v>
      </c>
      <c r="F1377" s="13">
        <v>320</v>
      </c>
      <c r="G1377">
        <v>5</v>
      </c>
      <c r="H1377">
        <v>320</v>
      </c>
      <c r="I1377">
        <v>0</v>
      </c>
      <c r="J1377">
        <v>0</v>
      </c>
      <c r="K1377">
        <v>169.63102499999999</v>
      </c>
      <c r="L1377">
        <v>125.861744</v>
      </c>
      <c r="M1377">
        <v>20.339778543033699</v>
      </c>
      <c r="N1377">
        <v>0</v>
      </c>
      <c r="O1377" s="8" t="str">
        <f>formatIP(Table1[[#This Row],[Address A]])</f>
        <v>010.012.001.124</v>
      </c>
      <c r="P1377" s="8" t="str">
        <f>formatIP(Table1[[#This Row],[Address B]])</f>
        <v>010.001.001.003</v>
      </c>
      <c r="Q1377" s="8" t="str">
        <f>VLOOKUP(Table1[[#This Row],[Address A]],IP_Master[],4,FALSE)</f>
        <v>KBPPLC</v>
      </c>
      <c r="R1377" s="8" t="e">
        <f>VLOOKUP(Table1[[#This Row],[Address B]],IP_Master[],4,FALSE)</f>
        <v>#N/A</v>
      </c>
      <c r="S1377" s="8" t="str">
        <f>VLOOKUP(Table1[[#This Row],[Address A]],IP_Master[],2,FALSE)</f>
        <v>Slag Fumer</v>
      </c>
      <c r="T1377" s="8" t="e">
        <f>VLOOKUP(Table1[[#This Row],[Address B]],IP_Master[],2,FALSE)</f>
        <v>#N/A</v>
      </c>
      <c r="U1377" s="9" t="str">
        <f>VLOOKUP(Table1[[#This Row],[Address A]],IP_Master[],3,FALSE)</f>
        <v>PLCs &amp; Control Equipment</v>
      </c>
      <c r="V1377" s="9" t="e">
        <f>VLOOKUP(Table1[[#This Row],[Address B]],IP_Master[],3,FALSE)</f>
        <v>#N/A</v>
      </c>
      <c r="W1377" s="9" t="str">
        <f>VLOOKUP(Table1[[#This Row],[Port B]],traffic_types[],2,FALSE)</f>
        <v>Modbus</v>
      </c>
    </row>
    <row r="1378" spans="1:23" x14ac:dyDescent="0.6">
      <c r="A1378" t="s">
        <v>174</v>
      </c>
      <c r="B1378">
        <v>3072</v>
      </c>
      <c r="C1378" t="s">
        <v>175</v>
      </c>
      <c r="D1378">
        <v>502</v>
      </c>
      <c r="E1378">
        <v>5</v>
      </c>
      <c r="F1378" s="13">
        <v>320</v>
      </c>
      <c r="G1378">
        <v>5</v>
      </c>
      <c r="H1378">
        <v>320</v>
      </c>
      <c r="I1378">
        <v>0</v>
      </c>
      <c r="J1378">
        <v>0</v>
      </c>
      <c r="K1378">
        <v>172.351034</v>
      </c>
      <c r="L1378">
        <v>90.891227000000001</v>
      </c>
      <c r="M1378">
        <v>28.1655346120479</v>
      </c>
      <c r="N1378">
        <v>0</v>
      </c>
      <c r="O1378" s="8" t="str">
        <f>formatIP(Table1[[#This Row],[Address A]])</f>
        <v>010.012.001.124</v>
      </c>
      <c r="P1378" s="8" t="str">
        <f>formatIP(Table1[[#This Row],[Address B]])</f>
        <v>010.001.001.002</v>
      </c>
      <c r="Q1378" s="8" t="str">
        <f>VLOOKUP(Table1[[#This Row],[Address A]],IP_Master[],4,FALSE)</f>
        <v>KBPPLC</v>
      </c>
      <c r="R1378" s="8" t="e">
        <f>VLOOKUP(Table1[[#This Row],[Address B]],IP_Master[],4,FALSE)</f>
        <v>#N/A</v>
      </c>
      <c r="S1378" s="8" t="str">
        <f>VLOOKUP(Table1[[#This Row],[Address A]],IP_Master[],2,FALSE)</f>
        <v>Slag Fumer</v>
      </c>
      <c r="T1378" s="8" t="e">
        <f>VLOOKUP(Table1[[#This Row],[Address B]],IP_Master[],2,FALSE)</f>
        <v>#N/A</v>
      </c>
      <c r="U1378" s="9" t="str">
        <f>VLOOKUP(Table1[[#This Row],[Address A]],IP_Master[],3,FALSE)</f>
        <v>PLCs &amp; Control Equipment</v>
      </c>
      <c r="V1378" s="9" t="e">
        <f>VLOOKUP(Table1[[#This Row],[Address B]],IP_Master[],3,FALSE)</f>
        <v>#N/A</v>
      </c>
      <c r="W1378" s="9" t="str">
        <f>VLOOKUP(Table1[[#This Row],[Port B]],traffic_types[],2,FALSE)</f>
        <v>Modbus</v>
      </c>
    </row>
    <row r="1379" spans="1:23" x14ac:dyDescent="0.6">
      <c r="A1379" t="s">
        <v>174</v>
      </c>
      <c r="B1379">
        <v>4737</v>
      </c>
      <c r="C1379" t="s">
        <v>176</v>
      </c>
      <c r="D1379">
        <v>502</v>
      </c>
      <c r="E1379">
        <v>1</v>
      </c>
      <c r="F1379" s="13">
        <v>64</v>
      </c>
      <c r="G1379">
        <v>1</v>
      </c>
      <c r="H1379">
        <v>64</v>
      </c>
      <c r="I1379">
        <v>0</v>
      </c>
      <c r="J1379">
        <v>0</v>
      </c>
      <c r="K1379">
        <v>176.62180900000001</v>
      </c>
      <c r="L1379">
        <v>0</v>
      </c>
      <c r="M1379">
        <v>0</v>
      </c>
      <c r="N1379">
        <v>0</v>
      </c>
      <c r="O1379" s="8" t="str">
        <f>formatIP(Table1[[#This Row],[Address A]])</f>
        <v>010.012.001.124</v>
      </c>
      <c r="P1379" s="8" t="str">
        <f>formatIP(Table1[[#This Row],[Address B]])</f>
        <v>010.001.001.003</v>
      </c>
      <c r="Q1379" s="8" t="str">
        <f>VLOOKUP(Table1[[#This Row],[Address A]],IP_Master[],4,FALSE)</f>
        <v>KBPPLC</v>
      </c>
      <c r="R1379" s="8" t="e">
        <f>VLOOKUP(Table1[[#This Row],[Address B]],IP_Master[],4,FALSE)</f>
        <v>#N/A</v>
      </c>
      <c r="S1379" s="8" t="str">
        <f>VLOOKUP(Table1[[#This Row],[Address A]],IP_Master[],2,FALSE)</f>
        <v>Slag Fumer</v>
      </c>
      <c r="T1379" s="8" t="e">
        <f>VLOOKUP(Table1[[#This Row],[Address B]],IP_Master[],2,FALSE)</f>
        <v>#N/A</v>
      </c>
      <c r="U1379" s="9" t="str">
        <f>VLOOKUP(Table1[[#This Row],[Address A]],IP_Master[],3,FALSE)</f>
        <v>PLCs &amp; Control Equipment</v>
      </c>
      <c r="V1379" s="9" t="e">
        <f>VLOOKUP(Table1[[#This Row],[Address B]],IP_Master[],3,FALSE)</f>
        <v>#N/A</v>
      </c>
      <c r="W1379" s="9" t="str">
        <f>VLOOKUP(Table1[[#This Row],[Port B]],traffic_types[],2,FALSE)</f>
        <v>Modbus</v>
      </c>
    </row>
    <row r="1380" spans="1:23" x14ac:dyDescent="0.6">
      <c r="A1380" t="s">
        <v>174</v>
      </c>
      <c r="B1380">
        <v>4737</v>
      </c>
      <c r="C1380" t="s">
        <v>176</v>
      </c>
      <c r="D1380">
        <v>502</v>
      </c>
      <c r="E1380">
        <v>5</v>
      </c>
      <c r="F1380" s="13">
        <v>320</v>
      </c>
      <c r="G1380">
        <v>5</v>
      </c>
      <c r="H1380">
        <v>320</v>
      </c>
      <c r="I1380">
        <v>0</v>
      </c>
      <c r="J1380">
        <v>0</v>
      </c>
      <c r="K1380">
        <v>176.62181000000001</v>
      </c>
      <c r="L1380">
        <v>125.86106700000001</v>
      </c>
      <c r="M1380">
        <v>20.339887949623101</v>
      </c>
      <c r="N1380">
        <v>0</v>
      </c>
      <c r="O1380" s="8" t="str">
        <f>formatIP(Table1[[#This Row],[Address A]])</f>
        <v>010.012.001.124</v>
      </c>
      <c r="P1380" s="8" t="str">
        <f>formatIP(Table1[[#This Row],[Address B]])</f>
        <v>010.001.001.003</v>
      </c>
      <c r="Q1380" s="8" t="str">
        <f>VLOOKUP(Table1[[#This Row],[Address A]],IP_Master[],4,FALSE)</f>
        <v>KBPPLC</v>
      </c>
      <c r="R1380" s="8" t="e">
        <f>VLOOKUP(Table1[[#This Row],[Address B]],IP_Master[],4,FALSE)</f>
        <v>#N/A</v>
      </c>
      <c r="S1380" s="8" t="str">
        <f>VLOOKUP(Table1[[#This Row],[Address A]],IP_Master[],2,FALSE)</f>
        <v>Slag Fumer</v>
      </c>
      <c r="T1380" s="8" t="e">
        <f>VLOOKUP(Table1[[#This Row],[Address B]],IP_Master[],2,FALSE)</f>
        <v>#N/A</v>
      </c>
      <c r="U1380" s="9" t="str">
        <f>VLOOKUP(Table1[[#This Row],[Address A]],IP_Master[],3,FALSE)</f>
        <v>PLCs &amp; Control Equipment</v>
      </c>
      <c r="V1380" s="9" t="e">
        <f>VLOOKUP(Table1[[#This Row],[Address B]],IP_Master[],3,FALSE)</f>
        <v>#N/A</v>
      </c>
      <c r="W1380" s="9" t="str">
        <f>VLOOKUP(Table1[[#This Row],[Port B]],traffic_types[],2,FALSE)</f>
        <v>Modbus</v>
      </c>
    </row>
    <row r="1381" spans="1:23" x14ac:dyDescent="0.6">
      <c r="A1381" t="s">
        <v>174</v>
      </c>
      <c r="B1381">
        <v>4736</v>
      </c>
      <c r="C1381" t="s">
        <v>175</v>
      </c>
      <c r="D1381">
        <v>502</v>
      </c>
      <c r="E1381">
        <v>5</v>
      </c>
      <c r="F1381" s="13">
        <v>320</v>
      </c>
      <c r="G1381">
        <v>5</v>
      </c>
      <c r="H1381">
        <v>320</v>
      </c>
      <c r="I1381">
        <v>0</v>
      </c>
      <c r="J1381">
        <v>0</v>
      </c>
      <c r="K1381">
        <v>179.34116700000001</v>
      </c>
      <c r="L1381">
        <v>34.960486000000003</v>
      </c>
      <c r="M1381">
        <v>73.225526670310103</v>
      </c>
      <c r="N1381">
        <v>0</v>
      </c>
      <c r="O1381" s="8" t="str">
        <f>formatIP(Table1[[#This Row],[Address A]])</f>
        <v>010.012.001.124</v>
      </c>
      <c r="P1381" s="8" t="str">
        <f>formatIP(Table1[[#This Row],[Address B]])</f>
        <v>010.001.001.002</v>
      </c>
      <c r="Q1381" s="8" t="str">
        <f>VLOOKUP(Table1[[#This Row],[Address A]],IP_Master[],4,FALSE)</f>
        <v>KBPPLC</v>
      </c>
      <c r="R1381" s="8" t="e">
        <f>VLOOKUP(Table1[[#This Row],[Address B]],IP_Master[],4,FALSE)</f>
        <v>#N/A</v>
      </c>
      <c r="S1381" s="8" t="str">
        <f>VLOOKUP(Table1[[#This Row],[Address A]],IP_Master[],2,FALSE)</f>
        <v>Slag Fumer</v>
      </c>
      <c r="T1381" s="8" t="e">
        <f>VLOOKUP(Table1[[#This Row],[Address B]],IP_Master[],2,FALSE)</f>
        <v>#N/A</v>
      </c>
      <c r="U1381" s="9" t="str">
        <f>VLOOKUP(Table1[[#This Row],[Address A]],IP_Master[],3,FALSE)</f>
        <v>PLCs &amp; Control Equipment</v>
      </c>
      <c r="V1381" s="9" t="e">
        <f>VLOOKUP(Table1[[#This Row],[Address B]],IP_Master[],3,FALSE)</f>
        <v>#N/A</v>
      </c>
      <c r="W1381" s="9" t="str">
        <f>VLOOKUP(Table1[[#This Row],[Port B]],traffic_types[],2,FALSE)</f>
        <v>Modbus</v>
      </c>
    </row>
    <row r="1382" spans="1:23" x14ac:dyDescent="0.6">
      <c r="A1382" t="s">
        <v>174</v>
      </c>
      <c r="B1382">
        <v>4353</v>
      </c>
      <c r="C1382" t="s">
        <v>176</v>
      </c>
      <c r="D1382">
        <v>502</v>
      </c>
      <c r="E1382">
        <v>5</v>
      </c>
      <c r="F1382" s="13">
        <v>320</v>
      </c>
      <c r="G1382">
        <v>5</v>
      </c>
      <c r="H1382">
        <v>320</v>
      </c>
      <c r="I1382">
        <v>0</v>
      </c>
      <c r="J1382">
        <v>0</v>
      </c>
      <c r="K1382">
        <v>183.62120300000001</v>
      </c>
      <c r="L1382">
        <v>125.851827</v>
      </c>
      <c r="M1382">
        <v>20.341381297547599</v>
      </c>
      <c r="N1382">
        <v>0</v>
      </c>
      <c r="O1382" s="8" t="str">
        <f>formatIP(Table1[[#This Row],[Address A]])</f>
        <v>010.012.001.124</v>
      </c>
      <c r="P1382" s="8" t="str">
        <f>formatIP(Table1[[#This Row],[Address B]])</f>
        <v>010.001.001.003</v>
      </c>
      <c r="Q1382" s="8" t="str">
        <f>VLOOKUP(Table1[[#This Row],[Address A]],IP_Master[],4,FALSE)</f>
        <v>KBPPLC</v>
      </c>
      <c r="R1382" s="8" t="e">
        <f>VLOOKUP(Table1[[#This Row],[Address B]],IP_Master[],4,FALSE)</f>
        <v>#N/A</v>
      </c>
      <c r="S1382" s="8" t="str">
        <f>VLOOKUP(Table1[[#This Row],[Address A]],IP_Master[],2,FALSE)</f>
        <v>Slag Fumer</v>
      </c>
      <c r="T1382" s="8" t="e">
        <f>VLOOKUP(Table1[[#This Row],[Address B]],IP_Master[],2,FALSE)</f>
        <v>#N/A</v>
      </c>
      <c r="U1382" s="9" t="str">
        <f>VLOOKUP(Table1[[#This Row],[Address A]],IP_Master[],3,FALSE)</f>
        <v>PLCs &amp; Control Equipment</v>
      </c>
      <c r="V1382" s="9" t="e">
        <f>VLOOKUP(Table1[[#This Row],[Address B]],IP_Master[],3,FALSE)</f>
        <v>#N/A</v>
      </c>
      <c r="W1382" s="9" t="str">
        <f>VLOOKUP(Table1[[#This Row],[Port B]],traffic_types[],2,FALSE)</f>
        <v>Modbus</v>
      </c>
    </row>
    <row r="1383" spans="1:23" x14ac:dyDescent="0.6">
      <c r="A1383" t="s">
        <v>174</v>
      </c>
      <c r="B1383">
        <v>4352</v>
      </c>
      <c r="C1383" t="s">
        <v>175</v>
      </c>
      <c r="D1383">
        <v>502</v>
      </c>
      <c r="E1383">
        <v>5</v>
      </c>
      <c r="F1383" s="13">
        <v>320</v>
      </c>
      <c r="G1383">
        <v>5</v>
      </c>
      <c r="H1383">
        <v>320</v>
      </c>
      <c r="I1383">
        <v>0</v>
      </c>
      <c r="J1383">
        <v>0</v>
      </c>
      <c r="K1383">
        <v>186.33120500000001</v>
      </c>
      <c r="L1383">
        <v>265.663861</v>
      </c>
      <c r="M1383">
        <v>9.6362372750428396</v>
      </c>
      <c r="N1383">
        <v>0</v>
      </c>
      <c r="O1383" s="8" t="str">
        <f>formatIP(Table1[[#This Row],[Address A]])</f>
        <v>010.012.001.124</v>
      </c>
      <c r="P1383" s="8" t="str">
        <f>formatIP(Table1[[#This Row],[Address B]])</f>
        <v>010.001.001.002</v>
      </c>
      <c r="Q1383" s="8" t="str">
        <f>VLOOKUP(Table1[[#This Row],[Address A]],IP_Master[],4,FALSE)</f>
        <v>KBPPLC</v>
      </c>
      <c r="R1383" s="8" t="e">
        <f>VLOOKUP(Table1[[#This Row],[Address B]],IP_Master[],4,FALSE)</f>
        <v>#N/A</v>
      </c>
      <c r="S1383" s="8" t="str">
        <f>VLOOKUP(Table1[[#This Row],[Address A]],IP_Master[],2,FALSE)</f>
        <v>Slag Fumer</v>
      </c>
      <c r="T1383" s="8" t="e">
        <f>VLOOKUP(Table1[[#This Row],[Address B]],IP_Master[],2,FALSE)</f>
        <v>#N/A</v>
      </c>
      <c r="U1383" s="9" t="str">
        <f>VLOOKUP(Table1[[#This Row],[Address A]],IP_Master[],3,FALSE)</f>
        <v>PLCs &amp; Control Equipment</v>
      </c>
      <c r="V1383" s="9" t="e">
        <f>VLOOKUP(Table1[[#This Row],[Address B]],IP_Master[],3,FALSE)</f>
        <v>#N/A</v>
      </c>
      <c r="W1383" s="9" t="str">
        <f>VLOOKUP(Table1[[#This Row],[Port B]],traffic_types[],2,FALSE)</f>
        <v>Modbus</v>
      </c>
    </row>
    <row r="1384" spans="1:23" x14ac:dyDescent="0.6">
      <c r="A1384" t="s">
        <v>174</v>
      </c>
      <c r="B1384">
        <v>3969</v>
      </c>
      <c r="C1384" t="s">
        <v>176</v>
      </c>
      <c r="D1384">
        <v>502</v>
      </c>
      <c r="E1384">
        <v>5</v>
      </c>
      <c r="F1384" s="13">
        <v>320</v>
      </c>
      <c r="G1384">
        <v>5</v>
      </c>
      <c r="H1384">
        <v>320</v>
      </c>
      <c r="I1384">
        <v>0</v>
      </c>
      <c r="J1384">
        <v>0</v>
      </c>
      <c r="K1384">
        <v>190.611268</v>
      </c>
      <c r="L1384">
        <v>125.851838</v>
      </c>
      <c r="M1384">
        <v>20.341379519622102</v>
      </c>
      <c r="N1384">
        <v>0</v>
      </c>
      <c r="O1384" s="8" t="str">
        <f>formatIP(Table1[[#This Row],[Address A]])</f>
        <v>010.012.001.124</v>
      </c>
      <c r="P1384" s="8" t="str">
        <f>formatIP(Table1[[#This Row],[Address B]])</f>
        <v>010.001.001.003</v>
      </c>
      <c r="Q1384" s="8" t="str">
        <f>VLOOKUP(Table1[[#This Row],[Address A]],IP_Master[],4,FALSE)</f>
        <v>KBPPLC</v>
      </c>
      <c r="R1384" s="8" t="e">
        <f>VLOOKUP(Table1[[#This Row],[Address B]],IP_Master[],4,FALSE)</f>
        <v>#N/A</v>
      </c>
      <c r="S1384" s="8" t="str">
        <f>VLOOKUP(Table1[[#This Row],[Address A]],IP_Master[],2,FALSE)</f>
        <v>Slag Fumer</v>
      </c>
      <c r="T1384" s="8" t="e">
        <f>VLOOKUP(Table1[[#This Row],[Address B]],IP_Master[],2,FALSE)</f>
        <v>#N/A</v>
      </c>
      <c r="U1384" s="9" t="str">
        <f>VLOOKUP(Table1[[#This Row],[Address A]],IP_Master[],3,FALSE)</f>
        <v>PLCs &amp; Control Equipment</v>
      </c>
      <c r="V1384" s="9" t="e">
        <f>VLOOKUP(Table1[[#This Row],[Address B]],IP_Master[],3,FALSE)</f>
        <v>#N/A</v>
      </c>
      <c r="W1384" s="9" t="str">
        <f>VLOOKUP(Table1[[#This Row],[Port B]],traffic_types[],2,FALSE)</f>
        <v>Modbus</v>
      </c>
    </row>
    <row r="1385" spans="1:23" x14ac:dyDescent="0.6">
      <c r="A1385" t="s">
        <v>174</v>
      </c>
      <c r="B1385">
        <v>3968</v>
      </c>
      <c r="C1385" t="s">
        <v>175</v>
      </c>
      <c r="D1385">
        <v>502</v>
      </c>
      <c r="E1385">
        <v>5</v>
      </c>
      <c r="F1385" s="13">
        <v>320</v>
      </c>
      <c r="G1385">
        <v>5</v>
      </c>
      <c r="H1385">
        <v>320</v>
      </c>
      <c r="I1385">
        <v>0</v>
      </c>
      <c r="J1385">
        <v>0</v>
      </c>
      <c r="K1385">
        <v>193.32129599999999</v>
      </c>
      <c r="L1385">
        <v>139.83206000000001</v>
      </c>
      <c r="M1385">
        <v>18.307675650347999</v>
      </c>
      <c r="N1385">
        <v>0</v>
      </c>
      <c r="O1385" s="8" t="str">
        <f>formatIP(Table1[[#This Row],[Address A]])</f>
        <v>010.012.001.124</v>
      </c>
      <c r="P1385" s="8" t="str">
        <f>formatIP(Table1[[#This Row],[Address B]])</f>
        <v>010.001.001.002</v>
      </c>
      <c r="Q1385" s="8" t="str">
        <f>VLOOKUP(Table1[[#This Row],[Address A]],IP_Master[],4,FALSE)</f>
        <v>KBPPLC</v>
      </c>
      <c r="R1385" s="8" t="e">
        <f>VLOOKUP(Table1[[#This Row],[Address B]],IP_Master[],4,FALSE)</f>
        <v>#N/A</v>
      </c>
      <c r="S1385" s="8" t="str">
        <f>VLOOKUP(Table1[[#This Row],[Address A]],IP_Master[],2,FALSE)</f>
        <v>Slag Fumer</v>
      </c>
      <c r="T1385" s="8" t="e">
        <f>VLOOKUP(Table1[[#This Row],[Address B]],IP_Master[],2,FALSE)</f>
        <v>#N/A</v>
      </c>
      <c r="U1385" s="9" t="str">
        <f>VLOOKUP(Table1[[#This Row],[Address A]],IP_Master[],3,FALSE)</f>
        <v>PLCs &amp; Control Equipment</v>
      </c>
      <c r="V1385" s="9" t="e">
        <f>VLOOKUP(Table1[[#This Row],[Address B]],IP_Master[],3,FALSE)</f>
        <v>#N/A</v>
      </c>
      <c r="W1385" s="9" t="str">
        <f>VLOOKUP(Table1[[#This Row],[Port B]],traffic_types[],2,FALSE)</f>
        <v>Modbus</v>
      </c>
    </row>
    <row r="1386" spans="1:23" x14ac:dyDescent="0.6">
      <c r="A1386" t="s">
        <v>174</v>
      </c>
      <c r="B1386">
        <v>3585</v>
      </c>
      <c r="C1386" t="s">
        <v>176</v>
      </c>
      <c r="D1386">
        <v>502</v>
      </c>
      <c r="E1386">
        <v>5</v>
      </c>
      <c r="F1386" s="13">
        <v>320</v>
      </c>
      <c r="G1386">
        <v>5</v>
      </c>
      <c r="H1386">
        <v>320</v>
      </c>
      <c r="I1386">
        <v>0</v>
      </c>
      <c r="J1386">
        <v>0</v>
      </c>
      <c r="K1386">
        <v>197.601461</v>
      </c>
      <c r="L1386">
        <v>90.901251000000002</v>
      </c>
      <c r="M1386">
        <v>28.162428699688601</v>
      </c>
      <c r="N1386">
        <v>0</v>
      </c>
      <c r="O1386" s="8" t="str">
        <f>formatIP(Table1[[#This Row],[Address A]])</f>
        <v>010.012.001.124</v>
      </c>
      <c r="P1386" s="8" t="str">
        <f>formatIP(Table1[[#This Row],[Address B]])</f>
        <v>010.001.001.003</v>
      </c>
      <c r="Q1386" s="8" t="str">
        <f>VLOOKUP(Table1[[#This Row],[Address A]],IP_Master[],4,FALSE)</f>
        <v>KBPPLC</v>
      </c>
      <c r="R1386" s="8" t="e">
        <f>VLOOKUP(Table1[[#This Row],[Address B]],IP_Master[],4,FALSE)</f>
        <v>#N/A</v>
      </c>
      <c r="S1386" s="8" t="str">
        <f>VLOOKUP(Table1[[#This Row],[Address A]],IP_Master[],2,FALSE)</f>
        <v>Slag Fumer</v>
      </c>
      <c r="T1386" s="8" t="e">
        <f>VLOOKUP(Table1[[#This Row],[Address B]],IP_Master[],2,FALSE)</f>
        <v>#N/A</v>
      </c>
      <c r="U1386" s="9" t="str">
        <f>VLOOKUP(Table1[[#This Row],[Address A]],IP_Master[],3,FALSE)</f>
        <v>PLCs &amp; Control Equipment</v>
      </c>
      <c r="V1386" s="9" t="e">
        <f>VLOOKUP(Table1[[#This Row],[Address B]],IP_Master[],3,FALSE)</f>
        <v>#N/A</v>
      </c>
      <c r="W1386" s="9" t="str">
        <f>VLOOKUP(Table1[[#This Row],[Port B]],traffic_types[],2,FALSE)</f>
        <v>Modbus</v>
      </c>
    </row>
    <row r="1387" spans="1:23" x14ac:dyDescent="0.6">
      <c r="A1387" t="s">
        <v>174</v>
      </c>
      <c r="B1387">
        <v>4480</v>
      </c>
      <c r="C1387" t="s">
        <v>175</v>
      </c>
      <c r="D1387">
        <v>502</v>
      </c>
      <c r="E1387">
        <v>1</v>
      </c>
      <c r="F1387" s="13">
        <v>64</v>
      </c>
      <c r="G1387">
        <v>1</v>
      </c>
      <c r="H1387">
        <v>64</v>
      </c>
      <c r="I1387">
        <v>0</v>
      </c>
      <c r="J1387">
        <v>0</v>
      </c>
      <c r="K1387">
        <v>200.31139999999999</v>
      </c>
      <c r="L1387">
        <v>0</v>
      </c>
      <c r="M1387">
        <v>0</v>
      </c>
      <c r="N1387">
        <v>0</v>
      </c>
      <c r="O1387" s="8" t="str">
        <f>formatIP(Table1[[#This Row],[Address A]])</f>
        <v>010.012.001.124</v>
      </c>
      <c r="P1387" s="8" t="str">
        <f>formatIP(Table1[[#This Row],[Address B]])</f>
        <v>010.001.001.002</v>
      </c>
      <c r="Q1387" s="8" t="str">
        <f>VLOOKUP(Table1[[#This Row],[Address A]],IP_Master[],4,FALSE)</f>
        <v>KBPPLC</v>
      </c>
      <c r="R1387" s="8" t="e">
        <f>VLOOKUP(Table1[[#This Row],[Address B]],IP_Master[],4,FALSE)</f>
        <v>#N/A</v>
      </c>
      <c r="S1387" s="8" t="str">
        <f>VLOOKUP(Table1[[#This Row],[Address A]],IP_Master[],2,FALSE)</f>
        <v>Slag Fumer</v>
      </c>
      <c r="T1387" s="8" t="e">
        <f>VLOOKUP(Table1[[#This Row],[Address B]],IP_Master[],2,FALSE)</f>
        <v>#N/A</v>
      </c>
      <c r="U1387" s="9" t="str">
        <f>VLOOKUP(Table1[[#This Row],[Address A]],IP_Master[],3,FALSE)</f>
        <v>PLCs &amp; Control Equipment</v>
      </c>
      <c r="V1387" s="9" t="e">
        <f>VLOOKUP(Table1[[#This Row],[Address B]],IP_Master[],3,FALSE)</f>
        <v>#N/A</v>
      </c>
      <c r="W1387" s="9" t="str">
        <f>VLOOKUP(Table1[[#This Row],[Port B]],traffic_types[],2,FALSE)</f>
        <v>Modbus</v>
      </c>
    </row>
    <row r="1388" spans="1:23" x14ac:dyDescent="0.6">
      <c r="A1388" t="s">
        <v>174</v>
      </c>
      <c r="B1388">
        <v>4480</v>
      </c>
      <c r="C1388" t="s">
        <v>175</v>
      </c>
      <c r="D1388">
        <v>502</v>
      </c>
      <c r="E1388">
        <v>5</v>
      </c>
      <c r="F1388" s="13">
        <v>320</v>
      </c>
      <c r="G1388">
        <v>5</v>
      </c>
      <c r="H1388">
        <v>320</v>
      </c>
      <c r="I1388">
        <v>0</v>
      </c>
      <c r="J1388">
        <v>0</v>
      </c>
      <c r="K1388">
        <v>200.31140300000001</v>
      </c>
      <c r="L1388">
        <v>160.80230299999999</v>
      </c>
      <c r="M1388">
        <v>15.9201699990578</v>
      </c>
      <c r="N1388">
        <v>0</v>
      </c>
      <c r="O1388" s="8" t="str">
        <f>formatIP(Table1[[#This Row],[Address A]])</f>
        <v>010.012.001.124</v>
      </c>
      <c r="P1388" s="8" t="str">
        <f>formatIP(Table1[[#This Row],[Address B]])</f>
        <v>010.001.001.002</v>
      </c>
      <c r="Q1388" s="8" t="str">
        <f>VLOOKUP(Table1[[#This Row],[Address A]],IP_Master[],4,FALSE)</f>
        <v>KBPPLC</v>
      </c>
      <c r="R1388" s="8" t="e">
        <f>VLOOKUP(Table1[[#This Row],[Address B]],IP_Master[],4,FALSE)</f>
        <v>#N/A</v>
      </c>
      <c r="S1388" s="8" t="str">
        <f>VLOOKUP(Table1[[#This Row],[Address A]],IP_Master[],2,FALSE)</f>
        <v>Slag Fumer</v>
      </c>
      <c r="T1388" s="8" t="e">
        <f>VLOOKUP(Table1[[#This Row],[Address B]],IP_Master[],2,FALSE)</f>
        <v>#N/A</v>
      </c>
      <c r="U1388" s="9" t="str">
        <f>VLOOKUP(Table1[[#This Row],[Address A]],IP_Master[],3,FALSE)</f>
        <v>PLCs &amp; Control Equipment</v>
      </c>
      <c r="V1388" s="9" t="e">
        <f>VLOOKUP(Table1[[#This Row],[Address B]],IP_Master[],3,FALSE)</f>
        <v>#N/A</v>
      </c>
      <c r="W1388" s="9" t="str">
        <f>VLOOKUP(Table1[[#This Row],[Port B]],traffic_types[],2,FALSE)</f>
        <v>Modbus</v>
      </c>
    </row>
    <row r="1389" spans="1:23" x14ac:dyDescent="0.6">
      <c r="A1389" t="s">
        <v>174</v>
      </c>
      <c r="B1389">
        <v>4097</v>
      </c>
      <c r="C1389" t="s">
        <v>176</v>
      </c>
      <c r="D1389">
        <v>502</v>
      </c>
      <c r="E1389">
        <v>5</v>
      </c>
      <c r="F1389" s="13">
        <v>320</v>
      </c>
      <c r="G1389">
        <v>5</v>
      </c>
      <c r="H1389">
        <v>320</v>
      </c>
      <c r="I1389">
        <v>0</v>
      </c>
      <c r="J1389">
        <v>0</v>
      </c>
      <c r="K1389">
        <v>204.591577</v>
      </c>
      <c r="L1389">
        <v>160.80297999999999</v>
      </c>
      <c r="M1389">
        <v>15.920102973216</v>
      </c>
      <c r="N1389">
        <v>0</v>
      </c>
      <c r="O1389" s="8" t="str">
        <f>formatIP(Table1[[#This Row],[Address A]])</f>
        <v>010.012.001.124</v>
      </c>
      <c r="P1389" s="8" t="str">
        <f>formatIP(Table1[[#This Row],[Address B]])</f>
        <v>010.001.001.003</v>
      </c>
      <c r="Q1389" s="8" t="str">
        <f>VLOOKUP(Table1[[#This Row],[Address A]],IP_Master[],4,FALSE)</f>
        <v>KBPPLC</v>
      </c>
      <c r="R1389" s="8" t="e">
        <f>VLOOKUP(Table1[[#This Row],[Address B]],IP_Master[],4,FALSE)</f>
        <v>#N/A</v>
      </c>
      <c r="S1389" s="8" t="str">
        <f>VLOOKUP(Table1[[#This Row],[Address A]],IP_Master[],2,FALSE)</f>
        <v>Slag Fumer</v>
      </c>
      <c r="T1389" s="8" t="e">
        <f>VLOOKUP(Table1[[#This Row],[Address B]],IP_Master[],2,FALSE)</f>
        <v>#N/A</v>
      </c>
      <c r="U1389" s="9" t="str">
        <f>VLOOKUP(Table1[[#This Row],[Address A]],IP_Master[],3,FALSE)</f>
        <v>PLCs &amp; Control Equipment</v>
      </c>
      <c r="V1389" s="9" t="e">
        <f>VLOOKUP(Table1[[#This Row],[Address B]],IP_Master[],3,FALSE)</f>
        <v>#N/A</v>
      </c>
      <c r="W1389" s="9" t="str">
        <f>VLOOKUP(Table1[[#This Row],[Port B]],traffic_types[],2,FALSE)</f>
        <v>Modbus</v>
      </c>
    </row>
    <row r="1390" spans="1:23" x14ac:dyDescent="0.6">
      <c r="A1390" t="s">
        <v>174</v>
      </c>
      <c r="B1390">
        <v>4096</v>
      </c>
      <c r="C1390" t="s">
        <v>175</v>
      </c>
      <c r="D1390">
        <v>502</v>
      </c>
      <c r="E1390">
        <v>5</v>
      </c>
      <c r="F1390" s="13">
        <v>320</v>
      </c>
      <c r="G1390">
        <v>5</v>
      </c>
      <c r="H1390">
        <v>320</v>
      </c>
      <c r="I1390">
        <v>0</v>
      </c>
      <c r="J1390">
        <v>0</v>
      </c>
      <c r="K1390">
        <v>207.302233</v>
      </c>
      <c r="L1390">
        <v>34.969763</v>
      </c>
      <c r="M1390">
        <v>73.206100939259997</v>
      </c>
      <c r="N1390">
        <v>0</v>
      </c>
      <c r="O1390" s="8" t="str">
        <f>formatIP(Table1[[#This Row],[Address A]])</f>
        <v>010.012.001.124</v>
      </c>
      <c r="P1390" s="8" t="str">
        <f>formatIP(Table1[[#This Row],[Address B]])</f>
        <v>010.001.001.002</v>
      </c>
      <c r="Q1390" s="8" t="str">
        <f>VLOOKUP(Table1[[#This Row],[Address A]],IP_Master[],4,FALSE)</f>
        <v>KBPPLC</v>
      </c>
      <c r="R1390" s="8" t="e">
        <f>VLOOKUP(Table1[[#This Row],[Address B]],IP_Master[],4,FALSE)</f>
        <v>#N/A</v>
      </c>
      <c r="S1390" s="8" t="str">
        <f>VLOOKUP(Table1[[#This Row],[Address A]],IP_Master[],2,FALSE)</f>
        <v>Slag Fumer</v>
      </c>
      <c r="T1390" s="8" t="e">
        <f>VLOOKUP(Table1[[#This Row],[Address B]],IP_Master[],2,FALSE)</f>
        <v>#N/A</v>
      </c>
      <c r="U1390" s="9" t="str">
        <f>VLOOKUP(Table1[[#This Row],[Address A]],IP_Master[],3,FALSE)</f>
        <v>PLCs &amp; Control Equipment</v>
      </c>
      <c r="V1390" s="9" t="e">
        <f>VLOOKUP(Table1[[#This Row],[Address B]],IP_Master[],3,FALSE)</f>
        <v>#N/A</v>
      </c>
      <c r="W1390" s="9" t="str">
        <f>VLOOKUP(Table1[[#This Row],[Port B]],traffic_types[],2,FALSE)</f>
        <v>Modbus</v>
      </c>
    </row>
    <row r="1391" spans="1:23" x14ac:dyDescent="0.6">
      <c r="A1391" t="s">
        <v>174</v>
      </c>
      <c r="B1391">
        <v>3713</v>
      </c>
      <c r="C1391" t="s">
        <v>176</v>
      </c>
      <c r="D1391">
        <v>502</v>
      </c>
      <c r="E1391">
        <v>5</v>
      </c>
      <c r="F1391" s="13">
        <v>320</v>
      </c>
      <c r="G1391">
        <v>5</v>
      </c>
      <c r="H1391">
        <v>320</v>
      </c>
      <c r="I1391">
        <v>0</v>
      </c>
      <c r="J1391">
        <v>0</v>
      </c>
      <c r="K1391">
        <v>211.58163500000001</v>
      </c>
      <c r="L1391">
        <v>125.85167800000001</v>
      </c>
      <c r="M1391">
        <v>20.341405380387499</v>
      </c>
      <c r="N1391">
        <v>0</v>
      </c>
      <c r="O1391" s="8" t="str">
        <f>formatIP(Table1[[#This Row],[Address A]])</f>
        <v>010.012.001.124</v>
      </c>
      <c r="P1391" s="8" t="str">
        <f>formatIP(Table1[[#This Row],[Address B]])</f>
        <v>010.001.001.003</v>
      </c>
      <c r="Q1391" s="8" t="str">
        <f>VLOOKUP(Table1[[#This Row],[Address A]],IP_Master[],4,FALSE)</f>
        <v>KBPPLC</v>
      </c>
      <c r="R1391" s="8" t="e">
        <f>VLOOKUP(Table1[[#This Row],[Address B]],IP_Master[],4,FALSE)</f>
        <v>#N/A</v>
      </c>
      <c r="S1391" s="8" t="str">
        <f>VLOOKUP(Table1[[#This Row],[Address A]],IP_Master[],2,FALSE)</f>
        <v>Slag Fumer</v>
      </c>
      <c r="T1391" s="8" t="e">
        <f>VLOOKUP(Table1[[#This Row],[Address B]],IP_Master[],2,FALSE)</f>
        <v>#N/A</v>
      </c>
      <c r="U1391" s="9" t="str">
        <f>VLOOKUP(Table1[[#This Row],[Address A]],IP_Master[],3,FALSE)</f>
        <v>PLCs &amp; Control Equipment</v>
      </c>
      <c r="V1391" s="9" t="e">
        <f>VLOOKUP(Table1[[#This Row],[Address B]],IP_Master[],3,FALSE)</f>
        <v>#N/A</v>
      </c>
      <c r="W1391" s="9" t="str">
        <f>VLOOKUP(Table1[[#This Row],[Port B]],traffic_types[],2,FALSE)</f>
        <v>Modbus</v>
      </c>
    </row>
    <row r="1392" spans="1:23" x14ac:dyDescent="0.6">
      <c r="A1392" t="s">
        <v>174</v>
      </c>
      <c r="B1392">
        <v>4736</v>
      </c>
      <c r="C1392" t="s">
        <v>175</v>
      </c>
      <c r="D1392">
        <v>502</v>
      </c>
      <c r="E1392">
        <v>5</v>
      </c>
      <c r="F1392" s="13">
        <v>320</v>
      </c>
      <c r="G1392">
        <v>5</v>
      </c>
      <c r="H1392">
        <v>320</v>
      </c>
      <c r="I1392">
        <v>0</v>
      </c>
      <c r="J1392">
        <v>0</v>
      </c>
      <c r="K1392">
        <v>214.301658</v>
      </c>
      <c r="L1392">
        <v>104.871574</v>
      </c>
      <c r="M1392">
        <v>24.4108093581203</v>
      </c>
      <c r="N1392">
        <v>0</v>
      </c>
      <c r="O1392" s="8" t="str">
        <f>formatIP(Table1[[#This Row],[Address A]])</f>
        <v>010.012.001.124</v>
      </c>
      <c r="P1392" s="8" t="str">
        <f>formatIP(Table1[[#This Row],[Address B]])</f>
        <v>010.001.001.002</v>
      </c>
      <c r="Q1392" s="8" t="str">
        <f>VLOOKUP(Table1[[#This Row],[Address A]],IP_Master[],4,FALSE)</f>
        <v>KBPPLC</v>
      </c>
      <c r="R1392" s="8" t="e">
        <f>VLOOKUP(Table1[[#This Row],[Address B]],IP_Master[],4,FALSE)</f>
        <v>#N/A</v>
      </c>
      <c r="S1392" s="8" t="str">
        <f>VLOOKUP(Table1[[#This Row],[Address A]],IP_Master[],2,FALSE)</f>
        <v>Slag Fumer</v>
      </c>
      <c r="T1392" s="8" t="e">
        <f>VLOOKUP(Table1[[#This Row],[Address B]],IP_Master[],2,FALSE)</f>
        <v>#N/A</v>
      </c>
      <c r="U1392" s="9" t="str">
        <f>VLOOKUP(Table1[[#This Row],[Address A]],IP_Master[],3,FALSE)</f>
        <v>PLCs &amp; Control Equipment</v>
      </c>
      <c r="V1392" s="9" t="e">
        <f>VLOOKUP(Table1[[#This Row],[Address B]],IP_Master[],3,FALSE)</f>
        <v>#N/A</v>
      </c>
      <c r="W1392" s="9" t="str">
        <f>VLOOKUP(Table1[[#This Row],[Port B]],traffic_types[],2,FALSE)</f>
        <v>Modbus</v>
      </c>
    </row>
    <row r="1393" spans="1:23" x14ac:dyDescent="0.6">
      <c r="A1393" t="s">
        <v>174</v>
      </c>
      <c r="B1393">
        <v>3329</v>
      </c>
      <c r="C1393" t="s">
        <v>176</v>
      </c>
      <c r="D1393">
        <v>502</v>
      </c>
      <c r="E1393">
        <v>5</v>
      </c>
      <c r="F1393" s="13">
        <v>320</v>
      </c>
      <c r="G1393">
        <v>5</v>
      </c>
      <c r="H1393">
        <v>320</v>
      </c>
      <c r="I1393">
        <v>0</v>
      </c>
      <c r="J1393">
        <v>0</v>
      </c>
      <c r="K1393">
        <v>218.57182499999999</v>
      </c>
      <c r="L1393">
        <v>125.85167300000001</v>
      </c>
      <c r="M1393">
        <v>20.341406188537501</v>
      </c>
      <c r="N1393">
        <v>0</v>
      </c>
      <c r="O1393" s="8" t="str">
        <f>formatIP(Table1[[#This Row],[Address A]])</f>
        <v>010.012.001.124</v>
      </c>
      <c r="P1393" s="8" t="str">
        <f>formatIP(Table1[[#This Row],[Address B]])</f>
        <v>010.001.001.003</v>
      </c>
      <c r="Q1393" s="8" t="str">
        <f>VLOOKUP(Table1[[#This Row],[Address A]],IP_Master[],4,FALSE)</f>
        <v>KBPPLC</v>
      </c>
      <c r="R1393" s="8" t="e">
        <f>VLOOKUP(Table1[[#This Row],[Address B]],IP_Master[],4,FALSE)</f>
        <v>#N/A</v>
      </c>
      <c r="S1393" s="8" t="str">
        <f>VLOOKUP(Table1[[#This Row],[Address A]],IP_Master[],2,FALSE)</f>
        <v>Slag Fumer</v>
      </c>
      <c r="T1393" s="8" t="e">
        <f>VLOOKUP(Table1[[#This Row],[Address B]],IP_Master[],2,FALSE)</f>
        <v>#N/A</v>
      </c>
      <c r="U1393" s="9" t="str">
        <f>VLOOKUP(Table1[[#This Row],[Address A]],IP_Master[],3,FALSE)</f>
        <v>PLCs &amp; Control Equipment</v>
      </c>
      <c r="V1393" s="9" t="e">
        <f>VLOOKUP(Table1[[#This Row],[Address B]],IP_Master[],3,FALSE)</f>
        <v>#N/A</v>
      </c>
      <c r="W1393" s="9" t="str">
        <f>VLOOKUP(Table1[[#This Row],[Port B]],traffic_types[],2,FALSE)</f>
        <v>Modbus</v>
      </c>
    </row>
    <row r="1394" spans="1:23" x14ac:dyDescent="0.6">
      <c r="A1394" t="s">
        <v>174</v>
      </c>
      <c r="B1394">
        <v>3328</v>
      </c>
      <c r="C1394" t="s">
        <v>175</v>
      </c>
      <c r="D1394">
        <v>502</v>
      </c>
      <c r="E1394">
        <v>1</v>
      </c>
      <c r="F1394" s="13">
        <v>64</v>
      </c>
      <c r="G1394">
        <v>1</v>
      </c>
      <c r="H1394">
        <v>64</v>
      </c>
      <c r="I1394">
        <v>0</v>
      </c>
      <c r="J1394">
        <v>0</v>
      </c>
      <c r="K1394">
        <v>221.29164800000001</v>
      </c>
      <c r="L1394">
        <v>0</v>
      </c>
      <c r="M1394">
        <v>0</v>
      </c>
      <c r="N1394">
        <v>0</v>
      </c>
      <c r="O1394" s="8" t="str">
        <f>formatIP(Table1[[#This Row],[Address A]])</f>
        <v>010.012.001.124</v>
      </c>
      <c r="P1394" s="8" t="str">
        <f>formatIP(Table1[[#This Row],[Address B]])</f>
        <v>010.001.001.002</v>
      </c>
      <c r="Q1394" s="8" t="str">
        <f>VLOOKUP(Table1[[#This Row],[Address A]],IP_Master[],4,FALSE)</f>
        <v>KBPPLC</v>
      </c>
      <c r="R1394" s="8" t="e">
        <f>VLOOKUP(Table1[[#This Row],[Address B]],IP_Master[],4,FALSE)</f>
        <v>#N/A</v>
      </c>
      <c r="S1394" s="8" t="str">
        <f>VLOOKUP(Table1[[#This Row],[Address A]],IP_Master[],2,FALSE)</f>
        <v>Slag Fumer</v>
      </c>
      <c r="T1394" s="8" t="e">
        <f>VLOOKUP(Table1[[#This Row],[Address B]],IP_Master[],2,FALSE)</f>
        <v>#N/A</v>
      </c>
      <c r="U1394" s="9" t="str">
        <f>VLOOKUP(Table1[[#This Row],[Address A]],IP_Master[],3,FALSE)</f>
        <v>PLCs &amp; Control Equipment</v>
      </c>
      <c r="V1394" s="9" t="e">
        <f>VLOOKUP(Table1[[#This Row],[Address B]],IP_Master[],3,FALSE)</f>
        <v>#N/A</v>
      </c>
      <c r="W1394" s="9" t="str">
        <f>VLOOKUP(Table1[[#This Row],[Port B]],traffic_types[],2,FALSE)</f>
        <v>Modbus</v>
      </c>
    </row>
    <row r="1395" spans="1:23" x14ac:dyDescent="0.6">
      <c r="A1395" t="s">
        <v>174</v>
      </c>
      <c r="B1395">
        <v>3328</v>
      </c>
      <c r="C1395" t="s">
        <v>175</v>
      </c>
      <c r="D1395">
        <v>502</v>
      </c>
      <c r="E1395">
        <v>5</v>
      </c>
      <c r="F1395" s="13">
        <v>320</v>
      </c>
      <c r="G1395">
        <v>5</v>
      </c>
      <c r="H1395">
        <v>320</v>
      </c>
      <c r="I1395">
        <v>0</v>
      </c>
      <c r="J1395">
        <v>0</v>
      </c>
      <c r="K1395">
        <v>221.29165900000001</v>
      </c>
      <c r="L1395">
        <v>125.84193999999999</v>
      </c>
      <c r="M1395">
        <v>20.342979455021101</v>
      </c>
      <c r="N1395">
        <v>0</v>
      </c>
      <c r="O1395" s="8" t="str">
        <f>formatIP(Table1[[#This Row],[Address A]])</f>
        <v>010.012.001.124</v>
      </c>
      <c r="P1395" s="8" t="str">
        <f>formatIP(Table1[[#This Row],[Address B]])</f>
        <v>010.001.001.002</v>
      </c>
      <c r="Q1395" s="8" t="str">
        <f>VLOOKUP(Table1[[#This Row],[Address A]],IP_Master[],4,FALSE)</f>
        <v>KBPPLC</v>
      </c>
      <c r="R1395" s="8" t="e">
        <f>VLOOKUP(Table1[[#This Row],[Address B]],IP_Master[],4,FALSE)</f>
        <v>#N/A</v>
      </c>
      <c r="S1395" s="8" t="str">
        <f>VLOOKUP(Table1[[#This Row],[Address A]],IP_Master[],2,FALSE)</f>
        <v>Slag Fumer</v>
      </c>
      <c r="T1395" s="8" t="e">
        <f>VLOOKUP(Table1[[#This Row],[Address B]],IP_Master[],2,FALSE)</f>
        <v>#N/A</v>
      </c>
      <c r="U1395" s="9" t="str">
        <f>VLOOKUP(Table1[[#This Row],[Address A]],IP_Master[],3,FALSE)</f>
        <v>PLCs &amp; Control Equipment</v>
      </c>
      <c r="V1395" s="9" t="e">
        <f>VLOOKUP(Table1[[#This Row],[Address B]],IP_Master[],3,FALSE)</f>
        <v>#N/A</v>
      </c>
      <c r="W1395" s="9" t="str">
        <f>VLOOKUP(Table1[[#This Row],[Port B]],traffic_types[],2,FALSE)</f>
        <v>Modbus</v>
      </c>
    </row>
    <row r="1396" spans="1:23" x14ac:dyDescent="0.6">
      <c r="A1396" t="s">
        <v>174</v>
      </c>
      <c r="B1396">
        <v>3073</v>
      </c>
      <c r="C1396" t="s">
        <v>176</v>
      </c>
      <c r="D1396">
        <v>502</v>
      </c>
      <c r="E1396">
        <v>5</v>
      </c>
      <c r="F1396" s="13">
        <v>320</v>
      </c>
      <c r="G1396">
        <v>5</v>
      </c>
      <c r="H1396">
        <v>320</v>
      </c>
      <c r="I1396">
        <v>0</v>
      </c>
      <c r="J1396">
        <v>0</v>
      </c>
      <c r="K1396">
        <v>225.56179499999999</v>
      </c>
      <c r="L1396">
        <v>34.970475999999998</v>
      </c>
      <c r="M1396">
        <v>73.204608367355405</v>
      </c>
      <c r="N1396">
        <v>0</v>
      </c>
      <c r="O1396" s="8" t="str">
        <f>formatIP(Table1[[#This Row],[Address A]])</f>
        <v>010.012.001.124</v>
      </c>
      <c r="P1396" s="8" t="str">
        <f>formatIP(Table1[[#This Row],[Address B]])</f>
        <v>010.001.001.003</v>
      </c>
      <c r="Q1396" s="8" t="str">
        <f>VLOOKUP(Table1[[#This Row],[Address A]],IP_Master[],4,FALSE)</f>
        <v>KBPPLC</v>
      </c>
      <c r="R1396" s="8" t="e">
        <f>VLOOKUP(Table1[[#This Row],[Address B]],IP_Master[],4,FALSE)</f>
        <v>#N/A</v>
      </c>
      <c r="S1396" s="8" t="str">
        <f>VLOOKUP(Table1[[#This Row],[Address A]],IP_Master[],2,FALSE)</f>
        <v>Slag Fumer</v>
      </c>
      <c r="T1396" s="8" t="e">
        <f>VLOOKUP(Table1[[#This Row],[Address B]],IP_Master[],2,FALSE)</f>
        <v>#N/A</v>
      </c>
      <c r="U1396" s="9" t="str">
        <f>VLOOKUP(Table1[[#This Row],[Address A]],IP_Master[],3,FALSE)</f>
        <v>PLCs &amp; Control Equipment</v>
      </c>
      <c r="V1396" s="9" t="e">
        <f>VLOOKUP(Table1[[#This Row],[Address B]],IP_Master[],3,FALSE)</f>
        <v>#N/A</v>
      </c>
      <c r="W1396" s="9" t="str">
        <f>VLOOKUP(Table1[[#This Row],[Port B]],traffic_types[],2,FALSE)</f>
        <v>Modbus</v>
      </c>
    </row>
    <row r="1397" spans="1:23" x14ac:dyDescent="0.6">
      <c r="A1397" t="s">
        <v>174</v>
      </c>
      <c r="B1397">
        <v>4864</v>
      </c>
      <c r="C1397" t="s">
        <v>175</v>
      </c>
      <c r="D1397">
        <v>502</v>
      </c>
      <c r="E1397">
        <v>5</v>
      </c>
      <c r="F1397" s="13">
        <v>320</v>
      </c>
      <c r="G1397">
        <v>5</v>
      </c>
      <c r="H1397">
        <v>320</v>
      </c>
      <c r="I1397">
        <v>0</v>
      </c>
      <c r="J1397">
        <v>0</v>
      </c>
      <c r="K1397">
        <v>228.28182799999999</v>
      </c>
      <c r="L1397">
        <v>125.841931</v>
      </c>
      <c r="M1397">
        <v>20.342980909916299</v>
      </c>
      <c r="N1397">
        <v>0</v>
      </c>
      <c r="O1397" s="8" t="str">
        <f>formatIP(Table1[[#This Row],[Address A]])</f>
        <v>010.012.001.124</v>
      </c>
      <c r="P1397" s="8" t="str">
        <f>formatIP(Table1[[#This Row],[Address B]])</f>
        <v>010.001.001.002</v>
      </c>
      <c r="Q1397" s="8" t="str">
        <f>VLOOKUP(Table1[[#This Row],[Address A]],IP_Master[],4,FALSE)</f>
        <v>KBPPLC</v>
      </c>
      <c r="R1397" s="8" t="e">
        <f>VLOOKUP(Table1[[#This Row],[Address B]],IP_Master[],4,FALSE)</f>
        <v>#N/A</v>
      </c>
      <c r="S1397" s="8" t="str">
        <f>VLOOKUP(Table1[[#This Row],[Address A]],IP_Master[],2,FALSE)</f>
        <v>Slag Fumer</v>
      </c>
      <c r="T1397" s="8" t="e">
        <f>VLOOKUP(Table1[[#This Row],[Address B]],IP_Master[],2,FALSE)</f>
        <v>#N/A</v>
      </c>
      <c r="U1397" s="9" t="str">
        <f>VLOOKUP(Table1[[#This Row],[Address A]],IP_Master[],3,FALSE)</f>
        <v>PLCs &amp; Control Equipment</v>
      </c>
      <c r="V1397" s="9" t="e">
        <f>VLOOKUP(Table1[[#This Row],[Address B]],IP_Master[],3,FALSE)</f>
        <v>#N/A</v>
      </c>
      <c r="W1397" s="9" t="str">
        <f>VLOOKUP(Table1[[#This Row],[Port B]],traffic_types[],2,FALSE)</f>
        <v>Modbus</v>
      </c>
    </row>
    <row r="1398" spans="1:23" x14ac:dyDescent="0.6">
      <c r="A1398" t="s">
        <v>174</v>
      </c>
      <c r="B1398">
        <v>4609</v>
      </c>
      <c r="C1398" t="s">
        <v>176</v>
      </c>
      <c r="D1398">
        <v>502</v>
      </c>
      <c r="E1398">
        <v>5</v>
      </c>
      <c r="F1398" s="13">
        <v>320</v>
      </c>
      <c r="G1398">
        <v>5</v>
      </c>
      <c r="H1398">
        <v>320</v>
      </c>
      <c r="I1398">
        <v>0</v>
      </c>
      <c r="J1398">
        <v>0</v>
      </c>
      <c r="K1398">
        <v>232.552671</v>
      </c>
      <c r="L1398">
        <v>34.969701000000001</v>
      </c>
      <c r="M1398">
        <v>73.206230730997603</v>
      </c>
      <c r="N1398">
        <v>0</v>
      </c>
      <c r="O1398" s="8" t="str">
        <f>formatIP(Table1[[#This Row],[Address A]])</f>
        <v>010.012.001.124</v>
      </c>
      <c r="P1398" s="8" t="str">
        <f>formatIP(Table1[[#This Row],[Address B]])</f>
        <v>010.001.001.003</v>
      </c>
      <c r="Q1398" s="8" t="str">
        <f>VLOOKUP(Table1[[#This Row],[Address A]],IP_Master[],4,FALSE)</f>
        <v>KBPPLC</v>
      </c>
      <c r="R1398" s="8" t="e">
        <f>VLOOKUP(Table1[[#This Row],[Address B]],IP_Master[],4,FALSE)</f>
        <v>#N/A</v>
      </c>
      <c r="S1398" s="8" t="str">
        <f>VLOOKUP(Table1[[#This Row],[Address A]],IP_Master[],2,FALSE)</f>
        <v>Slag Fumer</v>
      </c>
      <c r="T1398" s="8" t="e">
        <f>VLOOKUP(Table1[[#This Row],[Address B]],IP_Master[],2,FALSE)</f>
        <v>#N/A</v>
      </c>
      <c r="U1398" s="9" t="str">
        <f>VLOOKUP(Table1[[#This Row],[Address A]],IP_Master[],3,FALSE)</f>
        <v>PLCs &amp; Control Equipment</v>
      </c>
      <c r="V1398" s="9" t="e">
        <f>VLOOKUP(Table1[[#This Row],[Address B]],IP_Master[],3,FALSE)</f>
        <v>#N/A</v>
      </c>
      <c r="W1398" s="9" t="str">
        <f>VLOOKUP(Table1[[#This Row],[Port B]],traffic_types[],2,FALSE)</f>
        <v>Modbus</v>
      </c>
    </row>
    <row r="1399" spans="1:23" x14ac:dyDescent="0.6">
      <c r="A1399" t="s">
        <v>174</v>
      </c>
      <c r="B1399">
        <v>3584</v>
      </c>
      <c r="C1399" t="s">
        <v>175</v>
      </c>
      <c r="D1399">
        <v>502</v>
      </c>
      <c r="E1399">
        <v>5</v>
      </c>
      <c r="F1399" s="13">
        <v>320</v>
      </c>
      <c r="G1399">
        <v>5</v>
      </c>
      <c r="H1399">
        <v>320</v>
      </c>
      <c r="I1399">
        <v>0</v>
      </c>
      <c r="J1399">
        <v>0</v>
      </c>
      <c r="K1399">
        <v>235.28191899999999</v>
      </c>
      <c r="L1399">
        <v>90.881377999999998</v>
      </c>
      <c r="M1399">
        <v>28.168586968388599</v>
      </c>
      <c r="N1399">
        <v>0</v>
      </c>
      <c r="O1399" s="8" t="str">
        <f>formatIP(Table1[[#This Row],[Address A]])</f>
        <v>010.012.001.124</v>
      </c>
      <c r="P1399" s="8" t="str">
        <f>formatIP(Table1[[#This Row],[Address B]])</f>
        <v>010.001.001.002</v>
      </c>
      <c r="Q1399" s="8" t="str">
        <f>VLOOKUP(Table1[[#This Row],[Address A]],IP_Master[],4,FALSE)</f>
        <v>KBPPLC</v>
      </c>
      <c r="R1399" s="8" t="e">
        <f>VLOOKUP(Table1[[#This Row],[Address B]],IP_Master[],4,FALSE)</f>
        <v>#N/A</v>
      </c>
      <c r="S1399" s="8" t="str">
        <f>VLOOKUP(Table1[[#This Row],[Address A]],IP_Master[],2,FALSE)</f>
        <v>Slag Fumer</v>
      </c>
      <c r="T1399" s="8" t="e">
        <f>VLOOKUP(Table1[[#This Row],[Address B]],IP_Master[],2,FALSE)</f>
        <v>#N/A</v>
      </c>
      <c r="U1399" s="9" t="str">
        <f>VLOOKUP(Table1[[#This Row],[Address A]],IP_Master[],3,FALSE)</f>
        <v>PLCs &amp; Control Equipment</v>
      </c>
      <c r="V1399" s="9" t="e">
        <f>VLOOKUP(Table1[[#This Row],[Address B]],IP_Master[],3,FALSE)</f>
        <v>#N/A</v>
      </c>
      <c r="W1399" s="9" t="str">
        <f>VLOOKUP(Table1[[#This Row],[Port B]],traffic_types[],2,FALSE)</f>
        <v>Modbus</v>
      </c>
    </row>
    <row r="1400" spans="1:23" x14ac:dyDescent="0.6">
      <c r="A1400" t="s">
        <v>174</v>
      </c>
      <c r="B1400">
        <v>4225</v>
      </c>
      <c r="C1400" t="s">
        <v>176</v>
      </c>
      <c r="D1400">
        <v>502</v>
      </c>
      <c r="E1400">
        <v>5</v>
      </c>
      <c r="F1400" s="13">
        <v>320</v>
      </c>
      <c r="G1400">
        <v>5</v>
      </c>
      <c r="H1400">
        <v>320</v>
      </c>
      <c r="I1400">
        <v>0</v>
      </c>
      <c r="J1400">
        <v>0</v>
      </c>
      <c r="K1400">
        <v>239.55200600000001</v>
      </c>
      <c r="L1400">
        <v>34.960427000000003</v>
      </c>
      <c r="M1400">
        <v>73.225650247349705</v>
      </c>
      <c r="N1400">
        <v>0</v>
      </c>
      <c r="O1400" s="8" t="str">
        <f>formatIP(Table1[[#This Row],[Address A]])</f>
        <v>010.012.001.124</v>
      </c>
      <c r="P1400" s="8" t="str">
        <f>formatIP(Table1[[#This Row],[Address B]])</f>
        <v>010.001.001.003</v>
      </c>
      <c r="Q1400" s="8" t="str">
        <f>VLOOKUP(Table1[[#This Row],[Address A]],IP_Master[],4,FALSE)</f>
        <v>KBPPLC</v>
      </c>
      <c r="R1400" s="8" t="e">
        <f>VLOOKUP(Table1[[#This Row],[Address B]],IP_Master[],4,FALSE)</f>
        <v>#N/A</v>
      </c>
      <c r="S1400" s="8" t="str">
        <f>VLOOKUP(Table1[[#This Row],[Address A]],IP_Master[],2,FALSE)</f>
        <v>Slag Fumer</v>
      </c>
      <c r="T1400" s="8" t="e">
        <f>VLOOKUP(Table1[[#This Row],[Address B]],IP_Master[],2,FALSE)</f>
        <v>#N/A</v>
      </c>
      <c r="U1400" s="9" t="str">
        <f>VLOOKUP(Table1[[#This Row],[Address A]],IP_Master[],3,FALSE)</f>
        <v>PLCs &amp; Control Equipment</v>
      </c>
      <c r="V1400" s="9" t="e">
        <f>VLOOKUP(Table1[[#This Row],[Address B]],IP_Master[],3,FALSE)</f>
        <v>#N/A</v>
      </c>
      <c r="W1400" s="9" t="str">
        <f>VLOOKUP(Table1[[#This Row],[Port B]],traffic_types[],2,FALSE)</f>
        <v>Modbus</v>
      </c>
    </row>
    <row r="1401" spans="1:23" x14ac:dyDescent="0.6">
      <c r="A1401" t="s">
        <v>174</v>
      </c>
      <c r="B1401">
        <v>4096</v>
      </c>
      <c r="C1401" t="s">
        <v>175</v>
      </c>
      <c r="D1401">
        <v>502</v>
      </c>
      <c r="E1401">
        <v>5</v>
      </c>
      <c r="F1401" s="13">
        <v>320</v>
      </c>
      <c r="G1401">
        <v>5</v>
      </c>
      <c r="H1401">
        <v>320</v>
      </c>
      <c r="I1401">
        <v>0</v>
      </c>
      <c r="J1401">
        <v>0</v>
      </c>
      <c r="K1401">
        <v>242.27200099999999</v>
      </c>
      <c r="L1401">
        <v>125.831824</v>
      </c>
      <c r="M1401">
        <v>20.3446148885198</v>
      </c>
      <c r="N1401">
        <v>0</v>
      </c>
      <c r="O1401" s="8" t="str">
        <f>formatIP(Table1[[#This Row],[Address A]])</f>
        <v>010.012.001.124</v>
      </c>
      <c r="P1401" s="8" t="str">
        <f>formatIP(Table1[[#This Row],[Address B]])</f>
        <v>010.001.001.002</v>
      </c>
      <c r="Q1401" s="8" t="str">
        <f>VLOOKUP(Table1[[#This Row],[Address A]],IP_Master[],4,FALSE)</f>
        <v>KBPPLC</v>
      </c>
      <c r="R1401" s="8" t="e">
        <f>VLOOKUP(Table1[[#This Row],[Address B]],IP_Master[],4,FALSE)</f>
        <v>#N/A</v>
      </c>
      <c r="S1401" s="8" t="str">
        <f>VLOOKUP(Table1[[#This Row],[Address A]],IP_Master[],2,FALSE)</f>
        <v>Slag Fumer</v>
      </c>
      <c r="T1401" s="8" t="e">
        <f>VLOOKUP(Table1[[#This Row],[Address B]],IP_Master[],2,FALSE)</f>
        <v>#N/A</v>
      </c>
      <c r="U1401" s="9" t="str">
        <f>VLOOKUP(Table1[[#This Row],[Address A]],IP_Master[],3,FALSE)</f>
        <v>PLCs &amp; Control Equipment</v>
      </c>
      <c r="V1401" s="9" t="e">
        <f>VLOOKUP(Table1[[#This Row],[Address B]],IP_Master[],3,FALSE)</f>
        <v>#N/A</v>
      </c>
      <c r="W1401" s="9" t="str">
        <f>VLOOKUP(Table1[[#This Row],[Port B]],traffic_types[],2,FALSE)</f>
        <v>Modbus</v>
      </c>
    </row>
    <row r="1402" spans="1:23" x14ac:dyDescent="0.6">
      <c r="A1402" t="s">
        <v>174</v>
      </c>
      <c r="B1402">
        <v>3841</v>
      </c>
      <c r="C1402" t="s">
        <v>176</v>
      </c>
      <c r="D1402">
        <v>502</v>
      </c>
      <c r="E1402">
        <v>5</v>
      </c>
      <c r="F1402" s="13">
        <v>320</v>
      </c>
      <c r="G1402">
        <v>5</v>
      </c>
      <c r="H1402">
        <v>320</v>
      </c>
      <c r="I1402">
        <v>0</v>
      </c>
      <c r="J1402">
        <v>0</v>
      </c>
      <c r="K1402">
        <v>246.54209399999999</v>
      </c>
      <c r="L1402">
        <v>34.961224999999999</v>
      </c>
      <c r="M1402">
        <v>73.223978850855502</v>
      </c>
      <c r="N1402">
        <v>0</v>
      </c>
      <c r="O1402" s="8" t="str">
        <f>formatIP(Table1[[#This Row],[Address A]])</f>
        <v>010.012.001.124</v>
      </c>
      <c r="P1402" s="8" t="str">
        <f>formatIP(Table1[[#This Row],[Address B]])</f>
        <v>010.001.001.003</v>
      </c>
      <c r="Q1402" s="8" t="str">
        <f>VLOOKUP(Table1[[#This Row],[Address A]],IP_Master[],4,FALSE)</f>
        <v>KBPPLC</v>
      </c>
      <c r="R1402" s="8" t="e">
        <f>VLOOKUP(Table1[[#This Row],[Address B]],IP_Master[],4,FALSE)</f>
        <v>#N/A</v>
      </c>
      <c r="S1402" s="8" t="str">
        <f>VLOOKUP(Table1[[#This Row],[Address A]],IP_Master[],2,FALSE)</f>
        <v>Slag Fumer</v>
      </c>
      <c r="T1402" s="8" t="e">
        <f>VLOOKUP(Table1[[#This Row],[Address B]],IP_Master[],2,FALSE)</f>
        <v>#N/A</v>
      </c>
      <c r="U1402" s="9" t="str">
        <f>VLOOKUP(Table1[[#This Row],[Address A]],IP_Master[],3,FALSE)</f>
        <v>PLCs &amp; Control Equipment</v>
      </c>
      <c r="V1402" s="9" t="e">
        <f>VLOOKUP(Table1[[#This Row],[Address B]],IP_Master[],3,FALSE)</f>
        <v>#N/A</v>
      </c>
      <c r="W1402" s="9" t="str">
        <f>VLOOKUP(Table1[[#This Row],[Port B]],traffic_types[],2,FALSE)</f>
        <v>Modbus</v>
      </c>
    </row>
    <row r="1403" spans="1:23" x14ac:dyDescent="0.6">
      <c r="A1403" t="s">
        <v>174</v>
      </c>
      <c r="B1403">
        <v>3840</v>
      </c>
      <c r="C1403" t="s">
        <v>175</v>
      </c>
      <c r="D1403">
        <v>502</v>
      </c>
      <c r="E1403">
        <v>5</v>
      </c>
      <c r="F1403" s="13">
        <v>320</v>
      </c>
      <c r="G1403">
        <v>5</v>
      </c>
      <c r="H1403">
        <v>320</v>
      </c>
      <c r="I1403">
        <v>0</v>
      </c>
      <c r="J1403">
        <v>0</v>
      </c>
      <c r="K1403">
        <v>249.262202</v>
      </c>
      <c r="L1403">
        <v>34.951157000000002</v>
      </c>
      <c r="M1403">
        <v>73.245071686754102</v>
      </c>
      <c r="N1403">
        <v>0</v>
      </c>
      <c r="O1403" s="8" t="str">
        <f>formatIP(Table1[[#This Row],[Address A]])</f>
        <v>010.012.001.124</v>
      </c>
      <c r="P1403" s="8" t="str">
        <f>formatIP(Table1[[#This Row],[Address B]])</f>
        <v>010.001.001.002</v>
      </c>
      <c r="Q1403" s="8" t="str">
        <f>VLOOKUP(Table1[[#This Row],[Address A]],IP_Master[],4,FALSE)</f>
        <v>KBPPLC</v>
      </c>
      <c r="R1403" s="8" t="e">
        <f>VLOOKUP(Table1[[#This Row],[Address B]],IP_Master[],4,FALSE)</f>
        <v>#N/A</v>
      </c>
      <c r="S1403" s="8" t="str">
        <f>VLOOKUP(Table1[[#This Row],[Address A]],IP_Master[],2,FALSE)</f>
        <v>Slag Fumer</v>
      </c>
      <c r="T1403" s="8" t="e">
        <f>VLOOKUP(Table1[[#This Row],[Address B]],IP_Master[],2,FALSE)</f>
        <v>#N/A</v>
      </c>
      <c r="U1403" s="9" t="str">
        <f>VLOOKUP(Table1[[#This Row],[Address A]],IP_Master[],3,FALSE)</f>
        <v>PLCs &amp; Control Equipment</v>
      </c>
      <c r="V1403" s="9" t="e">
        <f>VLOOKUP(Table1[[#This Row],[Address B]],IP_Master[],3,FALSE)</f>
        <v>#N/A</v>
      </c>
      <c r="W1403" s="9" t="str">
        <f>VLOOKUP(Table1[[#This Row],[Port B]],traffic_types[],2,FALSE)</f>
        <v>Modbus</v>
      </c>
    </row>
    <row r="1404" spans="1:23" x14ac:dyDescent="0.6">
      <c r="A1404" t="s">
        <v>174</v>
      </c>
      <c r="B1404">
        <v>3457</v>
      </c>
      <c r="C1404" t="s">
        <v>176</v>
      </c>
      <c r="D1404">
        <v>502</v>
      </c>
      <c r="E1404">
        <v>5</v>
      </c>
      <c r="F1404" s="13">
        <v>320</v>
      </c>
      <c r="G1404">
        <v>5</v>
      </c>
      <c r="H1404">
        <v>320</v>
      </c>
      <c r="I1404">
        <v>0</v>
      </c>
      <c r="J1404">
        <v>0</v>
      </c>
      <c r="K1404">
        <v>253.53299799999999</v>
      </c>
      <c r="L1404">
        <v>125.850954</v>
      </c>
      <c r="M1404">
        <v>20.341522401173101</v>
      </c>
      <c r="N1404">
        <v>0</v>
      </c>
      <c r="O1404" s="8" t="str">
        <f>formatIP(Table1[[#This Row],[Address A]])</f>
        <v>010.012.001.124</v>
      </c>
      <c r="P1404" s="8" t="str">
        <f>formatIP(Table1[[#This Row],[Address B]])</f>
        <v>010.001.001.003</v>
      </c>
      <c r="Q1404" s="8" t="str">
        <f>VLOOKUP(Table1[[#This Row],[Address A]],IP_Master[],4,FALSE)</f>
        <v>KBPPLC</v>
      </c>
      <c r="R1404" s="8" t="e">
        <f>VLOOKUP(Table1[[#This Row],[Address B]],IP_Master[],4,FALSE)</f>
        <v>#N/A</v>
      </c>
      <c r="S1404" s="8" t="str">
        <f>VLOOKUP(Table1[[#This Row],[Address A]],IP_Master[],2,FALSE)</f>
        <v>Slag Fumer</v>
      </c>
      <c r="T1404" s="8" t="e">
        <f>VLOOKUP(Table1[[#This Row],[Address B]],IP_Master[],2,FALSE)</f>
        <v>#N/A</v>
      </c>
      <c r="U1404" s="9" t="str">
        <f>VLOOKUP(Table1[[#This Row],[Address A]],IP_Master[],3,FALSE)</f>
        <v>PLCs &amp; Control Equipment</v>
      </c>
      <c r="V1404" s="9" t="e">
        <f>VLOOKUP(Table1[[#This Row],[Address B]],IP_Master[],3,FALSE)</f>
        <v>#N/A</v>
      </c>
      <c r="W1404" s="9" t="str">
        <f>VLOOKUP(Table1[[#This Row],[Port B]],traffic_types[],2,FALSE)</f>
        <v>Modbus</v>
      </c>
    </row>
    <row r="1405" spans="1:23" x14ac:dyDescent="0.6">
      <c r="A1405" t="s">
        <v>174</v>
      </c>
      <c r="B1405">
        <v>3456</v>
      </c>
      <c r="C1405" t="s">
        <v>175</v>
      </c>
      <c r="D1405">
        <v>502</v>
      </c>
      <c r="E1405">
        <v>5</v>
      </c>
      <c r="F1405" s="13">
        <v>320</v>
      </c>
      <c r="G1405">
        <v>5</v>
      </c>
      <c r="H1405">
        <v>320</v>
      </c>
      <c r="I1405">
        <v>0</v>
      </c>
      <c r="J1405">
        <v>0</v>
      </c>
      <c r="K1405">
        <v>256.25223399999999</v>
      </c>
      <c r="L1405">
        <v>34.960509999999999</v>
      </c>
      <c r="M1405">
        <v>73.225476401803107</v>
      </c>
      <c r="N1405">
        <v>0</v>
      </c>
      <c r="O1405" s="8" t="str">
        <f>formatIP(Table1[[#This Row],[Address A]])</f>
        <v>010.012.001.124</v>
      </c>
      <c r="P1405" s="8" t="str">
        <f>formatIP(Table1[[#This Row],[Address B]])</f>
        <v>010.001.001.002</v>
      </c>
      <c r="Q1405" s="8" t="str">
        <f>VLOOKUP(Table1[[#This Row],[Address A]],IP_Master[],4,FALSE)</f>
        <v>KBPPLC</v>
      </c>
      <c r="R1405" s="8" t="e">
        <f>VLOOKUP(Table1[[#This Row],[Address B]],IP_Master[],4,FALSE)</f>
        <v>#N/A</v>
      </c>
      <c r="S1405" s="8" t="str">
        <f>VLOOKUP(Table1[[#This Row],[Address A]],IP_Master[],2,FALSE)</f>
        <v>Slag Fumer</v>
      </c>
      <c r="T1405" s="8" t="e">
        <f>VLOOKUP(Table1[[#This Row],[Address B]],IP_Master[],2,FALSE)</f>
        <v>#N/A</v>
      </c>
      <c r="U1405" s="9" t="str">
        <f>VLOOKUP(Table1[[#This Row],[Address A]],IP_Master[],3,FALSE)</f>
        <v>PLCs &amp; Control Equipment</v>
      </c>
      <c r="V1405" s="9" t="e">
        <f>VLOOKUP(Table1[[#This Row],[Address B]],IP_Master[],3,FALSE)</f>
        <v>#N/A</v>
      </c>
      <c r="W1405" s="9" t="str">
        <f>VLOOKUP(Table1[[#This Row],[Port B]],traffic_types[],2,FALSE)</f>
        <v>Modbus</v>
      </c>
    </row>
    <row r="1406" spans="1:23" x14ac:dyDescent="0.6">
      <c r="A1406" t="s">
        <v>174</v>
      </c>
      <c r="B1406">
        <v>3073</v>
      </c>
      <c r="C1406" t="s">
        <v>176</v>
      </c>
      <c r="D1406">
        <v>502</v>
      </c>
      <c r="E1406">
        <v>5</v>
      </c>
      <c r="F1406" s="13">
        <v>320</v>
      </c>
      <c r="G1406">
        <v>5</v>
      </c>
      <c r="H1406">
        <v>320</v>
      </c>
      <c r="I1406">
        <v>0</v>
      </c>
      <c r="J1406">
        <v>0</v>
      </c>
      <c r="K1406">
        <v>260.53227399999997</v>
      </c>
      <c r="L1406">
        <v>125.841938</v>
      </c>
      <c r="M1406">
        <v>20.342979778331099</v>
      </c>
      <c r="N1406">
        <v>0</v>
      </c>
      <c r="O1406" s="8" t="str">
        <f>formatIP(Table1[[#This Row],[Address A]])</f>
        <v>010.012.001.124</v>
      </c>
      <c r="P1406" s="8" t="str">
        <f>formatIP(Table1[[#This Row],[Address B]])</f>
        <v>010.001.001.003</v>
      </c>
      <c r="Q1406" s="8" t="str">
        <f>VLOOKUP(Table1[[#This Row],[Address A]],IP_Master[],4,FALSE)</f>
        <v>KBPPLC</v>
      </c>
      <c r="R1406" s="8" t="e">
        <f>VLOOKUP(Table1[[#This Row],[Address B]],IP_Master[],4,FALSE)</f>
        <v>#N/A</v>
      </c>
      <c r="S1406" s="8" t="str">
        <f>VLOOKUP(Table1[[#This Row],[Address A]],IP_Master[],2,FALSE)</f>
        <v>Slag Fumer</v>
      </c>
      <c r="T1406" s="8" t="e">
        <f>VLOOKUP(Table1[[#This Row],[Address B]],IP_Master[],2,FALSE)</f>
        <v>#N/A</v>
      </c>
      <c r="U1406" s="9" t="str">
        <f>VLOOKUP(Table1[[#This Row],[Address A]],IP_Master[],3,FALSE)</f>
        <v>PLCs &amp; Control Equipment</v>
      </c>
      <c r="V1406" s="9" t="e">
        <f>VLOOKUP(Table1[[#This Row],[Address B]],IP_Master[],3,FALSE)</f>
        <v>#N/A</v>
      </c>
      <c r="W1406" s="9" t="str">
        <f>VLOOKUP(Table1[[#This Row],[Port B]],traffic_types[],2,FALSE)</f>
        <v>Modbus</v>
      </c>
    </row>
    <row r="1407" spans="1:23" x14ac:dyDescent="0.6">
      <c r="A1407" t="s">
        <v>174</v>
      </c>
      <c r="B1407">
        <v>3072</v>
      </c>
      <c r="C1407" t="s">
        <v>175</v>
      </c>
      <c r="D1407">
        <v>502</v>
      </c>
      <c r="E1407">
        <v>5</v>
      </c>
      <c r="F1407" s="13">
        <v>320</v>
      </c>
      <c r="G1407">
        <v>5</v>
      </c>
      <c r="H1407">
        <v>320</v>
      </c>
      <c r="I1407">
        <v>0</v>
      </c>
      <c r="J1407">
        <v>0</v>
      </c>
      <c r="K1407">
        <v>263.24226299999998</v>
      </c>
      <c r="L1407">
        <v>34.960501999999998</v>
      </c>
      <c r="M1407">
        <v>73.225493157964294</v>
      </c>
      <c r="N1407">
        <v>0</v>
      </c>
      <c r="O1407" s="8" t="str">
        <f>formatIP(Table1[[#This Row],[Address A]])</f>
        <v>010.012.001.124</v>
      </c>
      <c r="P1407" s="8" t="str">
        <f>formatIP(Table1[[#This Row],[Address B]])</f>
        <v>010.001.001.002</v>
      </c>
      <c r="Q1407" s="8" t="str">
        <f>VLOOKUP(Table1[[#This Row],[Address A]],IP_Master[],4,FALSE)</f>
        <v>KBPPLC</v>
      </c>
      <c r="R1407" s="8" t="e">
        <f>VLOOKUP(Table1[[#This Row],[Address B]],IP_Master[],4,FALSE)</f>
        <v>#N/A</v>
      </c>
      <c r="S1407" s="8" t="str">
        <f>VLOOKUP(Table1[[#This Row],[Address A]],IP_Master[],2,FALSE)</f>
        <v>Slag Fumer</v>
      </c>
      <c r="T1407" s="8" t="e">
        <f>VLOOKUP(Table1[[#This Row],[Address B]],IP_Master[],2,FALSE)</f>
        <v>#N/A</v>
      </c>
      <c r="U1407" s="9" t="str">
        <f>VLOOKUP(Table1[[#This Row],[Address A]],IP_Master[],3,FALSE)</f>
        <v>PLCs &amp; Control Equipment</v>
      </c>
      <c r="V1407" s="9" t="e">
        <f>VLOOKUP(Table1[[#This Row],[Address B]],IP_Master[],3,FALSE)</f>
        <v>#N/A</v>
      </c>
      <c r="W1407" s="9" t="str">
        <f>VLOOKUP(Table1[[#This Row],[Port B]],traffic_types[],2,FALSE)</f>
        <v>Modbus</v>
      </c>
    </row>
    <row r="1408" spans="1:23" x14ac:dyDescent="0.6">
      <c r="A1408" t="s">
        <v>174</v>
      </c>
      <c r="B1408">
        <v>4609</v>
      </c>
      <c r="C1408" t="s">
        <v>176</v>
      </c>
      <c r="D1408">
        <v>502</v>
      </c>
      <c r="E1408">
        <v>5</v>
      </c>
      <c r="F1408" s="13">
        <v>320</v>
      </c>
      <c r="G1408">
        <v>5</v>
      </c>
      <c r="H1408">
        <v>320</v>
      </c>
      <c r="I1408">
        <v>0</v>
      </c>
      <c r="J1408">
        <v>0</v>
      </c>
      <c r="K1408">
        <v>267.52237500000001</v>
      </c>
      <c r="L1408">
        <v>125.84178</v>
      </c>
      <c r="M1408">
        <v>20.3430053198548</v>
      </c>
      <c r="N1408">
        <v>0</v>
      </c>
      <c r="O1408" s="8" t="str">
        <f>formatIP(Table1[[#This Row],[Address A]])</f>
        <v>010.012.001.124</v>
      </c>
      <c r="P1408" s="8" t="str">
        <f>formatIP(Table1[[#This Row],[Address B]])</f>
        <v>010.001.001.003</v>
      </c>
      <c r="Q1408" s="8" t="str">
        <f>VLOOKUP(Table1[[#This Row],[Address A]],IP_Master[],4,FALSE)</f>
        <v>KBPPLC</v>
      </c>
      <c r="R1408" s="8" t="e">
        <f>VLOOKUP(Table1[[#This Row],[Address B]],IP_Master[],4,FALSE)</f>
        <v>#N/A</v>
      </c>
      <c r="S1408" s="8" t="str">
        <f>VLOOKUP(Table1[[#This Row],[Address A]],IP_Master[],2,FALSE)</f>
        <v>Slag Fumer</v>
      </c>
      <c r="T1408" s="8" t="e">
        <f>VLOOKUP(Table1[[#This Row],[Address B]],IP_Master[],2,FALSE)</f>
        <v>#N/A</v>
      </c>
      <c r="U1408" s="9" t="str">
        <f>VLOOKUP(Table1[[#This Row],[Address A]],IP_Master[],3,FALSE)</f>
        <v>PLCs &amp; Control Equipment</v>
      </c>
      <c r="V1408" s="9" t="e">
        <f>VLOOKUP(Table1[[#This Row],[Address B]],IP_Master[],3,FALSE)</f>
        <v>#N/A</v>
      </c>
      <c r="W1408" s="9" t="str">
        <f>VLOOKUP(Table1[[#This Row],[Port B]],traffic_types[],2,FALSE)</f>
        <v>Modbus</v>
      </c>
    </row>
    <row r="1409" spans="1:23" x14ac:dyDescent="0.6">
      <c r="A1409" t="s">
        <v>174</v>
      </c>
      <c r="B1409">
        <v>4608</v>
      </c>
      <c r="C1409" t="s">
        <v>175</v>
      </c>
      <c r="D1409">
        <v>502</v>
      </c>
      <c r="E1409">
        <v>5</v>
      </c>
      <c r="F1409" s="13">
        <v>320</v>
      </c>
      <c r="G1409">
        <v>5</v>
      </c>
      <c r="H1409">
        <v>320</v>
      </c>
      <c r="I1409">
        <v>0</v>
      </c>
      <c r="J1409">
        <v>0</v>
      </c>
      <c r="K1409">
        <v>270.23242399999998</v>
      </c>
      <c r="L1409">
        <v>34.96049</v>
      </c>
      <c r="M1409">
        <v>73.225518292220698</v>
      </c>
      <c r="N1409">
        <v>0</v>
      </c>
      <c r="O1409" s="8" t="str">
        <f>formatIP(Table1[[#This Row],[Address A]])</f>
        <v>010.012.001.124</v>
      </c>
      <c r="P1409" s="8" t="str">
        <f>formatIP(Table1[[#This Row],[Address B]])</f>
        <v>010.001.001.002</v>
      </c>
      <c r="Q1409" s="8" t="str">
        <f>VLOOKUP(Table1[[#This Row],[Address A]],IP_Master[],4,FALSE)</f>
        <v>KBPPLC</v>
      </c>
      <c r="R1409" s="8" t="e">
        <f>VLOOKUP(Table1[[#This Row],[Address B]],IP_Master[],4,FALSE)</f>
        <v>#N/A</v>
      </c>
      <c r="S1409" s="8" t="str">
        <f>VLOOKUP(Table1[[#This Row],[Address A]],IP_Master[],2,FALSE)</f>
        <v>Slag Fumer</v>
      </c>
      <c r="T1409" s="8" t="e">
        <f>VLOOKUP(Table1[[#This Row],[Address B]],IP_Master[],2,FALSE)</f>
        <v>#N/A</v>
      </c>
      <c r="U1409" s="9" t="str">
        <f>VLOOKUP(Table1[[#This Row],[Address A]],IP_Master[],3,FALSE)</f>
        <v>PLCs &amp; Control Equipment</v>
      </c>
      <c r="V1409" s="9" t="e">
        <f>VLOOKUP(Table1[[#This Row],[Address B]],IP_Master[],3,FALSE)</f>
        <v>#N/A</v>
      </c>
      <c r="W1409" s="9" t="str">
        <f>VLOOKUP(Table1[[#This Row],[Port B]],traffic_types[],2,FALSE)</f>
        <v>Modbus</v>
      </c>
    </row>
    <row r="1410" spans="1:23" x14ac:dyDescent="0.6">
      <c r="A1410" t="s">
        <v>174</v>
      </c>
      <c r="B1410">
        <v>4225</v>
      </c>
      <c r="C1410" t="s">
        <v>176</v>
      </c>
      <c r="D1410">
        <v>502</v>
      </c>
      <c r="E1410">
        <v>5</v>
      </c>
      <c r="F1410" s="13">
        <v>320</v>
      </c>
      <c r="G1410">
        <v>5</v>
      </c>
      <c r="H1410">
        <v>320</v>
      </c>
      <c r="I1410">
        <v>0</v>
      </c>
      <c r="J1410">
        <v>0</v>
      </c>
      <c r="K1410">
        <v>274.51243399999998</v>
      </c>
      <c r="L1410">
        <v>125.841791</v>
      </c>
      <c r="M1410">
        <v>20.343003541645398</v>
      </c>
      <c r="N1410">
        <v>0</v>
      </c>
      <c r="O1410" s="8" t="str">
        <f>formatIP(Table1[[#This Row],[Address A]])</f>
        <v>010.012.001.124</v>
      </c>
      <c r="P1410" s="8" t="str">
        <f>formatIP(Table1[[#This Row],[Address B]])</f>
        <v>010.001.001.003</v>
      </c>
      <c r="Q1410" s="8" t="str">
        <f>VLOOKUP(Table1[[#This Row],[Address A]],IP_Master[],4,FALSE)</f>
        <v>KBPPLC</v>
      </c>
      <c r="R1410" s="8" t="e">
        <f>VLOOKUP(Table1[[#This Row],[Address B]],IP_Master[],4,FALSE)</f>
        <v>#N/A</v>
      </c>
      <c r="S1410" s="8" t="str">
        <f>VLOOKUP(Table1[[#This Row],[Address A]],IP_Master[],2,FALSE)</f>
        <v>Slag Fumer</v>
      </c>
      <c r="T1410" s="8" t="e">
        <f>VLOOKUP(Table1[[#This Row],[Address B]],IP_Master[],2,FALSE)</f>
        <v>#N/A</v>
      </c>
      <c r="U1410" s="9" t="str">
        <f>VLOOKUP(Table1[[#This Row],[Address A]],IP_Master[],3,FALSE)</f>
        <v>PLCs &amp; Control Equipment</v>
      </c>
      <c r="V1410" s="9" t="e">
        <f>VLOOKUP(Table1[[#This Row],[Address B]],IP_Master[],3,FALSE)</f>
        <v>#N/A</v>
      </c>
      <c r="W1410" s="9" t="str">
        <f>VLOOKUP(Table1[[#This Row],[Port B]],traffic_types[],2,FALSE)</f>
        <v>Modbus</v>
      </c>
    </row>
    <row r="1411" spans="1:23" x14ac:dyDescent="0.6">
      <c r="A1411" t="s">
        <v>174</v>
      </c>
      <c r="B1411">
        <v>4224</v>
      </c>
      <c r="C1411" t="s">
        <v>175</v>
      </c>
      <c r="D1411">
        <v>502</v>
      </c>
      <c r="E1411">
        <v>5</v>
      </c>
      <c r="F1411" s="13">
        <v>320</v>
      </c>
      <c r="G1411">
        <v>5</v>
      </c>
      <c r="H1411">
        <v>320</v>
      </c>
      <c r="I1411">
        <v>0</v>
      </c>
      <c r="J1411">
        <v>0</v>
      </c>
      <c r="K1411">
        <v>277.22250500000001</v>
      </c>
      <c r="L1411">
        <v>34.960512999999999</v>
      </c>
      <c r="M1411">
        <v>73.225470118244601</v>
      </c>
      <c r="N1411">
        <v>0</v>
      </c>
      <c r="O1411" s="8" t="str">
        <f>formatIP(Table1[[#This Row],[Address A]])</f>
        <v>010.012.001.124</v>
      </c>
      <c r="P1411" s="8" t="str">
        <f>formatIP(Table1[[#This Row],[Address B]])</f>
        <v>010.001.001.002</v>
      </c>
      <c r="Q1411" s="8" t="str">
        <f>VLOOKUP(Table1[[#This Row],[Address A]],IP_Master[],4,FALSE)</f>
        <v>KBPPLC</v>
      </c>
      <c r="R1411" s="8" t="e">
        <f>VLOOKUP(Table1[[#This Row],[Address B]],IP_Master[],4,FALSE)</f>
        <v>#N/A</v>
      </c>
      <c r="S1411" s="8" t="str">
        <f>VLOOKUP(Table1[[#This Row],[Address A]],IP_Master[],2,FALSE)</f>
        <v>Slag Fumer</v>
      </c>
      <c r="T1411" s="8" t="e">
        <f>VLOOKUP(Table1[[#This Row],[Address B]],IP_Master[],2,FALSE)</f>
        <v>#N/A</v>
      </c>
      <c r="U1411" s="9" t="str">
        <f>VLOOKUP(Table1[[#This Row],[Address A]],IP_Master[],3,FALSE)</f>
        <v>PLCs &amp; Control Equipment</v>
      </c>
      <c r="V1411" s="9" t="e">
        <f>VLOOKUP(Table1[[#This Row],[Address B]],IP_Master[],3,FALSE)</f>
        <v>#N/A</v>
      </c>
      <c r="W1411" s="9" t="str">
        <f>VLOOKUP(Table1[[#This Row],[Port B]],traffic_types[],2,FALSE)</f>
        <v>Modbus</v>
      </c>
    </row>
    <row r="1412" spans="1:23" x14ac:dyDescent="0.6">
      <c r="A1412" t="s">
        <v>174</v>
      </c>
      <c r="B1412">
        <v>3841</v>
      </c>
      <c r="C1412" t="s">
        <v>176</v>
      </c>
      <c r="D1412">
        <v>502</v>
      </c>
      <c r="E1412">
        <v>5</v>
      </c>
      <c r="F1412" s="13">
        <v>320</v>
      </c>
      <c r="G1412">
        <v>5</v>
      </c>
      <c r="H1412">
        <v>320</v>
      </c>
      <c r="I1412">
        <v>0</v>
      </c>
      <c r="J1412">
        <v>0</v>
      </c>
      <c r="K1412">
        <v>281.50332200000003</v>
      </c>
      <c r="L1412">
        <v>90.890569999999997</v>
      </c>
      <c r="M1412">
        <v>28.165738205844701</v>
      </c>
      <c r="N1412">
        <v>0</v>
      </c>
      <c r="O1412" s="8" t="str">
        <f>formatIP(Table1[[#This Row],[Address A]])</f>
        <v>010.012.001.124</v>
      </c>
      <c r="P1412" s="8" t="str">
        <f>formatIP(Table1[[#This Row],[Address B]])</f>
        <v>010.001.001.003</v>
      </c>
      <c r="Q1412" s="8" t="str">
        <f>VLOOKUP(Table1[[#This Row],[Address A]],IP_Master[],4,FALSE)</f>
        <v>KBPPLC</v>
      </c>
      <c r="R1412" s="8" t="e">
        <f>VLOOKUP(Table1[[#This Row],[Address B]],IP_Master[],4,FALSE)</f>
        <v>#N/A</v>
      </c>
      <c r="S1412" s="8" t="str">
        <f>VLOOKUP(Table1[[#This Row],[Address A]],IP_Master[],2,FALSE)</f>
        <v>Slag Fumer</v>
      </c>
      <c r="T1412" s="8" t="e">
        <f>VLOOKUP(Table1[[#This Row],[Address B]],IP_Master[],2,FALSE)</f>
        <v>#N/A</v>
      </c>
      <c r="U1412" s="9" t="str">
        <f>VLOOKUP(Table1[[#This Row],[Address A]],IP_Master[],3,FALSE)</f>
        <v>PLCs &amp; Control Equipment</v>
      </c>
      <c r="V1412" s="9" t="e">
        <f>VLOOKUP(Table1[[#This Row],[Address B]],IP_Master[],3,FALSE)</f>
        <v>#N/A</v>
      </c>
      <c r="W1412" s="9" t="str">
        <f>VLOOKUP(Table1[[#This Row],[Port B]],traffic_types[],2,FALSE)</f>
        <v>Modbus</v>
      </c>
    </row>
    <row r="1413" spans="1:23" x14ac:dyDescent="0.6">
      <c r="A1413" t="s">
        <v>174</v>
      </c>
      <c r="B1413">
        <v>3840</v>
      </c>
      <c r="C1413" t="s">
        <v>175</v>
      </c>
      <c r="D1413">
        <v>502</v>
      </c>
      <c r="E1413">
        <v>5</v>
      </c>
      <c r="F1413" s="13">
        <v>320</v>
      </c>
      <c r="G1413">
        <v>5</v>
      </c>
      <c r="H1413">
        <v>320</v>
      </c>
      <c r="I1413">
        <v>0</v>
      </c>
      <c r="J1413">
        <v>0</v>
      </c>
      <c r="K1413">
        <v>284.21336200000002</v>
      </c>
      <c r="L1413">
        <v>104.860715</v>
      </c>
      <c r="M1413">
        <v>24.4133372540899</v>
      </c>
      <c r="N1413">
        <v>0</v>
      </c>
      <c r="O1413" s="8" t="str">
        <f>formatIP(Table1[[#This Row],[Address A]])</f>
        <v>010.012.001.124</v>
      </c>
      <c r="P1413" s="8" t="str">
        <f>formatIP(Table1[[#This Row],[Address B]])</f>
        <v>010.001.001.002</v>
      </c>
      <c r="Q1413" s="8" t="str">
        <f>VLOOKUP(Table1[[#This Row],[Address A]],IP_Master[],4,FALSE)</f>
        <v>KBPPLC</v>
      </c>
      <c r="R1413" s="8" t="e">
        <f>VLOOKUP(Table1[[#This Row],[Address B]],IP_Master[],4,FALSE)</f>
        <v>#N/A</v>
      </c>
      <c r="S1413" s="8" t="str">
        <f>VLOOKUP(Table1[[#This Row],[Address A]],IP_Master[],2,FALSE)</f>
        <v>Slag Fumer</v>
      </c>
      <c r="T1413" s="8" t="e">
        <f>VLOOKUP(Table1[[#This Row],[Address B]],IP_Master[],2,FALSE)</f>
        <v>#N/A</v>
      </c>
      <c r="U1413" s="9" t="str">
        <f>VLOOKUP(Table1[[#This Row],[Address A]],IP_Master[],3,FALSE)</f>
        <v>PLCs &amp; Control Equipment</v>
      </c>
      <c r="V1413" s="9" t="e">
        <f>VLOOKUP(Table1[[#This Row],[Address B]],IP_Master[],3,FALSE)</f>
        <v>#N/A</v>
      </c>
      <c r="W1413" s="9" t="str">
        <f>VLOOKUP(Table1[[#This Row],[Port B]],traffic_types[],2,FALSE)</f>
        <v>Modbus</v>
      </c>
    </row>
    <row r="1414" spans="1:23" x14ac:dyDescent="0.6">
      <c r="A1414" t="s">
        <v>174</v>
      </c>
      <c r="B1414">
        <v>3585</v>
      </c>
      <c r="C1414" t="s">
        <v>176</v>
      </c>
      <c r="D1414">
        <v>502</v>
      </c>
      <c r="E1414">
        <v>5</v>
      </c>
      <c r="F1414" s="13">
        <v>320</v>
      </c>
      <c r="G1414">
        <v>5</v>
      </c>
      <c r="H1414">
        <v>320</v>
      </c>
      <c r="I1414">
        <v>0</v>
      </c>
      <c r="J1414">
        <v>0</v>
      </c>
      <c r="K1414">
        <v>288.50271700000002</v>
      </c>
      <c r="L1414">
        <v>139.81201200000001</v>
      </c>
      <c r="M1414">
        <v>18.3103008345234</v>
      </c>
      <c r="N1414">
        <v>0</v>
      </c>
      <c r="O1414" s="8" t="str">
        <f>formatIP(Table1[[#This Row],[Address A]])</f>
        <v>010.012.001.124</v>
      </c>
      <c r="P1414" s="8" t="str">
        <f>formatIP(Table1[[#This Row],[Address B]])</f>
        <v>010.001.001.003</v>
      </c>
      <c r="Q1414" s="8" t="str">
        <f>VLOOKUP(Table1[[#This Row],[Address A]],IP_Master[],4,FALSE)</f>
        <v>KBPPLC</v>
      </c>
      <c r="R1414" s="8" t="e">
        <f>VLOOKUP(Table1[[#This Row],[Address B]],IP_Master[],4,FALSE)</f>
        <v>#N/A</v>
      </c>
      <c r="S1414" s="8" t="str">
        <f>VLOOKUP(Table1[[#This Row],[Address A]],IP_Master[],2,FALSE)</f>
        <v>Slag Fumer</v>
      </c>
      <c r="T1414" s="8" t="e">
        <f>VLOOKUP(Table1[[#This Row],[Address B]],IP_Master[],2,FALSE)</f>
        <v>#N/A</v>
      </c>
      <c r="U1414" s="9" t="str">
        <f>VLOOKUP(Table1[[#This Row],[Address A]],IP_Master[],3,FALSE)</f>
        <v>PLCs &amp; Control Equipment</v>
      </c>
      <c r="V1414" s="9" t="e">
        <f>VLOOKUP(Table1[[#This Row],[Address B]],IP_Master[],3,FALSE)</f>
        <v>#N/A</v>
      </c>
      <c r="W1414" s="9" t="str">
        <f>VLOOKUP(Table1[[#This Row],[Port B]],traffic_types[],2,FALSE)</f>
        <v>Modbus</v>
      </c>
    </row>
    <row r="1415" spans="1:23" x14ac:dyDescent="0.6">
      <c r="A1415" t="s">
        <v>174</v>
      </c>
      <c r="B1415">
        <v>3456</v>
      </c>
      <c r="C1415" t="s">
        <v>175</v>
      </c>
      <c r="D1415">
        <v>502</v>
      </c>
      <c r="E1415">
        <v>5</v>
      </c>
      <c r="F1415" s="13">
        <v>320</v>
      </c>
      <c r="G1415">
        <v>5</v>
      </c>
      <c r="H1415">
        <v>320</v>
      </c>
      <c r="I1415">
        <v>0</v>
      </c>
      <c r="J1415">
        <v>0</v>
      </c>
      <c r="K1415">
        <v>291.21274499999998</v>
      </c>
      <c r="L1415">
        <v>125.831802</v>
      </c>
      <c r="M1415">
        <v>20.344618445502299</v>
      </c>
      <c r="N1415">
        <v>0</v>
      </c>
      <c r="O1415" s="8" t="str">
        <f>formatIP(Table1[[#This Row],[Address A]])</f>
        <v>010.012.001.124</v>
      </c>
      <c r="P1415" s="8" t="str">
        <f>formatIP(Table1[[#This Row],[Address B]])</f>
        <v>010.001.001.002</v>
      </c>
      <c r="Q1415" s="8" t="str">
        <f>VLOOKUP(Table1[[#This Row],[Address A]],IP_Master[],4,FALSE)</f>
        <v>KBPPLC</v>
      </c>
      <c r="R1415" s="8" t="e">
        <f>VLOOKUP(Table1[[#This Row],[Address B]],IP_Master[],4,FALSE)</f>
        <v>#N/A</v>
      </c>
      <c r="S1415" s="8" t="str">
        <f>VLOOKUP(Table1[[#This Row],[Address A]],IP_Master[],2,FALSE)</f>
        <v>Slag Fumer</v>
      </c>
      <c r="T1415" s="8" t="e">
        <f>VLOOKUP(Table1[[#This Row],[Address B]],IP_Master[],2,FALSE)</f>
        <v>#N/A</v>
      </c>
      <c r="U1415" s="9" t="str">
        <f>VLOOKUP(Table1[[#This Row],[Address A]],IP_Master[],3,FALSE)</f>
        <v>PLCs &amp; Control Equipment</v>
      </c>
      <c r="V1415" s="9" t="e">
        <f>VLOOKUP(Table1[[#This Row],[Address B]],IP_Master[],3,FALSE)</f>
        <v>#N/A</v>
      </c>
      <c r="W1415" s="9" t="str">
        <f>VLOOKUP(Table1[[#This Row],[Port B]],traffic_types[],2,FALSE)</f>
        <v>Modbus</v>
      </c>
    </row>
    <row r="1416" spans="1:23" x14ac:dyDescent="0.6">
      <c r="A1416" t="s">
        <v>174</v>
      </c>
      <c r="B1416">
        <v>3201</v>
      </c>
      <c r="C1416" t="s">
        <v>176</v>
      </c>
      <c r="D1416">
        <v>502</v>
      </c>
      <c r="E1416">
        <v>5</v>
      </c>
      <c r="F1416" s="13">
        <v>320</v>
      </c>
      <c r="G1416">
        <v>5</v>
      </c>
      <c r="H1416">
        <v>320</v>
      </c>
      <c r="I1416">
        <v>0</v>
      </c>
      <c r="J1416">
        <v>0</v>
      </c>
      <c r="K1416">
        <v>295.49277000000001</v>
      </c>
      <c r="L1416">
        <v>34.950566999999999</v>
      </c>
      <c r="M1416">
        <v>73.246308135716404</v>
      </c>
      <c r="N1416">
        <v>0</v>
      </c>
      <c r="O1416" s="8" t="str">
        <f>formatIP(Table1[[#This Row],[Address A]])</f>
        <v>010.012.001.124</v>
      </c>
      <c r="P1416" s="8" t="str">
        <f>formatIP(Table1[[#This Row],[Address B]])</f>
        <v>010.001.001.003</v>
      </c>
      <c r="Q1416" s="8" t="str">
        <f>VLOOKUP(Table1[[#This Row],[Address A]],IP_Master[],4,FALSE)</f>
        <v>KBPPLC</v>
      </c>
      <c r="R1416" s="8" t="e">
        <f>VLOOKUP(Table1[[#This Row],[Address B]],IP_Master[],4,FALSE)</f>
        <v>#N/A</v>
      </c>
      <c r="S1416" s="8" t="str">
        <f>VLOOKUP(Table1[[#This Row],[Address A]],IP_Master[],2,FALSE)</f>
        <v>Slag Fumer</v>
      </c>
      <c r="T1416" s="8" t="e">
        <f>VLOOKUP(Table1[[#This Row],[Address B]],IP_Master[],2,FALSE)</f>
        <v>#N/A</v>
      </c>
      <c r="U1416" s="9" t="str">
        <f>VLOOKUP(Table1[[#This Row],[Address A]],IP_Master[],3,FALSE)</f>
        <v>PLCs &amp; Control Equipment</v>
      </c>
      <c r="V1416" s="9" t="e">
        <f>VLOOKUP(Table1[[#This Row],[Address B]],IP_Master[],3,FALSE)</f>
        <v>#N/A</v>
      </c>
      <c r="W1416" s="9" t="str">
        <f>VLOOKUP(Table1[[#This Row],[Port B]],traffic_types[],2,FALSE)</f>
        <v>Modbus</v>
      </c>
    </row>
    <row r="1417" spans="1:23" x14ac:dyDescent="0.6">
      <c r="A1417" t="s">
        <v>174</v>
      </c>
      <c r="B1417">
        <v>3072</v>
      </c>
      <c r="C1417" t="s">
        <v>175</v>
      </c>
      <c r="D1417">
        <v>502</v>
      </c>
      <c r="E1417">
        <v>5</v>
      </c>
      <c r="F1417" s="13">
        <v>320</v>
      </c>
      <c r="G1417">
        <v>5</v>
      </c>
      <c r="H1417">
        <v>320</v>
      </c>
      <c r="I1417">
        <v>0</v>
      </c>
      <c r="J1417">
        <v>0</v>
      </c>
      <c r="K1417">
        <v>298.202766</v>
      </c>
      <c r="L1417">
        <v>104.851519</v>
      </c>
      <c r="M1417">
        <v>24.4154784252577</v>
      </c>
      <c r="N1417">
        <v>0</v>
      </c>
      <c r="O1417" s="8" t="str">
        <f>formatIP(Table1[[#This Row],[Address A]])</f>
        <v>010.012.001.124</v>
      </c>
      <c r="P1417" s="8" t="str">
        <f>formatIP(Table1[[#This Row],[Address B]])</f>
        <v>010.001.001.002</v>
      </c>
      <c r="Q1417" s="8" t="str">
        <f>VLOOKUP(Table1[[#This Row],[Address A]],IP_Master[],4,FALSE)</f>
        <v>KBPPLC</v>
      </c>
      <c r="R1417" s="8" t="e">
        <f>VLOOKUP(Table1[[#This Row],[Address B]],IP_Master[],4,FALSE)</f>
        <v>#N/A</v>
      </c>
      <c r="S1417" s="8" t="str">
        <f>VLOOKUP(Table1[[#This Row],[Address A]],IP_Master[],2,FALSE)</f>
        <v>Slag Fumer</v>
      </c>
      <c r="T1417" s="8" t="e">
        <f>VLOOKUP(Table1[[#This Row],[Address B]],IP_Master[],2,FALSE)</f>
        <v>#N/A</v>
      </c>
      <c r="U1417" s="9" t="str">
        <f>VLOOKUP(Table1[[#This Row],[Address A]],IP_Master[],3,FALSE)</f>
        <v>PLCs &amp; Control Equipment</v>
      </c>
      <c r="V1417" s="9" t="e">
        <f>VLOOKUP(Table1[[#This Row],[Address B]],IP_Master[],3,FALSE)</f>
        <v>#N/A</v>
      </c>
      <c r="W1417" s="9" t="str">
        <f>VLOOKUP(Table1[[#This Row],[Port B]],traffic_types[],2,FALSE)</f>
        <v>Modbus</v>
      </c>
    </row>
    <row r="1418" spans="1:23" x14ac:dyDescent="0.6">
      <c r="A1418" t="s">
        <v>174</v>
      </c>
      <c r="B1418">
        <v>4737</v>
      </c>
      <c r="C1418" t="s">
        <v>176</v>
      </c>
      <c r="D1418">
        <v>502</v>
      </c>
      <c r="E1418">
        <v>5</v>
      </c>
      <c r="F1418" s="13">
        <v>320</v>
      </c>
      <c r="G1418">
        <v>5</v>
      </c>
      <c r="H1418">
        <v>320</v>
      </c>
      <c r="I1418">
        <v>0</v>
      </c>
      <c r="J1418">
        <v>0</v>
      </c>
      <c r="K1418">
        <v>302.48288000000002</v>
      </c>
      <c r="L1418">
        <v>265.67455100000001</v>
      </c>
      <c r="M1418">
        <v>9.63584953983794</v>
      </c>
      <c r="N1418">
        <v>0</v>
      </c>
      <c r="O1418" s="8" t="str">
        <f>formatIP(Table1[[#This Row],[Address A]])</f>
        <v>010.012.001.124</v>
      </c>
      <c r="P1418" s="8" t="str">
        <f>formatIP(Table1[[#This Row],[Address B]])</f>
        <v>010.001.001.003</v>
      </c>
      <c r="Q1418" s="8" t="str">
        <f>VLOOKUP(Table1[[#This Row],[Address A]],IP_Master[],4,FALSE)</f>
        <v>KBPPLC</v>
      </c>
      <c r="R1418" s="8" t="e">
        <f>VLOOKUP(Table1[[#This Row],[Address B]],IP_Master[],4,FALSE)</f>
        <v>#N/A</v>
      </c>
      <c r="S1418" s="8" t="str">
        <f>VLOOKUP(Table1[[#This Row],[Address A]],IP_Master[],2,FALSE)</f>
        <v>Slag Fumer</v>
      </c>
      <c r="T1418" s="8" t="e">
        <f>VLOOKUP(Table1[[#This Row],[Address B]],IP_Master[],2,FALSE)</f>
        <v>#N/A</v>
      </c>
      <c r="U1418" s="9" t="str">
        <f>VLOOKUP(Table1[[#This Row],[Address A]],IP_Master[],3,FALSE)</f>
        <v>PLCs &amp; Control Equipment</v>
      </c>
      <c r="V1418" s="9" t="e">
        <f>VLOOKUP(Table1[[#This Row],[Address B]],IP_Master[],3,FALSE)</f>
        <v>#N/A</v>
      </c>
      <c r="W1418" s="9" t="str">
        <f>VLOOKUP(Table1[[#This Row],[Port B]],traffic_types[],2,FALSE)</f>
        <v>Modbus</v>
      </c>
    </row>
    <row r="1419" spans="1:23" x14ac:dyDescent="0.6">
      <c r="A1419" t="s">
        <v>174</v>
      </c>
      <c r="B1419">
        <v>4608</v>
      </c>
      <c r="C1419" t="s">
        <v>175</v>
      </c>
      <c r="D1419">
        <v>502</v>
      </c>
      <c r="E1419">
        <v>5</v>
      </c>
      <c r="F1419" s="13">
        <v>320</v>
      </c>
      <c r="G1419">
        <v>5</v>
      </c>
      <c r="H1419">
        <v>320</v>
      </c>
      <c r="I1419">
        <v>0</v>
      </c>
      <c r="J1419">
        <v>0</v>
      </c>
      <c r="K1419">
        <v>305.19291800000002</v>
      </c>
      <c r="L1419">
        <v>104.852255</v>
      </c>
      <c r="M1419">
        <v>24.4153070432296</v>
      </c>
      <c r="N1419">
        <v>0</v>
      </c>
      <c r="O1419" s="8" t="str">
        <f>formatIP(Table1[[#This Row],[Address A]])</f>
        <v>010.012.001.124</v>
      </c>
      <c r="P1419" s="8" t="str">
        <f>formatIP(Table1[[#This Row],[Address B]])</f>
        <v>010.001.001.002</v>
      </c>
      <c r="Q1419" s="8" t="str">
        <f>VLOOKUP(Table1[[#This Row],[Address A]],IP_Master[],4,FALSE)</f>
        <v>KBPPLC</v>
      </c>
      <c r="R1419" s="8" t="e">
        <f>VLOOKUP(Table1[[#This Row],[Address B]],IP_Master[],4,FALSE)</f>
        <v>#N/A</v>
      </c>
      <c r="S1419" s="8" t="str">
        <f>VLOOKUP(Table1[[#This Row],[Address A]],IP_Master[],2,FALSE)</f>
        <v>Slag Fumer</v>
      </c>
      <c r="T1419" s="8" t="e">
        <f>VLOOKUP(Table1[[#This Row],[Address B]],IP_Master[],2,FALSE)</f>
        <v>#N/A</v>
      </c>
      <c r="U1419" s="9" t="str">
        <f>VLOOKUP(Table1[[#This Row],[Address A]],IP_Master[],3,FALSE)</f>
        <v>PLCs &amp; Control Equipment</v>
      </c>
      <c r="V1419" s="9" t="e">
        <f>VLOOKUP(Table1[[#This Row],[Address B]],IP_Master[],3,FALSE)</f>
        <v>#N/A</v>
      </c>
      <c r="W1419" s="9" t="str">
        <f>VLOOKUP(Table1[[#This Row],[Port B]],traffic_types[],2,FALSE)</f>
        <v>Modbus</v>
      </c>
    </row>
    <row r="1420" spans="1:23" x14ac:dyDescent="0.6">
      <c r="A1420" t="s">
        <v>174</v>
      </c>
      <c r="B1420">
        <v>4353</v>
      </c>
      <c r="C1420" t="s">
        <v>176</v>
      </c>
      <c r="D1420">
        <v>502</v>
      </c>
      <c r="E1420">
        <v>5</v>
      </c>
      <c r="F1420" s="13">
        <v>320</v>
      </c>
      <c r="G1420">
        <v>5</v>
      </c>
      <c r="H1420">
        <v>320</v>
      </c>
      <c r="I1420">
        <v>0</v>
      </c>
      <c r="J1420">
        <v>0</v>
      </c>
      <c r="K1420">
        <v>309.47303499999998</v>
      </c>
      <c r="L1420">
        <v>104.861417</v>
      </c>
      <c r="M1420">
        <v>24.413173817782798</v>
      </c>
      <c r="N1420">
        <v>0</v>
      </c>
      <c r="O1420" s="8" t="str">
        <f>formatIP(Table1[[#This Row],[Address A]])</f>
        <v>010.012.001.124</v>
      </c>
      <c r="P1420" s="8" t="str">
        <f>formatIP(Table1[[#This Row],[Address B]])</f>
        <v>010.001.001.003</v>
      </c>
      <c r="Q1420" s="8" t="str">
        <f>VLOOKUP(Table1[[#This Row],[Address A]],IP_Master[],4,FALSE)</f>
        <v>KBPPLC</v>
      </c>
      <c r="R1420" s="8" t="e">
        <f>VLOOKUP(Table1[[#This Row],[Address B]],IP_Master[],4,FALSE)</f>
        <v>#N/A</v>
      </c>
      <c r="S1420" s="8" t="str">
        <f>VLOOKUP(Table1[[#This Row],[Address A]],IP_Master[],2,FALSE)</f>
        <v>Slag Fumer</v>
      </c>
      <c r="T1420" s="8" t="e">
        <f>VLOOKUP(Table1[[#This Row],[Address B]],IP_Master[],2,FALSE)</f>
        <v>#N/A</v>
      </c>
      <c r="U1420" s="9" t="str">
        <f>VLOOKUP(Table1[[#This Row],[Address A]],IP_Master[],3,FALSE)</f>
        <v>PLCs &amp; Control Equipment</v>
      </c>
      <c r="V1420" s="9" t="e">
        <f>VLOOKUP(Table1[[#This Row],[Address B]],IP_Master[],3,FALSE)</f>
        <v>#N/A</v>
      </c>
      <c r="W1420" s="9" t="str">
        <f>VLOOKUP(Table1[[#This Row],[Port B]],traffic_types[],2,FALSE)</f>
        <v>Modbus</v>
      </c>
    </row>
    <row r="1421" spans="1:23" x14ac:dyDescent="0.6">
      <c r="A1421" t="s">
        <v>174</v>
      </c>
      <c r="B1421">
        <v>4224</v>
      </c>
      <c r="C1421" t="s">
        <v>175</v>
      </c>
      <c r="D1421">
        <v>502</v>
      </c>
      <c r="E1421">
        <v>5</v>
      </c>
      <c r="F1421" s="13">
        <v>320</v>
      </c>
      <c r="G1421">
        <v>5</v>
      </c>
      <c r="H1421">
        <v>320</v>
      </c>
      <c r="I1421">
        <v>0</v>
      </c>
      <c r="J1421">
        <v>0</v>
      </c>
      <c r="K1421">
        <v>312.183021</v>
      </c>
      <c r="L1421">
        <v>230.70330799999999</v>
      </c>
      <c r="M1421">
        <v>11.096503219624401</v>
      </c>
      <c r="N1421">
        <v>0</v>
      </c>
      <c r="O1421" s="8" t="str">
        <f>formatIP(Table1[[#This Row],[Address A]])</f>
        <v>010.012.001.124</v>
      </c>
      <c r="P1421" s="8" t="str">
        <f>formatIP(Table1[[#This Row],[Address B]])</f>
        <v>010.001.001.002</v>
      </c>
      <c r="Q1421" s="8" t="str">
        <f>VLOOKUP(Table1[[#This Row],[Address A]],IP_Master[],4,FALSE)</f>
        <v>KBPPLC</v>
      </c>
      <c r="R1421" s="8" t="e">
        <f>VLOOKUP(Table1[[#This Row],[Address B]],IP_Master[],4,FALSE)</f>
        <v>#N/A</v>
      </c>
      <c r="S1421" s="8" t="str">
        <f>VLOOKUP(Table1[[#This Row],[Address A]],IP_Master[],2,FALSE)</f>
        <v>Slag Fumer</v>
      </c>
      <c r="T1421" s="8" t="e">
        <f>VLOOKUP(Table1[[#This Row],[Address B]],IP_Master[],2,FALSE)</f>
        <v>#N/A</v>
      </c>
      <c r="U1421" s="9" t="str">
        <f>VLOOKUP(Table1[[#This Row],[Address A]],IP_Master[],3,FALSE)</f>
        <v>PLCs &amp; Control Equipment</v>
      </c>
      <c r="V1421" s="9" t="e">
        <f>VLOOKUP(Table1[[#This Row],[Address B]],IP_Master[],3,FALSE)</f>
        <v>#N/A</v>
      </c>
      <c r="W1421" s="9" t="str">
        <f>VLOOKUP(Table1[[#This Row],[Port B]],traffic_types[],2,FALSE)</f>
        <v>Modbus</v>
      </c>
    </row>
    <row r="1422" spans="1:23" x14ac:dyDescent="0.6">
      <c r="A1422" t="s">
        <v>174</v>
      </c>
      <c r="B1422">
        <v>3969</v>
      </c>
      <c r="C1422" t="s">
        <v>176</v>
      </c>
      <c r="D1422">
        <v>502</v>
      </c>
      <c r="E1422">
        <v>5</v>
      </c>
      <c r="F1422" s="13">
        <v>320</v>
      </c>
      <c r="G1422">
        <v>5</v>
      </c>
      <c r="H1422">
        <v>320</v>
      </c>
      <c r="I1422">
        <v>0</v>
      </c>
      <c r="J1422">
        <v>0</v>
      </c>
      <c r="K1422">
        <v>316.46310899999997</v>
      </c>
      <c r="L1422">
        <v>125.84173199999999</v>
      </c>
      <c r="M1422">
        <v>20.343013079317799</v>
      </c>
      <c r="N1422">
        <v>0</v>
      </c>
      <c r="O1422" s="8" t="str">
        <f>formatIP(Table1[[#This Row],[Address A]])</f>
        <v>010.012.001.124</v>
      </c>
      <c r="P1422" s="8" t="str">
        <f>formatIP(Table1[[#This Row],[Address B]])</f>
        <v>010.001.001.003</v>
      </c>
      <c r="Q1422" s="8" t="str">
        <f>VLOOKUP(Table1[[#This Row],[Address A]],IP_Master[],4,FALSE)</f>
        <v>KBPPLC</v>
      </c>
      <c r="R1422" s="8" t="e">
        <f>VLOOKUP(Table1[[#This Row],[Address B]],IP_Master[],4,FALSE)</f>
        <v>#N/A</v>
      </c>
      <c r="S1422" s="8" t="str">
        <f>VLOOKUP(Table1[[#This Row],[Address A]],IP_Master[],2,FALSE)</f>
        <v>Slag Fumer</v>
      </c>
      <c r="T1422" s="8" t="e">
        <f>VLOOKUP(Table1[[#This Row],[Address B]],IP_Master[],2,FALSE)</f>
        <v>#N/A</v>
      </c>
      <c r="U1422" s="9" t="str">
        <f>VLOOKUP(Table1[[#This Row],[Address A]],IP_Master[],3,FALSE)</f>
        <v>PLCs &amp; Control Equipment</v>
      </c>
      <c r="V1422" s="9" t="e">
        <f>VLOOKUP(Table1[[#This Row],[Address B]],IP_Master[],3,FALSE)</f>
        <v>#N/A</v>
      </c>
      <c r="W1422" s="9" t="str">
        <f>VLOOKUP(Table1[[#This Row],[Port B]],traffic_types[],2,FALSE)</f>
        <v>Modbus</v>
      </c>
    </row>
    <row r="1423" spans="1:23" x14ac:dyDescent="0.6">
      <c r="A1423" t="s">
        <v>174</v>
      </c>
      <c r="B1423">
        <v>4736</v>
      </c>
      <c r="C1423" t="s">
        <v>175</v>
      </c>
      <c r="D1423">
        <v>502</v>
      </c>
      <c r="E1423">
        <v>5</v>
      </c>
      <c r="F1423" s="13">
        <v>320</v>
      </c>
      <c r="G1423">
        <v>5</v>
      </c>
      <c r="H1423">
        <v>320</v>
      </c>
      <c r="I1423">
        <v>0</v>
      </c>
      <c r="J1423">
        <v>0</v>
      </c>
      <c r="K1423">
        <v>319.17323399999998</v>
      </c>
      <c r="L1423">
        <v>125.831723</v>
      </c>
      <c r="M1423">
        <v>20.344631218313701</v>
      </c>
      <c r="N1423">
        <v>0</v>
      </c>
      <c r="O1423" s="8" t="str">
        <f>formatIP(Table1[[#This Row],[Address A]])</f>
        <v>010.012.001.124</v>
      </c>
      <c r="P1423" s="8" t="str">
        <f>formatIP(Table1[[#This Row],[Address B]])</f>
        <v>010.001.001.002</v>
      </c>
      <c r="Q1423" s="8" t="str">
        <f>VLOOKUP(Table1[[#This Row],[Address A]],IP_Master[],4,FALSE)</f>
        <v>KBPPLC</v>
      </c>
      <c r="R1423" s="8" t="e">
        <f>VLOOKUP(Table1[[#This Row],[Address B]],IP_Master[],4,FALSE)</f>
        <v>#N/A</v>
      </c>
      <c r="S1423" s="8" t="str">
        <f>VLOOKUP(Table1[[#This Row],[Address A]],IP_Master[],2,FALSE)</f>
        <v>Slag Fumer</v>
      </c>
      <c r="T1423" s="8" t="e">
        <f>VLOOKUP(Table1[[#This Row],[Address B]],IP_Master[],2,FALSE)</f>
        <v>#N/A</v>
      </c>
      <c r="U1423" s="9" t="str">
        <f>VLOOKUP(Table1[[#This Row],[Address A]],IP_Master[],3,FALSE)</f>
        <v>PLCs &amp; Control Equipment</v>
      </c>
      <c r="V1423" s="9" t="e">
        <f>VLOOKUP(Table1[[#This Row],[Address B]],IP_Master[],3,FALSE)</f>
        <v>#N/A</v>
      </c>
      <c r="W1423" s="9" t="str">
        <f>VLOOKUP(Table1[[#This Row],[Port B]],traffic_types[],2,FALSE)</f>
        <v>Modbus</v>
      </c>
    </row>
    <row r="1424" spans="1:23" x14ac:dyDescent="0.6">
      <c r="A1424" t="s">
        <v>174</v>
      </c>
      <c r="B1424">
        <v>4481</v>
      </c>
      <c r="C1424" t="s">
        <v>176</v>
      </c>
      <c r="D1424">
        <v>502</v>
      </c>
      <c r="E1424">
        <v>5</v>
      </c>
      <c r="F1424" s="13">
        <v>320</v>
      </c>
      <c r="G1424">
        <v>5</v>
      </c>
      <c r="H1424">
        <v>320</v>
      </c>
      <c r="I1424">
        <v>0</v>
      </c>
      <c r="J1424">
        <v>0</v>
      </c>
      <c r="K1424">
        <v>323.45308999999997</v>
      </c>
      <c r="L1424">
        <v>34.950693000000001</v>
      </c>
      <c r="M1424">
        <v>73.246044077008705</v>
      </c>
      <c r="N1424">
        <v>0</v>
      </c>
      <c r="O1424" s="8" t="str">
        <f>formatIP(Table1[[#This Row],[Address A]])</f>
        <v>010.012.001.124</v>
      </c>
      <c r="P1424" s="8" t="str">
        <f>formatIP(Table1[[#This Row],[Address B]])</f>
        <v>010.001.001.003</v>
      </c>
      <c r="Q1424" s="8" t="str">
        <f>VLOOKUP(Table1[[#This Row],[Address A]],IP_Master[],4,FALSE)</f>
        <v>KBPPLC</v>
      </c>
      <c r="R1424" s="8" t="e">
        <f>VLOOKUP(Table1[[#This Row],[Address B]],IP_Master[],4,FALSE)</f>
        <v>#N/A</v>
      </c>
      <c r="S1424" s="8" t="str">
        <f>VLOOKUP(Table1[[#This Row],[Address A]],IP_Master[],2,FALSE)</f>
        <v>Slag Fumer</v>
      </c>
      <c r="T1424" s="8" t="e">
        <f>VLOOKUP(Table1[[#This Row],[Address B]],IP_Master[],2,FALSE)</f>
        <v>#N/A</v>
      </c>
      <c r="U1424" s="9" t="str">
        <f>VLOOKUP(Table1[[#This Row],[Address A]],IP_Master[],3,FALSE)</f>
        <v>PLCs &amp; Control Equipment</v>
      </c>
      <c r="V1424" s="9" t="e">
        <f>VLOOKUP(Table1[[#This Row],[Address B]],IP_Master[],3,FALSE)</f>
        <v>#N/A</v>
      </c>
      <c r="W1424" s="9" t="str">
        <f>VLOOKUP(Table1[[#This Row],[Port B]],traffic_types[],2,FALSE)</f>
        <v>Modbus</v>
      </c>
    </row>
    <row r="1425" spans="1:23" x14ac:dyDescent="0.6">
      <c r="A1425" t="s">
        <v>174</v>
      </c>
      <c r="B1425">
        <v>3584</v>
      </c>
      <c r="C1425" t="s">
        <v>175</v>
      </c>
      <c r="D1425">
        <v>502</v>
      </c>
      <c r="E1425">
        <v>5</v>
      </c>
      <c r="F1425" s="13">
        <v>320</v>
      </c>
      <c r="G1425">
        <v>5</v>
      </c>
      <c r="H1425">
        <v>320</v>
      </c>
      <c r="I1425">
        <v>0</v>
      </c>
      <c r="J1425">
        <v>0</v>
      </c>
      <c r="K1425">
        <v>326.16330199999999</v>
      </c>
      <c r="L1425">
        <v>104.86147800000001</v>
      </c>
      <c r="M1425">
        <v>24.413159616155699</v>
      </c>
      <c r="N1425">
        <v>0</v>
      </c>
      <c r="O1425" s="8" t="str">
        <f>formatIP(Table1[[#This Row],[Address A]])</f>
        <v>010.012.001.124</v>
      </c>
      <c r="P1425" s="8" t="str">
        <f>formatIP(Table1[[#This Row],[Address B]])</f>
        <v>010.001.001.002</v>
      </c>
      <c r="Q1425" s="8" t="str">
        <f>VLOOKUP(Table1[[#This Row],[Address A]],IP_Master[],4,FALSE)</f>
        <v>KBPPLC</v>
      </c>
      <c r="R1425" s="8" t="e">
        <f>VLOOKUP(Table1[[#This Row],[Address B]],IP_Master[],4,FALSE)</f>
        <v>#N/A</v>
      </c>
      <c r="S1425" s="8" t="str">
        <f>VLOOKUP(Table1[[#This Row],[Address A]],IP_Master[],2,FALSE)</f>
        <v>Slag Fumer</v>
      </c>
      <c r="T1425" s="8" t="e">
        <f>VLOOKUP(Table1[[#This Row],[Address B]],IP_Master[],2,FALSE)</f>
        <v>#N/A</v>
      </c>
      <c r="U1425" s="9" t="str">
        <f>VLOOKUP(Table1[[#This Row],[Address A]],IP_Master[],3,FALSE)</f>
        <v>PLCs &amp; Control Equipment</v>
      </c>
      <c r="V1425" s="9" t="e">
        <f>VLOOKUP(Table1[[#This Row],[Address B]],IP_Master[],3,FALSE)</f>
        <v>#N/A</v>
      </c>
      <c r="W1425" s="9" t="str">
        <f>VLOOKUP(Table1[[#This Row],[Port B]],traffic_types[],2,FALSE)</f>
        <v>Modbus</v>
      </c>
    </row>
    <row r="1426" spans="1:23" x14ac:dyDescent="0.6">
      <c r="A1426" t="s">
        <v>174</v>
      </c>
      <c r="B1426">
        <v>3201</v>
      </c>
      <c r="C1426" t="s">
        <v>176</v>
      </c>
      <c r="D1426">
        <v>502</v>
      </c>
      <c r="E1426">
        <v>5</v>
      </c>
      <c r="F1426" s="13">
        <v>320</v>
      </c>
      <c r="G1426">
        <v>5</v>
      </c>
      <c r="H1426">
        <v>320</v>
      </c>
      <c r="I1426">
        <v>0</v>
      </c>
      <c r="J1426">
        <v>0</v>
      </c>
      <c r="K1426">
        <v>330.44334099999998</v>
      </c>
      <c r="L1426">
        <v>104.862193</v>
      </c>
      <c r="M1426">
        <v>24.4129931556934</v>
      </c>
      <c r="N1426">
        <v>0</v>
      </c>
      <c r="O1426" s="8" t="str">
        <f>formatIP(Table1[[#This Row],[Address A]])</f>
        <v>010.012.001.124</v>
      </c>
      <c r="P1426" s="8" t="str">
        <f>formatIP(Table1[[#This Row],[Address B]])</f>
        <v>010.001.001.003</v>
      </c>
      <c r="Q1426" s="8" t="str">
        <f>VLOOKUP(Table1[[#This Row],[Address A]],IP_Master[],4,FALSE)</f>
        <v>KBPPLC</v>
      </c>
      <c r="R1426" s="8" t="e">
        <f>VLOOKUP(Table1[[#This Row],[Address B]],IP_Master[],4,FALSE)</f>
        <v>#N/A</v>
      </c>
      <c r="S1426" s="8" t="str">
        <f>VLOOKUP(Table1[[#This Row],[Address A]],IP_Master[],2,FALSE)</f>
        <v>Slag Fumer</v>
      </c>
      <c r="T1426" s="8" t="e">
        <f>VLOOKUP(Table1[[#This Row],[Address B]],IP_Master[],2,FALSE)</f>
        <v>#N/A</v>
      </c>
      <c r="U1426" s="9" t="str">
        <f>VLOOKUP(Table1[[#This Row],[Address A]],IP_Master[],3,FALSE)</f>
        <v>PLCs &amp; Control Equipment</v>
      </c>
      <c r="V1426" s="9" t="e">
        <f>VLOOKUP(Table1[[#This Row],[Address B]],IP_Master[],3,FALSE)</f>
        <v>#N/A</v>
      </c>
      <c r="W1426" s="9" t="str">
        <f>VLOOKUP(Table1[[#This Row],[Port B]],traffic_types[],2,FALSE)</f>
        <v>Modbus</v>
      </c>
    </row>
    <row r="1427" spans="1:23" x14ac:dyDescent="0.6">
      <c r="A1427" t="s">
        <v>174</v>
      </c>
      <c r="B1427">
        <v>3968</v>
      </c>
      <c r="C1427" t="s">
        <v>175</v>
      </c>
      <c r="D1427">
        <v>502</v>
      </c>
      <c r="E1427">
        <v>5</v>
      </c>
      <c r="F1427" s="13">
        <v>320</v>
      </c>
      <c r="G1427">
        <v>5</v>
      </c>
      <c r="H1427">
        <v>320</v>
      </c>
      <c r="I1427">
        <v>0</v>
      </c>
      <c r="J1427">
        <v>0</v>
      </c>
      <c r="K1427">
        <v>333.15335900000002</v>
      </c>
      <c r="L1427">
        <v>90.881214</v>
      </c>
      <c r="M1427">
        <v>28.1686378001069</v>
      </c>
      <c r="N1427">
        <v>0</v>
      </c>
      <c r="O1427" s="8" t="str">
        <f>formatIP(Table1[[#This Row],[Address A]])</f>
        <v>010.012.001.124</v>
      </c>
      <c r="P1427" s="8" t="str">
        <f>formatIP(Table1[[#This Row],[Address B]])</f>
        <v>010.001.001.002</v>
      </c>
      <c r="Q1427" s="8" t="str">
        <f>VLOOKUP(Table1[[#This Row],[Address A]],IP_Master[],4,FALSE)</f>
        <v>KBPPLC</v>
      </c>
      <c r="R1427" s="8" t="e">
        <f>VLOOKUP(Table1[[#This Row],[Address B]],IP_Master[],4,FALSE)</f>
        <v>#N/A</v>
      </c>
      <c r="S1427" s="8" t="str">
        <f>VLOOKUP(Table1[[#This Row],[Address A]],IP_Master[],2,FALSE)</f>
        <v>Slag Fumer</v>
      </c>
      <c r="T1427" s="8" t="e">
        <f>VLOOKUP(Table1[[#This Row],[Address B]],IP_Master[],2,FALSE)</f>
        <v>#N/A</v>
      </c>
      <c r="U1427" s="9" t="str">
        <f>VLOOKUP(Table1[[#This Row],[Address A]],IP_Master[],3,FALSE)</f>
        <v>PLCs &amp; Control Equipment</v>
      </c>
      <c r="V1427" s="9" t="e">
        <f>VLOOKUP(Table1[[#This Row],[Address B]],IP_Master[],3,FALSE)</f>
        <v>#N/A</v>
      </c>
      <c r="W1427" s="9" t="str">
        <f>VLOOKUP(Table1[[#This Row],[Port B]],traffic_types[],2,FALSE)</f>
        <v>Modbus</v>
      </c>
    </row>
    <row r="1428" spans="1:23" x14ac:dyDescent="0.6">
      <c r="A1428" t="s">
        <v>174</v>
      </c>
      <c r="B1428">
        <v>3713</v>
      </c>
      <c r="C1428" t="s">
        <v>176</v>
      </c>
      <c r="D1428">
        <v>502</v>
      </c>
      <c r="E1428">
        <v>5</v>
      </c>
      <c r="F1428" s="13">
        <v>320</v>
      </c>
      <c r="G1428">
        <v>5</v>
      </c>
      <c r="H1428">
        <v>320</v>
      </c>
      <c r="I1428">
        <v>0</v>
      </c>
      <c r="J1428">
        <v>0</v>
      </c>
      <c r="K1428">
        <v>337.433314</v>
      </c>
      <c r="L1428">
        <v>125.841785</v>
      </c>
      <c r="M1428">
        <v>20.343004511577799</v>
      </c>
      <c r="N1428">
        <v>0</v>
      </c>
      <c r="O1428" s="8" t="str">
        <f>formatIP(Table1[[#This Row],[Address A]])</f>
        <v>010.012.001.124</v>
      </c>
      <c r="P1428" s="8" t="str">
        <f>formatIP(Table1[[#This Row],[Address B]])</f>
        <v>010.001.001.003</v>
      </c>
      <c r="Q1428" s="8" t="str">
        <f>VLOOKUP(Table1[[#This Row],[Address A]],IP_Master[],4,FALSE)</f>
        <v>KBPPLC</v>
      </c>
      <c r="R1428" s="8" t="e">
        <f>VLOOKUP(Table1[[#This Row],[Address B]],IP_Master[],4,FALSE)</f>
        <v>#N/A</v>
      </c>
      <c r="S1428" s="8" t="str">
        <f>VLOOKUP(Table1[[#This Row],[Address A]],IP_Master[],2,FALSE)</f>
        <v>Slag Fumer</v>
      </c>
      <c r="T1428" s="8" t="e">
        <f>VLOOKUP(Table1[[#This Row],[Address B]],IP_Master[],2,FALSE)</f>
        <v>#N/A</v>
      </c>
      <c r="U1428" s="9" t="str">
        <f>VLOOKUP(Table1[[#This Row],[Address A]],IP_Master[],3,FALSE)</f>
        <v>PLCs &amp; Control Equipment</v>
      </c>
      <c r="V1428" s="9" t="e">
        <f>VLOOKUP(Table1[[#This Row],[Address B]],IP_Master[],3,FALSE)</f>
        <v>#N/A</v>
      </c>
      <c r="W1428" s="9" t="str">
        <f>VLOOKUP(Table1[[#This Row],[Port B]],traffic_types[],2,FALSE)</f>
        <v>Modbus</v>
      </c>
    </row>
    <row r="1429" spans="1:23" x14ac:dyDescent="0.6">
      <c r="A1429" t="s">
        <v>174</v>
      </c>
      <c r="B1429">
        <v>3712</v>
      </c>
      <c r="C1429" t="s">
        <v>175</v>
      </c>
      <c r="D1429">
        <v>502</v>
      </c>
      <c r="E1429">
        <v>1</v>
      </c>
      <c r="F1429" s="13">
        <v>64</v>
      </c>
      <c r="G1429">
        <v>1</v>
      </c>
      <c r="H1429">
        <v>64</v>
      </c>
      <c r="I1429">
        <v>0</v>
      </c>
      <c r="J1429">
        <v>0</v>
      </c>
      <c r="K1429">
        <v>340.14341899999999</v>
      </c>
      <c r="L1429">
        <v>0</v>
      </c>
      <c r="M1429">
        <v>0</v>
      </c>
      <c r="N1429">
        <v>0</v>
      </c>
      <c r="O1429" s="8" t="str">
        <f>formatIP(Table1[[#This Row],[Address A]])</f>
        <v>010.012.001.124</v>
      </c>
      <c r="P1429" s="8" t="str">
        <f>formatIP(Table1[[#This Row],[Address B]])</f>
        <v>010.001.001.002</v>
      </c>
      <c r="Q1429" s="8" t="str">
        <f>VLOOKUP(Table1[[#This Row],[Address A]],IP_Master[],4,FALSE)</f>
        <v>KBPPLC</v>
      </c>
      <c r="R1429" s="8" t="e">
        <f>VLOOKUP(Table1[[#This Row],[Address B]],IP_Master[],4,FALSE)</f>
        <v>#N/A</v>
      </c>
      <c r="S1429" s="8" t="str">
        <f>VLOOKUP(Table1[[#This Row],[Address A]],IP_Master[],2,FALSE)</f>
        <v>Slag Fumer</v>
      </c>
      <c r="T1429" s="8" t="e">
        <f>VLOOKUP(Table1[[#This Row],[Address B]],IP_Master[],2,FALSE)</f>
        <v>#N/A</v>
      </c>
      <c r="U1429" s="9" t="str">
        <f>VLOOKUP(Table1[[#This Row],[Address A]],IP_Master[],3,FALSE)</f>
        <v>PLCs &amp; Control Equipment</v>
      </c>
      <c r="V1429" s="9" t="e">
        <f>VLOOKUP(Table1[[#This Row],[Address B]],IP_Master[],3,FALSE)</f>
        <v>#N/A</v>
      </c>
      <c r="W1429" s="9" t="str">
        <f>VLOOKUP(Table1[[#This Row],[Port B]],traffic_types[],2,FALSE)</f>
        <v>Modbus</v>
      </c>
    </row>
    <row r="1430" spans="1:23" x14ac:dyDescent="0.6">
      <c r="A1430" t="s">
        <v>174</v>
      </c>
      <c r="B1430">
        <v>3712</v>
      </c>
      <c r="C1430" t="s">
        <v>175</v>
      </c>
      <c r="D1430">
        <v>502</v>
      </c>
      <c r="E1430">
        <v>5</v>
      </c>
      <c r="F1430" s="13">
        <v>320</v>
      </c>
      <c r="G1430">
        <v>5</v>
      </c>
      <c r="H1430">
        <v>320</v>
      </c>
      <c r="I1430">
        <v>0</v>
      </c>
      <c r="J1430">
        <v>0</v>
      </c>
      <c r="K1430">
        <v>340.14342199999999</v>
      </c>
      <c r="L1430">
        <v>34.950392000000001</v>
      </c>
      <c r="M1430">
        <v>73.246674887079905</v>
      </c>
      <c r="N1430">
        <v>0</v>
      </c>
      <c r="O1430" s="8" t="str">
        <f>formatIP(Table1[[#This Row],[Address A]])</f>
        <v>010.012.001.124</v>
      </c>
      <c r="P1430" s="8" t="str">
        <f>formatIP(Table1[[#This Row],[Address B]])</f>
        <v>010.001.001.002</v>
      </c>
      <c r="Q1430" s="8" t="str">
        <f>VLOOKUP(Table1[[#This Row],[Address A]],IP_Master[],4,FALSE)</f>
        <v>KBPPLC</v>
      </c>
      <c r="R1430" s="8" t="e">
        <f>VLOOKUP(Table1[[#This Row],[Address B]],IP_Master[],4,FALSE)</f>
        <v>#N/A</v>
      </c>
      <c r="S1430" s="8" t="str">
        <f>VLOOKUP(Table1[[#This Row],[Address A]],IP_Master[],2,FALSE)</f>
        <v>Slag Fumer</v>
      </c>
      <c r="T1430" s="8" t="e">
        <f>VLOOKUP(Table1[[#This Row],[Address B]],IP_Master[],2,FALSE)</f>
        <v>#N/A</v>
      </c>
      <c r="U1430" s="9" t="str">
        <f>VLOOKUP(Table1[[#This Row],[Address A]],IP_Master[],3,FALSE)</f>
        <v>PLCs &amp; Control Equipment</v>
      </c>
      <c r="V1430" s="9" t="e">
        <f>VLOOKUP(Table1[[#This Row],[Address B]],IP_Master[],3,FALSE)</f>
        <v>#N/A</v>
      </c>
      <c r="W1430" s="9" t="str">
        <f>VLOOKUP(Table1[[#This Row],[Port B]],traffic_types[],2,FALSE)</f>
        <v>Modbus</v>
      </c>
    </row>
    <row r="1431" spans="1:23" x14ac:dyDescent="0.6">
      <c r="A1431" t="s">
        <v>174</v>
      </c>
      <c r="B1431">
        <v>3329</v>
      </c>
      <c r="C1431" t="s">
        <v>176</v>
      </c>
      <c r="D1431">
        <v>502</v>
      </c>
      <c r="E1431">
        <v>5</v>
      </c>
      <c r="F1431" s="13">
        <v>320</v>
      </c>
      <c r="G1431">
        <v>5</v>
      </c>
      <c r="H1431">
        <v>320</v>
      </c>
      <c r="I1431">
        <v>0</v>
      </c>
      <c r="J1431">
        <v>0</v>
      </c>
      <c r="K1431">
        <v>344.42350099999999</v>
      </c>
      <c r="L1431">
        <v>125.841686</v>
      </c>
      <c r="M1431">
        <v>20.343020515475299</v>
      </c>
      <c r="N1431">
        <v>0</v>
      </c>
      <c r="O1431" s="8" t="str">
        <f>formatIP(Table1[[#This Row],[Address A]])</f>
        <v>010.012.001.124</v>
      </c>
      <c r="P1431" s="8" t="str">
        <f>formatIP(Table1[[#This Row],[Address B]])</f>
        <v>010.001.001.003</v>
      </c>
      <c r="Q1431" s="8" t="str">
        <f>VLOOKUP(Table1[[#This Row],[Address A]],IP_Master[],4,FALSE)</f>
        <v>KBPPLC</v>
      </c>
      <c r="R1431" s="8" t="e">
        <f>VLOOKUP(Table1[[#This Row],[Address B]],IP_Master[],4,FALSE)</f>
        <v>#N/A</v>
      </c>
      <c r="S1431" s="8" t="str">
        <f>VLOOKUP(Table1[[#This Row],[Address A]],IP_Master[],2,FALSE)</f>
        <v>Slag Fumer</v>
      </c>
      <c r="T1431" s="8" t="e">
        <f>VLOOKUP(Table1[[#This Row],[Address B]],IP_Master[],2,FALSE)</f>
        <v>#N/A</v>
      </c>
      <c r="U1431" s="9" t="str">
        <f>VLOOKUP(Table1[[#This Row],[Address A]],IP_Master[],3,FALSE)</f>
        <v>PLCs &amp; Control Equipment</v>
      </c>
      <c r="V1431" s="9" t="e">
        <f>VLOOKUP(Table1[[#This Row],[Address B]],IP_Master[],3,FALSE)</f>
        <v>#N/A</v>
      </c>
      <c r="W1431" s="9" t="str">
        <f>VLOOKUP(Table1[[#This Row],[Port B]],traffic_types[],2,FALSE)</f>
        <v>Modbus</v>
      </c>
    </row>
    <row r="1432" spans="1:23" x14ac:dyDescent="0.6">
      <c r="A1432" t="s">
        <v>174</v>
      </c>
      <c r="B1432">
        <v>3328</v>
      </c>
      <c r="C1432" t="s">
        <v>175</v>
      </c>
      <c r="D1432">
        <v>502</v>
      </c>
      <c r="E1432">
        <v>5</v>
      </c>
      <c r="F1432" s="13">
        <v>320</v>
      </c>
      <c r="G1432">
        <v>5</v>
      </c>
      <c r="H1432">
        <v>320</v>
      </c>
      <c r="I1432">
        <v>0</v>
      </c>
      <c r="J1432">
        <v>0</v>
      </c>
      <c r="K1432">
        <v>347.133601</v>
      </c>
      <c r="L1432">
        <v>34.950443999999997</v>
      </c>
      <c r="M1432">
        <v>73.246565909148401</v>
      </c>
      <c r="N1432">
        <v>0</v>
      </c>
      <c r="O1432" s="8" t="str">
        <f>formatIP(Table1[[#This Row],[Address A]])</f>
        <v>010.012.001.124</v>
      </c>
      <c r="P1432" s="8" t="str">
        <f>formatIP(Table1[[#This Row],[Address B]])</f>
        <v>010.001.001.002</v>
      </c>
      <c r="Q1432" s="8" t="str">
        <f>VLOOKUP(Table1[[#This Row],[Address A]],IP_Master[],4,FALSE)</f>
        <v>KBPPLC</v>
      </c>
      <c r="R1432" s="8" t="e">
        <f>VLOOKUP(Table1[[#This Row],[Address B]],IP_Master[],4,FALSE)</f>
        <v>#N/A</v>
      </c>
      <c r="S1432" s="8" t="str">
        <f>VLOOKUP(Table1[[#This Row],[Address A]],IP_Master[],2,FALSE)</f>
        <v>Slag Fumer</v>
      </c>
      <c r="T1432" s="8" t="e">
        <f>VLOOKUP(Table1[[#This Row],[Address B]],IP_Master[],2,FALSE)</f>
        <v>#N/A</v>
      </c>
      <c r="U1432" s="9" t="str">
        <f>VLOOKUP(Table1[[#This Row],[Address A]],IP_Master[],3,FALSE)</f>
        <v>PLCs &amp; Control Equipment</v>
      </c>
      <c r="V1432" s="9" t="e">
        <f>VLOOKUP(Table1[[#This Row],[Address B]],IP_Master[],3,FALSE)</f>
        <v>#N/A</v>
      </c>
      <c r="W1432" s="9" t="str">
        <f>VLOOKUP(Table1[[#This Row],[Port B]],traffic_types[],2,FALSE)</f>
        <v>Modbus</v>
      </c>
    </row>
    <row r="1433" spans="1:23" x14ac:dyDescent="0.6">
      <c r="A1433" t="s">
        <v>174</v>
      </c>
      <c r="B1433">
        <v>4865</v>
      </c>
      <c r="C1433" t="s">
        <v>176</v>
      </c>
      <c r="D1433">
        <v>502</v>
      </c>
      <c r="E1433">
        <v>5</v>
      </c>
      <c r="F1433" s="13">
        <v>320</v>
      </c>
      <c r="G1433">
        <v>5</v>
      </c>
      <c r="H1433">
        <v>320</v>
      </c>
      <c r="I1433">
        <v>0</v>
      </c>
      <c r="J1433">
        <v>0</v>
      </c>
      <c r="K1433">
        <v>351.41353700000002</v>
      </c>
      <c r="L1433">
        <v>125.841853</v>
      </c>
      <c r="M1433">
        <v>20.3429935190163</v>
      </c>
      <c r="N1433">
        <v>0</v>
      </c>
      <c r="O1433" s="8" t="str">
        <f>formatIP(Table1[[#This Row],[Address A]])</f>
        <v>010.012.001.124</v>
      </c>
      <c r="P1433" s="8" t="str">
        <f>formatIP(Table1[[#This Row],[Address B]])</f>
        <v>010.001.001.003</v>
      </c>
      <c r="Q1433" s="8" t="str">
        <f>VLOOKUP(Table1[[#This Row],[Address A]],IP_Master[],4,FALSE)</f>
        <v>KBPPLC</v>
      </c>
      <c r="R1433" s="8" t="e">
        <f>VLOOKUP(Table1[[#This Row],[Address B]],IP_Master[],4,FALSE)</f>
        <v>#N/A</v>
      </c>
      <c r="S1433" s="8" t="str">
        <f>VLOOKUP(Table1[[#This Row],[Address A]],IP_Master[],2,FALSE)</f>
        <v>Slag Fumer</v>
      </c>
      <c r="T1433" s="8" t="e">
        <f>VLOOKUP(Table1[[#This Row],[Address B]],IP_Master[],2,FALSE)</f>
        <v>#N/A</v>
      </c>
      <c r="U1433" s="9" t="str">
        <f>VLOOKUP(Table1[[#This Row],[Address A]],IP_Master[],3,FALSE)</f>
        <v>PLCs &amp; Control Equipment</v>
      </c>
      <c r="V1433" s="9" t="e">
        <f>VLOOKUP(Table1[[#This Row],[Address B]],IP_Master[],3,FALSE)</f>
        <v>#N/A</v>
      </c>
      <c r="W1433" s="9" t="str">
        <f>VLOOKUP(Table1[[#This Row],[Port B]],traffic_types[],2,FALSE)</f>
        <v>Modbus</v>
      </c>
    </row>
    <row r="1434" spans="1:23" x14ac:dyDescent="0.6">
      <c r="A1434" t="s">
        <v>174</v>
      </c>
      <c r="B1434">
        <v>4864</v>
      </c>
      <c r="C1434" t="s">
        <v>175</v>
      </c>
      <c r="D1434">
        <v>502</v>
      </c>
      <c r="E1434">
        <v>5</v>
      </c>
      <c r="F1434" s="13">
        <v>320</v>
      </c>
      <c r="G1434">
        <v>5</v>
      </c>
      <c r="H1434">
        <v>320</v>
      </c>
      <c r="I1434">
        <v>0</v>
      </c>
      <c r="J1434">
        <v>0</v>
      </c>
      <c r="K1434">
        <v>354.123762</v>
      </c>
      <c r="L1434">
        <v>139.811927</v>
      </c>
      <c r="M1434">
        <v>18.3103119664462</v>
      </c>
      <c r="N1434">
        <v>0</v>
      </c>
      <c r="O1434" s="8" t="str">
        <f>formatIP(Table1[[#This Row],[Address A]])</f>
        <v>010.012.001.124</v>
      </c>
      <c r="P1434" s="8" t="str">
        <f>formatIP(Table1[[#This Row],[Address B]])</f>
        <v>010.001.001.002</v>
      </c>
      <c r="Q1434" s="8" t="str">
        <f>VLOOKUP(Table1[[#This Row],[Address A]],IP_Master[],4,FALSE)</f>
        <v>KBPPLC</v>
      </c>
      <c r="R1434" s="8" t="e">
        <f>VLOOKUP(Table1[[#This Row],[Address B]],IP_Master[],4,FALSE)</f>
        <v>#N/A</v>
      </c>
      <c r="S1434" s="8" t="str">
        <f>VLOOKUP(Table1[[#This Row],[Address A]],IP_Master[],2,FALSE)</f>
        <v>Slag Fumer</v>
      </c>
      <c r="T1434" s="8" t="e">
        <f>VLOOKUP(Table1[[#This Row],[Address B]],IP_Master[],2,FALSE)</f>
        <v>#N/A</v>
      </c>
      <c r="U1434" s="9" t="str">
        <f>VLOOKUP(Table1[[#This Row],[Address A]],IP_Master[],3,FALSE)</f>
        <v>PLCs &amp; Control Equipment</v>
      </c>
      <c r="V1434" s="9" t="e">
        <f>VLOOKUP(Table1[[#This Row],[Address B]],IP_Master[],3,FALSE)</f>
        <v>#N/A</v>
      </c>
      <c r="W1434" s="9" t="str">
        <f>VLOOKUP(Table1[[#This Row],[Port B]],traffic_types[],2,FALSE)</f>
        <v>Modbus</v>
      </c>
    </row>
    <row r="1435" spans="1:23" x14ac:dyDescent="0.6">
      <c r="A1435" t="s">
        <v>174</v>
      </c>
      <c r="B1435">
        <v>4481</v>
      </c>
      <c r="C1435" t="s">
        <v>176</v>
      </c>
      <c r="D1435">
        <v>502</v>
      </c>
      <c r="E1435">
        <v>5</v>
      </c>
      <c r="F1435" s="13">
        <v>320</v>
      </c>
      <c r="G1435">
        <v>5</v>
      </c>
      <c r="H1435">
        <v>320</v>
      </c>
      <c r="I1435">
        <v>0</v>
      </c>
      <c r="J1435">
        <v>0</v>
      </c>
      <c r="K1435">
        <v>358.40378700000002</v>
      </c>
      <c r="L1435">
        <v>125.841742</v>
      </c>
      <c r="M1435">
        <v>20.343011462762501</v>
      </c>
      <c r="N1435">
        <v>0</v>
      </c>
      <c r="O1435" s="8" t="str">
        <f>formatIP(Table1[[#This Row],[Address A]])</f>
        <v>010.012.001.124</v>
      </c>
      <c r="P1435" s="8" t="str">
        <f>formatIP(Table1[[#This Row],[Address B]])</f>
        <v>010.001.001.003</v>
      </c>
      <c r="Q1435" s="8" t="str">
        <f>VLOOKUP(Table1[[#This Row],[Address A]],IP_Master[],4,FALSE)</f>
        <v>KBPPLC</v>
      </c>
      <c r="R1435" s="8" t="e">
        <f>VLOOKUP(Table1[[#This Row],[Address B]],IP_Master[],4,FALSE)</f>
        <v>#N/A</v>
      </c>
      <c r="S1435" s="8" t="str">
        <f>VLOOKUP(Table1[[#This Row],[Address A]],IP_Master[],2,FALSE)</f>
        <v>Slag Fumer</v>
      </c>
      <c r="T1435" s="8" t="e">
        <f>VLOOKUP(Table1[[#This Row],[Address B]],IP_Master[],2,FALSE)</f>
        <v>#N/A</v>
      </c>
      <c r="U1435" s="9" t="str">
        <f>VLOOKUP(Table1[[#This Row],[Address A]],IP_Master[],3,FALSE)</f>
        <v>PLCs &amp; Control Equipment</v>
      </c>
      <c r="V1435" s="9" t="e">
        <f>VLOOKUP(Table1[[#This Row],[Address B]],IP_Master[],3,FALSE)</f>
        <v>#N/A</v>
      </c>
      <c r="W1435" s="9" t="str">
        <f>VLOOKUP(Table1[[#This Row],[Port B]],traffic_types[],2,FALSE)</f>
        <v>Modbus</v>
      </c>
    </row>
    <row r="1436" spans="1:23" x14ac:dyDescent="0.6">
      <c r="A1436" t="s">
        <v>174</v>
      </c>
      <c r="B1436">
        <v>4480</v>
      </c>
      <c r="C1436" t="s">
        <v>175</v>
      </c>
      <c r="D1436">
        <v>502</v>
      </c>
      <c r="E1436">
        <v>5</v>
      </c>
      <c r="F1436" s="13">
        <v>320</v>
      </c>
      <c r="G1436">
        <v>5</v>
      </c>
      <c r="H1436">
        <v>320</v>
      </c>
      <c r="I1436">
        <v>0</v>
      </c>
      <c r="J1436">
        <v>0</v>
      </c>
      <c r="K1436">
        <v>361.11370699999998</v>
      </c>
      <c r="L1436">
        <v>34.950543000000003</v>
      </c>
      <c r="M1436">
        <v>73.246358432828799</v>
      </c>
      <c r="N1436">
        <v>0</v>
      </c>
      <c r="O1436" s="8" t="str">
        <f>formatIP(Table1[[#This Row],[Address A]])</f>
        <v>010.012.001.124</v>
      </c>
      <c r="P1436" s="8" t="str">
        <f>formatIP(Table1[[#This Row],[Address B]])</f>
        <v>010.001.001.002</v>
      </c>
      <c r="Q1436" s="8" t="str">
        <f>VLOOKUP(Table1[[#This Row],[Address A]],IP_Master[],4,FALSE)</f>
        <v>KBPPLC</v>
      </c>
      <c r="R1436" s="8" t="e">
        <f>VLOOKUP(Table1[[#This Row],[Address B]],IP_Master[],4,FALSE)</f>
        <v>#N/A</v>
      </c>
      <c r="S1436" s="8" t="str">
        <f>VLOOKUP(Table1[[#This Row],[Address A]],IP_Master[],2,FALSE)</f>
        <v>Slag Fumer</v>
      </c>
      <c r="T1436" s="8" t="e">
        <f>VLOOKUP(Table1[[#This Row],[Address B]],IP_Master[],2,FALSE)</f>
        <v>#N/A</v>
      </c>
      <c r="U1436" s="9" t="str">
        <f>VLOOKUP(Table1[[#This Row],[Address A]],IP_Master[],3,FALSE)</f>
        <v>PLCs &amp; Control Equipment</v>
      </c>
      <c r="V1436" s="9" t="e">
        <f>VLOOKUP(Table1[[#This Row],[Address B]],IP_Master[],3,FALSE)</f>
        <v>#N/A</v>
      </c>
      <c r="W1436" s="9" t="str">
        <f>VLOOKUP(Table1[[#This Row],[Port B]],traffic_types[],2,FALSE)</f>
        <v>Modbus</v>
      </c>
    </row>
    <row r="1437" spans="1:23" x14ac:dyDescent="0.6">
      <c r="A1437" t="s">
        <v>174</v>
      </c>
      <c r="B1437">
        <v>4097</v>
      </c>
      <c r="C1437" t="s">
        <v>176</v>
      </c>
      <c r="D1437">
        <v>502</v>
      </c>
      <c r="E1437">
        <v>5</v>
      </c>
      <c r="F1437" s="13">
        <v>320</v>
      </c>
      <c r="G1437">
        <v>5</v>
      </c>
      <c r="H1437">
        <v>320</v>
      </c>
      <c r="I1437">
        <v>0</v>
      </c>
      <c r="J1437">
        <v>0</v>
      </c>
      <c r="K1437">
        <v>365.39456000000001</v>
      </c>
      <c r="L1437">
        <v>90.890411</v>
      </c>
      <c r="M1437">
        <v>28.1657874778452</v>
      </c>
      <c r="N1437">
        <v>0</v>
      </c>
      <c r="O1437" s="8" t="str">
        <f>formatIP(Table1[[#This Row],[Address A]])</f>
        <v>010.012.001.124</v>
      </c>
      <c r="P1437" s="8" t="str">
        <f>formatIP(Table1[[#This Row],[Address B]])</f>
        <v>010.001.001.003</v>
      </c>
      <c r="Q1437" s="8" t="str">
        <f>VLOOKUP(Table1[[#This Row],[Address A]],IP_Master[],4,FALSE)</f>
        <v>KBPPLC</v>
      </c>
      <c r="R1437" s="8" t="e">
        <f>VLOOKUP(Table1[[#This Row],[Address B]],IP_Master[],4,FALSE)</f>
        <v>#N/A</v>
      </c>
      <c r="S1437" s="8" t="str">
        <f>VLOOKUP(Table1[[#This Row],[Address A]],IP_Master[],2,FALSE)</f>
        <v>Slag Fumer</v>
      </c>
      <c r="T1437" s="8" t="e">
        <f>VLOOKUP(Table1[[#This Row],[Address B]],IP_Master[],2,FALSE)</f>
        <v>#N/A</v>
      </c>
      <c r="U1437" s="9" t="str">
        <f>VLOOKUP(Table1[[#This Row],[Address A]],IP_Master[],3,FALSE)</f>
        <v>PLCs &amp; Control Equipment</v>
      </c>
      <c r="V1437" s="9" t="e">
        <f>VLOOKUP(Table1[[#This Row],[Address B]],IP_Master[],3,FALSE)</f>
        <v>#N/A</v>
      </c>
      <c r="W1437" s="9" t="str">
        <f>VLOOKUP(Table1[[#This Row],[Port B]],traffic_types[],2,FALSE)</f>
        <v>Modbus</v>
      </c>
    </row>
    <row r="1438" spans="1:23" x14ac:dyDescent="0.6">
      <c r="A1438" t="s">
        <v>174</v>
      </c>
      <c r="B1438">
        <v>4096</v>
      </c>
      <c r="C1438" t="s">
        <v>175</v>
      </c>
      <c r="D1438">
        <v>502</v>
      </c>
      <c r="E1438">
        <v>5</v>
      </c>
      <c r="F1438" s="13">
        <v>320</v>
      </c>
      <c r="G1438">
        <v>5</v>
      </c>
      <c r="H1438">
        <v>320</v>
      </c>
      <c r="I1438">
        <v>0</v>
      </c>
      <c r="J1438">
        <v>0</v>
      </c>
      <c r="K1438">
        <v>368.10382800000002</v>
      </c>
      <c r="L1438">
        <v>160.802333</v>
      </c>
      <c r="M1438">
        <v>15.9201670289199</v>
      </c>
      <c r="N1438">
        <v>0</v>
      </c>
      <c r="O1438" s="8" t="str">
        <f>formatIP(Table1[[#This Row],[Address A]])</f>
        <v>010.012.001.124</v>
      </c>
      <c r="P1438" s="8" t="str">
        <f>formatIP(Table1[[#This Row],[Address B]])</f>
        <v>010.001.001.002</v>
      </c>
      <c r="Q1438" s="8" t="str">
        <f>VLOOKUP(Table1[[#This Row],[Address A]],IP_Master[],4,FALSE)</f>
        <v>KBPPLC</v>
      </c>
      <c r="R1438" s="8" t="e">
        <f>VLOOKUP(Table1[[#This Row],[Address B]],IP_Master[],4,FALSE)</f>
        <v>#N/A</v>
      </c>
      <c r="S1438" s="8" t="str">
        <f>VLOOKUP(Table1[[#This Row],[Address A]],IP_Master[],2,FALSE)</f>
        <v>Slag Fumer</v>
      </c>
      <c r="T1438" s="8" t="e">
        <f>VLOOKUP(Table1[[#This Row],[Address B]],IP_Master[],2,FALSE)</f>
        <v>#N/A</v>
      </c>
      <c r="U1438" s="9" t="str">
        <f>VLOOKUP(Table1[[#This Row],[Address A]],IP_Master[],3,FALSE)</f>
        <v>PLCs &amp; Control Equipment</v>
      </c>
      <c r="V1438" s="9" t="e">
        <f>VLOOKUP(Table1[[#This Row],[Address B]],IP_Master[],3,FALSE)</f>
        <v>#N/A</v>
      </c>
      <c r="W1438" s="9" t="str">
        <f>VLOOKUP(Table1[[#This Row],[Port B]],traffic_types[],2,FALSE)</f>
        <v>Modbus</v>
      </c>
    </row>
    <row r="1439" spans="1:23" x14ac:dyDescent="0.6">
      <c r="A1439" t="s">
        <v>174</v>
      </c>
      <c r="B1439">
        <v>3841</v>
      </c>
      <c r="C1439" t="s">
        <v>176</v>
      </c>
      <c r="D1439">
        <v>502</v>
      </c>
      <c r="E1439">
        <v>5</v>
      </c>
      <c r="F1439" s="13">
        <v>320</v>
      </c>
      <c r="G1439">
        <v>5</v>
      </c>
      <c r="H1439">
        <v>320</v>
      </c>
      <c r="I1439">
        <v>0</v>
      </c>
      <c r="J1439">
        <v>0</v>
      </c>
      <c r="K1439">
        <v>372.39389499999999</v>
      </c>
      <c r="L1439">
        <v>34.950482000000001</v>
      </c>
      <c r="M1439">
        <v>73.246486271634197</v>
      </c>
      <c r="N1439">
        <v>0</v>
      </c>
      <c r="O1439" s="8" t="str">
        <f>formatIP(Table1[[#This Row],[Address A]])</f>
        <v>010.012.001.124</v>
      </c>
      <c r="P1439" s="8" t="str">
        <f>formatIP(Table1[[#This Row],[Address B]])</f>
        <v>010.001.001.003</v>
      </c>
      <c r="Q1439" s="8" t="str">
        <f>VLOOKUP(Table1[[#This Row],[Address A]],IP_Master[],4,FALSE)</f>
        <v>KBPPLC</v>
      </c>
      <c r="R1439" s="8" t="e">
        <f>VLOOKUP(Table1[[#This Row],[Address B]],IP_Master[],4,FALSE)</f>
        <v>#N/A</v>
      </c>
      <c r="S1439" s="8" t="str">
        <f>VLOOKUP(Table1[[#This Row],[Address A]],IP_Master[],2,FALSE)</f>
        <v>Slag Fumer</v>
      </c>
      <c r="T1439" s="8" t="e">
        <f>VLOOKUP(Table1[[#This Row],[Address B]],IP_Master[],2,FALSE)</f>
        <v>#N/A</v>
      </c>
      <c r="U1439" s="9" t="str">
        <f>VLOOKUP(Table1[[#This Row],[Address A]],IP_Master[],3,FALSE)</f>
        <v>PLCs &amp; Control Equipment</v>
      </c>
      <c r="V1439" s="9" t="e">
        <f>VLOOKUP(Table1[[#This Row],[Address B]],IP_Master[],3,FALSE)</f>
        <v>#N/A</v>
      </c>
      <c r="W1439" s="9" t="str">
        <f>VLOOKUP(Table1[[#This Row],[Port B]],traffic_types[],2,FALSE)</f>
        <v>Modbus</v>
      </c>
    </row>
    <row r="1440" spans="1:23" x14ac:dyDescent="0.6">
      <c r="A1440" t="s">
        <v>174</v>
      </c>
      <c r="B1440">
        <v>3712</v>
      </c>
      <c r="C1440" t="s">
        <v>175</v>
      </c>
      <c r="D1440">
        <v>502</v>
      </c>
      <c r="E1440">
        <v>5</v>
      </c>
      <c r="F1440" s="13">
        <v>320</v>
      </c>
      <c r="G1440">
        <v>5</v>
      </c>
      <c r="H1440">
        <v>320</v>
      </c>
      <c r="I1440">
        <v>0</v>
      </c>
      <c r="J1440">
        <v>0</v>
      </c>
      <c r="K1440">
        <v>375.09389599999997</v>
      </c>
      <c r="L1440">
        <v>104.86154000000001</v>
      </c>
      <c r="M1440">
        <v>24.413145181731998</v>
      </c>
      <c r="N1440">
        <v>0</v>
      </c>
      <c r="O1440" s="8" t="str">
        <f>formatIP(Table1[[#This Row],[Address A]])</f>
        <v>010.012.001.124</v>
      </c>
      <c r="P1440" s="8" t="str">
        <f>formatIP(Table1[[#This Row],[Address B]])</f>
        <v>010.001.001.002</v>
      </c>
      <c r="Q1440" s="8" t="str">
        <f>VLOOKUP(Table1[[#This Row],[Address A]],IP_Master[],4,FALSE)</f>
        <v>KBPPLC</v>
      </c>
      <c r="R1440" s="8" t="e">
        <f>VLOOKUP(Table1[[#This Row],[Address B]],IP_Master[],4,FALSE)</f>
        <v>#N/A</v>
      </c>
      <c r="S1440" s="8" t="str">
        <f>VLOOKUP(Table1[[#This Row],[Address A]],IP_Master[],2,FALSE)</f>
        <v>Slag Fumer</v>
      </c>
      <c r="T1440" s="8" t="e">
        <f>VLOOKUP(Table1[[#This Row],[Address B]],IP_Master[],2,FALSE)</f>
        <v>#N/A</v>
      </c>
      <c r="U1440" s="9" t="str">
        <f>VLOOKUP(Table1[[#This Row],[Address A]],IP_Master[],3,FALSE)</f>
        <v>PLCs &amp; Control Equipment</v>
      </c>
      <c r="V1440" s="9" t="e">
        <f>VLOOKUP(Table1[[#This Row],[Address B]],IP_Master[],3,FALSE)</f>
        <v>#N/A</v>
      </c>
      <c r="W1440" s="9" t="str">
        <f>VLOOKUP(Table1[[#This Row],[Port B]],traffic_types[],2,FALSE)</f>
        <v>Modbus</v>
      </c>
    </row>
    <row r="1441" spans="1:23" x14ac:dyDescent="0.6">
      <c r="A1441" t="s">
        <v>174</v>
      </c>
      <c r="B1441">
        <v>3457</v>
      </c>
      <c r="C1441" t="s">
        <v>176</v>
      </c>
      <c r="D1441">
        <v>502</v>
      </c>
      <c r="E1441">
        <v>5</v>
      </c>
      <c r="F1441" s="13">
        <v>320</v>
      </c>
      <c r="G1441">
        <v>5</v>
      </c>
      <c r="H1441">
        <v>320</v>
      </c>
      <c r="I1441">
        <v>0</v>
      </c>
      <c r="J1441">
        <v>0</v>
      </c>
      <c r="K1441">
        <v>379.38395500000001</v>
      </c>
      <c r="L1441">
        <v>139.81196499999999</v>
      </c>
      <c r="M1441">
        <v>18.310306989820202</v>
      </c>
      <c r="N1441">
        <v>0</v>
      </c>
      <c r="O1441" s="8" t="str">
        <f>formatIP(Table1[[#This Row],[Address A]])</f>
        <v>010.012.001.124</v>
      </c>
      <c r="P1441" s="8" t="str">
        <f>formatIP(Table1[[#This Row],[Address B]])</f>
        <v>010.001.001.003</v>
      </c>
      <c r="Q1441" s="8" t="str">
        <f>VLOOKUP(Table1[[#This Row],[Address A]],IP_Master[],4,FALSE)</f>
        <v>KBPPLC</v>
      </c>
      <c r="R1441" s="8" t="e">
        <f>VLOOKUP(Table1[[#This Row],[Address B]],IP_Master[],4,FALSE)</f>
        <v>#N/A</v>
      </c>
      <c r="S1441" s="8" t="str">
        <f>VLOOKUP(Table1[[#This Row],[Address A]],IP_Master[],2,FALSE)</f>
        <v>Slag Fumer</v>
      </c>
      <c r="T1441" s="8" t="e">
        <f>VLOOKUP(Table1[[#This Row],[Address B]],IP_Master[],2,FALSE)</f>
        <v>#N/A</v>
      </c>
      <c r="U1441" s="9" t="str">
        <f>VLOOKUP(Table1[[#This Row],[Address A]],IP_Master[],3,FALSE)</f>
        <v>PLCs &amp; Control Equipment</v>
      </c>
      <c r="V1441" s="9" t="e">
        <f>VLOOKUP(Table1[[#This Row],[Address B]],IP_Master[],3,FALSE)</f>
        <v>#N/A</v>
      </c>
      <c r="W1441" s="9" t="str">
        <f>VLOOKUP(Table1[[#This Row],[Port B]],traffic_types[],2,FALSE)</f>
        <v>Modbus</v>
      </c>
    </row>
    <row r="1442" spans="1:23" x14ac:dyDescent="0.6">
      <c r="A1442" t="s">
        <v>174</v>
      </c>
      <c r="B1442">
        <v>3328</v>
      </c>
      <c r="C1442" t="s">
        <v>175</v>
      </c>
      <c r="D1442">
        <v>502</v>
      </c>
      <c r="E1442">
        <v>5</v>
      </c>
      <c r="F1442" s="13">
        <v>320</v>
      </c>
      <c r="G1442">
        <v>5</v>
      </c>
      <c r="H1442">
        <v>320</v>
      </c>
      <c r="I1442">
        <v>0</v>
      </c>
      <c r="J1442">
        <v>0</v>
      </c>
      <c r="K1442">
        <v>382.084047</v>
      </c>
      <c r="L1442">
        <v>125.841701</v>
      </c>
      <c r="M1442">
        <v>20.343018090640701</v>
      </c>
      <c r="N1442">
        <v>0</v>
      </c>
      <c r="O1442" s="8" t="str">
        <f>formatIP(Table1[[#This Row],[Address A]])</f>
        <v>010.012.001.124</v>
      </c>
      <c r="P1442" s="8" t="str">
        <f>formatIP(Table1[[#This Row],[Address B]])</f>
        <v>010.001.001.002</v>
      </c>
      <c r="Q1442" s="8" t="str">
        <f>VLOOKUP(Table1[[#This Row],[Address A]],IP_Master[],4,FALSE)</f>
        <v>KBPPLC</v>
      </c>
      <c r="R1442" s="8" t="e">
        <f>VLOOKUP(Table1[[#This Row],[Address B]],IP_Master[],4,FALSE)</f>
        <v>#N/A</v>
      </c>
      <c r="S1442" s="8" t="str">
        <f>VLOOKUP(Table1[[#This Row],[Address A]],IP_Master[],2,FALSE)</f>
        <v>Slag Fumer</v>
      </c>
      <c r="T1442" s="8" t="e">
        <f>VLOOKUP(Table1[[#This Row],[Address B]],IP_Master[],2,FALSE)</f>
        <v>#N/A</v>
      </c>
      <c r="U1442" s="9" t="str">
        <f>VLOOKUP(Table1[[#This Row],[Address A]],IP_Master[],3,FALSE)</f>
        <v>PLCs &amp; Control Equipment</v>
      </c>
      <c r="V1442" s="9" t="e">
        <f>VLOOKUP(Table1[[#This Row],[Address B]],IP_Master[],3,FALSE)</f>
        <v>#N/A</v>
      </c>
      <c r="W1442" s="9" t="str">
        <f>VLOOKUP(Table1[[#This Row],[Port B]],traffic_types[],2,FALSE)</f>
        <v>Modbus</v>
      </c>
    </row>
    <row r="1443" spans="1:23" x14ac:dyDescent="0.6">
      <c r="A1443" t="s">
        <v>174</v>
      </c>
      <c r="B1443">
        <v>3073</v>
      </c>
      <c r="C1443" t="s">
        <v>176</v>
      </c>
      <c r="D1443">
        <v>502</v>
      </c>
      <c r="E1443">
        <v>5</v>
      </c>
      <c r="F1443" s="13">
        <v>320</v>
      </c>
      <c r="G1443">
        <v>5</v>
      </c>
      <c r="H1443">
        <v>320</v>
      </c>
      <c r="I1443">
        <v>0</v>
      </c>
      <c r="J1443">
        <v>0</v>
      </c>
      <c r="K1443">
        <v>386.37421499999999</v>
      </c>
      <c r="L1443">
        <v>34.950398</v>
      </c>
      <c r="M1443">
        <v>73.246662312686695</v>
      </c>
      <c r="N1443">
        <v>0</v>
      </c>
      <c r="O1443" s="8" t="str">
        <f>formatIP(Table1[[#This Row],[Address A]])</f>
        <v>010.012.001.124</v>
      </c>
      <c r="P1443" s="8" t="str">
        <f>formatIP(Table1[[#This Row],[Address B]])</f>
        <v>010.001.001.003</v>
      </c>
      <c r="Q1443" s="8" t="str">
        <f>VLOOKUP(Table1[[#This Row],[Address A]],IP_Master[],4,FALSE)</f>
        <v>KBPPLC</v>
      </c>
      <c r="R1443" s="8" t="e">
        <f>VLOOKUP(Table1[[#This Row],[Address B]],IP_Master[],4,FALSE)</f>
        <v>#N/A</v>
      </c>
      <c r="S1443" s="8" t="str">
        <f>VLOOKUP(Table1[[#This Row],[Address A]],IP_Master[],2,FALSE)</f>
        <v>Slag Fumer</v>
      </c>
      <c r="T1443" s="8" t="e">
        <f>VLOOKUP(Table1[[#This Row],[Address B]],IP_Master[],2,FALSE)</f>
        <v>#N/A</v>
      </c>
      <c r="U1443" s="9" t="str">
        <f>VLOOKUP(Table1[[#This Row],[Address A]],IP_Master[],3,FALSE)</f>
        <v>PLCs &amp; Control Equipment</v>
      </c>
      <c r="V1443" s="9" t="e">
        <f>VLOOKUP(Table1[[#This Row],[Address B]],IP_Master[],3,FALSE)</f>
        <v>#N/A</v>
      </c>
      <c r="W1443" s="9" t="str">
        <f>VLOOKUP(Table1[[#This Row],[Port B]],traffic_types[],2,FALSE)</f>
        <v>Modbus</v>
      </c>
    </row>
    <row r="1444" spans="1:23" x14ac:dyDescent="0.6">
      <c r="A1444" t="s">
        <v>174</v>
      </c>
      <c r="B1444">
        <v>3840</v>
      </c>
      <c r="C1444" t="s">
        <v>175</v>
      </c>
      <c r="D1444">
        <v>502</v>
      </c>
      <c r="E1444">
        <v>5</v>
      </c>
      <c r="F1444" s="13">
        <v>320</v>
      </c>
      <c r="G1444">
        <v>5</v>
      </c>
      <c r="H1444">
        <v>320</v>
      </c>
      <c r="I1444">
        <v>0</v>
      </c>
      <c r="J1444">
        <v>0</v>
      </c>
      <c r="K1444">
        <v>389.07407899999998</v>
      </c>
      <c r="L1444">
        <v>125.84179</v>
      </c>
      <c r="M1444">
        <v>20.343003703300798</v>
      </c>
      <c r="N1444">
        <v>0</v>
      </c>
      <c r="O1444" s="8" t="str">
        <f>formatIP(Table1[[#This Row],[Address A]])</f>
        <v>010.012.001.124</v>
      </c>
      <c r="P1444" s="8" t="str">
        <f>formatIP(Table1[[#This Row],[Address B]])</f>
        <v>010.001.001.002</v>
      </c>
      <c r="Q1444" s="8" t="str">
        <f>VLOOKUP(Table1[[#This Row],[Address A]],IP_Master[],4,FALSE)</f>
        <v>KBPPLC</v>
      </c>
      <c r="R1444" s="8" t="e">
        <f>VLOOKUP(Table1[[#This Row],[Address B]],IP_Master[],4,FALSE)</f>
        <v>#N/A</v>
      </c>
      <c r="S1444" s="8" t="str">
        <f>VLOOKUP(Table1[[#This Row],[Address A]],IP_Master[],2,FALSE)</f>
        <v>Slag Fumer</v>
      </c>
      <c r="T1444" s="8" t="e">
        <f>VLOOKUP(Table1[[#This Row],[Address B]],IP_Master[],2,FALSE)</f>
        <v>#N/A</v>
      </c>
      <c r="U1444" s="9" t="str">
        <f>VLOOKUP(Table1[[#This Row],[Address A]],IP_Master[],3,FALSE)</f>
        <v>PLCs &amp; Control Equipment</v>
      </c>
      <c r="V1444" s="9" t="e">
        <f>VLOOKUP(Table1[[#This Row],[Address B]],IP_Master[],3,FALSE)</f>
        <v>#N/A</v>
      </c>
      <c r="W1444" s="9" t="str">
        <f>VLOOKUP(Table1[[#This Row],[Port B]],traffic_types[],2,FALSE)</f>
        <v>Modbus</v>
      </c>
    </row>
    <row r="1445" spans="1:23" x14ac:dyDescent="0.6">
      <c r="A1445" t="s">
        <v>174</v>
      </c>
      <c r="B1445">
        <v>4609</v>
      </c>
      <c r="C1445" t="s">
        <v>176</v>
      </c>
      <c r="D1445">
        <v>502</v>
      </c>
      <c r="E1445">
        <v>5</v>
      </c>
      <c r="F1445" s="13">
        <v>320</v>
      </c>
      <c r="G1445">
        <v>5</v>
      </c>
      <c r="H1445">
        <v>320</v>
      </c>
      <c r="I1445">
        <v>0</v>
      </c>
      <c r="J1445">
        <v>0</v>
      </c>
      <c r="K1445">
        <v>393.36415899999997</v>
      </c>
      <c r="L1445">
        <v>160.80310499999999</v>
      </c>
      <c r="M1445">
        <v>15.9200905977531</v>
      </c>
      <c r="N1445">
        <v>0</v>
      </c>
      <c r="O1445" s="8" t="str">
        <f>formatIP(Table1[[#This Row],[Address A]])</f>
        <v>010.012.001.124</v>
      </c>
      <c r="P1445" s="8" t="str">
        <f>formatIP(Table1[[#This Row],[Address B]])</f>
        <v>010.001.001.003</v>
      </c>
      <c r="Q1445" s="8" t="str">
        <f>VLOOKUP(Table1[[#This Row],[Address A]],IP_Master[],4,FALSE)</f>
        <v>KBPPLC</v>
      </c>
      <c r="R1445" s="8" t="e">
        <f>VLOOKUP(Table1[[#This Row],[Address B]],IP_Master[],4,FALSE)</f>
        <v>#N/A</v>
      </c>
      <c r="S1445" s="8" t="str">
        <f>VLOOKUP(Table1[[#This Row],[Address A]],IP_Master[],2,FALSE)</f>
        <v>Slag Fumer</v>
      </c>
      <c r="T1445" s="8" t="e">
        <f>VLOOKUP(Table1[[#This Row],[Address B]],IP_Master[],2,FALSE)</f>
        <v>#N/A</v>
      </c>
      <c r="U1445" s="9" t="str">
        <f>VLOOKUP(Table1[[#This Row],[Address A]],IP_Master[],3,FALSE)</f>
        <v>PLCs &amp; Control Equipment</v>
      </c>
      <c r="V1445" s="9" t="e">
        <f>VLOOKUP(Table1[[#This Row],[Address B]],IP_Master[],3,FALSE)</f>
        <v>#N/A</v>
      </c>
      <c r="W1445" s="9" t="str">
        <f>VLOOKUP(Table1[[#This Row],[Port B]],traffic_types[],2,FALSE)</f>
        <v>Modbus</v>
      </c>
    </row>
    <row r="1446" spans="1:23" x14ac:dyDescent="0.6">
      <c r="A1446" t="s">
        <v>174</v>
      </c>
      <c r="B1446">
        <v>4480</v>
      </c>
      <c r="C1446" t="s">
        <v>175</v>
      </c>
      <c r="D1446">
        <v>502</v>
      </c>
      <c r="E1446">
        <v>5</v>
      </c>
      <c r="F1446" s="13">
        <v>320</v>
      </c>
      <c r="G1446">
        <v>5</v>
      </c>
      <c r="H1446">
        <v>320</v>
      </c>
      <c r="I1446">
        <v>0</v>
      </c>
      <c r="J1446">
        <v>0</v>
      </c>
      <c r="K1446">
        <v>396.06425300000001</v>
      </c>
      <c r="L1446">
        <v>104.87150099999999</v>
      </c>
      <c r="M1446">
        <v>24.410826350239802</v>
      </c>
      <c r="N1446">
        <v>0</v>
      </c>
      <c r="O1446" s="8" t="str">
        <f>formatIP(Table1[[#This Row],[Address A]])</f>
        <v>010.012.001.124</v>
      </c>
      <c r="P1446" s="8" t="str">
        <f>formatIP(Table1[[#This Row],[Address B]])</f>
        <v>010.001.001.002</v>
      </c>
      <c r="Q1446" s="8" t="str">
        <f>VLOOKUP(Table1[[#This Row],[Address A]],IP_Master[],4,FALSE)</f>
        <v>KBPPLC</v>
      </c>
      <c r="R1446" s="8" t="e">
        <f>VLOOKUP(Table1[[#This Row],[Address B]],IP_Master[],4,FALSE)</f>
        <v>#N/A</v>
      </c>
      <c r="S1446" s="8" t="str">
        <f>VLOOKUP(Table1[[#This Row],[Address A]],IP_Master[],2,FALSE)</f>
        <v>Slag Fumer</v>
      </c>
      <c r="T1446" s="8" t="e">
        <f>VLOOKUP(Table1[[#This Row],[Address B]],IP_Master[],2,FALSE)</f>
        <v>#N/A</v>
      </c>
      <c r="U1446" s="9" t="str">
        <f>VLOOKUP(Table1[[#This Row],[Address A]],IP_Master[],3,FALSE)</f>
        <v>PLCs &amp; Control Equipment</v>
      </c>
      <c r="V1446" s="9" t="e">
        <f>VLOOKUP(Table1[[#This Row],[Address B]],IP_Master[],3,FALSE)</f>
        <v>#N/A</v>
      </c>
      <c r="W1446" s="9" t="str">
        <f>VLOOKUP(Table1[[#This Row],[Port B]],traffic_types[],2,FALSE)</f>
        <v>Modbus</v>
      </c>
    </row>
    <row r="1447" spans="1:23" x14ac:dyDescent="0.6">
      <c r="A1447" t="s">
        <v>174</v>
      </c>
      <c r="B1447">
        <v>4225</v>
      </c>
      <c r="C1447" t="s">
        <v>176</v>
      </c>
      <c r="D1447">
        <v>502</v>
      </c>
      <c r="E1447">
        <v>5</v>
      </c>
      <c r="F1447" s="13">
        <v>320</v>
      </c>
      <c r="G1447">
        <v>5</v>
      </c>
      <c r="H1447">
        <v>320</v>
      </c>
      <c r="I1447">
        <v>0</v>
      </c>
      <c r="J1447">
        <v>0</v>
      </c>
      <c r="K1447">
        <v>400.35422599999998</v>
      </c>
      <c r="L1447">
        <v>104.861535</v>
      </c>
      <c r="M1447">
        <v>24.413146345797799</v>
      </c>
      <c r="N1447">
        <v>0</v>
      </c>
      <c r="O1447" s="8" t="str">
        <f>formatIP(Table1[[#This Row],[Address A]])</f>
        <v>010.012.001.124</v>
      </c>
      <c r="P1447" s="8" t="str">
        <f>formatIP(Table1[[#This Row],[Address B]])</f>
        <v>010.001.001.003</v>
      </c>
      <c r="Q1447" s="8" t="str">
        <f>VLOOKUP(Table1[[#This Row],[Address A]],IP_Master[],4,FALSE)</f>
        <v>KBPPLC</v>
      </c>
      <c r="R1447" s="8" t="e">
        <f>VLOOKUP(Table1[[#This Row],[Address B]],IP_Master[],4,FALSE)</f>
        <v>#N/A</v>
      </c>
      <c r="S1447" s="8" t="str">
        <f>VLOOKUP(Table1[[#This Row],[Address A]],IP_Master[],2,FALSE)</f>
        <v>Slag Fumer</v>
      </c>
      <c r="T1447" s="8" t="e">
        <f>VLOOKUP(Table1[[#This Row],[Address B]],IP_Master[],2,FALSE)</f>
        <v>#N/A</v>
      </c>
      <c r="U1447" s="9" t="str">
        <f>VLOOKUP(Table1[[#This Row],[Address A]],IP_Master[],3,FALSE)</f>
        <v>PLCs &amp; Control Equipment</v>
      </c>
      <c r="V1447" s="9" t="e">
        <f>VLOOKUP(Table1[[#This Row],[Address B]],IP_Master[],3,FALSE)</f>
        <v>#N/A</v>
      </c>
      <c r="W1447" s="9" t="str">
        <f>VLOOKUP(Table1[[#This Row],[Port B]],traffic_types[],2,FALSE)</f>
        <v>Modbus</v>
      </c>
    </row>
    <row r="1448" spans="1:23" x14ac:dyDescent="0.6">
      <c r="A1448" t="s">
        <v>174</v>
      </c>
      <c r="B1448">
        <v>3072</v>
      </c>
      <c r="C1448" t="s">
        <v>175</v>
      </c>
      <c r="D1448">
        <v>502</v>
      </c>
      <c r="E1448">
        <v>5</v>
      </c>
      <c r="F1448" s="13">
        <v>320</v>
      </c>
      <c r="G1448">
        <v>5</v>
      </c>
      <c r="H1448">
        <v>320</v>
      </c>
      <c r="I1448">
        <v>0</v>
      </c>
      <c r="J1448">
        <v>0</v>
      </c>
      <c r="K1448">
        <v>403.05428799999999</v>
      </c>
      <c r="L1448">
        <v>160.80300800000001</v>
      </c>
      <c r="M1448">
        <v>15.920100201110699</v>
      </c>
      <c r="N1448">
        <v>0</v>
      </c>
      <c r="O1448" s="8" t="str">
        <f>formatIP(Table1[[#This Row],[Address A]])</f>
        <v>010.012.001.124</v>
      </c>
      <c r="P1448" s="8" t="str">
        <f>formatIP(Table1[[#This Row],[Address B]])</f>
        <v>010.001.001.002</v>
      </c>
      <c r="Q1448" s="8" t="str">
        <f>VLOOKUP(Table1[[#This Row],[Address A]],IP_Master[],4,FALSE)</f>
        <v>KBPPLC</v>
      </c>
      <c r="R1448" s="8" t="e">
        <f>VLOOKUP(Table1[[#This Row],[Address B]],IP_Master[],4,FALSE)</f>
        <v>#N/A</v>
      </c>
      <c r="S1448" s="8" t="str">
        <f>VLOOKUP(Table1[[#This Row],[Address A]],IP_Master[],2,FALSE)</f>
        <v>Slag Fumer</v>
      </c>
      <c r="T1448" s="8" t="e">
        <f>VLOOKUP(Table1[[#This Row],[Address B]],IP_Master[],2,FALSE)</f>
        <v>#N/A</v>
      </c>
      <c r="U1448" s="9" t="str">
        <f>VLOOKUP(Table1[[#This Row],[Address A]],IP_Master[],3,FALSE)</f>
        <v>PLCs &amp; Control Equipment</v>
      </c>
      <c r="V1448" s="9" t="e">
        <f>VLOOKUP(Table1[[#This Row],[Address B]],IP_Master[],3,FALSE)</f>
        <v>#N/A</v>
      </c>
      <c r="W1448" s="9" t="str">
        <f>VLOOKUP(Table1[[#This Row],[Port B]],traffic_types[],2,FALSE)</f>
        <v>Modbus</v>
      </c>
    </row>
    <row r="1449" spans="1:23" x14ac:dyDescent="0.6">
      <c r="A1449" t="s">
        <v>174</v>
      </c>
      <c r="B1449">
        <v>3841</v>
      </c>
      <c r="C1449" t="s">
        <v>176</v>
      </c>
      <c r="D1449">
        <v>502</v>
      </c>
      <c r="E1449">
        <v>5</v>
      </c>
      <c r="F1449" s="13">
        <v>320</v>
      </c>
      <c r="G1449">
        <v>5</v>
      </c>
      <c r="H1449">
        <v>320</v>
      </c>
      <c r="I1449">
        <v>0</v>
      </c>
      <c r="J1449">
        <v>0</v>
      </c>
      <c r="K1449">
        <v>407.344379</v>
      </c>
      <c r="L1449">
        <v>125.841734</v>
      </c>
      <c r="M1449">
        <v>20.343012756006701</v>
      </c>
      <c r="N1449">
        <v>0</v>
      </c>
      <c r="O1449" s="8" t="str">
        <f>formatIP(Table1[[#This Row],[Address A]])</f>
        <v>010.012.001.124</v>
      </c>
      <c r="P1449" s="8" t="str">
        <f>formatIP(Table1[[#This Row],[Address B]])</f>
        <v>010.001.001.003</v>
      </c>
      <c r="Q1449" s="8" t="str">
        <f>VLOOKUP(Table1[[#This Row],[Address A]],IP_Master[],4,FALSE)</f>
        <v>KBPPLC</v>
      </c>
      <c r="R1449" s="8" t="e">
        <f>VLOOKUP(Table1[[#This Row],[Address B]],IP_Master[],4,FALSE)</f>
        <v>#N/A</v>
      </c>
      <c r="S1449" s="8" t="str">
        <f>VLOOKUP(Table1[[#This Row],[Address A]],IP_Master[],2,FALSE)</f>
        <v>Slag Fumer</v>
      </c>
      <c r="T1449" s="8" t="e">
        <f>VLOOKUP(Table1[[#This Row],[Address B]],IP_Master[],2,FALSE)</f>
        <v>#N/A</v>
      </c>
      <c r="U1449" s="9" t="str">
        <f>VLOOKUP(Table1[[#This Row],[Address A]],IP_Master[],3,FALSE)</f>
        <v>PLCs &amp; Control Equipment</v>
      </c>
      <c r="V1449" s="9" t="e">
        <f>VLOOKUP(Table1[[#This Row],[Address B]],IP_Master[],3,FALSE)</f>
        <v>#N/A</v>
      </c>
      <c r="W1449" s="9" t="str">
        <f>VLOOKUP(Table1[[#This Row],[Port B]],traffic_types[],2,FALSE)</f>
        <v>Modbus</v>
      </c>
    </row>
    <row r="1450" spans="1:23" x14ac:dyDescent="0.6">
      <c r="A1450" t="s">
        <v>174</v>
      </c>
      <c r="B1450">
        <v>4608</v>
      </c>
      <c r="C1450" t="s">
        <v>175</v>
      </c>
      <c r="D1450">
        <v>502</v>
      </c>
      <c r="E1450">
        <v>5</v>
      </c>
      <c r="F1450" s="13">
        <v>320</v>
      </c>
      <c r="G1450">
        <v>5</v>
      </c>
      <c r="H1450">
        <v>320</v>
      </c>
      <c r="I1450">
        <v>0</v>
      </c>
      <c r="J1450">
        <v>0</v>
      </c>
      <c r="K1450">
        <v>410.04517600000003</v>
      </c>
      <c r="L1450">
        <v>125.85112700000001</v>
      </c>
      <c r="M1450">
        <v>20.341494438901599</v>
      </c>
      <c r="N1450">
        <v>0</v>
      </c>
      <c r="O1450" s="8" t="str">
        <f>formatIP(Table1[[#This Row],[Address A]])</f>
        <v>010.012.001.124</v>
      </c>
      <c r="P1450" s="8" t="str">
        <f>formatIP(Table1[[#This Row],[Address B]])</f>
        <v>010.001.001.002</v>
      </c>
      <c r="Q1450" s="8" t="str">
        <f>VLOOKUP(Table1[[#This Row],[Address A]],IP_Master[],4,FALSE)</f>
        <v>KBPPLC</v>
      </c>
      <c r="R1450" s="8" t="e">
        <f>VLOOKUP(Table1[[#This Row],[Address B]],IP_Master[],4,FALSE)</f>
        <v>#N/A</v>
      </c>
      <c r="S1450" s="8" t="str">
        <f>VLOOKUP(Table1[[#This Row],[Address A]],IP_Master[],2,FALSE)</f>
        <v>Slag Fumer</v>
      </c>
      <c r="T1450" s="8" t="e">
        <f>VLOOKUP(Table1[[#This Row],[Address B]],IP_Master[],2,FALSE)</f>
        <v>#N/A</v>
      </c>
      <c r="U1450" s="9" t="str">
        <f>VLOOKUP(Table1[[#This Row],[Address A]],IP_Master[],3,FALSE)</f>
        <v>PLCs &amp; Control Equipment</v>
      </c>
      <c r="V1450" s="9" t="e">
        <f>VLOOKUP(Table1[[#This Row],[Address B]],IP_Master[],3,FALSE)</f>
        <v>#N/A</v>
      </c>
      <c r="W1450" s="9" t="str">
        <f>VLOOKUP(Table1[[#This Row],[Port B]],traffic_types[],2,FALSE)</f>
        <v>Modbus</v>
      </c>
    </row>
    <row r="1451" spans="1:23" x14ac:dyDescent="0.6">
      <c r="A1451" t="s">
        <v>174</v>
      </c>
      <c r="B1451">
        <v>4353</v>
      </c>
      <c r="C1451" t="s">
        <v>176</v>
      </c>
      <c r="D1451">
        <v>502</v>
      </c>
      <c r="E1451">
        <v>5</v>
      </c>
      <c r="F1451" s="13">
        <v>320</v>
      </c>
      <c r="G1451">
        <v>5</v>
      </c>
      <c r="H1451">
        <v>320</v>
      </c>
      <c r="I1451">
        <v>0</v>
      </c>
      <c r="J1451">
        <v>0</v>
      </c>
      <c r="K1451">
        <v>414.33445499999999</v>
      </c>
      <c r="L1451">
        <v>34.960521</v>
      </c>
      <c r="M1451">
        <v>73.225453362093702</v>
      </c>
      <c r="N1451">
        <v>0</v>
      </c>
      <c r="O1451" s="8" t="str">
        <f>formatIP(Table1[[#This Row],[Address A]])</f>
        <v>010.012.001.124</v>
      </c>
      <c r="P1451" s="8" t="str">
        <f>formatIP(Table1[[#This Row],[Address B]])</f>
        <v>010.001.001.003</v>
      </c>
      <c r="Q1451" s="8" t="str">
        <f>VLOOKUP(Table1[[#This Row],[Address A]],IP_Master[],4,FALSE)</f>
        <v>KBPPLC</v>
      </c>
      <c r="R1451" s="8" t="e">
        <f>VLOOKUP(Table1[[#This Row],[Address B]],IP_Master[],4,FALSE)</f>
        <v>#N/A</v>
      </c>
      <c r="S1451" s="8" t="str">
        <f>VLOOKUP(Table1[[#This Row],[Address A]],IP_Master[],2,FALSE)</f>
        <v>Slag Fumer</v>
      </c>
      <c r="T1451" s="8" t="e">
        <f>VLOOKUP(Table1[[#This Row],[Address B]],IP_Master[],2,FALSE)</f>
        <v>#N/A</v>
      </c>
      <c r="U1451" s="9" t="str">
        <f>VLOOKUP(Table1[[#This Row],[Address A]],IP_Master[],3,FALSE)</f>
        <v>PLCs &amp; Control Equipment</v>
      </c>
      <c r="V1451" s="9" t="e">
        <f>VLOOKUP(Table1[[#This Row],[Address B]],IP_Master[],3,FALSE)</f>
        <v>#N/A</v>
      </c>
      <c r="W1451" s="9" t="str">
        <f>VLOOKUP(Table1[[#This Row],[Port B]],traffic_types[],2,FALSE)</f>
        <v>Modbus</v>
      </c>
    </row>
    <row r="1452" spans="1:23" x14ac:dyDescent="0.6">
      <c r="A1452" t="s">
        <v>174</v>
      </c>
      <c r="B1452">
        <v>3456</v>
      </c>
      <c r="C1452" t="s">
        <v>175</v>
      </c>
      <c r="D1452">
        <v>502</v>
      </c>
      <c r="E1452">
        <v>5</v>
      </c>
      <c r="F1452" s="13">
        <v>320</v>
      </c>
      <c r="G1452">
        <v>5</v>
      </c>
      <c r="H1452">
        <v>320</v>
      </c>
      <c r="I1452">
        <v>0</v>
      </c>
      <c r="J1452">
        <v>0</v>
      </c>
      <c r="K1452">
        <v>417.04455000000002</v>
      </c>
      <c r="L1452">
        <v>104.86223699999999</v>
      </c>
      <c r="M1452">
        <v>24.4129829120468</v>
      </c>
      <c r="N1452">
        <v>0</v>
      </c>
      <c r="O1452" s="8" t="str">
        <f>formatIP(Table1[[#This Row],[Address A]])</f>
        <v>010.012.001.124</v>
      </c>
      <c r="P1452" s="8" t="str">
        <f>formatIP(Table1[[#This Row],[Address B]])</f>
        <v>010.001.001.002</v>
      </c>
      <c r="Q1452" s="8" t="str">
        <f>VLOOKUP(Table1[[#This Row],[Address A]],IP_Master[],4,FALSE)</f>
        <v>KBPPLC</v>
      </c>
      <c r="R1452" s="8" t="e">
        <f>VLOOKUP(Table1[[#This Row],[Address B]],IP_Master[],4,FALSE)</f>
        <v>#N/A</v>
      </c>
      <c r="S1452" s="8" t="str">
        <f>VLOOKUP(Table1[[#This Row],[Address A]],IP_Master[],2,FALSE)</f>
        <v>Slag Fumer</v>
      </c>
      <c r="T1452" s="8" t="e">
        <f>VLOOKUP(Table1[[#This Row],[Address B]],IP_Master[],2,FALSE)</f>
        <v>#N/A</v>
      </c>
      <c r="U1452" s="9" t="str">
        <f>VLOOKUP(Table1[[#This Row],[Address A]],IP_Master[],3,FALSE)</f>
        <v>PLCs &amp; Control Equipment</v>
      </c>
      <c r="V1452" s="9" t="e">
        <f>VLOOKUP(Table1[[#This Row],[Address B]],IP_Master[],3,FALSE)</f>
        <v>#N/A</v>
      </c>
      <c r="W1452" s="9" t="str">
        <f>VLOOKUP(Table1[[#This Row],[Port B]],traffic_types[],2,FALSE)</f>
        <v>Modbus</v>
      </c>
    </row>
    <row r="1453" spans="1:23" x14ac:dyDescent="0.6">
      <c r="A1453" t="s">
        <v>174</v>
      </c>
      <c r="B1453">
        <v>3073</v>
      </c>
      <c r="C1453" t="s">
        <v>176</v>
      </c>
      <c r="D1453">
        <v>502</v>
      </c>
      <c r="E1453">
        <v>5</v>
      </c>
      <c r="F1453" s="13">
        <v>320</v>
      </c>
      <c r="G1453">
        <v>5</v>
      </c>
      <c r="H1453">
        <v>320</v>
      </c>
      <c r="I1453">
        <v>0</v>
      </c>
      <c r="J1453">
        <v>0</v>
      </c>
      <c r="K1453">
        <v>421.32461699999999</v>
      </c>
      <c r="L1453">
        <v>104.862154</v>
      </c>
      <c r="M1453">
        <v>24.4130022352964</v>
      </c>
      <c r="N1453">
        <v>0</v>
      </c>
      <c r="O1453" s="8" t="str">
        <f>formatIP(Table1[[#This Row],[Address A]])</f>
        <v>010.012.001.124</v>
      </c>
      <c r="P1453" s="8" t="str">
        <f>formatIP(Table1[[#This Row],[Address B]])</f>
        <v>010.001.001.003</v>
      </c>
      <c r="Q1453" s="8" t="str">
        <f>VLOOKUP(Table1[[#This Row],[Address A]],IP_Master[],4,FALSE)</f>
        <v>KBPPLC</v>
      </c>
      <c r="R1453" s="8" t="e">
        <f>VLOOKUP(Table1[[#This Row],[Address B]],IP_Master[],4,FALSE)</f>
        <v>#N/A</v>
      </c>
      <c r="S1453" s="8" t="str">
        <f>VLOOKUP(Table1[[#This Row],[Address A]],IP_Master[],2,FALSE)</f>
        <v>Slag Fumer</v>
      </c>
      <c r="T1453" s="8" t="e">
        <f>VLOOKUP(Table1[[#This Row],[Address B]],IP_Master[],2,FALSE)</f>
        <v>#N/A</v>
      </c>
      <c r="U1453" s="9" t="str">
        <f>VLOOKUP(Table1[[#This Row],[Address A]],IP_Master[],3,FALSE)</f>
        <v>PLCs &amp; Control Equipment</v>
      </c>
      <c r="V1453" s="9" t="e">
        <f>VLOOKUP(Table1[[#This Row],[Address B]],IP_Master[],3,FALSE)</f>
        <v>#N/A</v>
      </c>
      <c r="W1453" s="9" t="str">
        <f>VLOOKUP(Table1[[#This Row],[Port B]],traffic_types[],2,FALSE)</f>
        <v>Modbus</v>
      </c>
    </row>
    <row r="1454" spans="1:23" x14ac:dyDescent="0.6">
      <c r="A1454" t="s">
        <v>174</v>
      </c>
      <c r="B1454">
        <v>3968</v>
      </c>
      <c r="C1454" t="s">
        <v>175</v>
      </c>
      <c r="D1454">
        <v>502</v>
      </c>
      <c r="E1454">
        <v>5</v>
      </c>
      <c r="F1454" s="13">
        <v>320</v>
      </c>
      <c r="G1454">
        <v>5</v>
      </c>
      <c r="H1454">
        <v>320</v>
      </c>
      <c r="I1454">
        <v>0</v>
      </c>
      <c r="J1454">
        <v>0</v>
      </c>
      <c r="K1454">
        <v>424.03457600000002</v>
      </c>
      <c r="L1454">
        <v>34.950631999999999</v>
      </c>
      <c r="M1454">
        <v>73.246171914716797</v>
      </c>
      <c r="N1454">
        <v>0</v>
      </c>
      <c r="O1454" s="8" t="str">
        <f>formatIP(Table1[[#This Row],[Address A]])</f>
        <v>010.012.001.124</v>
      </c>
      <c r="P1454" s="8" t="str">
        <f>formatIP(Table1[[#This Row],[Address B]])</f>
        <v>010.001.001.002</v>
      </c>
      <c r="Q1454" s="8" t="str">
        <f>VLOOKUP(Table1[[#This Row],[Address A]],IP_Master[],4,FALSE)</f>
        <v>KBPPLC</v>
      </c>
      <c r="R1454" s="8" t="e">
        <f>VLOOKUP(Table1[[#This Row],[Address B]],IP_Master[],4,FALSE)</f>
        <v>#N/A</v>
      </c>
      <c r="S1454" s="8" t="str">
        <f>VLOOKUP(Table1[[#This Row],[Address A]],IP_Master[],2,FALSE)</f>
        <v>Slag Fumer</v>
      </c>
      <c r="T1454" s="8" t="e">
        <f>VLOOKUP(Table1[[#This Row],[Address B]],IP_Master[],2,FALSE)</f>
        <v>#N/A</v>
      </c>
      <c r="U1454" s="9" t="str">
        <f>VLOOKUP(Table1[[#This Row],[Address A]],IP_Master[],3,FALSE)</f>
        <v>PLCs &amp; Control Equipment</v>
      </c>
      <c r="V1454" s="9" t="e">
        <f>VLOOKUP(Table1[[#This Row],[Address B]],IP_Master[],3,FALSE)</f>
        <v>#N/A</v>
      </c>
      <c r="W1454" s="9" t="str">
        <f>VLOOKUP(Table1[[#This Row],[Port B]],traffic_types[],2,FALSE)</f>
        <v>Modbus</v>
      </c>
    </row>
    <row r="1455" spans="1:23" x14ac:dyDescent="0.6">
      <c r="A1455" t="s">
        <v>174</v>
      </c>
      <c r="B1455">
        <v>3585</v>
      </c>
      <c r="C1455" t="s">
        <v>176</v>
      </c>
      <c r="D1455">
        <v>502</v>
      </c>
      <c r="E1455">
        <v>5</v>
      </c>
      <c r="F1455" s="13">
        <v>320</v>
      </c>
      <c r="G1455">
        <v>5</v>
      </c>
      <c r="H1455">
        <v>320</v>
      </c>
      <c r="I1455">
        <v>0</v>
      </c>
      <c r="J1455">
        <v>0</v>
      </c>
      <c r="K1455">
        <v>428.31473099999999</v>
      </c>
      <c r="L1455">
        <v>181.82245399999999</v>
      </c>
      <c r="M1455">
        <v>14.079669170013499</v>
      </c>
      <c r="N1455">
        <v>0</v>
      </c>
      <c r="O1455" s="8" t="str">
        <f>formatIP(Table1[[#This Row],[Address A]])</f>
        <v>010.012.001.124</v>
      </c>
      <c r="P1455" s="8" t="str">
        <f>formatIP(Table1[[#This Row],[Address B]])</f>
        <v>010.001.001.003</v>
      </c>
      <c r="Q1455" s="8" t="str">
        <f>VLOOKUP(Table1[[#This Row],[Address A]],IP_Master[],4,FALSE)</f>
        <v>KBPPLC</v>
      </c>
      <c r="R1455" s="8" t="e">
        <f>VLOOKUP(Table1[[#This Row],[Address B]],IP_Master[],4,FALSE)</f>
        <v>#N/A</v>
      </c>
      <c r="S1455" s="8" t="str">
        <f>VLOOKUP(Table1[[#This Row],[Address A]],IP_Master[],2,FALSE)</f>
        <v>Slag Fumer</v>
      </c>
      <c r="T1455" s="8" t="e">
        <f>VLOOKUP(Table1[[#This Row],[Address B]],IP_Master[],2,FALSE)</f>
        <v>#N/A</v>
      </c>
      <c r="U1455" s="9" t="str">
        <f>VLOOKUP(Table1[[#This Row],[Address A]],IP_Master[],3,FALSE)</f>
        <v>PLCs &amp; Control Equipment</v>
      </c>
      <c r="V1455" s="9" t="e">
        <f>VLOOKUP(Table1[[#This Row],[Address B]],IP_Master[],3,FALSE)</f>
        <v>#N/A</v>
      </c>
      <c r="W1455" s="9" t="str">
        <f>VLOOKUP(Table1[[#This Row],[Port B]],traffic_types[],2,FALSE)</f>
        <v>Modbus</v>
      </c>
    </row>
    <row r="1456" spans="1:23" x14ac:dyDescent="0.6">
      <c r="A1456" t="s">
        <v>174</v>
      </c>
      <c r="B1456">
        <v>3584</v>
      </c>
      <c r="C1456" t="s">
        <v>175</v>
      </c>
      <c r="D1456">
        <v>502</v>
      </c>
      <c r="E1456">
        <v>5</v>
      </c>
      <c r="F1456" s="13">
        <v>320</v>
      </c>
      <c r="G1456">
        <v>5</v>
      </c>
      <c r="H1456">
        <v>320</v>
      </c>
      <c r="I1456">
        <v>0</v>
      </c>
      <c r="J1456">
        <v>0</v>
      </c>
      <c r="K1456">
        <v>431.02478300000001</v>
      </c>
      <c r="L1456">
        <v>34.950547999999998</v>
      </c>
      <c r="M1456">
        <v>73.246347954258198</v>
      </c>
      <c r="N1456">
        <v>0</v>
      </c>
      <c r="O1456" s="8" t="str">
        <f>formatIP(Table1[[#This Row],[Address A]])</f>
        <v>010.012.001.124</v>
      </c>
      <c r="P1456" s="8" t="str">
        <f>formatIP(Table1[[#This Row],[Address B]])</f>
        <v>010.001.001.002</v>
      </c>
      <c r="Q1456" s="8" t="str">
        <f>VLOOKUP(Table1[[#This Row],[Address A]],IP_Master[],4,FALSE)</f>
        <v>KBPPLC</v>
      </c>
      <c r="R1456" s="8" t="e">
        <f>VLOOKUP(Table1[[#This Row],[Address B]],IP_Master[],4,FALSE)</f>
        <v>#N/A</v>
      </c>
      <c r="S1456" s="8" t="str">
        <f>VLOOKUP(Table1[[#This Row],[Address A]],IP_Master[],2,FALSE)</f>
        <v>Slag Fumer</v>
      </c>
      <c r="T1456" s="8" t="e">
        <f>VLOOKUP(Table1[[#This Row],[Address B]],IP_Master[],2,FALSE)</f>
        <v>#N/A</v>
      </c>
      <c r="U1456" s="9" t="str">
        <f>VLOOKUP(Table1[[#This Row],[Address A]],IP_Master[],3,FALSE)</f>
        <v>PLCs &amp; Control Equipment</v>
      </c>
      <c r="V1456" s="9" t="e">
        <f>VLOOKUP(Table1[[#This Row],[Address B]],IP_Master[],3,FALSE)</f>
        <v>#N/A</v>
      </c>
      <c r="W1456" s="9" t="str">
        <f>VLOOKUP(Table1[[#This Row],[Port B]],traffic_types[],2,FALSE)</f>
        <v>Modbus</v>
      </c>
    </row>
    <row r="1457" spans="1:23" x14ac:dyDescent="0.6">
      <c r="A1457" t="s">
        <v>174</v>
      </c>
      <c r="B1457">
        <v>3201</v>
      </c>
      <c r="C1457" t="s">
        <v>176</v>
      </c>
      <c r="D1457">
        <v>502</v>
      </c>
      <c r="E1457">
        <v>5</v>
      </c>
      <c r="F1457" s="13">
        <v>320</v>
      </c>
      <c r="G1457">
        <v>5</v>
      </c>
      <c r="H1457">
        <v>320</v>
      </c>
      <c r="I1457">
        <v>0</v>
      </c>
      <c r="J1457">
        <v>0</v>
      </c>
      <c r="K1457">
        <v>435.30553700000002</v>
      </c>
      <c r="L1457">
        <v>146.84208899999999</v>
      </c>
      <c r="M1457">
        <v>17.433693687100799</v>
      </c>
      <c r="N1457">
        <v>0</v>
      </c>
      <c r="O1457" s="8" t="str">
        <f>formatIP(Table1[[#This Row],[Address A]])</f>
        <v>010.012.001.124</v>
      </c>
      <c r="P1457" s="8" t="str">
        <f>formatIP(Table1[[#This Row],[Address B]])</f>
        <v>010.001.001.003</v>
      </c>
      <c r="Q1457" s="8" t="str">
        <f>VLOOKUP(Table1[[#This Row],[Address A]],IP_Master[],4,FALSE)</f>
        <v>KBPPLC</v>
      </c>
      <c r="R1457" s="8" t="e">
        <f>VLOOKUP(Table1[[#This Row],[Address B]],IP_Master[],4,FALSE)</f>
        <v>#N/A</v>
      </c>
      <c r="S1457" s="8" t="str">
        <f>VLOOKUP(Table1[[#This Row],[Address A]],IP_Master[],2,FALSE)</f>
        <v>Slag Fumer</v>
      </c>
      <c r="T1457" s="8" t="e">
        <f>VLOOKUP(Table1[[#This Row],[Address B]],IP_Master[],2,FALSE)</f>
        <v>#N/A</v>
      </c>
      <c r="U1457" s="9" t="str">
        <f>VLOOKUP(Table1[[#This Row],[Address A]],IP_Master[],3,FALSE)</f>
        <v>PLCs &amp; Control Equipment</v>
      </c>
      <c r="V1457" s="9" t="e">
        <f>VLOOKUP(Table1[[#This Row],[Address B]],IP_Master[],3,FALSE)</f>
        <v>#N/A</v>
      </c>
      <c r="W1457" s="9" t="str">
        <f>VLOOKUP(Table1[[#This Row],[Port B]],traffic_types[],2,FALSE)</f>
        <v>Modbus</v>
      </c>
    </row>
    <row r="1458" spans="1:23" x14ac:dyDescent="0.6">
      <c r="A1458" t="s">
        <v>174</v>
      </c>
      <c r="B1458">
        <v>3200</v>
      </c>
      <c r="C1458" t="s">
        <v>175</v>
      </c>
      <c r="D1458">
        <v>502</v>
      </c>
      <c r="E1458">
        <v>5</v>
      </c>
      <c r="F1458" s="13">
        <v>320</v>
      </c>
      <c r="G1458">
        <v>5</v>
      </c>
      <c r="H1458">
        <v>320</v>
      </c>
      <c r="I1458">
        <v>0</v>
      </c>
      <c r="J1458">
        <v>0</v>
      </c>
      <c r="K1458">
        <v>438.01486699999998</v>
      </c>
      <c r="L1458">
        <v>34.950485999999998</v>
      </c>
      <c r="M1458">
        <v>73.246477888748103</v>
      </c>
      <c r="N1458">
        <v>0</v>
      </c>
      <c r="O1458" s="8" t="str">
        <f>formatIP(Table1[[#This Row],[Address A]])</f>
        <v>010.012.001.124</v>
      </c>
      <c r="P1458" s="8" t="str">
        <f>formatIP(Table1[[#This Row],[Address B]])</f>
        <v>010.001.001.002</v>
      </c>
      <c r="Q1458" s="8" t="str">
        <f>VLOOKUP(Table1[[#This Row],[Address A]],IP_Master[],4,FALSE)</f>
        <v>KBPPLC</v>
      </c>
      <c r="R1458" s="8" t="e">
        <f>VLOOKUP(Table1[[#This Row],[Address B]],IP_Master[],4,FALSE)</f>
        <v>#N/A</v>
      </c>
      <c r="S1458" s="8" t="str">
        <f>VLOOKUP(Table1[[#This Row],[Address A]],IP_Master[],2,FALSE)</f>
        <v>Slag Fumer</v>
      </c>
      <c r="T1458" s="8" t="e">
        <f>VLOOKUP(Table1[[#This Row],[Address B]],IP_Master[],2,FALSE)</f>
        <v>#N/A</v>
      </c>
      <c r="U1458" s="9" t="str">
        <f>VLOOKUP(Table1[[#This Row],[Address A]],IP_Master[],3,FALSE)</f>
        <v>PLCs &amp; Control Equipment</v>
      </c>
      <c r="V1458" s="9" t="e">
        <f>VLOOKUP(Table1[[#This Row],[Address B]],IP_Master[],3,FALSE)</f>
        <v>#N/A</v>
      </c>
      <c r="W1458" s="9" t="str">
        <f>VLOOKUP(Table1[[#This Row],[Port B]],traffic_types[],2,FALSE)</f>
        <v>Modbus</v>
      </c>
    </row>
    <row r="1459" spans="1:23" x14ac:dyDescent="0.6">
      <c r="A1459" t="s">
        <v>174</v>
      </c>
      <c r="B1459">
        <v>3969</v>
      </c>
      <c r="C1459" t="s">
        <v>176</v>
      </c>
      <c r="D1459">
        <v>502</v>
      </c>
      <c r="E1459">
        <v>5</v>
      </c>
      <c r="F1459" s="13">
        <v>320</v>
      </c>
      <c r="G1459">
        <v>5</v>
      </c>
      <c r="H1459">
        <v>320</v>
      </c>
      <c r="I1459">
        <v>0</v>
      </c>
      <c r="J1459">
        <v>0</v>
      </c>
      <c r="K1459">
        <v>442.304844</v>
      </c>
      <c r="L1459">
        <v>104.862202</v>
      </c>
      <c r="M1459">
        <v>24.4129910604013</v>
      </c>
      <c r="N1459">
        <v>0</v>
      </c>
      <c r="O1459" s="8" t="str">
        <f>formatIP(Table1[[#This Row],[Address A]])</f>
        <v>010.012.001.124</v>
      </c>
      <c r="P1459" s="8" t="str">
        <f>formatIP(Table1[[#This Row],[Address B]])</f>
        <v>010.001.001.003</v>
      </c>
      <c r="Q1459" s="8" t="str">
        <f>VLOOKUP(Table1[[#This Row],[Address A]],IP_Master[],4,FALSE)</f>
        <v>KBPPLC</v>
      </c>
      <c r="R1459" s="8" t="e">
        <f>VLOOKUP(Table1[[#This Row],[Address B]],IP_Master[],4,FALSE)</f>
        <v>#N/A</v>
      </c>
      <c r="S1459" s="8" t="str">
        <f>VLOOKUP(Table1[[#This Row],[Address A]],IP_Master[],2,FALSE)</f>
        <v>Slag Fumer</v>
      </c>
      <c r="T1459" s="8" t="e">
        <f>VLOOKUP(Table1[[#This Row],[Address B]],IP_Master[],2,FALSE)</f>
        <v>#N/A</v>
      </c>
      <c r="U1459" s="9" t="str">
        <f>VLOOKUP(Table1[[#This Row],[Address A]],IP_Master[],3,FALSE)</f>
        <v>PLCs &amp; Control Equipment</v>
      </c>
      <c r="V1459" s="9" t="e">
        <f>VLOOKUP(Table1[[#This Row],[Address B]],IP_Master[],3,FALSE)</f>
        <v>#N/A</v>
      </c>
      <c r="W1459" s="9" t="str">
        <f>VLOOKUP(Table1[[#This Row],[Port B]],traffic_types[],2,FALSE)</f>
        <v>Modbus</v>
      </c>
    </row>
    <row r="1460" spans="1:23" x14ac:dyDescent="0.6">
      <c r="A1460" t="s">
        <v>174</v>
      </c>
      <c r="B1460">
        <v>4736</v>
      </c>
      <c r="C1460" t="s">
        <v>175</v>
      </c>
      <c r="D1460">
        <v>502</v>
      </c>
      <c r="E1460">
        <v>5</v>
      </c>
      <c r="F1460" s="13">
        <v>320</v>
      </c>
      <c r="G1460">
        <v>5</v>
      </c>
      <c r="H1460">
        <v>320</v>
      </c>
      <c r="I1460">
        <v>0</v>
      </c>
      <c r="J1460">
        <v>0</v>
      </c>
      <c r="K1460">
        <v>445.00496099999998</v>
      </c>
      <c r="L1460">
        <v>160.81228300000001</v>
      </c>
      <c r="M1460">
        <v>15.9191819943256</v>
      </c>
      <c r="N1460">
        <v>0</v>
      </c>
      <c r="O1460" s="8" t="str">
        <f>formatIP(Table1[[#This Row],[Address A]])</f>
        <v>010.012.001.124</v>
      </c>
      <c r="P1460" s="8" t="str">
        <f>formatIP(Table1[[#This Row],[Address B]])</f>
        <v>010.001.001.002</v>
      </c>
      <c r="Q1460" s="8" t="str">
        <f>VLOOKUP(Table1[[#This Row],[Address A]],IP_Master[],4,FALSE)</f>
        <v>KBPPLC</v>
      </c>
      <c r="R1460" s="8" t="e">
        <f>VLOOKUP(Table1[[#This Row],[Address B]],IP_Master[],4,FALSE)</f>
        <v>#N/A</v>
      </c>
      <c r="S1460" s="8" t="str">
        <f>VLOOKUP(Table1[[#This Row],[Address A]],IP_Master[],2,FALSE)</f>
        <v>Slag Fumer</v>
      </c>
      <c r="T1460" s="8" t="e">
        <f>VLOOKUP(Table1[[#This Row],[Address B]],IP_Master[],2,FALSE)</f>
        <v>#N/A</v>
      </c>
      <c r="U1460" s="9" t="str">
        <f>VLOOKUP(Table1[[#This Row],[Address A]],IP_Master[],3,FALSE)</f>
        <v>PLCs &amp; Control Equipment</v>
      </c>
      <c r="V1460" s="9" t="e">
        <f>VLOOKUP(Table1[[#This Row],[Address B]],IP_Master[],3,FALSE)</f>
        <v>#N/A</v>
      </c>
      <c r="W1460" s="9" t="str">
        <f>VLOOKUP(Table1[[#This Row],[Port B]],traffic_types[],2,FALSE)</f>
        <v>Modbus</v>
      </c>
    </row>
    <row r="1461" spans="1:23" x14ac:dyDescent="0.6">
      <c r="A1461" t="s">
        <v>174</v>
      </c>
      <c r="B1461">
        <v>4353</v>
      </c>
      <c r="C1461" t="s">
        <v>176</v>
      </c>
      <c r="D1461">
        <v>502</v>
      </c>
      <c r="E1461">
        <v>5</v>
      </c>
      <c r="F1461" s="13">
        <v>320</v>
      </c>
      <c r="G1461">
        <v>5</v>
      </c>
      <c r="H1461">
        <v>320</v>
      </c>
      <c r="I1461">
        <v>0</v>
      </c>
      <c r="J1461">
        <v>0</v>
      </c>
      <c r="K1461">
        <v>449.29497900000001</v>
      </c>
      <c r="L1461">
        <v>125.861813</v>
      </c>
      <c r="M1461">
        <v>20.3397673923543</v>
      </c>
      <c r="N1461">
        <v>0</v>
      </c>
      <c r="O1461" s="8" t="str">
        <f>formatIP(Table1[[#This Row],[Address A]])</f>
        <v>010.012.001.124</v>
      </c>
      <c r="P1461" s="8" t="str">
        <f>formatIP(Table1[[#This Row],[Address B]])</f>
        <v>010.001.001.003</v>
      </c>
      <c r="Q1461" s="8" t="str">
        <f>VLOOKUP(Table1[[#This Row],[Address A]],IP_Master[],4,FALSE)</f>
        <v>KBPPLC</v>
      </c>
      <c r="R1461" s="8" t="e">
        <f>VLOOKUP(Table1[[#This Row],[Address B]],IP_Master[],4,FALSE)</f>
        <v>#N/A</v>
      </c>
      <c r="S1461" s="8" t="str">
        <f>VLOOKUP(Table1[[#This Row],[Address A]],IP_Master[],2,FALSE)</f>
        <v>Slag Fumer</v>
      </c>
      <c r="T1461" s="8" t="e">
        <f>VLOOKUP(Table1[[#This Row],[Address B]],IP_Master[],2,FALSE)</f>
        <v>#N/A</v>
      </c>
      <c r="U1461" s="9" t="str">
        <f>VLOOKUP(Table1[[#This Row],[Address A]],IP_Master[],3,FALSE)</f>
        <v>PLCs &amp; Control Equipment</v>
      </c>
      <c r="V1461" s="9" t="e">
        <f>VLOOKUP(Table1[[#This Row],[Address B]],IP_Master[],3,FALSE)</f>
        <v>#N/A</v>
      </c>
      <c r="W1461" s="9" t="str">
        <f>VLOOKUP(Table1[[#This Row],[Port B]],traffic_types[],2,FALSE)</f>
        <v>Modbus</v>
      </c>
    </row>
    <row r="1462" spans="1:23" x14ac:dyDescent="0.6">
      <c r="A1462" t="s">
        <v>174</v>
      </c>
      <c r="B1462">
        <v>4352</v>
      </c>
      <c r="C1462" t="s">
        <v>175</v>
      </c>
      <c r="D1462">
        <v>502</v>
      </c>
      <c r="E1462">
        <v>5</v>
      </c>
      <c r="F1462" s="13">
        <v>320</v>
      </c>
      <c r="G1462">
        <v>5</v>
      </c>
      <c r="H1462">
        <v>320</v>
      </c>
      <c r="I1462">
        <v>0</v>
      </c>
      <c r="J1462">
        <v>0</v>
      </c>
      <c r="K1462">
        <v>451.995071</v>
      </c>
      <c r="L1462">
        <v>34.950569999999999</v>
      </c>
      <c r="M1462">
        <v>73.246301848582107</v>
      </c>
      <c r="N1462">
        <v>0</v>
      </c>
      <c r="O1462" s="8" t="str">
        <f>formatIP(Table1[[#This Row],[Address A]])</f>
        <v>010.012.001.124</v>
      </c>
      <c r="P1462" s="8" t="str">
        <f>formatIP(Table1[[#This Row],[Address B]])</f>
        <v>010.001.001.002</v>
      </c>
      <c r="Q1462" s="8" t="str">
        <f>VLOOKUP(Table1[[#This Row],[Address A]],IP_Master[],4,FALSE)</f>
        <v>KBPPLC</v>
      </c>
      <c r="R1462" s="8" t="e">
        <f>VLOOKUP(Table1[[#This Row],[Address B]],IP_Master[],4,FALSE)</f>
        <v>#N/A</v>
      </c>
      <c r="S1462" s="8" t="str">
        <f>VLOOKUP(Table1[[#This Row],[Address A]],IP_Master[],2,FALSE)</f>
        <v>Slag Fumer</v>
      </c>
      <c r="T1462" s="8" t="e">
        <f>VLOOKUP(Table1[[#This Row],[Address B]],IP_Master[],2,FALSE)</f>
        <v>#N/A</v>
      </c>
      <c r="U1462" s="9" t="str">
        <f>VLOOKUP(Table1[[#This Row],[Address A]],IP_Master[],3,FALSE)</f>
        <v>PLCs &amp; Control Equipment</v>
      </c>
      <c r="V1462" s="9" t="e">
        <f>VLOOKUP(Table1[[#This Row],[Address B]],IP_Master[],3,FALSE)</f>
        <v>#N/A</v>
      </c>
      <c r="W1462" s="9" t="str">
        <f>VLOOKUP(Table1[[#This Row],[Port B]],traffic_types[],2,FALSE)</f>
        <v>Modbus</v>
      </c>
    </row>
    <row r="1463" spans="1:23" x14ac:dyDescent="0.6">
      <c r="A1463" t="s">
        <v>174</v>
      </c>
      <c r="B1463">
        <v>4097</v>
      </c>
      <c r="C1463" t="s">
        <v>176</v>
      </c>
      <c r="D1463">
        <v>502</v>
      </c>
      <c r="E1463">
        <v>5</v>
      </c>
      <c r="F1463" s="13">
        <v>320</v>
      </c>
      <c r="G1463">
        <v>5</v>
      </c>
      <c r="H1463">
        <v>320</v>
      </c>
      <c r="I1463">
        <v>0</v>
      </c>
      <c r="J1463">
        <v>0</v>
      </c>
      <c r="K1463">
        <v>456.28498100000002</v>
      </c>
      <c r="L1463">
        <v>34.950705999999997</v>
      </c>
      <c r="M1463">
        <v>73.246016832964798</v>
      </c>
      <c r="N1463">
        <v>0</v>
      </c>
      <c r="O1463" s="8" t="str">
        <f>formatIP(Table1[[#This Row],[Address A]])</f>
        <v>010.012.001.124</v>
      </c>
      <c r="P1463" s="8" t="str">
        <f>formatIP(Table1[[#This Row],[Address B]])</f>
        <v>010.001.001.003</v>
      </c>
      <c r="Q1463" s="8" t="str">
        <f>VLOOKUP(Table1[[#This Row],[Address A]],IP_Master[],4,FALSE)</f>
        <v>KBPPLC</v>
      </c>
      <c r="R1463" s="8" t="e">
        <f>VLOOKUP(Table1[[#This Row],[Address B]],IP_Master[],4,FALSE)</f>
        <v>#N/A</v>
      </c>
      <c r="S1463" s="8" t="str">
        <f>VLOOKUP(Table1[[#This Row],[Address A]],IP_Master[],2,FALSE)</f>
        <v>Slag Fumer</v>
      </c>
      <c r="T1463" s="8" t="e">
        <f>VLOOKUP(Table1[[#This Row],[Address B]],IP_Master[],2,FALSE)</f>
        <v>#N/A</v>
      </c>
      <c r="U1463" s="9" t="str">
        <f>VLOOKUP(Table1[[#This Row],[Address A]],IP_Master[],3,FALSE)</f>
        <v>PLCs &amp; Control Equipment</v>
      </c>
      <c r="V1463" s="9" t="e">
        <f>VLOOKUP(Table1[[#This Row],[Address B]],IP_Master[],3,FALSE)</f>
        <v>#N/A</v>
      </c>
      <c r="W1463" s="9" t="str">
        <f>VLOOKUP(Table1[[#This Row],[Port B]],traffic_types[],2,FALSE)</f>
        <v>Modbus</v>
      </c>
    </row>
    <row r="1464" spans="1:23" x14ac:dyDescent="0.6">
      <c r="A1464" t="s">
        <v>174</v>
      </c>
      <c r="B1464">
        <v>3968</v>
      </c>
      <c r="C1464" t="s">
        <v>175</v>
      </c>
      <c r="D1464">
        <v>502</v>
      </c>
      <c r="E1464">
        <v>5</v>
      </c>
      <c r="F1464" s="13">
        <v>320</v>
      </c>
      <c r="G1464">
        <v>5</v>
      </c>
      <c r="H1464">
        <v>320</v>
      </c>
      <c r="I1464">
        <v>0</v>
      </c>
      <c r="J1464">
        <v>0</v>
      </c>
      <c r="K1464">
        <v>458.985209</v>
      </c>
      <c r="L1464">
        <v>125.861665</v>
      </c>
      <c r="M1464">
        <v>20.3397913097686</v>
      </c>
      <c r="N1464">
        <v>0</v>
      </c>
      <c r="O1464" s="8" t="str">
        <f>formatIP(Table1[[#This Row],[Address A]])</f>
        <v>010.012.001.124</v>
      </c>
      <c r="P1464" s="8" t="str">
        <f>formatIP(Table1[[#This Row],[Address B]])</f>
        <v>010.001.001.002</v>
      </c>
      <c r="Q1464" s="8" t="str">
        <f>VLOOKUP(Table1[[#This Row],[Address A]],IP_Master[],4,FALSE)</f>
        <v>KBPPLC</v>
      </c>
      <c r="R1464" s="8" t="e">
        <f>VLOOKUP(Table1[[#This Row],[Address B]],IP_Master[],4,FALSE)</f>
        <v>#N/A</v>
      </c>
      <c r="S1464" s="8" t="str">
        <f>VLOOKUP(Table1[[#This Row],[Address A]],IP_Master[],2,FALSE)</f>
        <v>Slag Fumer</v>
      </c>
      <c r="T1464" s="8" t="e">
        <f>VLOOKUP(Table1[[#This Row],[Address B]],IP_Master[],2,FALSE)</f>
        <v>#N/A</v>
      </c>
      <c r="U1464" s="9" t="str">
        <f>VLOOKUP(Table1[[#This Row],[Address A]],IP_Master[],3,FALSE)</f>
        <v>PLCs &amp; Control Equipment</v>
      </c>
      <c r="V1464" s="9" t="e">
        <f>VLOOKUP(Table1[[#This Row],[Address B]],IP_Master[],3,FALSE)</f>
        <v>#N/A</v>
      </c>
      <c r="W1464" s="9" t="str">
        <f>VLOOKUP(Table1[[#This Row],[Port B]],traffic_types[],2,FALSE)</f>
        <v>Modbus</v>
      </c>
    </row>
    <row r="1465" spans="1:23" x14ac:dyDescent="0.6">
      <c r="A1465" t="s">
        <v>174</v>
      </c>
      <c r="B1465">
        <v>3713</v>
      </c>
      <c r="C1465" t="s">
        <v>176</v>
      </c>
      <c r="D1465">
        <v>502</v>
      </c>
      <c r="E1465">
        <v>5</v>
      </c>
      <c r="F1465" s="13">
        <v>320</v>
      </c>
      <c r="G1465">
        <v>5</v>
      </c>
      <c r="H1465">
        <v>320</v>
      </c>
      <c r="I1465">
        <v>0</v>
      </c>
      <c r="J1465">
        <v>0</v>
      </c>
      <c r="K1465">
        <v>463.27510100000001</v>
      </c>
      <c r="L1465">
        <v>34.950538999999999</v>
      </c>
      <c r="M1465">
        <v>73.246366815687793</v>
      </c>
      <c r="N1465">
        <v>0</v>
      </c>
      <c r="O1465" s="8" t="str">
        <f>formatIP(Table1[[#This Row],[Address A]])</f>
        <v>010.012.001.124</v>
      </c>
      <c r="P1465" s="8" t="str">
        <f>formatIP(Table1[[#This Row],[Address B]])</f>
        <v>010.001.001.003</v>
      </c>
      <c r="Q1465" s="8" t="str">
        <f>VLOOKUP(Table1[[#This Row],[Address A]],IP_Master[],4,FALSE)</f>
        <v>KBPPLC</v>
      </c>
      <c r="R1465" s="8" t="e">
        <f>VLOOKUP(Table1[[#This Row],[Address B]],IP_Master[],4,FALSE)</f>
        <v>#N/A</v>
      </c>
      <c r="S1465" s="8" t="str">
        <f>VLOOKUP(Table1[[#This Row],[Address A]],IP_Master[],2,FALSE)</f>
        <v>Slag Fumer</v>
      </c>
      <c r="T1465" s="8" t="e">
        <f>VLOOKUP(Table1[[#This Row],[Address B]],IP_Master[],2,FALSE)</f>
        <v>#N/A</v>
      </c>
      <c r="U1465" s="9" t="str">
        <f>VLOOKUP(Table1[[#This Row],[Address A]],IP_Master[],3,FALSE)</f>
        <v>PLCs &amp; Control Equipment</v>
      </c>
      <c r="V1465" s="9" t="e">
        <f>VLOOKUP(Table1[[#This Row],[Address B]],IP_Master[],3,FALSE)</f>
        <v>#N/A</v>
      </c>
      <c r="W1465" s="9" t="str">
        <f>VLOOKUP(Table1[[#This Row],[Port B]],traffic_types[],2,FALSE)</f>
        <v>Modbus</v>
      </c>
    </row>
    <row r="1466" spans="1:23" x14ac:dyDescent="0.6">
      <c r="A1466" t="s">
        <v>174</v>
      </c>
      <c r="B1466">
        <v>3584</v>
      </c>
      <c r="C1466" t="s">
        <v>175</v>
      </c>
      <c r="D1466">
        <v>502</v>
      </c>
      <c r="E1466">
        <v>5</v>
      </c>
      <c r="F1466" s="13">
        <v>320</v>
      </c>
      <c r="G1466">
        <v>5</v>
      </c>
      <c r="H1466">
        <v>320</v>
      </c>
      <c r="I1466">
        <v>0</v>
      </c>
      <c r="J1466">
        <v>0</v>
      </c>
      <c r="K1466">
        <v>465.97533399999998</v>
      </c>
      <c r="L1466">
        <v>125.861566</v>
      </c>
      <c r="M1466">
        <v>20.339807308610801</v>
      </c>
      <c r="N1466">
        <v>0</v>
      </c>
      <c r="O1466" s="8" t="str">
        <f>formatIP(Table1[[#This Row],[Address A]])</f>
        <v>010.012.001.124</v>
      </c>
      <c r="P1466" s="8" t="str">
        <f>formatIP(Table1[[#This Row],[Address B]])</f>
        <v>010.001.001.002</v>
      </c>
      <c r="Q1466" s="8" t="str">
        <f>VLOOKUP(Table1[[#This Row],[Address A]],IP_Master[],4,FALSE)</f>
        <v>KBPPLC</v>
      </c>
      <c r="R1466" s="8" t="e">
        <f>VLOOKUP(Table1[[#This Row],[Address B]],IP_Master[],4,FALSE)</f>
        <v>#N/A</v>
      </c>
      <c r="S1466" s="8" t="str">
        <f>VLOOKUP(Table1[[#This Row],[Address A]],IP_Master[],2,FALSE)</f>
        <v>Slag Fumer</v>
      </c>
      <c r="T1466" s="8" t="e">
        <f>VLOOKUP(Table1[[#This Row],[Address B]],IP_Master[],2,FALSE)</f>
        <v>#N/A</v>
      </c>
      <c r="U1466" s="9" t="str">
        <f>VLOOKUP(Table1[[#This Row],[Address A]],IP_Master[],3,FALSE)</f>
        <v>PLCs &amp; Control Equipment</v>
      </c>
      <c r="V1466" s="9" t="e">
        <f>VLOOKUP(Table1[[#This Row],[Address B]],IP_Master[],3,FALSE)</f>
        <v>#N/A</v>
      </c>
      <c r="W1466" s="9" t="str">
        <f>VLOOKUP(Table1[[#This Row],[Port B]],traffic_types[],2,FALSE)</f>
        <v>Modbus</v>
      </c>
    </row>
    <row r="1467" spans="1:23" x14ac:dyDescent="0.6">
      <c r="A1467" t="s">
        <v>174</v>
      </c>
      <c r="B1467">
        <v>3329</v>
      </c>
      <c r="C1467" t="s">
        <v>176</v>
      </c>
      <c r="D1467">
        <v>502</v>
      </c>
      <c r="E1467">
        <v>5</v>
      </c>
      <c r="F1467" s="13">
        <v>320</v>
      </c>
      <c r="G1467">
        <v>5</v>
      </c>
      <c r="H1467">
        <v>320</v>
      </c>
      <c r="I1467">
        <v>0</v>
      </c>
      <c r="J1467">
        <v>0</v>
      </c>
      <c r="K1467">
        <v>470.26521600000001</v>
      </c>
      <c r="L1467">
        <v>181.82265699999999</v>
      </c>
      <c r="M1467">
        <v>14.079653450449801</v>
      </c>
      <c r="N1467">
        <v>0</v>
      </c>
      <c r="O1467" s="8" t="str">
        <f>formatIP(Table1[[#This Row],[Address A]])</f>
        <v>010.012.001.124</v>
      </c>
      <c r="P1467" s="8" t="str">
        <f>formatIP(Table1[[#This Row],[Address B]])</f>
        <v>010.001.001.003</v>
      </c>
      <c r="Q1467" s="8" t="str">
        <f>VLOOKUP(Table1[[#This Row],[Address A]],IP_Master[],4,FALSE)</f>
        <v>KBPPLC</v>
      </c>
      <c r="R1467" s="8" t="e">
        <f>VLOOKUP(Table1[[#This Row],[Address B]],IP_Master[],4,FALSE)</f>
        <v>#N/A</v>
      </c>
      <c r="S1467" s="8" t="str">
        <f>VLOOKUP(Table1[[#This Row],[Address A]],IP_Master[],2,FALSE)</f>
        <v>Slag Fumer</v>
      </c>
      <c r="T1467" s="8" t="e">
        <f>VLOOKUP(Table1[[#This Row],[Address B]],IP_Master[],2,FALSE)</f>
        <v>#N/A</v>
      </c>
      <c r="U1467" s="9" t="str">
        <f>VLOOKUP(Table1[[#This Row],[Address A]],IP_Master[],3,FALSE)</f>
        <v>PLCs &amp; Control Equipment</v>
      </c>
      <c r="V1467" s="9" t="e">
        <f>VLOOKUP(Table1[[#This Row],[Address B]],IP_Master[],3,FALSE)</f>
        <v>#N/A</v>
      </c>
      <c r="W1467" s="9" t="str">
        <f>VLOOKUP(Table1[[#This Row],[Port B]],traffic_types[],2,FALSE)</f>
        <v>Modbus</v>
      </c>
    </row>
    <row r="1468" spans="1:23" x14ac:dyDescent="0.6">
      <c r="A1468" t="s">
        <v>174</v>
      </c>
      <c r="B1468">
        <v>3200</v>
      </c>
      <c r="C1468" t="s">
        <v>175</v>
      </c>
      <c r="D1468">
        <v>502</v>
      </c>
      <c r="E1468">
        <v>5</v>
      </c>
      <c r="F1468" s="13">
        <v>320</v>
      </c>
      <c r="G1468">
        <v>5</v>
      </c>
      <c r="H1468">
        <v>320</v>
      </c>
      <c r="I1468">
        <v>0</v>
      </c>
      <c r="J1468">
        <v>0</v>
      </c>
      <c r="K1468">
        <v>472.96535799999998</v>
      </c>
      <c r="L1468">
        <v>125.861716</v>
      </c>
      <c r="M1468">
        <v>20.339783067950499</v>
      </c>
      <c r="N1468">
        <v>0</v>
      </c>
      <c r="O1468" s="8" t="str">
        <f>formatIP(Table1[[#This Row],[Address A]])</f>
        <v>010.012.001.124</v>
      </c>
      <c r="P1468" s="8" t="str">
        <f>formatIP(Table1[[#This Row],[Address B]])</f>
        <v>010.001.001.002</v>
      </c>
      <c r="Q1468" s="8" t="str">
        <f>VLOOKUP(Table1[[#This Row],[Address A]],IP_Master[],4,FALSE)</f>
        <v>KBPPLC</v>
      </c>
      <c r="R1468" s="8" t="e">
        <f>VLOOKUP(Table1[[#This Row],[Address B]],IP_Master[],4,FALSE)</f>
        <v>#N/A</v>
      </c>
      <c r="S1468" s="8" t="str">
        <f>VLOOKUP(Table1[[#This Row],[Address A]],IP_Master[],2,FALSE)</f>
        <v>Slag Fumer</v>
      </c>
      <c r="T1468" s="8" t="e">
        <f>VLOOKUP(Table1[[#This Row],[Address B]],IP_Master[],2,FALSE)</f>
        <v>#N/A</v>
      </c>
      <c r="U1468" s="9" t="str">
        <f>VLOOKUP(Table1[[#This Row],[Address A]],IP_Master[],3,FALSE)</f>
        <v>PLCs &amp; Control Equipment</v>
      </c>
      <c r="V1468" s="9" t="e">
        <f>VLOOKUP(Table1[[#This Row],[Address B]],IP_Master[],3,FALSE)</f>
        <v>#N/A</v>
      </c>
      <c r="W1468" s="9" t="str">
        <f>VLOOKUP(Table1[[#This Row],[Port B]],traffic_types[],2,FALSE)</f>
        <v>Modbus</v>
      </c>
    </row>
    <row r="1469" spans="1:23" x14ac:dyDescent="0.6">
      <c r="A1469" t="s">
        <v>174</v>
      </c>
      <c r="B1469">
        <v>4865</v>
      </c>
      <c r="C1469" t="s">
        <v>176</v>
      </c>
      <c r="D1469">
        <v>502</v>
      </c>
      <c r="E1469">
        <v>5</v>
      </c>
      <c r="F1469" s="13">
        <v>320</v>
      </c>
      <c r="G1469">
        <v>5</v>
      </c>
      <c r="H1469">
        <v>320</v>
      </c>
      <c r="I1469">
        <v>0</v>
      </c>
      <c r="J1469">
        <v>0</v>
      </c>
      <c r="K1469">
        <v>477.25539099999997</v>
      </c>
      <c r="L1469">
        <v>34.950557000000103</v>
      </c>
      <c r="M1469">
        <v>73.246329092838096</v>
      </c>
      <c r="N1469">
        <v>0</v>
      </c>
      <c r="O1469" s="8" t="str">
        <f>formatIP(Table1[[#This Row],[Address A]])</f>
        <v>010.012.001.124</v>
      </c>
      <c r="P1469" s="8" t="str">
        <f>formatIP(Table1[[#This Row],[Address B]])</f>
        <v>010.001.001.003</v>
      </c>
      <c r="Q1469" s="8" t="str">
        <f>VLOOKUP(Table1[[#This Row],[Address A]],IP_Master[],4,FALSE)</f>
        <v>KBPPLC</v>
      </c>
      <c r="R1469" s="8" t="e">
        <f>VLOOKUP(Table1[[#This Row],[Address B]],IP_Master[],4,FALSE)</f>
        <v>#N/A</v>
      </c>
      <c r="S1469" s="8" t="str">
        <f>VLOOKUP(Table1[[#This Row],[Address A]],IP_Master[],2,FALSE)</f>
        <v>Slag Fumer</v>
      </c>
      <c r="T1469" s="8" t="e">
        <f>VLOOKUP(Table1[[#This Row],[Address B]],IP_Master[],2,FALSE)</f>
        <v>#N/A</v>
      </c>
      <c r="U1469" s="9" t="str">
        <f>VLOOKUP(Table1[[#This Row],[Address A]],IP_Master[],3,FALSE)</f>
        <v>PLCs &amp; Control Equipment</v>
      </c>
      <c r="V1469" s="9" t="e">
        <f>VLOOKUP(Table1[[#This Row],[Address B]],IP_Master[],3,FALSE)</f>
        <v>#N/A</v>
      </c>
      <c r="W1469" s="9" t="str">
        <f>VLOOKUP(Table1[[#This Row],[Port B]],traffic_types[],2,FALSE)</f>
        <v>Modbus</v>
      </c>
    </row>
    <row r="1470" spans="1:23" x14ac:dyDescent="0.6">
      <c r="A1470" t="s">
        <v>174</v>
      </c>
      <c r="B1470">
        <v>3712</v>
      </c>
      <c r="C1470" t="s">
        <v>175</v>
      </c>
      <c r="D1470">
        <v>502</v>
      </c>
      <c r="E1470">
        <v>5</v>
      </c>
      <c r="F1470" s="13">
        <v>320</v>
      </c>
      <c r="G1470">
        <v>5</v>
      </c>
      <c r="H1470">
        <v>320</v>
      </c>
      <c r="I1470">
        <v>0</v>
      </c>
      <c r="J1470">
        <v>0</v>
      </c>
      <c r="K1470">
        <v>479.95543800000002</v>
      </c>
      <c r="L1470">
        <v>160.81227999999999</v>
      </c>
      <c r="M1470">
        <v>15.919182291302601</v>
      </c>
      <c r="N1470">
        <v>0</v>
      </c>
      <c r="O1470" s="8" t="str">
        <f>formatIP(Table1[[#This Row],[Address A]])</f>
        <v>010.012.001.124</v>
      </c>
      <c r="P1470" s="8" t="str">
        <f>formatIP(Table1[[#This Row],[Address B]])</f>
        <v>010.001.001.002</v>
      </c>
      <c r="Q1470" s="8" t="str">
        <f>VLOOKUP(Table1[[#This Row],[Address A]],IP_Master[],4,FALSE)</f>
        <v>KBPPLC</v>
      </c>
      <c r="R1470" s="8" t="e">
        <f>VLOOKUP(Table1[[#This Row],[Address B]],IP_Master[],4,FALSE)</f>
        <v>#N/A</v>
      </c>
      <c r="S1470" s="8" t="str">
        <f>VLOOKUP(Table1[[#This Row],[Address A]],IP_Master[],2,FALSE)</f>
        <v>Slag Fumer</v>
      </c>
      <c r="T1470" s="8" t="e">
        <f>VLOOKUP(Table1[[#This Row],[Address B]],IP_Master[],2,FALSE)</f>
        <v>#N/A</v>
      </c>
      <c r="U1470" s="9" t="str">
        <f>VLOOKUP(Table1[[#This Row],[Address A]],IP_Master[],3,FALSE)</f>
        <v>PLCs &amp; Control Equipment</v>
      </c>
      <c r="V1470" s="9" t="e">
        <f>VLOOKUP(Table1[[#This Row],[Address B]],IP_Master[],3,FALSE)</f>
        <v>#N/A</v>
      </c>
      <c r="W1470" s="9" t="str">
        <f>VLOOKUP(Table1[[#This Row],[Port B]],traffic_types[],2,FALSE)</f>
        <v>Modbus</v>
      </c>
    </row>
    <row r="1471" spans="1:23" x14ac:dyDescent="0.6">
      <c r="A1471" t="s">
        <v>174</v>
      </c>
      <c r="B1471">
        <v>4481</v>
      </c>
      <c r="C1471" t="s">
        <v>176</v>
      </c>
      <c r="D1471">
        <v>502</v>
      </c>
      <c r="E1471">
        <v>5</v>
      </c>
      <c r="F1471" s="13">
        <v>320</v>
      </c>
      <c r="G1471">
        <v>5</v>
      </c>
      <c r="H1471">
        <v>320</v>
      </c>
      <c r="I1471">
        <v>0</v>
      </c>
      <c r="J1471">
        <v>0</v>
      </c>
      <c r="K1471">
        <v>484.246037</v>
      </c>
      <c r="L1471">
        <v>251.73300699999999</v>
      </c>
      <c r="M1471">
        <v>10.1695047086138</v>
      </c>
      <c r="N1471">
        <v>0</v>
      </c>
      <c r="O1471" s="8" t="str">
        <f>formatIP(Table1[[#This Row],[Address A]])</f>
        <v>010.012.001.124</v>
      </c>
      <c r="P1471" s="8" t="str">
        <f>formatIP(Table1[[#This Row],[Address B]])</f>
        <v>010.001.001.003</v>
      </c>
      <c r="Q1471" s="8" t="str">
        <f>VLOOKUP(Table1[[#This Row],[Address A]],IP_Master[],4,FALSE)</f>
        <v>KBPPLC</v>
      </c>
      <c r="R1471" s="8" t="e">
        <f>VLOOKUP(Table1[[#This Row],[Address B]],IP_Master[],4,FALSE)</f>
        <v>#N/A</v>
      </c>
      <c r="S1471" s="8" t="str">
        <f>VLOOKUP(Table1[[#This Row],[Address A]],IP_Master[],2,FALSE)</f>
        <v>Slag Fumer</v>
      </c>
      <c r="T1471" s="8" t="e">
        <f>VLOOKUP(Table1[[#This Row],[Address B]],IP_Master[],2,FALSE)</f>
        <v>#N/A</v>
      </c>
      <c r="U1471" s="9" t="str">
        <f>VLOOKUP(Table1[[#This Row],[Address A]],IP_Master[],3,FALSE)</f>
        <v>PLCs &amp; Control Equipment</v>
      </c>
      <c r="V1471" s="9" t="e">
        <f>VLOOKUP(Table1[[#This Row],[Address B]],IP_Master[],3,FALSE)</f>
        <v>#N/A</v>
      </c>
      <c r="W1471" s="9" t="str">
        <f>VLOOKUP(Table1[[#This Row],[Port B]],traffic_types[],2,FALSE)</f>
        <v>Modbus</v>
      </c>
    </row>
    <row r="1472" spans="1:23" x14ac:dyDescent="0.6">
      <c r="A1472" t="s">
        <v>174</v>
      </c>
      <c r="B1472">
        <v>4352</v>
      </c>
      <c r="C1472" t="s">
        <v>175</v>
      </c>
      <c r="D1472">
        <v>502</v>
      </c>
      <c r="E1472">
        <v>5</v>
      </c>
      <c r="F1472" s="13">
        <v>320</v>
      </c>
      <c r="G1472">
        <v>5</v>
      </c>
      <c r="H1472">
        <v>320</v>
      </c>
      <c r="I1472">
        <v>0</v>
      </c>
      <c r="J1472">
        <v>0</v>
      </c>
      <c r="K1472">
        <v>486.94564400000002</v>
      </c>
      <c r="L1472">
        <v>90.901878999999994</v>
      </c>
      <c r="M1472">
        <v>28.1622341381964</v>
      </c>
      <c r="N1472">
        <v>0</v>
      </c>
      <c r="O1472" s="8" t="str">
        <f>formatIP(Table1[[#This Row],[Address A]])</f>
        <v>010.012.001.124</v>
      </c>
      <c r="P1472" s="8" t="str">
        <f>formatIP(Table1[[#This Row],[Address B]])</f>
        <v>010.001.001.002</v>
      </c>
      <c r="Q1472" s="8" t="str">
        <f>VLOOKUP(Table1[[#This Row],[Address A]],IP_Master[],4,FALSE)</f>
        <v>KBPPLC</v>
      </c>
      <c r="R1472" s="8" t="e">
        <f>VLOOKUP(Table1[[#This Row],[Address B]],IP_Master[],4,FALSE)</f>
        <v>#N/A</v>
      </c>
      <c r="S1472" s="8" t="str">
        <f>VLOOKUP(Table1[[#This Row],[Address A]],IP_Master[],2,FALSE)</f>
        <v>Slag Fumer</v>
      </c>
      <c r="T1472" s="8" t="e">
        <f>VLOOKUP(Table1[[#This Row],[Address B]],IP_Master[],2,FALSE)</f>
        <v>#N/A</v>
      </c>
      <c r="U1472" s="9" t="str">
        <f>VLOOKUP(Table1[[#This Row],[Address A]],IP_Master[],3,FALSE)</f>
        <v>PLCs &amp; Control Equipment</v>
      </c>
      <c r="V1472" s="9" t="e">
        <f>VLOOKUP(Table1[[#This Row],[Address B]],IP_Master[],3,FALSE)</f>
        <v>#N/A</v>
      </c>
      <c r="W1472" s="9" t="str">
        <f>VLOOKUP(Table1[[#This Row],[Port B]],traffic_types[],2,FALSE)</f>
        <v>Modbus</v>
      </c>
    </row>
    <row r="1473" spans="1:23" x14ac:dyDescent="0.6">
      <c r="A1473" t="s">
        <v>174</v>
      </c>
      <c r="B1473">
        <v>4097</v>
      </c>
      <c r="C1473" t="s">
        <v>176</v>
      </c>
      <c r="D1473">
        <v>502</v>
      </c>
      <c r="E1473">
        <v>5</v>
      </c>
      <c r="F1473" s="13">
        <v>320</v>
      </c>
      <c r="G1473">
        <v>5</v>
      </c>
      <c r="H1473">
        <v>320</v>
      </c>
      <c r="I1473">
        <v>0</v>
      </c>
      <c r="J1473">
        <v>0</v>
      </c>
      <c r="K1473">
        <v>491.23568899999998</v>
      </c>
      <c r="L1473">
        <v>146.871937</v>
      </c>
      <c r="M1473">
        <v>17.430150730564701</v>
      </c>
      <c r="N1473">
        <v>0</v>
      </c>
      <c r="O1473" s="8" t="str">
        <f>formatIP(Table1[[#This Row],[Address A]])</f>
        <v>010.012.001.124</v>
      </c>
      <c r="P1473" s="8" t="str">
        <f>formatIP(Table1[[#This Row],[Address B]])</f>
        <v>010.001.001.003</v>
      </c>
      <c r="Q1473" s="8" t="str">
        <f>VLOOKUP(Table1[[#This Row],[Address A]],IP_Master[],4,FALSE)</f>
        <v>KBPPLC</v>
      </c>
      <c r="R1473" s="8" t="e">
        <f>VLOOKUP(Table1[[#This Row],[Address B]],IP_Master[],4,FALSE)</f>
        <v>#N/A</v>
      </c>
      <c r="S1473" s="8" t="str">
        <f>VLOOKUP(Table1[[#This Row],[Address A]],IP_Master[],2,FALSE)</f>
        <v>Slag Fumer</v>
      </c>
      <c r="T1473" s="8" t="e">
        <f>VLOOKUP(Table1[[#This Row],[Address B]],IP_Master[],2,FALSE)</f>
        <v>#N/A</v>
      </c>
      <c r="U1473" s="9" t="str">
        <f>VLOOKUP(Table1[[#This Row],[Address A]],IP_Master[],3,FALSE)</f>
        <v>PLCs &amp; Control Equipment</v>
      </c>
      <c r="V1473" s="9" t="e">
        <f>VLOOKUP(Table1[[#This Row],[Address B]],IP_Master[],3,FALSE)</f>
        <v>#N/A</v>
      </c>
      <c r="W1473" s="9" t="str">
        <f>VLOOKUP(Table1[[#This Row],[Port B]],traffic_types[],2,FALSE)</f>
        <v>Modbus</v>
      </c>
    </row>
    <row r="1474" spans="1:23" x14ac:dyDescent="0.6">
      <c r="A1474" t="s">
        <v>174</v>
      </c>
      <c r="B1474">
        <v>4864</v>
      </c>
      <c r="C1474" t="s">
        <v>175</v>
      </c>
      <c r="D1474">
        <v>502</v>
      </c>
      <c r="E1474">
        <v>5</v>
      </c>
      <c r="F1474" s="13">
        <v>320</v>
      </c>
      <c r="G1474">
        <v>5</v>
      </c>
      <c r="H1474">
        <v>320</v>
      </c>
      <c r="I1474">
        <v>0</v>
      </c>
      <c r="J1474">
        <v>0</v>
      </c>
      <c r="K1474">
        <v>493.93569200000002</v>
      </c>
      <c r="L1474">
        <v>251.703385</v>
      </c>
      <c r="M1474">
        <v>10.1707015183765</v>
      </c>
      <c r="N1474">
        <v>0</v>
      </c>
      <c r="O1474" s="8" t="str">
        <f>formatIP(Table1[[#This Row],[Address A]])</f>
        <v>010.012.001.124</v>
      </c>
      <c r="P1474" s="8" t="str">
        <f>formatIP(Table1[[#This Row],[Address B]])</f>
        <v>010.001.001.002</v>
      </c>
      <c r="Q1474" s="8" t="str">
        <f>VLOOKUP(Table1[[#This Row],[Address A]],IP_Master[],4,FALSE)</f>
        <v>KBPPLC</v>
      </c>
      <c r="R1474" s="8" t="e">
        <f>VLOOKUP(Table1[[#This Row],[Address B]],IP_Master[],4,FALSE)</f>
        <v>#N/A</v>
      </c>
      <c r="S1474" s="8" t="str">
        <f>VLOOKUP(Table1[[#This Row],[Address A]],IP_Master[],2,FALSE)</f>
        <v>Slag Fumer</v>
      </c>
      <c r="T1474" s="8" t="e">
        <f>VLOOKUP(Table1[[#This Row],[Address B]],IP_Master[],2,FALSE)</f>
        <v>#N/A</v>
      </c>
      <c r="U1474" s="9" t="str">
        <f>VLOOKUP(Table1[[#This Row],[Address A]],IP_Master[],3,FALSE)</f>
        <v>PLCs &amp; Control Equipment</v>
      </c>
      <c r="V1474" s="9" t="e">
        <f>VLOOKUP(Table1[[#This Row],[Address B]],IP_Master[],3,FALSE)</f>
        <v>#N/A</v>
      </c>
      <c r="W1474" s="9" t="str">
        <f>VLOOKUP(Table1[[#This Row],[Port B]],traffic_types[],2,FALSE)</f>
        <v>Modbus</v>
      </c>
    </row>
    <row r="1475" spans="1:23" x14ac:dyDescent="0.6">
      <c r="A1475" t="s">
        <v>174</v>
      </c>
      <c r="B1475">
        <v>3713</v>
      </c>
      <c r="C1475" t="s">
        <v>176</v>
      </c>
      <c r="D1475">
        <v>502</v>
      </c>
      <c r="E1475">
        <v>5</v>
      </c>
      <c r="F1475" s="13">
        <v>320</v>
      </c>
      <c r="G1475">
        <v>5</v>
      </c>
      <c r="H1475">
        <v>320</v>
      </c>
      <c r="I1475">
        <v>0</v>
      </c>
      <c r="J1475">
        <v>0</v>
      </c>
      <c r="K1475">
        <v>498.22564299999999</v>
      </c>
      <c r="L1475">
        <v>307.70425899999998</v>
      </c>
      <c r="M1475">
        <v>8.3196768491917403</v>
      </c>
      <c r="N1475">
        <v>0</v>
      </c>
      <c r="O1475" s="8" t="str">
        <f>formatIP(Table1[[#This Row],[Address A]])</f>
        <v>010.012.001.124</v>
      </c>
      <c r="P1475" s="8" t="str">
        <f>formatIP(Table1[[#This Row],[Address B]])</f>
        <v>010.001.001.003</v>
      </c>
      <c r="Q1475" s="8" t="str">
        <f>VLOOKUP(Table1[[#This Row],[Address A]],IP_Master[],4,FALSE)</f>
        <v>KBPPLC</v>
      </c>
      <c r="R1475" s="8" t="e">
        <f>VLOOKUP(Table1[[#This Row],[Address B]],IP_Master[],4,FALSE)</f>
        <v>#N/A</v>
      </c>
      <c r="S1475" s="8" t="str">
        <f>VLOOKUP(Table1[[#This Row],[Address A]],IP_Master[],2,FALSE)</f>
        <v>Slag Fumer</v>
      </c>
      <c r="T1475" s="8" t="e">
        <f>VLOOKUP(Table1[[#This Row],[Address B]],IP_Master[],2,FALSE)</f>
        <v>#N/A</v>
      </c>
      <c r="U1475" s="9" t="str">
        <f>VLOOKUP(Table1[[#This Row],[Address A]],IP_Master[],3,FALSE)</f>
        <v>PLCs &amp; Control Equipment</v>
      </c>
      <c r="V1475" s="9" t="e">
        <f>VLOOKUP(Table1[[#This Row],[Address B]],IP_Master[],3,FALSE)</f>
        <v>#N/A</v>
      </c>
      <c r="W1475" s="9" t="str">
        <f>VLOOKUP(Table1[[#This Row],[Port B]],traffic_types[],2,FALSE)</f>
        <v>Modbus</v>
      </c>
    </row>
    <row r="1476" spans="1:23" x14ac:dyDescent="0.6">
      <c r="A1476" t="s">
        <v>174</v>
      </c>
      <c r="B1476">
        <v>4480</v>
      </c>
      <c r="C1476" t="s">
        <v>175</v>
      </c>
      <c r="D1476">
        <v>502</v>
      </c>
      <c r="E1476">
        <v>5</v>
      </c>
      <c r="F1476" s="13">
        <v>320</v>
      </c>
      <c r="G1476">
        <v>5</v>
      </c>
      <c r="H1476">
        <v>320</v>
      </c>
      <c r="I1476">
        <v>0</v>
      </c>
      <c r="J1476">
        <v>0</v>
      </c>
      <c r="K1476">
        <v>500.93575900000002</v>
      </c>
      <c r="L1476">
        <v>160.80212</v>
      </c>
      <c r="M1476">
        <v>15.9201881169228</v>
      </c>
      <c r="N1476">
        <v>0</v>
      </c>
      <c r="O1476" s="8" t="str">
        <f>formatIP(Table1[[#This Row],[Address A]])</f>
        <v>010.012.001.124</v>
      </c>
      <c r="P1476" s="8" t="str">
        <f>formatIP(Table1[[#This Row],[Address B]])</f>
        <v>010.001.001.002</v>
      </c>
      <c r="Q1476" s="8" t="str">
        <f>VLOOKUP(Table1[[#This Row],[Address A]],IP_Master[],4,FALSE)</f>
        <v>KBPPLC</v>
      </c>
      <c r="R1476" s="8" t="e">
        <f>VLOOKUP(Table1[[#This Row],[Address B]],IP_Master[],4,FALSE)</f>
        <v>#N/A</v>
      </c>
      <c r="S1476" s="8" t="str">
        <f>VLOOKUP(Table1[[#This Row],[Address A]],IP_Master[],2,FALSE)</f>
        <v>Slag Fumer</v>
      </c>
      <c r="T1476" s="8" t="e">
        <f>VLOOKUP(Table1[[#This Row],[Address B]],IP_Master[],2,FALSE)</f>
        <v>#N/A</v>
      </c>
      <c r="U1476" s="9" t="str">
        <f>VLOOKUP(Table1[[#This Row],[Address A]],IP_Master[],3,FALSE)</f>
        <v>PLCs &amp; Control Equipment</v>
      </c>
      <c r="V1476" s="9" t="e">
        <f>VLOOKUP(Table1[[#This Row],[Address B]],IP_Master[],3,FALSE)</f>
        <v>#N/A</v>
      </c>
      <c r="W1476" s="9" t="str">
        <f>VLOOKUP(Table1[[#This Row],[Port B]],traffic_types[],2,FALSE)</f>
        <v>Modbus</v>
      </c>
    </row>
    <row r="1477" spans="1:23" x14ac:dyDescent="0.6">
      <c r="A1477" t="s">
        <v>174</v>
      </c>
      <c r="B1477">
        <v>4225</v>
      </c>
      <c r="C1477" t="s">
        <v>176</v>
      </c>
      <c r="D1477">
        <v>502</v>
      </c>
      <c r="E1477">
        <v>5</v>
      </c>
      <c r="F1477" s="13">
        <v>320</v>
      </c>
      <c r="G1477">
        <v>5</v>
      </c>
      <c r="H1477">
        <v>320</v>
      </c>
      <c r="I1477">
        <v>0</v>
      </c>
      <c r="J1477">
        <v>0</v>
      </c>
      <c r="K1477">
        <v>505.21576199999998</v>
      </c>
      <c r="L1477">
        <v>34.960510000000099</v>
      </c>
      <c r="M1477">
        <v>73.225476401802993</v>
      </c>
      <c r="N1477">
        <v>0</v>
      </c>
      <c r="O1477" s="8" t="str">
        <f>formatIP(Table1[[#This Row],[Address A]])</f>
        <v>010.012.001.124</v>
      </c>
      <c r="P1477" s="8" t="str">
        <f>formatIP(Table1[[#This Row],[Address B]])</f>
        <v>010.001.001.003</v>
      </c>
      <c r="Q1477" s="8" t="str">
        <f>VLOOKUP(Table1[[#This Row],[Address A]],IP_Master[],4,FALSE)</f>
        <v>KBPPLC</v>
      </c>
      <c r="R1477" s="8" t="e">
        <f>VLOOKUP(Table1[[#This Row],[Address B]],IP_Master[],4,FALSE)</f>
        <v>#N/A</v>
      </c>
      <c r="S1477" s="8" t="str">
        <f>VLOOKUP(Table1[[#This Row],[Address A]],IP_Master[],2,FALSE)</f>
        <v>Slag Fumer</v>
      </c>
      <c r="T1477" s="8" t="e">
        <f>VLOOKUP(Table1[[#This Row],[Address B]],IP_Master[],2,FALSE)</f>
        <v>#N/A</v>
      </c>
      <c r="U1477" s="9" t="str">
        <f>VLOOKUP(Table1[[#This Row],[Address A]],IP_Master[],3,FALSE)</f>
        <v>PLCs &amp; Control Equipment</v>
      </c>
      <c r="V1477" s="9" t="e">
        <f>VLOOKUP(Table1[[#This Row],[Address B]],IP_Master[],3,FALSE)</f>
        <v>#N/A</v>
      </c>
      <c r="W1477" s="9" t="str">
        <f>VLOOKUP(Table1[[#This Row],[Port B]],traffic_types[],2,FALSE)</f>
        <v>Modbus</v>
      </c>
    </row>
    <row r="1478" spans="1:23" x14ac:dyDescent="0.6">
      <c r="A1478" t="s">
        <v>174</v>
      </c>
      <c r="B1478">
        <v>3328</v>
      </c>
      <c r="C1478" t="s">
        <v>175</v>
      </c>
      <c r="D1478">
        <v>502</v>
      </c>
      <c r="E1478">
        <v>5</v>
      </c>
      <c r="F1478" s="13">
        <v>320</v>
      </c>
      <c r="G1478">
        <v>5</v>
      </c>
      <c r="H1478">
        <v>320</v>
      </c>
      <c r="I1478">
        <v>0</v>
      </c>
      <c r="J1478">
        <v>0</v>
      </c>
      <c r="K1478">
        <v>507.92574999999999</v>
      </c>
      <c r="L1478">
        <v>139.831999</v>
      </c>
      <c r="M1478">
        <v>18.307683636847699</v>
      </c>
      <c r="N1478">
        <v>0</v>
      </c>
      <c r="O1478" s="8" t="str">
        <f>formatIP(Table1[[#This Row],[Address A]])</f>
        <v>010.012.001.124</v>
      </c>
      <c r="P1478" s="8" t="str">
        <f>formatIP(Table1[[#This Row],[Address B]])</f>
        <v>010.001.001.002</v>
      </c>
      <c r="Q1478" s="8" t="str">
        <f>VLOOKUP(Table1[[#This Row],[Address A]],IP_Master[],4,FALSE)</f>
        <v>KBPPLC</v>
      </c>
      <c r="R1478" s="8" t="e">
        <f>VLOOKUP(Table1[[#This Row],[Address B]],IP_Master[],4,FALSE)</f>
        <v>#N/A</v>
      </c>
      <c r="S1478" s="8" t="str">
        <f>VLOOKUP(Table1[[#This Row],[Address A]],IP_Master[],2,FALSE)</f>
        <v>Slag Fumer</v>
      </c>
      <c r="T1478" s="8" t="e">
        <f>VLOOKUP(Table1[[#This Row],[Address B]],IP_Master[],2,FALSE)</f>
        <v>#N/A</v>
      </c>
      <c r="U1478" s="9" t="str">
        <f>VLOOKUP(Table1[[#This Row],[Address A]],IP_Master[],3,FALSE)</f>
        <v>PLCs &amp; Control Equipment</v>
      </c>
      <c r="V1478" s="9" t="e">
        <f>VLOOKUP(Table1[[#This Row],[Address B]],IP_Master[],3,FALSE)</f>
        <v>#N/A</v>
      </c>
      <c r="W1478" s="9" t="str">
        <f>VLOOKUP(Table1[[#This Row],[Port B]],traffic_types[],2,FALSE)</f>
        <v>Modbus</v>
      </c>
    </row>
    <row r="1479" spans="1:23" x14ac:dyDescent="0.6">
      <c r="A1479" t="s">
        <v>174</v>
      </c>
      <c r="B1479">
        <v>4865</v>
      </c>
      <c r="C1479" t="s">
        <v>176</v>
      </c>
      <c r="D1479">
        <v>502</v>
      </c>
      <c r="E1479">
        <v>5</v>
      </c>
      <c r="F1479" s="13">
        <v>320</v>
      </c>
      <c r="G1479">
        <v>5</v>
      </c>
      <c r="H1479">
        <v>320</v>
      </c>
      <c r="I1479">
        <v>0</v>
      </c>
      <c r="J1479">
        <v>0</v>
      </c>
      <c r="K1479">
        <v>512.20595100000003</v>
      </c>
      <c r="L1479">
        <v>272.743674</v>
      </c>
      <c r="M1479">
        <v>9.38610220525225</v>
      </c>
      <c r="N1479">
        <v>0</v>
      </c>
      <c r="O1479" s="8" t="str">
        <f>formatIP(Table1[[#This Row],[Address A]])</f>
        <v>010.012.001.124</v>
      </c>
      <c r="P1479" s="8" t="str">
        <f>formatIP(Table1[[#This Row],[Address B]])</f>
        <v>010.001.001.003</v>
      </c>
      <c r="Q1479" s="8" t="str">
        <f>VLOOKUP(Table1[[#This Row],[Address A]],IP_Master[],4,FALSE)</f>
        <v>KBPPLC</v>
      </c>
      <c r="R1479" s="8" t="e">
        <f>VLOOKUP(Table1[[#This Row],[Address B]],IP_Master[],4,FALSE)</f>
        <v>#N/A</v>
      </c>
      <c r="S1479" s="8" t="str">
        <f>VLOOKUP(Table1[[#This Row],[Address A]],IP_Master[],2,FALSE)</f>
        <v>Slag Fumer</v>
      </c>
      <c r="T1479" s="8" t="e">
        <f>VLOOKUP(Table1[[#This Row],[Address B]],IP_Master[],2,FALSE)</f>
        <v>#N/A</v>
      </c>
      <c r="U1479" s="9" t="str">
        <f>VLOOKUP(Table1[[#This Row],[Address A]],IP_Master[],3,FALSE)</f>
        <v>PLCs &amp; Control Equipment</v>
      </c>
      <c r="V1479" s="9" t="e">
        <f>VLOOKUP(Table1[[#This Row],[Address B]],IP_Master[],3,FALSE)</f>
        <v>#N/A</v>
      </c>
      <c r="W1479" s="9" t="str">
        <f>VLOOKUP(Table1[[#This Row],[Port B]],traffic_types[],2,FALSE)</f>
        <v>Modbus</v>
      </c>
    </row>
    <row r="1480" spans="1:23" x14ac:dyDescent="0.6">
      <c r="A1480" t="s">
        <v>174</v>
      </c>
      <c r="B1480">
        <v>3840</v>
      </c>
      <c r="C1480" t="s">
        <v>175</v>
      </c>
      <c r="D1480">
        <v>502</v>
      </c>
      <c r="E1480">
        <v>5</v>
      </c>
      <c r="F1480" s="13">
        <v>320</v>
      </c>
      <c r="G1480">
        <v>5</v>
      </c>
      <c r="H1480">
        <v>320</v>
      </c>
      <c r="I1480">
        <v>0</v>
      </c>
      <c r="J1480">
        <v>0</v>
      </c>
      <c r="K1480">
        <v>514.91587200000004</v>
      </c>
      <c r="L1480">
        <v>34.960593000000003</v>
      </c>
      <c r="M1480">
        <v>73.225302557081903</v>
      </c>
      <c r="N1480">
        <v>0</v>
      </c>
      <c r="O1480" s="8" t="str">
        <f>formatIP(Table1[[#This Row],[Address A]])</f>
        <v>010.012.001.124</v>
      </c>
      <c r="P1480" s="8" t="str">
        <f>formatIP(Table1[[#This Row],[Address B]])</f>
        <v>010.001.001.002</v>
      </c>
      <c r="Q1480" s="8" t="str">
        <f>VLOOKUP(Table1[[#This Row],[Address A]],IP_Master[],4,FALSE)</f>
        <v>KBPPLC</v>
      </c>
      <c r="R1480" s="8" t="e">
        <f>VLOOKUP(Table1[[#This Row],[Address B]],IP_Master[],4,FALSE)</f>
        <v>#N/A</v>
      </c>
      <c r="S1480" s="8" t="str">
        <f>VLOOKUP(Table1[[#This Row],[Address A]],IP_Master[],2,FALSE)</f>
        <v>Slag Fumer</v>
      </c>
      <c r="T1480" s="8" t="e">
        <f>VLOOKUP(Table1[[#This Row],[Address B]],IP_Master[],2,FALSE)</f>
        <v>#N/A</v>
      </c>
      <c r="U1480" s="9" t="str">
        <f>VLOOKUP(Table1[[#This Row],[Address A]],IP_Master[],3,FALSE)</f>
        <v>PLCs &amp; Control Equipment</v>
      </c>
      <c r="V1480" s="9" t="e">
        <f>VLOOKUP(Table1[[#This Row],[Address B]],IP_Master[],3,FALSE)</f>
        <v>#N/A</v>
      </c>
      <c r="W1480" s="9" t="str">
        <f>VLOOKUP(Table1[[#This Row],[Port B]],traffic_types[],2,FALSE)</f>
        <v>Modbus</v>
      </c>
    </row>
    <row r="1481" spans="1:23" x14ac:dyDescent="0.6">
      <c r="A1481" t="s">
        <v>174</v>
      </c>
      <c r="B1481">
        <v>3457</v>
      </c>
      <c r="C1481" t="s">
        <v>176</v>
      </c>
      <c r="D1481">
        <v>502</v>
      </c>
      <c r="E1481">
        <v>5</v>
      </c>
      <c r="F1481" s="13">
        <v>320</v>
      </c>
      <c r="G1481">
        <v>5</v>
      </c>
      <c r="H1481">
        <v>320</v>
      </c>
      <c r="I1481">
        <v>0</v>
      </c>
      <c r="J1481">
        <v>0</v>
      </c>
      <c r="K1481">
        <v>519.195921</v>
      </c>
      <c r="L1481">
        <v>146.88208900000001</v>
      </c>
      <c r="M1481">
        <v>17.428946016692301</v>
      </c>
      <c r="N1481">
        <v>0</v>
      </c>
      <c r="O1481" s="8" t="str">
        <f>formatIP(Table1[[#This Row],[Address A]])</f>
        <v>010.012.001.124</v>
      </c>
      <c r="P1481" s="8" t="str">
        <f>formatIP(Table1[[#This Row],[Address B]])</f>
        <v>010.001.001.003</v>
      </c>
      <c r="Q1481" s="8" t="str">
        <f>VLOOKUP(Table1[[#This Row],[Address A]],IP_Master[],4,FALSE)</f>
        <v>KBPPLC</v>
      </c>
      <c r="R1481" s="8" t="e">
        <f>VLOOKUP(Table1[[#This Row],[Address B]],IP_Master[],4,FALSE)</f>
        <v>#N/A</v>
      </c>
      <c r="S1481" s="8" t="str">
        <f>VLOOKUP(Table1[[#This Row],[Address A]],IP_Master[],2,FALSE)</f>
        <v>Slag Fumer</v>
      </c>
      <c r="T1481" s="8" t="e">
        <f>VLOOKUP(Table1[[#This Row],[Address B]],IP_Master[],2,FALSE)</f>
        <v>#N/A</v>
      </c>
      <c r="U1481" s="9" t="str">
        <f>VLOOKUP(Table1[[#This Row],[Address A]],IP_Master[],3,FALSE)</f>
        <v>PLCs &amp; Control Equipment</v>
      </c>
      <c r="V1481" s="9" t="e">
        <f>VLOOKUP(Table1[[#This Row],[Address B]],IP_Master[],3,FALSE)</f>
        <v>#N/A</v>
      </c>
      <c r="W1481" s="9" t="str">
        <f>VLOOKUP(Table1[[#This Row],[Port B]],traffic_types[],2,FALSE)</f>
        <v>Modbus</v>
      </c>
    </row>
    <row r="1482" spans="1:23" x14ac:dyDescent="0.6">
      <c r="A1482" t="s">
        <v>174</v>
      </c>
      <c r="B1482">
        <v>3456</v>
      </c>
      <c r="C1482" t="s">
        <v>175</v>
      </c>
      <c r="D1482">
        <v>502</v>
      </c>
      <c r="E1482">
        <v>5</v>
      </c>
      <c r="F1482" s="13">
        <v>320</v>
      </c>
      <c r="G1482">
        <v>5</v>
      </c>
      <c r="H1482">
        <v>320</v>
      </c>
      <c r="I1482">
        <v>0</v>
      </c>
      <c r="J1482">
        <v>0</v>
      </c>
      <c r="K1482">
        <v>521.906789</v>
      </c>
      <c r="L1482">
        <v>34.959724999999999</v>
      </c>
      <c r="M1482">
        <v>73.227120636675394</v>
      </c>
      <c r="N1482">
        <v>0</v>
      </c>
      <c r="O1482" s="8" t="str">
        <f>formatIP(Table1[[#This Row],[Address A]])</f>
        <v>010.012.001.124</v>
      </c>
      <c r="P1482" s="8" t="str">
        <f>formatIP(Table1[[#This Row],[Address B]])</f>
        <v>010.001.001.002</v>
      </c>
      <c r="Q1482" s="8" t="str">
        <f>VLOOKUP(Table1[[#This Row],[Address A]],IP_Master[],4,FALSE)</f>
        <v>KBPPLC</v>
      </c>
      <c r="R1482" s="8" t="e">
        <f>VLOOKUP(Table1[[#This Row],[Address B]],IP_Master[],4,FALSE)</f>
        <v>#N/A</v>
      </c>
      <c r="S1482" s="8" t="str">
        <f>VLOOKUP(Table1[[#This Row],[Address A]],IP_Master[],2,FALSE)</f>
        <v>Slag Fumer</v>
      </c>
      <c r="T1482" s="8" t="e">
        <f>VLOOKUP(Table1[[#This Row],[Address B]],IP_Master[],2,FALSE)</f>
        <v>#N/A</v>
      </c>
      <c r="U1482" s="9" t="str">
        <f>VLOOKUP(Table1[[#This Row],[Address A]],IP_Master[],3,FALSE)</f>
        <v>PLCs &amp; Control Equipment</v>
      </c>
      <c r="V1482" s="9" t="e">
        <f>VLOOKUP(Table1[[#This Row],[Address B]],IP_Master[],3,FALSE)</f>
        <v>#N/A</v>
      </c>
      <c r="W1482" s="9" t="str">
        <f>VLOOKUP(Table1[[#This Row],[Port B]],traffic_types[],2,FALSE)</f>
        <v>Modbus</v>
      </c>
    </row>
    <row r="1483" spans="1:23" x14ac:dyDescent="0.6">
      <c r="A1483" t="s">
        <v>174</v>
      </c>
      <c r="B1483">
        <v>3073</v>
      </c>
      <c r="C1483" t="s">
        <v>176</v>
      </c>
      <c r="D1483">
        <v>502</v>
      </c>
      <c r="E1483">
        <v>5</v>
      </c>
      <c r="F1483" s="13">
        <v>320</v>
      </c>
      <c r="G1483">
        <v>5</v>
      </c>
      <c r="H1483">
        <v>320</v>
      </c>
      <c r="I1483">
        <v>0</v>
      </c>
      <c r="J1483">
        <v>0</v>
      </c>
      <c r="K1483">
        <v>526.18677200000002</v>
      </c>
      <c r="L1483">
        <v>181.83179899999999</v>
      </c>
      <c r="M1483">
        <v>14.0789455644114</v>
      </c>
      <c r="N1483">
        <v>0</v>
      </c>
      <c r="O1483" s="8" t="str">
        <f>formatIP(Table1[[#This Row],[Address A]])</f>
        <v>010.012.001.124</v>
      </c>
      <c r="P1483" s="8" t="str">
        <f>formatIP(Table1[[#This Row],[Address B]])</f>
        <v>010.001.001.003</v>
      </c>
      <c r="Q1483" s="8" t="str">
        <f>VLOOKUP(Table1[[#This Row],[Address A]],IP_Master[],4,FALSE)</f>
        <v>KBPPLC</v>
      </c>
      <c r="R1483" s="8" t="e">
        <f>VLOOKUP(Table1[[#This Row],[Address B]],IP_Master[],4,FALSE)</f>
        <v>#N/A</v>
      </c>
      <c r="S1483" s="8" t="str">
        <f>VLOOKUP(Table1[[#This Row],[Address A]],IP_Master[],2,FALSE)</f>
        <v>Slag Fumer</v>
      </c>
      <c r="T1483" s="8" t="e">
        <f>VLOOKUP(Table1[[#This Row],[Address B]],IP_Master[],2,FALSE)</f>
        <v>#N/A</v>
      </c>
      <c r="U1483" s="9" t="str">
        <f>VLOOKUP(Table1[[#This Row],[Address A]],IP_Master[],3,FALSE)</f>
        <v>PLCs &amp; Control Equipment</v>
      </c>
      <c r="V1483" s="9" t="e">
        <f>VLOOKUP(Table1[[#This Row],[Address B]],IP_Master[],3,FALSE)</f>
        <v>#N/A</v>
      </c>
      <c r="W1483" s="9" t="str">
        <f>VLOOKUP(Table1[[#This Row],[Port B]],traffic_types[],2,FALSE)</f>
        <v>Modbus</v>
      </c>
    </row>
    <row r="1484" spans="1:23" x14ac:dyDescent="0.6">
      <c r="A1484" t="s">
        <v>174</v>
      </c>
      <c r="B1484">
        <v>4096</v>
      </c>
      <c r="C1484" t="s">
        <v>175</v>
      </c>
      <c r="D1484">
        <v>502</v>
      </c>
      <c r="E1484">
        <v>5</v>
      </c>
      <c r="F1484" s="13">
        <v>320</v>
      </c>
      <c r="G1484">
        <v>5</v>
      </c>
      <c r="H1484">
        <v>320</v>
      </c>
      <c r="I1484">
        <v>0</v>
      </c>
      <c r="J1484">
        <v>0</v>
      </c>
      <c r="K1484">
        <v>528.90616299999999</v>
      </c>
      <c r="L1484">
        <v>104.871371</v>
      </c>
      <c r="M1484">
        <v>24.4108566102373</v>
      </c>
      <c r="N1484">
        <v>0</v>
      </c>
      <c r="O1484" s="8" t="str">
        <f>formatIP(Table1[[#This Row],[Address A]])</f>
        <v>010.012.001.124</v>
      </c>
      <c r="P1484" s="8" t="str">
        <f>formatIP(Table1[[#This Row],[Address B]])</f>
        <v>010.001.001.002</v>
      </c>
      <c r="Q1484" s="8" t="str">
        <f>VLOOKUP(Table1[[#This Row],[Address A]],IP_Master[],4,FALSE)</f>
        <v>KBPPLC</v>
      </c>
      <c r="R1484" s="8" t="e">
        <f>VLOOKUP(Table1[[#This Row],[Address B]],IP_Master[],4,FALSE)</f>
        <v>#N/A</v>
      </c>
      <c r="S1484" s="8" t="str">
        <f>VLOOKUP(Table1[[#This Row],[Address A]],IP_Master[],2,FALSE)</f>
        <v>Slag Fumer</v>
      </c>
      <c r="T1484" s="8" t="e">
        <f>VLOOKUP(Table1[[#This Row],[Address B]],IP_Master[],2,FALSE)</f>
        <v>#N/A</v>
      </c>
      <c r="U1484" s="9" t="str">
        <f>VLOOKUP(Table1[[#This Row],[Address A]],IP_Master[],3,FALSE)</f>
        <v>PLCs &amp; Control Equipment</v>
      </c>
      <c r="V1484" s="9" t="e">
        <f>VLOOKUP(Table1[[#This Row],[Address B]],IP_Master[],3,FALSE)</f>
        <v>#N/A</v>
      </c>
      <c r="W1484" s="9" t="str">
        <f>VLOOKUP(Table1[[#This Row],[Port B]],traffic_types[],2,FALSE)</f>
        <v>Modbus</v>
      </c>
    </row>
    <row r="1485" spans="1:23" x14ac:dyDescent="0.6">
      <c r="A1485" t="s">
        <v>174</v>
      </c>
      <c r="B1485">
        <v>3841</v>
      </c>
      <c r="C1485" t="s">
        <v>176</v>
      </c>
      <c r="D1485">
        <v>502</v>
      </c>
      <c r="E1485">
        <v>5</v>
      </c>
      <c r="F1485" s="13">
        <v>320</v>
      </c>
      <c r="G1485">
        <v>5</v>
      </c>
      <c r="H1485">
        <v>320</v>
      </c>
      <c r="I1485">
        <v>0</v>
      </c>
      <c r="J1485">
        <v>0</v>
      </c>
      <c r="K1485">
        <v>533.18611699999997</v>
      </c>
      <c r="L1485">
        <v>125.892617</v>
      </c>
      <c r="M1485">
        <v>20.334790562023201</v>
      </c>
      <c r="N1485">
        <v>0</v>
      </c>
      <c r="O1485" s="8" t="str">
        <f>formatIP(Table1[[#This Row],[Address A]])</f>
        <v>010.012.001.124</v>
      </c>
      <c r="P1485" s="8" t="str">
        <f>formatIP(Table1[[#This Row],[Address B]])</f>
        <v>010.001.001.003</v>
      </c>
      <c r="Q1485" s="8" t="str">
        <f>VLOOKUP(Table1[[#This Row],[Address A]],IP_Master[],4,FALSE)</f>
        <v>KBPPLC</v>
      </c>
      <c r="R1485" s="8" t="e">
        <f>VLOOKUP(Table1[[#This Row],[Address B]],IP_Master[],4,FALSE)</f>
        <v>#N/A</v>
      </c>
      <c r="S1485" s="8" t="str">
        <f>VLOOKUP(Table1[[#This Row],[Address A]],IP_Master[],2,FALSE)</f>
        <v>Slag Fumer</v>
      </c>
      <c r="T1485" s="8" t="e">
        <f>VLOOKUP(Table1[[#This Row],[Address B]],IP_Master[],2,FALSE)</f>
        <v>#N/A</v>
      </c>
      <c r="U1485" s="9" t="str">
        <f>VLOOKUP(Table1[[#This Row],[Address A]],IP_Master[],3,FALSE)</f>
        <v>PLCs &amp; Control Equipment</v>
      </c>
      <c r="V1485" s="9" t="e">
        <f>VLOOKUP(Table1[[#This Row],[Address B]],IP_Master[],3,FALSE)</f>
        <v>#N/A</v>
      </c>
      <c r="W1485" s="9" t="str">
        <f>VLOOKUP(Table1[[#This Row],[Port B]],traffic_types[],2,FALSE)</f>
        <v>Modbus</v>
      </c>
    </row>
    <row r="1486" spans="1:23" x14ac:dyDescent="0.6">
      <c r="A1486" t="s">
        <v>174</v>
      </c>
      <c r="B1486">
        <v>4608</v>
      </c>
      <c r="C1486" t="s">
        <v>175</v>
      </c>
      <c r="D1486">
        <v>502</v>
      </c>
      <c r="E1486">
        <v>5</v>
      </c>
      <c r="F1486" s="13">
        <v>320</v>
      </c>
      <c r="G1486">
        <v>5</v>
      </c>
      <c r="H1486">
        <v>320</v>
      </c>
      <c r="I1486">
        <v>0</v>
      </c>
      <c r="J1486">
        <v>0</v>
      </c>
      <c r="K1486">
        <v>535.89630699999998</v>
      </c>
      <c r="L1486">
        <v>34.960500000000003</v>
      </c>
      <c r="M1486">
        <v>73.225497347005899</v>
      </c>
      <c r="N1486">
        <v>0</v>
      </c>
      <c r="O1486" s="8" t="str">
        <f>formatIP(Table1[[#This Row],[Address A]])</f>
        <v>010.012.001.124</v>
      </c>
      <c r="P1486" s="8" t="str">
        <f>formatIP(Table1[[#This Row],[Address B]])</f>
        <v>010.001.001.002</v>
      </c>
      <c r="Q1486" s="8" t="str">
        <f>VLOOKUP(Table1[[#This Row],[Address A]],IP_Master[],4,FALSE)</f>
        <v>KBPPLC</v>
      </c>
      <c r="R1486" s="8" t="e">
        <f>VLOOKUP(Table1[[#This Row],[Address B]],IP_Master[],4,FALSE)</f>
        <v>#N/A</v>
      </c>
      <c r="S1486" s="8" t="str">
        <f>VLOOKUP(Table1[[#This Row],[Address A]],IP_Master[],2,FALSE)</f>
        <v>Slag Fumer</v>
      </c>
      <c r="T1486" s="8" t="e">
        <f>VLOOKUP(Table1[[#This Row],[Address B]],IP_Master[],2,FALSE)</f>
        <v>#N/A</v>
      </c>
      <c r="U1486" s="9" t="str">
        <f>VLOOKUP(Table1[[#This Row],[Address A]],IP_Master[],3,FALSE)</f>
        <v>PLCs &amp; Control Equipment</v>
      </c>
      <c r="V1486" s="9" t="e">
        <f>VLOOKUP(Table1[[#This Row],[Address B]],IP_Master[],3,FALSE)</f>
        <v>#N/A</v>
      </c>
      <c r="W1486" s="9" t="str">
        <f>VLOOKUP(Table1[[#This Row],[Port B]],traffic_types[],2,FALSE)</f>
        <v>Modbus</v>
      </c>
    </row>
    <row r="1487" spans="1:23" x14ac:dyDescent="0.6">
      <c r="A1487" t="s">
        <v>174</v>
      </c>
      <c r="B1487">
        <v>4225</v>
      </c>
      <c r="C1487" t="s">
        <v>176</v>
      </c>
      <c r="D1487">
        <v>502</v>
      </c>
      <c r="E1487">
        <v>5</v>
      </c>
      <c r="F1487" s="13">
        <v>320</v>
      </c>
      <c r="G1487">
        <v>5</v>
      </c>
      <c r="H1487">
        <v>320</v>
      </c>
      <c r="I1487">
        <v>0</v>
      </c>
      <c r="J1487">
        <v>0</v>
      </c>
      <c r="K1487">
        <v>540.17627500000003</v>
      </c>
      <c r="L1487">
        <v>20.990220000000001</v>
      </c>
      <c r="M1487">
        <v>121.961561146096</v>
      </c>
      <c r="N1487">
        <v>0</v>
      </c>
      <c r="O1487" s="8" t="str">
        <f>formatIP(Table1[[#This Row],[Address A]])</f>
        <v>010.012.001.124</v>
      </c>
      <c r="P1487" s="8" t="str">
        <f>formatIP(Table1[[#This Row],[Address B]])</f>
        <v>010.001.001.003</v>
      </c>
      <c r="Q1487" s="8" t="str">
        <f>VLOOKUP(Table1[[#This Row],[Address A]],IP_Master[],4,FALSE)</f>
        <v>KBPPLC</v>
      </c>
      <c r="R1487" s="8" t="e">
        <f>VLOOKUP(Table1[[#This Row],[Address B]],IP_Master[],4,FALSE)</f>
        <v>#N/A</v>
      </c>
      <c r="S1487" s="8" t="str">
        <f>VLOOKUP(Table1[[#This Row],[Address A]],IP_Master[],2,FALSE)</f>
        <v>Slag Fumer</v>
      </c>
      <c r="T1487" s="8" t="e">
        <f>VLOOKUP(Table1[[#This Row],[Address B]],IP_Master[],2,FALSE)</f>
        <v>#N/A</v>
      </c>
      <c r="U1487" s="9" t="str">
        <f>VLOOKUP(Table1[[#This Row],[Address A]],IP_Master[],3,FALSE)</f>
        <v>PLCs &amp; Control Equipment</v>
      </c>
      <c r="V1487" s="9" t="e">
        <f>VLOOKUP(Table1[[#This Row],[Address B]],IP_Master[],3,FALSE)</f>
        <v>#N/A</v>
      </c>
      <c r="W1487" s="9" t="str">
        <f>VLOOKUP(Table1[[#This Row],[Port B]],traffic_types[],2,FALSE)</f>
        <v>Modbus</v>
      </c>
    </row>
    <row r="1488" spans="1:23" x14ac:dyDescent="0.6">
      <c r="A1488" t="s">
        <v>174</v>
      </c>
      <c r="B1488">
        <v>4224</v>
      </c>
      <c r="C1488" t="s">
        <v>175</v>
      </c>
      <c r="D1488">
        <v>502</v>
      </c>
      <c r="E1488">
        <v>5</v>
      </c>
      <c r="F1488" s="13">
        <v>320</v>
      </c>
      <c r="G1488">
        <v>5</v>
      </c>
      <c r="H1488">
        <v>320</v>
      </c>
      <c r="I1488">
        <v>0</v>
      </c>
      <c r="J1488">
        <v>0</v>
      </c>
      <c r="K1488">
        <v>542.88633200000004</v>
      </c>
      <c r="L1488">
        <v>125.84179</v>
      </c>
      <c r="M1488">
        <v>20.343003703300798</v>
      </c>
      <c r="N1488">
        <v>0</v>
      </c>
      <c r="O1488" s="8" t="str">
        <f>formatIP(Table1[[#This Row],[Address A]])</f>
        <v>010.012.001.124</v>
      </c>
      <c r="P1488" s="8" t="str">
        <f>formatIP(Table1[[#This Row],[Address B]])</f>
        <v>010.001.001.002</v>
      </c>
      <c r="Q1488" s="8" t="str">
        <f>VLOOKUP(Table1[[#This Row],[Address A]],IP_Master[],4,FALSE)</f>
        <v>KBPPLC</v>
      </c>
      <c r="R1488" s="8" t="e">
        <f>VLOOKUP(Table1[[#This Row],[Address B]],IP_Master[],4,FALSE)</f>
        <v>#N/A</v>
      </c>
      <c r="S1488" s="8" t="str">
        <f>VLOOKUP(Table1[[#This Row],[Address A]],IP_Master[],2,FALSE)</f>
        <v>Slag Fumer</v>
      </c>
      <c r="T1488" s="8" t="e">
        <f>VLOOKUP(Table1[[#This Row],[Address B]],IP_Master[],2,FALSE)</f>
        <v>#N/A</v>
      </c>
      <c r="U1488" s="9" t="str">
        <f>VLOOKUP(Table1[[#This Row],[Address A]],IP_Master[],3,FALSE)</f>
        <v>PLCs &amp; Control Equipment</v>
      </c>
      <c r="V1488" s="9" t="e">
        <f>VLOOKUP(Table1[[#This Row],[Address B]],IP_Master[],3,FALSE)</f>
        <v>#N/A</v>
      </c>
      <c r="W1488" s="9" t="str">
        <f>VLOOKUP(Table1[[#This Row],[Port B]],traffic_types[],2,FALSE)</f>
        <v>Modbus</v>
      </c>
    </row>
    <row r="1489" spans="1:23" x14ac:dyDescent="0.6">
      <c r="A1489" t="s">
        <v>174</v>
      </c>
      <c r="B1489">
        <v>3969</v>
      </c>
      <c r="C1489" t="s">
        <v>176</v>
      </c>
      <c r="D1489">
        <v>502</v>
      </c>
      <c r="E1489">
        <v>5</v>
      </c>
      <c r="F1489" s="13">
        <v>320</v>
      </c>
      <c r="G1489">
        <v>5</v>
      </c>
      <c r="H1489">
        <v>320</v>
      </c>
      <c r="I1489">
        <v>0</v>
      </c>
      <c r="J1489">
        <v>0</v>
      </c>
      <c r="K1489">
        <v>547.16704900000002</v>
      </c>
      <c r="L1489">
        <v>55.970900999999998</v>
      </c>
      <c r="M1489">
        <v>45.738052349737899</v>
      </c>
      <c r="N1489">
        <v>0</v>
      </c>
      <c r="O1489" s="8" t="str">
        <f>formatIP(Table1[[#This Row],[Address A]])</f>
        <v>010.012.001.124</v>
      </c>
      <c r="P1489" s="8" t="str">
        <f>formatIP(Table1[[#This Row],[Address B]])</f>
        <v>010.001.001.003</v>
      </c>
      <c r="Q1489" s="8" t="str">
        <f>VLOOKUP(Table1[[#This Row],[Address A]],IP_Master[],4,FALSE)</f>
        <v>KBPPLC</v>
      </c>
      <c r="R1489" s="8" t="e">
        <f>VLOOKUP(Table1[[#This Row],[Address B]],IP_Master[],4,FALSE)</f>
        <v>#N/A</v>
      </c>
      <c r="S1489" s="8" t="str">
        <f>VLOOKUP(Table1[[#This Row],[Address A]],IP_Master[],2,FALSE)</f>
        <v>Slag Fumer</v>
      </c>
      <c r="T1489" s="8" t="e">
        <f>VLOOKUP(Table1[[#This Row],[Address B]],IP_Master[],2,FALSE)</f>
        <v>#N/A</v>
      </c>
      <c r="U1489" s="9" t="str">
        <f>VLOOKUP(Table1[[#This Row],[Address A]],IP_Master[],3,FALSE)</f>
        <v>PLCs &amp; Control Equipment</v>
      </c>
      <c r="V1489" s="9" t="e">
        <f>VLOOKUP(Table1[[#This Row],[Address B]],IP_Master[],3,FALSE)</f>
        <v>#N/A</v>
      </c>
      <c r="W1489" s="9" t="str">
        <f>VLOOKUP(Table1[[#This Row],[Port B]],traffic_types[],2,FALSE)</f>
        <v>Modbus</v>
      </c>
    </row>
    <row r="1490" spans="1:23" x14ac:dyDescent="0.6">
      <c r="A1490" t="s">
        <v>174</v>
      </c>
      <c r="B1490">
        <v>3840</v>
      </c>
      <c r="C1490" t="s">
        <v>175</v>
      </c>
      <c r="D1490">
        <v>502</v>
      </c>
      <c r="E1490">
        <v>5</v>
      </c>
      <c r="F1490" s="13">
        <v>320</v>
      </c>
      <c r="G1490">
        <v>5</v>
      </c>
      <c r="H1490">
        <v>320</v>
      </c>
      <c r="I1490">
        <v>0</v>
      </c>
      <c r="J1490">
        <v>0</v>
      </c>
      <c r="K1490">
        <v>549.87646900000004</v>
      </c>
      <c r="L1490">
        <v>125.84180600000001</v>
      </c>
      <c r="M1490">
        <v>20.3430011168149</v>
      </c>
      <c r="N1490">
        <v>0</v>
      </c>
      <c r="O1490" s="8" t="str">
        <f>formatIP(Table1[[#This Row],[Address A]])</f>
        <v>010.012.001.124</v>
      </c>
      <c r="P1490" s="8" t="str">
        <f>formatIP(Table1[[#This Row],[Address B]])</f>
        <v>010.001.001.002</v>
      </c>
      <c r="Q1490" s="8" t="str">
        <f>VLOOKUP(Table1[[#This Row],[Address A]],IP_Master[],4,FALSE)</f>
        <v>KBPPLC</v>
      </c>
      <c r="R1490" s="8" t="e">
        <f>VLOOKUP(Table1[[#This Row],[Address B]],IP_Master[],4,FALSE)</f>
        <v>#N/A</v>
      </c>
      <c r="S1490" s="8" t="str">
        <f>VLOOKUP(Table1[[#This Row],[Address A]],IP_Master[],2,FALSE)</f>
        <v>Slag Fumer</v>
      </c>
      <c r="T1490" s="8" t="e">
        <f>VLOOKUP(Table1[[#This Row],[Address B]],IP_Master[],2,FALSE)</f>
        <v>#N/A</v>
      </c>
      <c r="U1490" s="9" t="str">
        <f>VLOOKUP(Table1[[#This Row],[Address A]],IP_Master[],3,FALSE)</f>
        <v>PLCs &amp; Control Equipment</v>
      </c>
      <c r="V1490" s="9" t="e">
        <f>VLOOKUP(Table1[[#This Row],[Address B]],IP_Master[],3,FALSE)</f>
        <v>#N/A</v>
      </c>
      <c r="W1490" s="9" t="str">
        <f>VLOOKUP(Table1[[#This Row],[Port B]],traffic_types[],2,FALSE)</f>
        <v>Modbus</v>
      </c>
    </row>
    <row r="1491" spans="1:23" x14ac:dyDescent="0.6">
      <c r="A1491" t="s">
        <v>174</v>
      </c>
      <c r="B1491">
        <v>4609</v>
      </c>
      <c r="C1491" t="s">
        <v>176</v>
      </c>
      <c r="D1491">
        <v>502</v>
      </c>
      <c r="E1491">
        <v>5</v>
      </c>
      <c r="F1491" s="13">
        <v>320</v>
      </c>
      <c r="G1491">
        <v>5</v>
      </c>
      <c r="H1491">
        <v>320</v>
      </c>
      <c r="I1491">
        <v>0</v>
      </c>
      <c r="J1491">
        <v>0</v>
      </c>
      <c r="K1491">
        <v>554.16726600000004</v>
      </c>
      <c r="L1491">
        <v>90.930586999999903</v>
      </c>
      <c r="M1491">
        <v>28.153342944987301</v>
      </c>
      <c r="N1491">
        <v>0</v>
      </c>
      <c r="O1491" s="8" t="str">
        <f>formatIP(Table1[[#This Row],[Address A]])</f>
        <v>010.012.001.124</v>
      </c>
      <c r="P1491" s="8" t="str">
        <f>formatIP(Table1[[#This Row],[Address B]])</f>
        <v>010.001.001.003</v>
      </c>
      <c r="Q1491" s="8" t="str">
        <f>VLOOKUP(Table1[[#This Row],[Address A]],IP_Master[],4,FALSE)</f>
        <v>KBPPLC</v>
      </c>
      <c r="R1491" s="8" t="e">
        <f>VLOOKUP(Table1[[#This Row],[Address B]],IP_Master[],4,FALSE)</f>
        <v>#N/A</v>
      </c>
      <c r="S1491" s="8" t="str">
        <f>VLOOKUP(Table1[[#This Row],[Address A]],IP_Master[],2,FALSE)</f>
        <v>Slag Fumer</v>
      </c>
      <c r="T1491" s="8" t="e">
        <f>VLOOKUP(Table1[[#This Row],[Address B]],IP_Master[],2,FALSE)</f>
        <v>#N/A</v>
      </c>
      <c r="U1491" s="9" t="str">
        <f>VLOOKUP(Table1[[#This Row],[Address A]],IP_Master[],3,FALSE)</f>
        <v>PLCs &amp; Control Equipment</v>
      </c>
      <c r="V1491" s="9" t="e">
        <f>VLOOKUP(Table1[[#This Row],[Address B]],IP_Master[],3,FALSE)</f>
        <v>#N/A</v>
      </c>
      <c r="W1491" s="9" t="str">
        <f>VLOOKUP(Table1[[#This Row],[Port B]],traffic_types[],2,FALSE)</f>
        <v>Modbus</v>
      </c>
    </row>
    <row r="1492" spans="1:23" x14ac:dyDescent="0.6">
      <c r="A1492" t="s">
        <v>174</v>
      </c>
      <c r="B1492">
        <v>3456</v>
      </c>
      <c r="C1492" t="s">
        <v>175</v>
      </c>
      <c r="D1492">
        <v>502</v>
      </c>
      <c r="E1492">
        <v>5</v>
      </c>
      <c r="F1492" s="13">
        <v>320</v>
      </c>
      <c r="G1492">
        <v>5</v>
      </c>
      <c r="H1492">
        <v>320</v>
      </c>
      <c r="I1492">
        <v>0</v>
      </c>
      <c r="J1492">
        <v>0</v>
      </c>
      <c r="K1492">
        <v>556.86653899999999</v>
      </c>
      <c r="L1492">
        <v>125.84172700000001</v>
      </c>
      <c r="M1492">
        <v>20.3430138875955</v>
      </c>
      <c r="N1492">
        <v>0</v>
      </c>
      <c r="O1492" s="8" t="str">
        <f>formatIP(Table1[[#This Row],[Address A]])</f>
        <v>010.012.001.124</v>
      </c>
      <c r="P1492" s="8" t="str">
        <f>formatIP(Table1[[#This Row],[Address B]])</f>
        <v>010.001.001.002</v>
      </c>
      <c r="Q1492" s="8" t="str">
        <f>VLOOKUP(Table1[[#This Row],[Address A]],IP_Master[],4,FALSE)</f>
        <v>KBPPLC</v>
      </c>
      <c r="R1492" s="8" t="e">
        <f>VLOOKUP(Table1[[#This Row],[Address B]],IP_Master[],4,FALSE)</f>
        <v>#N/A</v>
      </c>
      <c r="S1492" s="8" t="str">
        <f>VLOOKUP(Table1[[#This Row],[Address A]],IP_Master[],2,FALSE)</f>
        <v>Slag Fumer</v>
      </c>
      <c r="T1492" s="8" t="e">
        <f>VLOOKUP(Table1[[#This Row],[Address B]],IP_Master[],2,FALSE)</f>
        <v>#N/A</v>
      </c>
      <c r="U1492" s="9" t="str">
        <f>VLOOKUP(Table1[[#This Row],[Address A]],IP_Master[],3,FALSE)</f>
        <v>PLCs &amp; Control Equipment</v>
      </c>
      <c r="V1492" s="9" t="e">
        <f>VLOOKUP(Table1[[#This Row],[Address B]],IP_Master[],3,FALSE)</f>
        <v>#N/A</v>
      </c>
      <c r="W1492" s="9" t="str">
        <f>VLOOKUP(Table1[[#This Row],[Port B]],traffic_types[],2,FALSE)</f>
        <v>Modbus</v>
      </c>
    </row>
    <row r="1493" spans="1:23" x14ac:dyDescent="0.6">
      <c r="A1493" t="s">
        <v>174</v>
      </c>
      <c r="B1493">
        <v>4225</v>
      </c>
      <c r="C1493" t="s">
        <v>176</v>
      </c>
      <c r="D1493">
        <v>502</v>
      </c>
      <c r="E1493">
        <v>5</v>
      </c>
      <c r="F1493" s="13">
        <v>320</v>
      </c>
      <c r="G1493">
        <v>5</v>
      </c>
      <c r="H1493">
        <v>320</v>
      </c>
      <c r="I1493">
        <v>0</v>
      </c>
      <c r="J1493">
        <v>0</v>
      </c>
      <c r="K1493">
        <v>561.16649700000005</v>
      </c>
      <c r="L1493">
        <v>125.88186899999999</v>
      </c>
      <c r="M1493">
        <v>20.336526779722401</v>
      </c>
      <c r="N1493">
        <v>0</v>
      </c>
      <c r="O1493" s="8" t="str">
        <f>formatIP(Table1[[#This Row],[Address A]])</f>
        <v>010.012.001.124</v>
      </c>
      <c r="P1493" s="8" t="str">
        <f>formatIP(Table1[[#This Row],[Address B]])</f>
        <v>010.001.001.003</v>
      </c>
      <c r="Q1493" s="8" t="str">
        <f>VLOOKUP(Table1[[#This Row],[Address A]],IP_Master[],4,FALSE)</f>
        <v>KBPPLC</v>
      </c>
      <c r="R1493" s="8" t="e">
        <f>VLOOKUP(Table1[[#This Row],[Address B]],IP_Master[],4,FALSE)</f>
        <v>#N/A</v>
      </c>
      <c r="S1493" s="8" t="str">
        <f>VLOOKUP(Table1[[#This Row],[Address A]],IP_Master[],2,FALSE)</f>
        <v>Slag Fumer</v>
      </c>
      <c r="T1493" s="8" t="e">
        <f>VLOOKUP(Table1[[#This Row],[Address B]],IP_Master[],2,FALSE)</f>
        <v>#N/A</v>
      </c>
      <c r="U1493" s="9" t="str">
        <f>VLOOKUP(Table1[[#This Row],[Address A]],IP_Master[],3,FALSE)</f>
        <v>PLCs &amp; Control Equipment</v>
      </c>
      <c r="V1493" s="9" t="e">
        <f>VLOOKUP(Table1[[#This Row],[Address B]],IP_Master[],3,FALSE)</f>
        <v>#N/A</v>
      </c>
      <c r="W1493" s="9" t="str">
        <f>VLOOKUP(Table1[[#This Row],[Port B]],traffic_types[],2,FALSE)</f>
        <v>Modbus</v>
      </c>
    </row>
    <row r="1494" spans="1:23" x14ac:dyDescent="0.6">
      <c r="A1494" t="s">
        <v>174</v>
      </c>
      <c r="B1494">
        <v>3072</v>
      </c>
      <c r="C1494" t="s">
        <v>175</v>
      </c>
      <c r="D1494">
        <v>502</v>
      </c>
      <c r="E1494">
        <v>5</v>
      </c>
      <c r="F1494" s="13">
        <v>320</v>
      </c>
      <c r="G1494">
        <v>5</v>
      </c>
      <c r="H1494">
        <v>320</v>
      </c>
      <c r="I1494">
        <v>0</v>
      </c>
      <c r="J1494">
        <v>0</v>
      </c>
      <c r="K1494">
        <v>563.85729700000002</v>
      </c>
      <c r="L1494">
        <v>90.890721999999997</v>
      </c>
      <c r="M1494">
        <v>28.1656911032129</v>
      </c>
      <c r="N1494">
        <v>0</v>
      </c>
      <c r="O1494" s="8" t="str">
        <f>formatIP(Table1[[#This Row],[Address A]])</f>
        <v>010.012.001.124</v>
      </c>
      <c r="P1494" s="8" t="str">
        <f>formatIP(Table1[[#This Row],[Address B]])</f>
        <v>010.001.001.002</v>
      </c>
      <c r="Q1494" s="8" t="str">
        <f>VLOOKUP(Table1[[#This Row],[Address A]],IP_Master[],4,FALSE)</f>
        <v>KBPPLC</v>
      </c>
      <c r="R1494" s="8" t="e">
        <f>VLOOKUP(Table1[[#This Row],[Address B]],IP_Master[],4,FALSE)</f>
        <v>#N/A</v>
      </c>
      <c r="S1494" s="8" t="str">
        <f>VLOOKUP(Table1[[#This Row],[Address A]],IP_Master[],2,FALSE)</f>
        <v>Slag Fumer</v>
      </c>
      <c r="T1494" s="8" t="e">
        <f>VLOOKUP(Table1[[#This Row],[Address B]],IP_Master[],2,FALSE)</f>
        <v>#N/A</v>
      </c>
      <c r="U1494" s="9" t="str">
        <f>VLOOKUP(Table1[[#This Row],[Address A]],IP_Master[],3,FALSE)</f>
        <v>PLCs &amp; Control Equipment</v>
      </c>
      <c r="V1494" s="9" t="e">
        <f>VLOOKUP(Table1[[#This Row],[Address B]],IP_Master[],3,FALSE)</f>
        <v>#N/A</v>
      </c>
      <c r="W1494" s="9" t="str">
        <f>VLOOKUP(Table1[[#This Row],[Port B]],traffic_types[],2,FALSE)</f>
        <v>Modbus</v>
      </c>
    </row>
    <row r="1495" spans="1:23" x14ac:dyDescent="0.6">
      <c r="A1495" t="s">
        <v>174</v>
      </c>
      <c r="B1495">
        <v>4737</v>
      </c>
      <c r="C1495" t="s">
        <v>176</v>
      </c>
      <c r="D1495">
        <v>502</v>
      </c>
      <c r="E1495">
        <v>5</v>
      </c>
      <c r="F1495" s="13">
        <v>320</v>
      </c>
      <c r="G1495">
        <v>5</v>
      </c>
      <c r="H1495">
        <v>320</v>
      </c>
      <c r="I1495">
        <v>0</v>
      </c>
      <c r="J1495">
        <v>0</v>
      </c>
      <c r="K1495">
        <v>568.15743399999997</v>
      </c>
      <c r="L1495">
        <v>20.989754000000101</v>
      </c>
      <c r="M1495">
        <v>121.96426885231701</v>
      </c>
      <c r="N1495">
        <v>0</v>
      </c>
      <c r="O1495" s="8" t="str">
        <f>formatIP(Table1[[#This Row],[Address A]])</f>
        <v>010.012.001.124</v>
      </c>
      <c r="P1495" s="8" t="str">
        <f>formatIP(Table1[[#This Row],[Address B]])</f>
        <v>010.001.001.003</v>
      </c>
      <c r="Q1495" s="8" t="str">
        <f>VLOOKUP(Table1[[#This Row],[Address A]],IP_Master[],4,FALSE)</f>
        <v>KBPPLC</v>
      </c>
      <c r="R1495" s="8" t="e">
        <f>VLOOKUP(Table1[[#This Row],[Address B]],IP_Master[],4,FALSE)</f>
        <v>#N/A</v>
      </c>
      <c r="S1495" s="8" t="str">
        <f>VLOOKUP(Table1[[#This Row],[Address A]],IP_Master[],2,FALSE)</f>
        <v>Slag Fumer</v>
      </c>
      <c r="T1495" s="8" t="e">
        <f>VLOOKUP(Table1[[#This Row],[Address B]],IP_Master[],2,FALSE)</f>
        <v>#N/A</v>
      </c>
      <c r="U1495" s="9" t="str">
        <f>VLOOKUP(Table1[[#This Row],[Address A]],IP_Master[],3,FALSE)</f>
        <v>PLCs &amp; Control Equipment</v>
      </c>
      <c r="V1495" s="9" t="e">
        <f>VLOOKUP(Table1[[#This Row],[Address B]],IP_Master[],3,FALSE)</f>
        <v>#N/A</v>
      </c>
      <c r="W1495" s="9" t="str">
        <f>VLOOKUP(Table1[[#This Row],[Port B]],traffic_types[],2,FALSE)</f>
        <v>Modbus</v>
      </c>
    </row>
    <row r="1496" spans="1:23" x14ac:dyDescent="0.6">
      <c r="A1496" t="s">
        <v>174</v>
      </c>
      <c r="B1496">
        <v>4608</v>
      </c>
      <c r="C1496" t="s">
        <v>175</v>
      </c>
      <c r="D1496">
        <v>502</v>
      </c>
      <c r="E1496">
        <v>5</v>
      </c>
      <c r="F1496" s="13">
        <v>320</v>
      </c>
      <c r="G1496">
        <v>5</v>
      </c>
      <c r="H1496">
        <v>320</v>
      </c>
      <c r="I1496">
        <v>0</v>
      </c>
      <c r="J1496">
        <v>0</v>
      </c>
      <c r="K1496">
        <v>570.85681099999999</v>
      </c>
      <c r="L1496">
        <v>125.832356</v>
      </c>
      <c r="M1496">
        <v>20.344528874592498</v>
      </c>
      <c r="N1496">
        <v>0</v>
      </c>
      <c r="O1496" s="8" t="str">
        <f>formatIP(Table1[[#This Row],[Address A]])</f>
        <v>010.012.001.124</v>
      </c>
      <c r="P1496" s="8" t="str">
        <f>formatIP(Table1[[#This Row],[Address B]])</f>
        <v>010.001.001.002</v>
      </c>
      <c r="Q1496" s="8" t="str">
        <f>VLOOKUP(Table1[[#This Row],[Address A]],IP_Master[],4,FALSE)</f>
        <v>KBPPLC</v>
      </c>
      <c r="R1496" s="8" t="e">
        <f>VLOOKUP(Table1[[#This Row],[Address B]],IP_Master[],4,FALSE)</f>
        <v>#N/A</v>
      </c>
      <c r="S1496" s="8" t="str">
        <f>VLOOKUP(Table1[[#This Row],[Address A]],IP_Master[],2,FALSE)</f>
        <v>Slag Fumer</v>
      </c>
      <c r="T1496" s="8" t="e">
        <f>VLOOKUP(Table1[[#This Row],[Address B]],IP_Master[],2,FALSE)</f>
        <v>#N/A</v>
      </c>
      <c r="U1496" s="9" t="str">
        <f>VLOOKUP(Table1[[#This Row],[Address A]],IP_Master[],3,FALSE)</f>
        <v>PLCs &amp; Control Equipment</v>
      </c>
      <c r="V1496" s="9" t="e">
        <f>VLOOKUP(Table1[[#This Row],[Address B]],IP_Master[],3,FALSE)</f>
        <v>#N/A</v>
      </c>
      <c r="W1496" s="9" t="str">
        <f>VLOOKUP(Table1[[#This Row],[Port B]],traffic_types[],2,FALSE)</f>
        <v>Modbus</v>
      </c>
    </row>
    <row r="1497" spans="1:23" x14ac:dyDescent="0.6">
      <c r="A1497" t="s">
        <v>174</v>
      </c>
      <c r="B1497">
        <v>4353</v>
      </c>
      <c r="C1497" t="s">
        <v>176</v>
      </c>
      <c r="D1497">
        <v>502</v>
      </c>
      <c r="E1497">
        <v>5</v>
      </c>
      <c r="F1497" s="13">
        <v>320</v>
      </c>
      <c r="G1497">
        <v>5</v>
      </c>
      <c r="H1497">
        <v>320</v>
      </c>
      <c r="I1497">
        <v>0</v>
      </c>
      <c r="J1497">
        <v>0</v>
      </c>
      <c r="K1497">
        <v>575.15679699999998</v>
      </c>
      <c r="L1497">
        <v>20.990235999999999</v>
      </c>
      <c r="M1497">
        <v>121.961468179777</v>
      </c>
      <c r="N1497">
        <v>0</v>
      </c>
      <c r="O1497" s="8" t="str">
        <f>formatIP(Table1[[#This Row],[Address A]])</f>
        <v>010.012.001.124</v>
      </c>
      <c r="P1497" s="8" t="str">
        <f>formatIP(Table1[[#This Row],[Address B]])</f>
        <v>010.001.001.003</v>
      </c>
      <c r="Q1497" s="8" t="str">
        <f>VLOOKUP(Table1[[#This Row],[Address A]],IP_Master[],4,FALSE)</f>
        <v>KBPPLC</v>
      </c>
      <c r="R1497" s="8" t="e">
        <f>VLOOKUP(Table1[[#This Row],[Address B]],IP_Master[],4,FALSE)</f>
        <v>#N/A</v>
      </c>
      <c r="S1497" s="8" t="str">
        <f>VLOOKUP(Table1[[#This Row],[Address A]],IP_Master[],2,FALSE)</f>
        <v>Slag Fumer</v>
      </c>
      <c r="T1497" s="8" t="e">
        <f>VLOOKUP(Table1[[#This Row],[Address B]],IP_Master[],2,FALSE)</f>
        <v>#N/A</v>
      </c>
      <c r="U1497" s="9" t="str">
        <f>VLOOKUP(Table1[[#This Row],[Address A]],IP_Master[],3,FALSE)</f>
        <v>PLCs &amp; Control Equipment</v>
      </c>
      <c r="V1497" s="9" t="e">
        <f>VLOOKUP(Table1[[#This Row],[Address B]],IP_Master[],3,FALSE)</f>
        <v>#N/A</v>
      </c>
      <c r="W1497" s="9" t="str">
        <f>VLOOKUP(Table1[[#This Row],[Port B]],traffic_types[],2,FALSE)</f>
        <v>Modbus</v>
      </c>
    </row>
    <row r="1498" spans="1:23" x14ac:dyDescent="0.6">
      <c r="A1498" t="s">
        <v>174</v>
      </c>
      <c r="B1498">
        <v>4352</v>
      </c>
      <c r="C1498" t="s">
        <v>175</v>
      </c>
      <c r="D1498">
        <v>502</v>
      </c>
      <c r="E1498">
        <v>5</v>
      </c>
      <c r="F1498" s="13">
        <v>320</v>
      </c>
      <c r="G1498">
        <v>5</v>
      </c>
      <c r="H1498">
        <v>320</v>
      </c>
      <c r="I1498">
        <v>0</v>
      </c>
      <c r="J1498">
        <v>0</v>
      </c>
      <c r="K1498">
        <v>577.84752700000001</v>
      </c>
      <c r="L1498">
        <v>34.959820000000001</v>
      </c>
      <c r="M1498">
        <v>73.226921648909993</v>
      </c>
      <c r="N1498">
        <v>0</v>
      </c>
      <c r="O1498" s="8" t="str">
        <f>formatIP(Table1[[#This Row],[Address A]])</f>
        <v>010.012.001.124</v>
      </c>
      <c r="P1498" s="8" t="str">
        <f>formatIP(Table1[[#This Row],[Address B]])</f>
        <v>010.001.001.002</v>
      </c>
      <c r="Q1498" s="8" t="str">
        <f>VLOOKUP(Table1[[#This Row],[Address A]],IP_Master[],4,FALSE)</f>
        <v>KBPPLC</v>
      </c>
      <c r="R1498" s="8" t="e">
        <f>VLOOKUP(Table1[[#This Row],[Address B]],IP_Master[],4,FALSE)</f>
        <v>#N/A</v>
      </c>
      <c r="S1498" s="8" t="str">
        <f>VLOOKUP(Table1[[#This Row],[Address A]],IP_Master[],2,FALSE)</f>
        <v>Slag Fumer</v>
      </c>
      <c r="T1498" s="8" t="e">
        <f>VLOOKUP(Table1[[#This Row],[Address B]],IP_Master[],2,FALSE)</f>
        <v>#N/A</v>
      </c>
      <c r="U1498" s="9" t="str">
        <f>VLOOKUP(Table1[[#This Row],[Address A]],IP_Master[],3,FALSE)</f>
        <v>PLCs &amp; Control Equipment</v>
      </c>
      <c r="V1498" s="9" t="e">
        <f>VLOOKUP(Table1[[#This Row],[Address B]],IP_Master[],3,FALSE)</f>
        <v>#N/A</v>
      </c>
      <c r="W1498" s="9" t="str">
        <f>VLOOKUP(Table1[[#This Row],[Port B]],traffic_types[],2,FALSE)</f>
        <v>Modbus</v>
      </c>
    </row>
    <row r="1499" spans="1:23" x14ac:dyDescent="0.6">
      <c r="A1499" t="s">
        <v>174</v>
      </c>
      <c r="B1499">
        <v>3201</v>
      </c>
      <c r="C1499" t="s">
        <v>176</v>
      </c>
      <c r="D1499">
        <v>502</v>
      </c>
      <c r="E1499">
        <v>5</v>
      </c>
      <c r="F1499" s="13">
        <v>320</v>
      </c>
      <c r="G1499">
        <v>5</v>
      </c>
      <c r="H1499">
        <v>320</v>
      </c>
      <c r="I1499">
        <v>0</v>
      </c>
      <c r="J1499">
        <v>0</v>
      </c>
      <c r="K1499">
        <v>582.14763000000005</v>
      </c>
      <c r="L1499">
        <v>34.979713999999902</v>
      </c>
      <c r="M1499">
        <v>73.185275328437598</v>
      </c>
      <c r="N1499">
        <v>0</v>
      </c>
      <c r="O1499" s="8" t="str">
        <f>formatIP(Table1[[#This Row],[Address A]])</f>
        <v>010.012.001.124</v>
      </c>
      <c r="P1499" s="8" t="str">
        <f>formatIP(Table1[[#This Row],[Address B]])</f>
        <v>010.001.001.003</v>
      </c>
      <c r="Q1499" s="8" t="str">
        <f>VLOOKUP(Table1[[#This Row],[Address A]],IP_Master[],4,FALSE)</f>
        <v>KBPPLC</v>
      </c>
      <c r="R1499" s="8" t="e">
        <f>VLOOKUP(Table1[[#This Row],[Address B]],IP_Master[],4,FALSE)</f>
        <v>#N/A</v>
      </c>
      <c r="S1499" s="8" t="str">
        <f>VLOOKUP(Table1[[#This Row],[Address A]],IP_Master[],2,FALSE)</f>
        <v>Slag Fumer</v>
      </c>
      <c r="T1499" s="8" t="e">
        <f>VLOOKUP(Table1[[#This Row],[Address B]],IP_Master[],2,FALSE)</f>
        <v>#N/A</v>
      </c>
      <c r="U1499" s="9" t="str">
        <f>VLOOKUP(Table1[[#This Row],[Address A]],IP_Master[],3,FALSE)</f>
        <v>PLCs &amp; Control Equipment</v>
      </c>
      <c r="V1499" s="9" t="e">
        <f>VLOOKUP(Table1[[#This Row],[Address B]],IP_Master[],3,FALSE)</f>
        <v>#N/A</v>
      </c>
      <c r="W1499" s="9" t="str">
        <f>VLOOKUP(Table1[[#This Row],[Port B]],traffic_types[],2,FALSE)</f>
        <v>Modbus</v>
      </c>
    </row>
    <row r="1500" spans="1:23" x14ac:dyDescent="0.6">
      <c r="A1500" t="s">
        <v>174</v>
      </c>
      <c r="B1500">
        <v>3968</v>
      </c>
      <c r="C1500" t="s">
        <v>175</v>
      </c>
      <c r="D1500">
        <v>502</v>
      </c>
      <c r="E1500">
        <v>5</v>
      </c>
      <c r="F1500" s="13">
        <v>320</v>
      </c>
      <c r="G1500">
        <v>5</v>
      </c>
      <c r="H1500">
        <v>320</v>
      </c>
      <c r="I1500">
        <v>0</v>
      </c>
      <c r="J1500">
        <v>0</v>
      </c>
      <c r="K1500">
        <v>584.84687399999996</v>
      </c>
      <c r="L1500">
        <v>34.950483000000098</v>
      </c>
      <c r="M1500">
        <v>73.2464841759124</v>
      </c>
      <c r="N1500">
        <v>0</v>
      </c>
      <c r="O1500" s="8" t="str">
        <f>formatIP(Table1[[#This Row],[Address A]])</f>
        <v>010.012.001.124</v>
      </c>
      <c r="P1500" s="8" t="str">
        <f>formatIP(Table1[[#This Row],[Address B]])</f>
        <v>010.001.001.002</v>
      </c>
      <c r="Q1500" s="8" t="str">
        <f>VLOOKUP(Table1[[#This Row],[Address A]],IP_Master[],4,FALSE)</f>
        <v>KBPPLC</v>
      </c>
      <c r="R1500" s="8" t="e">
        <f>VLOOKUP(Table1[[#This Row],[Address B]],IP_Master[],4,FALSE)</f>
        <v>#N/A</v>
      </c>
      <c r="S1500" s="8" t="str">
        <f>VLOOKUP(Table1[[#This Row],[Address A]],IP_Master[],2,FALSE)</f>
        <v>Slag Fumer</v>
      </c>
      <c r="T1500" s="8" t="e">
        <f>VLOOKUP(Table1[[#This Row],[Address B]],IP_Master[],2,FALSE)</f>
        <v>#N/A</v>
      </c>
      <c r="U1500" s="9" t="str">
        <f>VLOOKUP(Table1[[#This Row],[Address A]],IP_Master[],3,FALSE)</f>
        <v>PLCs &amp; Control Equipment</v>
      </c>
      <c r="V1500" s="9" t="e">
        <f>VLOOKUP(Table1[[#This Row],[Address B]],IP_Master[],3,FALSE)</f>
        <v>#N/A</v>
      </c>
      <c r="W1500" s="9" t="str">
        <f>VLOOKUP(Table1[[#This Row],[Port B]],traffic_types[],2,FALSE)</f>
        <v>Modbus</v>
      </c>
    </row>
    <row r="1501" spans="1:23" x14ac:dyDescent="0.6">
      <c r="A1501" t="s">
        <v>174</v>
      </c>
      <c r="B1501">
        <v>4737</v>
      </c>
      <c r="C1501" t="s">
        <v>176</v>
      </c>
      <c r="D1501">
        <v>502</v>
      </c>
      <c r="E1501">
        <v>5</v>
      </c>
      <c r="F1501" s="13">
        <v>320</v>
      </c>
      <c r="G1501">
        <v>5</v>
      </c>
      <c r="H1501">
        <v>320</v>
      </c>
      <c r="I1501">
        <v>0</v>
      </c>
      <c r="J1501">
        <v>0</v>
      </c>
      <c r="K1501">
        <v>589.14752599999997</v>
      </c>
      <c r="L1501">
        <v>34.970508000000002</v>
      </c>
      <c r="M1501">
        <v>73.204541380983102</v>
      </c>
      <c r="N1501">
        <v>0</v>
      </c>
      <c r="O1501" s="8" t="str">
        <f>formatIP(Table1[[#This Row],[Address A]])</f>
        <v>010.012.001.124</v>
      </c>
      <c r="P1501" s="8" t="str">
        <f>formatIP(Table1[[#This Row],[Address B]])</f>
        <v>010.001.001.003</v>
      </c>
      <c r="Q1501" s="8" t="str">
        <f>VLOOKUP(Table1[[#This Row],[Address A]],IP_Master[],4,FALSE)</f>
        <v>KBPPLC</v>
      </c>
      <c r="R1501" s="8" t="e">
        <f>VLOOKUP(Table1[[#This Row],[Address B]],IP_Master[],4,FALSE)</f>
        <v>#N/A</v>
      </c>
      <c r="S1501" s="8" t="str">
        <f>VLOOKUP(Table1[[#This Row],[Address A]],IP_Master[],2,FALSE)</f>
        <v>Slag Fumer</v>
      </c>
      <c r="T1501" s="8" t="e">
        <f>VLOOKUP(Table1[[#This Row],[Address B]],IP_Master[],2,FALSE)</f>
        <v>#N/A</v>
      </c>
      <c r="U1501" s="9" t="str">
        <f>VLOOKUP(Table1[[#This Row],[Address A]],IP_Master[],3,FALSE)</f>
        <v>PLCs &amp; Control Equipment</v>
      </c>
      <c r="V1501" s="9" t="e">
        <f>VLOOKUP(Table1[[#This Row],[Address B]],IP_Master[],3,FALSE)</f>
        <v>#N/A</v>
      </c>
      <c r="W1501" s="9" t="str">
        <f>VLOOKUP(Table1[[#This Row],[Port B]],traffic_types[],2,FALSE)</f>
        <v>Modbus</v>
      </c>
    </row>
    <row r="1502" spans="1:23" x14ac:dyDescent="0.6">
      <c r="A1502" t="s">
        <v>174</v>
      </c>
      <c r="B1502">
        <v>3584</v>
      </c>
      <c r="C1502" t="s">
        <v>175</v>
      </c>
      <c r="D1502">
        <v>502</v>
      </c>
      <c r="E1502">
        <v>5</v>
      </c>
      <c r="F1502" s="13">
        <v>320</v>
      </c>
      <c r="G1502">
        <v>5</v>
      </c>
      <c r="H1502">
        <v>320</v>
      </c>
      <c r="I1502">
        <v>0</v>
      </c>
      <c r="J1502">
        <v>0</v>
      </c>
      <c r="K1502">
        <v>591.836907</v>
      </c>
      <c r="L1502">
        <v>34.950563000000002</v>
      </c>
      <c r="M1502">
        <v>73.246316518563702</v>
      </c>
      <c r="N1502">
        <v>0</v>
      </c>
      <c r="O1502" s="8" t="str">
        <f>formatIP(Table1[[#This Row],[Address A]])</f>
        <v>010.012.001.124</v>
      </c>
      <c r="P1502" s="8" t="str">
        <f>formatIP(Table1[[#This Row],[Address B]])</f>
        <v>010.001.001.002</v>
      </c>
      <c r="Q1502" s="8" t="str">
        <f>VLOOKUP(Table1[[#This Row],[Address A]],IP_Master[],4,FALSE)</f>
        <v>KBPPLC</v>
      </c>
      <c r="R1502" s="8" t="e">
        <f>VLOOKUP(Table1[[#This Row],[Address B]],IP_Master[],4,FALSE)</f>
        <v>#N/A</v>
      </c>
      <c r="S1502" s="8" t="str">
        <f>VLOOKUP(Table1[[#This Row],[Address A]],IP_Master[],2,FALSE)</f>
        <v>Slag Fumer</v>
      </c>
      <c r="T1502" s="8" t="e">
        <f>VLOOKUP(Table1[[#This Row],[Address B]],IP_Master[],2,FALSE)</f>
        <v>#N/A</v>
      </c>
      <c r="U1502" s="9" t="str">
        <f>VLOOKUP(Table1[[#This Row],[Address A]],IP_Master[],3,FALSE)</f>
        <v>PLCs &amp; Control Equipment</v>
      </c>
      <c r="V1502" s="9" t="e">
        <f>VLOOKUP(Table1[[#This Row],[Address B]],IP_Master[],3,FALSE)</f>
        <v>#N/A</v>
      </c>
      <c r="W1502" s="9" t="str">
        <f>VLOOKUP(Table1[[#This Row],[Port B]],traffic_types[],2,FALSE)</f>
        <v>Modbus</v>
      </c>
    </row>
    <row r="1503" spans="1:23" x14ac:dyDescent="0.6">
      <c r="A1503" t="s">
        <v>174</v>
      </c>
      <c r="B1503">
        <v>4353</v>
      </c>
      <c r="C1503" t="s">
        <v>176</v>
      </c>
      <c r="D1503">
        <v>502</v>
      </c>
      <c r="E1503">
        <v>5</v>
      </c>
      <c r="F1503" s="13">
        <v>320</v>
      </c>
      <c r="G1503">
        <v>5</v>
      </c>
      <c r="H1503">
        <v>320</v>
      </c>
      <c r="I1503">
        <v>0</v>
      </c>
      <c r="J1503">
        <v>0</v>
      </c>
      <c r="K1503">
        <v>596.14703499999996</v>
      </c>
      <c r="L1503">
        <v>34.970486999999999</v>
      </c>
      <c r="M1503">
        <v>73.204585340776006</v>
      </c>
      <c r="N1503">
        <v>0</v>
      </c>
      <c r="O1503" s="8" t="str">
        <f>formatIP(Table1[[#This Row],[Address A]])</f>
        <v>010.012.001.124</v>
      </c>
      <c r="P1503" s="8" t="str">
        <f>formatIP(Table1[[#This Row],[Address B]])</f>
        <v>010.001.001.003</v>
      </c>
      <c r="Q1503" s="8" t="str">
        <f>VLOOKUP(Table1[[#This Row],[Address A]],IP_Master[],4,FALSE)</f>
        <v>KBPPLC</v>
      </c>
      <c r="R1503" s="8" t="e">
        <f>VLOOKUP(Table1[[#This Row],[Address B]],IP_Master[],4,FALSE)</f>
        <v>#N/A</v>
      </c>
      <c r="S1503" s="8" t="str">
        <f>VLOOKUP(Table1[[#This Row],[Address A]],IP_Master[],2,FALSE)</f>
        <v>Slag Fumer</v>
      </c>
      <c r="T1503" s="8" t="e">
        <f>VLOOKUP(Table1[[#This Row],[Address B]],IP_Master[],2,FALSE)</f>
        <v>#N/A</v>
      </c>
      <c r="U1503" s="9" t="str">
        <f>VLOOKUP(Table1[[#This Row],[Address A]],IP_Master[],3,FALSE)</f>
        <v>PLCs &amp; Control Equipment</v>
      </c>
      <c r="V1503" s="9" t="e">
        <f>VLOOKUP(Table1[[#This Row],[Address B]],IP_Master[],3,FALSE)</f>
        <v>#N/A</v>
      </c>
      <c r="W1503" s="9" t="str">
        <f>VLOOKUP(Table1[[#This Row],[Port B]],traffic_types[],2,FALSE)</f>
        <v>Modbus</v>
      </c>
    </row>
    <row r="1504" spans="1:23" x14ac:dyDescent="0.6">
      <c r="A1504" t="s">
        <v>174</v>
      </c>
      <c r="B1504">
        <v>3200</v>
      </c>
      <c r="C1504" t="s">
        <v>175</v>
      </c>
      <c r="D1504">
        <v>502</v>
      </c>
      <c r="E1504">
        <v>4</v>
      </c>
      <c r="F1504" s="13">
        <v>256</v>
      </c>
      <c r="G1504">
        <v>4</v>
      </c>
      <c r="H1504">
        <v>256</v>
      </c>
      <c r="I1504">
        <v>0</v>
      </c>
      <c r="J1504">
        <v>0</v>
      </c>
      <c r="K1504">
        <v>598.82707500000004</v>
      </c>
      <c r="L1504">
        <v>4.49982999999997</v>
      </c>
      <c r="M1504">
        <v>455.12830484707501</v>
      </c>
      <c r="N1504">
        <v>0</v>
      </c>
      <c r="O1504" s="8" t="str">
        <f>formatIP(Table1[[#This Row],[Address A]])</f>
        <v>010.012.001.124</v>
      </c>
      <c r="P1504" s="8" t="str">
        <f>formatIP(Table1[[#This Row],[Address B]])</f>
        <v>010.001.001.002</v>
      </c>
      <c r="Q1504" s="8" t="str">
        <f>VLOOKUP(Table1[[#This Row],[Address A]],IP_Master[],4,FALSE)</f>
        <v>KBPPLC</v>
      </c>
      <c r="R1504" s="8" t="e">
        <f>VLOOKUP(Table1[[#This Row],[Address B]],IP_Master[],4,FALSE)</f>
        <v>#N/A</v>
      </c>
      <c r="S1504" s="8" t="str">
        <f>VLOOKUP(Table1[[#This Row],[Address A]],IP_Master[],2,FALSE)</f>
        <v>Slag Fumer</v>
      </c>
      <c r="T1504" s="8" t="e">
        <f>VLOOKUP(Table1[[#This Row],[Address B]],IP_Master[],2,FALSE)</f>
        <v>#N/A</v>
      </c>
      <c r="U1504" s="9" t="str">
        <f>VLOOKUP(Table1[[#This Row],[Address A]],IP_Master[],3,FALSE)</f>
        <v>PLCs &amp; Control Equipment</v>
      </c>
      <c r="V1504" s="9" t="e">
        <f>VLOOKUP(Table1[[#This Row],[Address B]],IP_Master[],3,FALSE)</f>
        <v>#N/A</v>
      </c>
      <c r="W1504" s="9" t="str">
        <f>VLOOKUP(Table1[[#This Row],[Port B]],traffic_types[],2,FALSE)</f>
        <v>Modbus</v>
      </c>
    </row>
    <row r="1505" spans="1:23" x14ac:dyDescent="0.6">
      <c r="A1505" t="s">
        <v>174</v>
      </c>
      <c r="B1505">
        <v>3969</v>
      </c>
      <c r="C1505" t="s">
        <v>176</v>
      </c>
      <c r="D1505">
        <v>502</v>
      </c>
      <c r="E1505">
        <v>5</v>
      </c>
      <c r="F1505" s="13">
        <v>320</v>
      </c>
      <c r="G1505">
        <v>5</v>
      </c>
      <c r="H1505">
        <v>320</v>
      </c>
      <c r="I1505">
        <v>0</v>
      </c>
      <c r="J1505">
        <v>0</v>
      </c>
      <c r="K1505">
        <v>603.13795500000003</v>
      </c>
      <c r="L1505">
        <v>125.850921</v>
      </c>
      <c r="M1505">
        <v>20.341527735025501</v>
      </c>
      <c r="N1505">
        <v>0</v>
      </c>
      <c r="O1505" s="8" t="str">
        <f>formatIP(Table1[[#This Row],[Address A]])</f>
        <v>010.012.001.124</v>
      </c>
      <c r="P1505" s="8" t="str">
        <f>formatIP(Table1[[#This Row],[Address B]])</f>
        <v>010.001.001.003</v>
      </c>
      <c r="Q1505" s="8" t="str">
        <f>VLOOKUP(Table1[[#This Row],[Address A]],IP_Master[],4,FALSE)</f>
        <v>KBPPLC</v>
      </c>
      <c r="R1505" s="8" t="e">
        <f>VLOOKUP(Table1[[#This Row],[Address B]],IP_Master[],4,FALSE)</f>
        <v>#N/A</v>
      </c>
      <c r="S1505" s="8" t="str">
        <f>VLOOKUP(Table1[[#This Row],[Address A]],IP_Master[],2,FALSE)</f>
        <v>Slag Fumer</v>
      </c>
      <c r="T1505" s="8" t="e">
        <f>VLOOKUP(Table1[[#This Row],[Address B]],IP_Master[],2,FALSE)</f>
        <v>#N/A</v>
      </c>
      <c r="U1505" s="9" t="str">
        <f>VLOOKUP(Table1[[#This Row],[Address A]],IP_Master[],3,FALSE)</f>
        <v>PLCs &amp; Control Equipment</v>
      </c>
      <c r="V1505" s="9" t="e">
        <f>VLOOKUP(Table1[[#This Row],[Address B]],IP_Master[],3,FALSE)</f>
        <v>#N/A</v>
      </c>
      <c r="W1505" s="9" t="str">
        <f>VLOOKUP(Table1[[#This Row],[Port B]],traffic_types[],2,FALSE)</f>
        <v>Modbus</v>
      </c>
    </row>
    <row r="1506" spans="1:23" x14ac:dyDescent="0.6">
      <c r="A1506" t="s">
        <v>174</v>
      </c>
      <c r="B1506">
        <v>4736</v>
      </c>
      <c r="C1506" t="s">
        <v>175</v>
      </c>
      <c r="D1506">
        <v>502</v>
      </c>
      <c r="E1506">
        <v>4</v>
      </c>
      <c r="F1506" s="13">
        <v>256</v>
      </c>
      <c r="G1506">
        <v>4</v>
      </c>
      <c r="H1506">
        <v>256</v>
      </c>
      <c r="I1506">
        <v>0</v>
      </c>
      <c r="J1506">
        <v>0</v>
      </c>
      <c r="K1506">
        <v>605.81724699999995</v>
      </c>
      <c r="L1506">
        <v>4.4993610000000199</v>
      </c>
      <c r="M1506">
        <v>455.17574606705</v>
      </c>
      <c r="N1506">
        <v>0</v>
      </c>
      <c r="O1506" s="8" t="str">
        <f>formatIP(Table1[[#This Row],[Address A]])</f>
        <v>010.012.001.124</v>
      </c>
      <c r="P1506" s="8" t="str">
        <f>formatIP(Table1[[#This Row],[Address B]])</f>
        <v>010.001.001.002</v>
      </c>
      <c r="Q1506" s="8" t="str">
        <f>VLOOKUP(Table1[[#This Row],[Address A]],IP_Master[],4,FALSE)</f>
        <v>KBPPLC</v>
      </c>
      <c r="R1506" s="8" t="e">
        <f>VLOOKUP(Table1[[#This Row],[Address B]],IP_Master[],4,FALSE)</f>
        <v>#N/A</v>
      </c>
      <c r="S1506" s="8" t="str">
        <f>VLOOKUP(Table1[[#This Row],[Address A]],IP_Master[],2,FALSE)</f>
        <v>Slag Fumer</v>
      </c>
      <c r="T1506" s="8" t="e">
        <f>VLOOKUP(Table1[[#This Row],[Address B]],IP_Master[],2,FALSE)</f>
        <v>#N/A</v>
      </c>
      <c r="U1506" s="9" t="str">
        <f>VLOOKUP(Table1[[#This Row],[Address A]],IP_Master[],3,FALSE)</f>
        <v>PLCs &amp; Control Equipment</v>
      </c>
      <c r="V1506" s="9" t="e">
        <f>VLOOKUP(Table1[[#This Row],[Address B]],IP_Master[],3,FALSE)</f>
        <v>#N/A</v>
      </c>
      <c r="W1506" s="9" t="str">
        <f>VLOOKUP(Table1[[#This Row],[Port B]],traffic_types[],2,FALSE)</f>
        <v>Modbus</v>
      </c>
    </row>
    <row r="1507" spans="1:23" x14ac:dyDescent="0.6">
      <c r="A1507" t="s">
        <v>174</v>
      </c>
      <c r="B1507">
        <v>3585</v>
      </c>
      <c r="C1507" t="s">
        <v>176</v>
      </c>
      <c r="D1507">
        <v>502</v>
      </c>
      <c r="E1507">
        <v>5</v>
      </c>
      <c r="F1507" s="13">
        <v>320</v>
      </c>
      <c r="G1507">
        <v>5</v>
      </c>
      <c r="H1507">
        <v>320</v>
      </c>
      <c r="I1507">
        <v>0</v>
      </c>
      <c r="J1507">
        <v>0</v>
      </c>
      <c r="K1507">
        <v>610.13719600000002</v>
      </c>
      <c r="L1507">
        <v>160.823151</v>
      </c>
      <c r="M1507">
        <v>15.9181062184262</v>
      </c>
      <c r="N1507">
        <v>0</v>
      </c>
      <c r="O1507" s="8" t="str">
        <f>formatIP(Table1[[#This Row],[Address A]])</f>
        <v>010.012.001.124</v>
      </c>
      <c r="P1507" s="8" t="str">
        <f>formatIP(Table1[[#This Row],[Address B]])</f>
        <v>010.001.001.003</v>
      </c>
      <c r="Q1507" s="8" t="str">
        <f>VLOOKUP(Table1[[#This Row],[Address A]],IP_Master[],4,FALSE)</f>
        <v>KBPPLC</v>
      </c>
      <c r="R1507" s="8" t="e">
        <f>VLOOKUP(Table1[[#This Row],[Address B]],IP_Master[],4,FALSE)</f>
        <v>#N/A</v>
      </c>
      <c r="S1507" s="8" t="str">
        <f>VLOOKUP(Table1[[#This Row],[Address A]],IP_Master[],2,FALSE)</f>
        <v>Slag Fumer</v>
      </c>
      <c r="T1507" s="8" t="e">
        <f>VLOOKUP(Table1[[#This Row],[Address B]],IP_Master[],2,FALSE)</f>
        <v>#N/A</v>
      </c>
      <c r="U1507" s="9" t="str">
        <f>VLOOKUP(Table1[[#This Row],[Address A]],IP_Master[],3,FALSE)</f>
        <v>PLCs &amp; Control Equipment</v>
      </c>
      <c r="V1507" s="9" t="e">
        <f>VLOOKUP(Table1[[#This Row],[Address B]],IP_Master[],3,FALSE)</f>
        <v>#N/A</v>
      </c>
      <c r="W1507" s="9" t="str">
        <f>VLOOKUP(Table1[[#This Row],[Port B]],traffic_types[],2,FALSE)</f>
        <v>Modbus</v>
      </c>
    </row>
    <row r="1508" spans="1:23" x14ac:dyDescent="0.6">
      <c r="A1508" t="s">
        <v>174</v>
      </c>
      <c r="B1508">
        <v>4352</v>
      </c>
      <c r="C1508" t="s">
        <v>175</v>
      </c>
      <c r="D1508">
        <v>502</v>
      </c>
      <c r="E1508">
        <v>5</v>
      </c>
      <c r="F1508" s="13">
        <v>320</v>
      </c>
      <c r="G1508">
        <v>5</v>
      </c>
      <c r="H1508">
        <v>320</v>
      </c>
      <c r="I1508">
        <v>0</v>
      </c>
      <c r="J1508">
        <v>0</v>
      </c>
      <c r="K1508">
        <v>612.80734900000004</v>
      </c>
      <c r="L1508">
        <v>125.841688</v>
      </c>
      <c r="M1508">
        <v>20.343020192164001</v>
      </c>
      <c r="N1508">
        <v>0</v>
      </c>
      <c r="O1508" s="8" t="str">
        <f>formatIP(Table1[[#This Row],[Address A]])</f>
        <v>010.012.001.124</v>
      </c>
      <c r="P1508" s="8" t="str">
        <f>formatIP(Table1[[#This Row],[Address B]])</f>
        <v>010.001.001.002</v>
      </c>
      <c r="Q1508" s="8" t="str">
        <f>VLOOKUP(Table1[[#This Row],[Address A]],IP_Master[],4,FALSE)</f>
        <v>KBPPLC</v>
      </c>
      <c r="R1508" s="8" t="e">
        <f>VLOOKUP(Table1[[#This Row],[Address B]],IP_Master[],4,FALSE)</f>
        <v>#N/A</v>
      </c>
      <c r="S1508" s="8" t="str">
        <f>VLOOKUP(Table1[[#This Row],[Address A]],IP_Master[],2,FALSE)</f>
        <v>Slag Fumer</v>
      </c>
      <c r="T1508" s="8" t="e">
        <f>VLOOKUP(Table1[[#This Row],[Address B]],IP_Master[],2,FALSE)</f>
        <v>#N/A</v>
      </c>
      <c r="U1508" s="9" t="str">
        <f>VLOOKUP(Table1[[#This Row],[Address A]],IP_Master[],3,FALSE)</f>
        <v>PLCs &amp; Control Equipment</v>
      </c>
      <c r="V1508" s="9" t="e">
        <f>VLOOKUP(Table1[[#This Row],[Address B]],IP_Master[],3,FALSE)</f>
        <v>#N/A</v>
      </c>
      <c r="W1508" s="9" t="str">
        <f>VLOOKUP(Table1[[#This Row],[Port B]],traffic_types[],2,FALSE)</f>
        <v>Modbus</v>
      </c>
    </row>
    <row r="1509" spans="1:23" x14ac:dyDescent="0.6">
      <c r="A1509" t="s">
        <v>174</v>
      </c>
      <c r="B1509">
        <v>3201</v>
      </c>
      <c r="C1509" t="s">
        <v>176</v>
      </c>
      <c r="D1509">
        <v>502</v>
      </c>
      <c r="E1509">
        <v>5</v>
      </c>
      <c r="F1509" s="13">
        <v>320</v>
      </c>
      <c r="G1509">
        <v>5</v>
      </c>
      <c r="H1509">
        <v>320</v>
      </c>
      <c r="I1509">
        <v>0</v>
      </c>
      <c r="J1509">
        <v>0</v>
      </c>
      <c r="K1509">
        <v>617.12734699999999</v>
      </c>
      <c r="L1509">
        <v>125.84245</v>
      </c>
      <c r="M1509">
        <v>20.3428970113026</v>
      </c>
      <c r="N1509">
        <v>0</v>
      </c>
      <c r="O1509" s="8" t="str">
        <f>formatIP(Table1[[#This Row],[Address A]])</f>
        <v>010.012.001.124</v>
      </c>
      <c r="P1509" s="8" t="str">
        <f>formatIP(Table1[[#This Row],[Address B]])</f>
        <v>010.001.001.003</v>
      </c>
      <c r="Q1509" s="8" t="str">
        <f>VLOOKUP(Table1[[#This Row],[Address A]],IP_Master[],4,FALSE)</f>
        <v>KBPPLC</v>
      </c>
      <c r="R1509" s="8" t="e">
        <f>VLOOKUP(Table1[[#This Row],[Address B]],IP_Master[],4,FALSE)</f>
        <v>#N/A</v>
      </c>
      <c r="S1509" s="8" t="str">
        <f>VLOOKUP(Table1[[#This Row],[Address A]],IP_Master[],2,FALSE)</f>
        <v>Slag Fumer</v>
      </c>
      <c r="T1509" s="8" t="e">
        <f>VLOOKUP(Table1[[#This Row],[Address B]],IP_Master[],2,FALSE)</f>
        <v>#N/A</v>
      </c>
      <c r="U1509" s="9" t="str">
        <f>VLOOKUP(Table1[[#This Row],[Address A]],IP_Master[],3,FALSE)</f>
        <v>PLCs &amp; Control Equipment</v>
      </c>
      <c r="V1509" s="9" t="e">
        <f>VLOOKUP(Table1[[#This Row],[Address B]],IP_Master[],3,FALSE)</f>
        <v>#N/A</v>
      </c>
      <c r="W1509" s="9" t="str">
        <f>VLOOKUP(Table1[[#This Row],[Port B]],traffic_types[],2,FALSE)</f>
        <v>Modbus</v>
      </c>
    </row>
    <row r="1510" spans="1:23" x14ac:dyDescent="0.6">
      <c r="A1510" t="s">
        <v>174</v>
      </c>
      <c r="B1510">
        <v>3968</v>
      </c>
      <c r="C1510" t="s">
        <v>175</v>
      </c>
      <c r="D1510">
        <v>502</v>
      </c>
      <c r="E1510">
        <v>5</v>
      </c>
      <c r="F1510" s="13">
        <v>320</v>
      </c>
      <c r="G1510">
        <v>5</v>
      </c>
      <c r="H1510">
        <v>320</v>
      </c>
      <c r="I1510">
        <v>0</v>
      </c>
      <c r="J1510">
        <v>0</v>
      </c>
      <c r="K1510">
        <v>619.79736200000002</v>
      </c>
      <c r="L1510">
        <v>104.861588</v>
      </c>
      <c r="M1510">
        <v>24.413134006706098</v>
      </c>
      <c r="N1510">
        <v>0</v>
      </c>
      <c r="O1510" s="8" t="str">
        <f>formatIP(Table1[[#This Row],[Address A]])</f>
        <v>010.012.001.124</v>
      </c>
      <c r="P1510" s="8" t="str">
        <f>formatIP(Table1[[#This Row],[Address B]])</f>
        <v>010.001.001.002</v>
      </c>
      <c r="Q1510" s="8" t="str">
        <f>VLOOKUP(Table1[[#This Row],[Address A]],IP_Master[],4,FALSE)</f>
        <v>KBPPLC</v>
      </c>
      <c r="R1510" s="8" t="e">
        <f>VLOOKUP(Table1[[#This Row],[Address B]],IP_Master[],4,FALSE)</f>
        <v>#N/A</v>
      </c>
      <c r="S1510" s="8" t="str">
        <f>VLOOKUP(Table1[[#This Row],[Address A]],IP_Master[],2,FALSE)</f>
        <v>Slag Fumer</v>
      </c>
      <c r="T1510" s="8" t="e">
        <f>VLOOKUP(Table1[[#This Row],[Address B]],IP_Master[],2,FALSE)</f>
        <v>#N/A</v>
      </c>
      <c r="U1510" s="9" t="str">
        <f>VLOOKUP(Table1[[#This Row],[Address A]],IP_Master[],3,FALSE)</f>
        <v>PLCs &amp; Control Equipment</v>
      </c>
      <c r="V1510" s="9" t="e">
        <f>VLOOKUP(Table1[[#This Row],[Address B]],IP_Master[],3,FALSE)</f>
        <v>#N/A</v>
      </c>
      <c r="W1510" s="9" t="str">
        <f>VLOOKUP(Table1[[#This Row],[Port B]],traffic_types[],2,FALSE)</f>
        <v>Modbus</v>
      </c>
    </row>
    <row r="1511" spans="1:23" x14ac:dyDescent="0.6">
      <c r="A1511" t="s">
        <v>174</v>
      </c>
      <c r="B1511">
        <v>4737</v>
      </c>
      <c r="C1511" t="s">
        <v>176</v>
      </c>
      <c r="D1511">
        <v>502</v>
      </c>
      <c r="E1511">
        <v>5</v>
      </c>
      <c r="F1511" s="13">
        <v>320</v>
      </c>
      <c r="G1511">
        <v>5</v>
      </c>
      <c r="H1511">
        <v>320</v>
      </c>
      <c r="I1511">
        <v>0</v>
      </c>
      <c r="J1511">
        <v>0</v>
      </c>
      <c r="K1511">
        <v>624.11803699999996</v>
      </c>
      <c r="L1511">
        <v>90.890743999999998</v>
      </c>
      <c r="M1511">
        <v>28.1656842857398</v>
      </c>
      <c r="N1511">
        <v>0</v>
      </c>
      <c r="O1511" s="8" t="str">
        <f>formatIP(Table1[[#This Row],[Address A]])</f>
        <v>010.012.001.124</v>
      </c>
      <c r="P1511" s="8" t="str">
        <f>formatIP(Table1[[#This Row],[Address B]])</f>
        <v>010.001.001.003</v>
      </c>
      <c r="Q1511" s="8" t="str">
        <f>VLOOKUP(Table1[[#This Row],[Address A]],IP_Master[],4,FALSE)</f>
        <v>KBPPLC</v>
      </c>
      <c r="R1511" s="8" t="e">
        <f>VLOOKUP(Table1[[#This Row],[Address B]],IP_Master[],4,FALSE)</f>
        <v>#N/A</v>
      </c>
      <c r="S1511" s="8" t="str">
        <f>VLOOKUP(Table1[[#This Row],[Address A]],IP_Master[],2,FALSE)</f>
        <v>Slag Fumer</v>
      </c>
      <c r="T1511" s="8" t="e">
        <f>VLOOKUP(Table1[[#This Row],[Address B]],IP_Master[],2,FALSE)</f>
        <v>#N/A</v>
      </c>
      <c r="U1511" s="9" t="str">
        <f>VLOOKUP(Table1[[#This Row],[Address A]],IP_Master[],3,FALSE)</f>
        <v>PLCs &amp; Control Equipment</v>
      </c>
      <c r="V1511" s="9" t="e">
        <f>VLOOKUP(Table1[[#This Row],[Address B]],IP_Master[],3,FALSE)</f>
        <v>#N/A</v>
      </c>
      <c r="W1511" s="9" t="str">
        <f>VLOOKUP(Table1[[#This Row],[Port B]],traffic_types[],2,FALSE)</f>
        <v>Modbus</v>
      </c>
    </row>
    <row r="1512" spans="1:23" x14ac:dyDescent="0.6">
      <c r="A1512" t="s">
        <v>174</v>
      </c>
      <c r="B1512">
        <v>3584</v>
      </c>
      <c r="C1512" t="s">
        <v>175</v>
      </c>
      <c r="D1512">
        <v>502</v>
      </c>
      <c r="E1512">
        <v>5</v>
      </c>
      <c r="F1512" s="13">
        <v>320</v>
      </c>
      <c r="G1512">
        <v>5</v>
      </c>
      <c r="H1512">
        <v>320</v>
      </c>
      <c r="I1512">
        <v>0</v>
      </c>
      <c r="J1512">
        <v>0</v>
      </c>
      <c r="K1512">
        <v>626.78747299999998</v>
      </c>
      <c r="L1512">
        <v>195.75348199999999</v>
      </c>
      <c r="M1512">
        <v>13.0776728661205</v>
      </c>
      <c r="N1512">
        <v>0</v>
      </c>
      <c r="O1512" s="8" t="str">
        <f>formatIP(Table1[[#This Row],[Address A]])</f>
        <v>010.012.001.124</v>
      </c>
      <c r="P1512" s="8" t="str">
        <f>formatIP(Table1[[#This Row],[Address B]])</f>
        <v>010.001.001.002</v>
      </c>
      <c r="Q1512" s="8" t="str">
        <f>VLOOKUP(Table1[[#This Row],[Address A]],IP_Master[],4,FALSE)</f>
        <v>KBPPLC</v>
      </c>
      <c r="R1512" s="8" t="e">
        <f>VLOOKUP(Table1[[#This Row],[Address B]],IP_Master[],4,FALSE)</f>
        <v>#N/A</v>
      </c>
      <c r="S1512" s="8" t="str">
        <f>VLOOKUP(Table1[[#This Row],[Address A]],IP_Master[],2,FALSE)</f>
        <v>Slag Fumer</v>
      </c>
      <c r="T1512" s="8" t="e">
        <f>VLOOKUP(Table1[[#This Row],[Address B]],IP_Master[],2,FALSE)</f>
        <v>#N/A</v>
      </c>
      <c r="U1512" s="9" t="str">
        <f>VLOOKUP(Table1[[#This Row],[Address A]],IP_Master[],3,FALSE)</f>
        <v>PLCs &amp; Control Equipment</v>
      </c>
      <c r="V1512" s="9" t="e">
        <f>VLOOKUP(Table1[[#This Row],[Address B]],IP_Master[],3,FALSE)</f>
        <v>#N/A</v>
      </c>
      <c r="W1512" s="9" t="str">
        <f>VLOOKUP(Table1[[#This Row],[Port B]],traffic_types[],2,FALSE)</f>
        <v>Modbus</v>
      </c>
    </row>
    <row r="1513" spans="1:23" x14ac:dyDescent="0.6">
      <c r="A1513" t="s">
        <v>174</v>
      </c>
      <c r="B1513">
        <v>4353</v>
      </c>
      <c r="C1513" t="s">
        <v>176</v>
      </c>
      <c r="D1513">
        <v>502</v>
      </c>
      <c r="E1513">
        <v>5</v>
      </c>
      <c r="F1513" s="13">
        <v>320</v>
      </c>
      <c r="G1513">
        <v>5</v>
      </c>
      <c r="H1513">
        <v>320</v>
      </c>
      <c r="I1513">
        <v>0</v>
      </c>
      <c r="J1513">
        <v>0</v>
      </c>
      <c r="K1513">
        <v>631.11753099999999</v>
      </c>
      <c r="L1513">
        <v>90.881310999999997</v>
      </c>
      <c r="M1513">
        <v>28.168607734983102</v>
      </c>
      <c r="N1513">
        <v>0</v>
      </c>
      <c r="O1513" s="8" t="str">
        <f>formatIP(Table1[[#This Row],[Address A]])</f>
        <v>010.012.001.124</v>
      </c>
      <c r="P1513" s="8" t="str">
        <f>formatIP(Table1[[#This Row],[Address B]])</f>
        <v>010.001.001.003</v>
      </c>
      <c r="Q1513" s="8" t="str">
        <f>VLOOKUP(Table1[[#This Row],[Address A]],IP_Master[],4,FALSE)</f>
        <v>KBPPLC</v>
      </c>
      <c r="R1513" s="8" t="e">
        <f>VLOOKUP(Table1[[#This Row],[Address B]],IP_Master[],4,FALSE)</f>
        <v>#N/A</v>
      </c>
      <c r="S1513" s="8" t="str">
        <f>VLOOKUP(Table1[[#This Row],[Address A]],IP_Master[],2,FALSE)</f>
        <v>Slag Fumer</v>
      </c>
      <c r="T1513" s="8" t="e">
        <f>VLOOKUP(Table1[[#This Row],[Address B]],IP_Master[],2,FALSE)</f>
        <v>#N/A</v>
      </c>
      <c r="U1513" s="9" t="str">
        <f>VLOOKUP(Table1[[#This Row],[Address A]],IP_Master[],3,FALSE)</f>
        <v>PLCs &amp; Control Equipment</v>
      </c>
      <c r="V1513" s="9" t="e">
        <f>VLOOKUP(Table1[[#This Row],[Address B]],IP_Master[],3,FALSE)</f>
        <v>#N/A</v>
      </c>
      <c r="W1513" s="9" t="str">
        <f>VLOOKUP(Table1[[#This Row],[Port B]],traffic_types[],2,FALSE)</f>
        <v>Modbus</v>
      </c>
    </row>
    <row r="1514" spans="1:23" x14ac:dyDescent="0.6">
      <c r="A1514" t="s">
        <v>174</v>
      </c>
      <c r="B1514">
        <v>4096</v>
      </c>
      <c r="C1514" t="s">
        <v>175</v>
      </c>
      <c r="D1514">
        <v>502</v>
      </c>
      <c r="E1514">
        <v>5</v>
      </c>
      <c r="F1514" s="13">
        <v>320</v>
      </c>
      <c r="G1514">
        <v>5</v>
      </c>
      <c r="H1514">
        <v>320</v>
      </c>
      <c r="I1514">
        <v>0</v>
      </c>
      <c r="J1514">
        <v>0</v>
      </c>
      <c r="K1514">
        <v>633.77753700000005</v>
      </c>
      <c r="L1514">
        <v>125.842021</v>
      </c>
      <c r="M1514">
        <v>20.342966360974099</v>
      </c>
      <c r="N1514">
        <v>0</v>
      </c>
      <c r="O1514" s="8" t="str">
        <f>formatIP(Table1[[#This Row],[Address A]])</f>
        <v>010.012.001.124</v>
      </c>
      <c r="P1514" s="8" t="str">
        <f>formatIP(Table1[[#This Row],[Address B]])</f>
        <v>010.001.001.002</v>
      </c>
      <c r="Q1514" s="8" t="str">
        <f>VLOOKUP(Table1[[#This Row],[Address A]],IP_Master[],4,FALSE)</f>
        <v>KBPPLC</v>
      </c>
      <c r="R1514" s="8" t="e">
        <f>VLOOKUP(Table1[[#This Row],[Address B]],IP_Master[],4,FALSE)</f>
        <v>#N/A</v>
      </c>
      <c r="S1514" s="8" t="str">
        <f>VLOOKUP(Table1[[#This Row],[Address A]],IP_Master[],2,FALSE)</f>
        <v>Slag Fumer</v>
      </c>
      <c r="T1514" s="8" t="e">
        <f>VLOOKUP(Table1[[#This Row],[Address B]],IP_Master[],2,FALSE)</f>
        <v>#N/A</v>
      </c>
      <c r="U1514" s="9" t="str">
        <f>VLOOKUP(Table1[[#This Row],[Address A]],IP_Master[],3,FALSE)</f>
        <v>PLCs &amp; Control Equipment</v>
      </c>
      <c r="V1514" s="9" t="e">
        <f>VLOOKUP(Table1[[#This Row],[Address B]],IP_Master[],3,FALSE)</f>
        <v>#N/A</v>
      </c>
      <c r="W1514" s="9" t="str">
        <f>VLOOKUP(Table1[[#This Row],[Port B]],traffic_types[],2,FALSE)</f>
        <v>Modbus</v>
      </c>
    </row>
    <row r="1515" spans="1:23" x14ac:dyDescent="0.6">
      <c r="A1515" t="s">
        <v>174</v>
      </c>
      <c r="B1515">
        <v>4097</v>
      </c>
      <c r="C1515" t="s">
        <v>176</v>
      </c>
      <c r="D1515">
        <v>502</v>
      </c>
      <c r="E1515">
        <v>5</v>
      </c>
      <c r="F1515" s="13">
        <v>320</v>
      </c>
      <c r="G1515">
        <v>5</v>
      </c>
      <c r="H1515">
        <v>320</v>
      </c>
      <c r="I1515">
        <v>0</v>
      </c>
      <c r="J1515">
        <v>0</v>
      </c>
      <c r="K1515">
        <v>638.10762699999998</v>
      </c>
      <c r="L1515">
        <v>34.960492000000002</v>
      </c>
      <c r="M1515">
        <v>73.225514103176707</v>
      </c>
      <c r="N1515">
        <v>0</v>
      </c>
      <c r="O1515" s="8" t="str">
        <f>formatIP(Table1[[#This Row],[Address A]])</f>
        <v>010.012.001.124</v>
      </c>
      <c r="P1515" s="8" t="str">
        <f>formatIP(Table1[[#This Row],[Address B]])</f>
        <v>010.001.001.003</v>
      </c>
      <c r="Q1515" s="8" t="str">
        <f>VLOOKUP(Table1[[#This Row],[Address A]],IP_Master[],4,FALSE)</f>
        <v>KBPPLC</v>
      </c>
      <c r="R1515" s="8" t="e">
        <f>VLOOKUP(Table1[[#This Row],[Address B]],IP_Master[],4,FALSE)</f>
        <v>#N/A</v>
      </c>
      <c r="S1515" s="8" t="str">
        <f>VLOOKUP(Table1[[#This Row],[Address A]],IP_Master[],2,FALSE)</f>
        <v>Slag Fumer</v>
      </c>
      <c r="T1515" s="8" t="e">
        <f>VLOOKUP(Table1[[#This Row],[Address B]],IP_Master[],2,FALSE)</f>
        <v>#N/A</v>
      </c>
      <c r="U1515" s="9" t="str">
        <f>VLOOKUP(Table1[[#This Row],[Address A]],IP_Master[],3,FALSE)</f>
        <v>PLCs &amp; Control Equipment</v>
      </c>
      <c r="V1515" s="9" t="e">
        <f>VLOOKUP(Table1[[#This Row],[Address B]],IP_Master[],3,FALSE)</f>
        <v>#N/A</v>
      </c>
      <c r="W1515" s="9" t="str">
        <f>VLOOKUP(Table1[[#This Row],[Port B]],traffic_types[],2,FALSE)</f>
        <v>Modbus</v>
      </c>
    </row>
    <row r="1516" spans="1:23" x14ac:dyDescent="0.6">
      <c r="A1516" t="s">
        <v>174</v>
      </c>
      <c r="B1516">
        <v>3712</v>
      </c>
      <c r="C1516" t="s">
        <v>175</v>
      </c>
      <c r="D1516">
        <v>502</v>
      </c>
      <c r="E1516">
        <v>5</v>
      </c>
      <c r="F1516" s="13">
        <v>320</v>
      </c>
      <c r="G1516">
        <v>5</v>
      </c>
      <c r="H1516">
        <v>320</v>
      </c>
      <c r="I1516">
        <v>0</v>
      </c>
      <c r="J1516">
        <v>0</v>
      </c>
      <c r="K1516">
        <v>640.76772100000005</v>
      </c>
      <c r="L1516">
        <v>90.881981999999994</v>
      </c>
      <c r="M1516">
        <v>28.1683997604718</v>
      </c>
      <c r="N1516">
        <v>0</v>
      </c>
      <c r="O1516" s="8" t="str">
        <f>formatIP(Table1[[#This Row],[Address A]])</f>
        <v>010.012.001.124</v>
      </c>
      <c r="P1516" s="8" t="str">
        <f>formatIP(Table1[[#This Row],[Address B]])</f>
        <v>010.001.001.002</v>
      </c>
      <c r="Q1516" s="8" t="str">
        <f>VLOOKUP(Table1[[#This Row],[Address A]],IP_Master[],4,FALSE)</f>
        <v>KBPPLC</v>
      </c>
      <c r="R1516" s="8" t="e">
        <f>VLOOKUP(Table1[[#This Row],[Address B]],IP_Master[],4,FALSE)</f>
        <v>#N/A</v>
      </c>
      <c r="S1516" s="8" t="str">
        <f>VLOOKUP(Table1[[#This Row],[Address A]],IP_Master[],2,FALSE)</f>
        <v>Slag Fumer</v>
      </c>
      <c r="T1516" s="8" t="e">
        <f>VLOOKUP(Table1[[#This Row],[Address B]],IP_Master[],2,FALSE)</f>
        <v>#N/A</v>
      </c>
      <c r="U1516" s="9" t="str">
        <f>VLOOKUP(Table1[[#This Row],[Address A]],IP_Master[],3,FALSE)</f>
        <v>PLCs &amp; Control Equipment</v>
      </c>
      <c r="V1516" s="9" t="e">
        <f>VLOOKUP(Table1[[#This Row],[Address B]],IP_Master[],3,FALSE)</f>
        <v>#N/A</v>
      </c>
      <c r="W1516" s="9" t="str">
        <f>VLOOKUP(Table1[[#This Row],[Port B]],traffic_types[],2,FALSE)</f>
        <v>Modbus</v>
      </c>
    </row>
    <row r="1517" spans="1:23" x14ac:dyDescent="0.6">
      <c r="A1517" t="s">
        <v>174</v>
      </c>
      <c r="B1517">
        <v>4609</v>
      </c>
      <c r="C1517" t="s">
        <v>176</v>
      </c>
      <c r="D1517">
        <v>502</v>
      </c>
      <c r="E1517">
        <v>5</v>
      </c>
      <c r="F1517" s="13">
        <v>320</v>
      </c>
      <c r="G1517">
        <v>5</v>
      </c>
      <c r="H1517">
        <v>320</v>
      </c>
      <c r="I1517">
        <v>0</v>
      </c>
      <c r="J1517">
        <v>0</v>
      </c>
      <c r="K1517">
        <v>645.09785499999998</v>
      </c>
      <c r="L1517">
        <v>34.960420999999997</v>
      </c>
      <c r="M1517">
        <v>73.225662814529599</v>
      </c>
      <c r="N1517">
        <v>0</v>
      </c>
      <c r="O1517" s="8" t="str">
        <f>formatIP(Table1[[#This Row],[Address A]])</f>
        <v>010.012.001.124</v>
      </c>
      <c r="P1517" s="8" t="str">
        <f>formatIP(Table1[[#This Row],[Address B]])</f>
        <v>010.001.001.003</v>
      </c>
      <c r="Q1517" s="8" t="str">
        <f>VLOOKUP(Table1[[#This Row],[Address A]],IP_Master[],4,FALSE)</f>
        <v>KBPPLC</v>
      </c>
      <c r="R1517" s="8" t="e">
        <f>VLOOKUP(Table1[[#This Row],[Address B]],IP_Master[],4,FALSE)</f>
        <v>#N/A</v>
      </c>
      <c r="S1517" s="8" t="str">
        <f>VLOOKUP(Table1[[#This Row],[Address A]],IP_Master[],2,FALSE)</f>
        <v>Slag Fumer</v>
      </c>
      <c r="T1517" s="8" t="e">
        <f>VLOOKUP(Table1[[#This Row],[Address B]],IP_Master[],2,FALSE)</f>
        <v>#N/A</v>
      </c>
      <c r="U1517" s="9" t="str">
        <f>VLOOKUP(Table1[[#This Row],[Address A]],IP_Master[],3,FALSE)</f>
        <v>PLCs &amp; Control Equipment</v>
      </c>
      <c r="V1517" s="9" t="e">
        <f>VLOOKUP(Table1[[#This Row],[Address B]],IP_Master[],3,FALSE)</f>
        <v>#N/A</v>
      </c>
      <c r="W1517" s="9" t="str">
        <f>VLOOKUP(Table1[[#This Row],[Port B]],traffic_types[],2,FALSE)</f>
        <v>Modbus</v>
      </c>
    </row>
    <row r="1518" spans="1:23" x14ac:dyDescent="0.6">
      <c r="A1518" t="s">
        <v>174</v>
      </c>
      <c r="B1518">
        <v>3328</v>
      </c>
      <c r="C1518" t="s">
        <v>175</v>
      </c>
      <c r="D1518">
        <v>502</v>
      </c>
      <c r="E1518">
        <v>5</v>
      </c>
      <c r="F1518" s="13">
        <v>320</v>
      </c>
      <c r="G1518">
        <v>5</v>
      </c>
      <c r="H1518">
        <v>320</v>
      </c>
      <c r="I1518">
        <v>0</v>
      </c>
      <c r="J1518">
        <v>0</v>
      </c>
      <c r="K1518">
        <v>647.75775199999998</v>
      </c>
      <c r="L1518">
        <v>125.84183</v>
      </c>
      <c r="M1518">
        <v>20.3429972370872</v>
      </c>
      <c r="N1518">
        <v>0</v>
      </c>
      <c r="O1518" s="8" t="str">
        <f>formatIP(Table1[[#This Row],[Address A]])</f>
        <v>010.012.001.124</v>
      </c>
      <c r="P1518" s="8" t="str">
        <f>formatIP(Table1[[#This Row],[Address B]])</f>
        <v>010.001.001.002</v>
      </c>
      <c r="Q1518" s="8" t="str">
        <f>VLOOKUP(Table1[[#This Row],[Address A]],IP_Master[],4,FALSE)</f>
        <v>KBPPLC</v>
      </c>
      <c r="R1518" s="8" t="e">
        <f>VLOOKUP(Table1[[#This Row],[Address B]],IP_Master[],4,FALSE)</f>
        <v>#N/A</v>
      </c>
      <c r="S1518" s="8" t="str">
        <f>VLOOKUP(Table1[[#This Row],[Address A]],IP_Master[],2,FALSE)</f>
        <v>Slag Fumer</v>
      </c>
      <c r="T1518" s="8" t="e">
        <f>VLOOKUP(Table1[[#This Row],[Address B]],IP_Master[],2,FALSE)</f>
        <v>#N/A</v>
      </c>
      <c r="U1518" s="9" t="str">
        <f>VLOOKUP(Table1[[#This Row],[Address A]],IP_Master[],3,FALSE)</f>
        <v>PLCs &amp; Control Equipment</v>
      </c>
      <c r="V1518" s="9" t="e">
        <f>VLOOKUP(Table1[[#This Row],[Address B]],IP_Master[],3,FALSE)</f>
        <v>#N/A</v>
      </c>
      <c r="W1518" s="9" t="str">
        <f>VLOOKUP(Table1[[#This Row],[Port B]],traffic_types[],2,FALSE)</f>
        <v>Modbus</v>
      </c>
    </row>
    <row r="1519" spans="1:23" x14ac:dyDescent="0.6">
      <c r="A1519" t="s">
        <v>174</v>
      </c>
      <c r="B1519">
        <v>3329</v>
      </c>
      <c r="C1519" t="s">
        <v>176</v>
      </c>
      <c r="D1519">
        <v>502</v>
      </c>
      <c r="E1519">
        <v>5</v>
      </c>
      <c r="F1519" s="13">
        <v>320</v>
      </c>
      <c r="G1519">
        <v>5</v>
      </c>
      <c r="H1519">
        <v>320</v>
      </c>
      <c r="I1519">
        <v>0</v>
      </c>
      <c r="J1519">
        <v>0</v>
      </c>
      <c r="K1519">
        <v>652.08787600000005</v>
      </c>
      <c r="L1519">
        <v>125.871696</v>
      </c>
      <c r="M1519">
        <v>20.338170385818898</v>
      </c>
      <c r="N1519">
        <v>0</v>
      </c>
      <c r="O1519" s="8" t="str">
        <f>formatIP(Table1[[#This Row],[Address A]])</f>
        <v>010.012.001.124</v>
      </c>
      <c r="P1519" s="8" t="str">
        <f>formatIP(Table1[[#This Row],[Address B]])</f>
        <v>010.001.001.003</v>
      </c>
      <c r="Q1519" s="8" t="str">
        <f>VLOOKUP(Table1[[#This Row],[Address A]],IP_Master[],4,FALSE)</f>
        <v>KBPPLC</v>
      </c>
      <c r="R1519" s="8" t="e">
        <f>VLOOKUP(Table1[[#This Row],[Address B]],IP_Master[],4,FALSE)</f>
        <v>#N/A</v>
      </c>
      <c r="S1519" s="8" t="str">
        <f>VLOOKUP(Table1[[#This Row],[Address A]],IP_Master[],2,FALSE)</f>
        <v>Slag Fumer</v>
      </c>
      <c r="T1519" s="8" t="e">
        <f>VLOOKUP(Table1[[#This Row],[Address B]],IP_Master[],2,FALSE)</f>
        <v>#N/A</v>
      </c>
      <c r="U1519" s="9" t="str">
        <f>VLOOKUP(Table1[[#This Row],[Address A]],IP_Master[],3,FALSE)</f>
        <v>PLCs &amp; Control Equipment</v>
      </c>
      <c r="V1519" s="9" t="e">
        <f>VLOOKUP(Table1[[#This Row],[Address B]],IP_Master[],3,FALSE)</f>
        <v>#N/A</v>
      </c>
      <c r="W1519" s="9" t="str">
        <f>VLOOKUP(Table1[[#This Row],[Port B]],traffic_types[],2,FALSE)</f>
        <v>Modbus</v>
      </c>
    </row>
    <row r="1520" spans="1:23" x14ac:dyDescent="0.6">
      <c r="A1520" t="s">
        <v>174</v>
      </c>
      <c r="B1520">
        <v>3072</v>
      </c>
      <c r="C1520" t="s">
        <v>175</v>
      </c>
      <c r="D1520">
        <v>502</v>
      </c>
      <c r="E1520">
        <v>5</v>
      </c>
      <c r="F1520" s="13">
        <v>320</v>
      </c>
      <c r="G1520">
        <v>5</v>
      </c>
      <c r="H1520">
        <v>320</v>
      </c>
      <c r="I1520">
        <v>0</v>
      </c>
      <c r="J1520">
        <v>0</v>
      </c>
      <c r="K1520">
        <v>654.74802299999999</v>
      </c>
      <c r="L1520">
        <v>34.950274999999998</v>
      </c>
      <c r="M1520">
        <v>73.246920088611503</v>
      </c>
      <c r="N1520">
        <v>0</v>
      </c>
      <c r="O1520" s="8" t="str">
        <f>formatIP(Table1[[#This Row],[Address A]])</f>
        <v>010.012.001.124</v>
      </c>
      <c r="P1520" s="8" t="str">
        <f>formatIP(Table1[[#This Row],[Address B]])</f>
        <v>010.001.001.002</v>
      </c>
      <c r="Q1520" s="8" t="str">
        <f>VLOOKUP(Table1[[#This Row],[Address A]],IP_Master[],4,FALSE)</f>
        <v>KBPPLC</v>
      </c>
      <c r="R1520" s="8" t="e">
        <f>VLOOKUP(Table1[[#This Row],[Address B]],IP_Master[],4,FALSE)</f>
        <v>#N/A</v>
      </c>
      <c r="S1520" s="8" t="str">
        <f>VLOOKUP(Table1[[#This Row],[Address A]],IP_Master[],2,FALSE)</f>
        <v>Slag Fumer</v>
      </c>
      <c r="T1520" s="8" t="e">
        <f>VLOOKUP(Table1[[#This Row],[Address B]],IP_Master[],2,FALSE)</f>
        <v>#N/A</v>
      </c>
      <c r="U1520" s="9" t="str">
        <f>VLOOKUP(Table1[[#This Row],[Address A]],IP_Master[],3,FALSE)</f>
        <v>PLCs &amp; Control Equipment</v>
      </c>
      <c r="V1520" s="9" t="e">
        <f>VLOOKUP(Table1[[#This Row],[Address B]],IP_Master[],3,FALSE)</f>
        <v>#N/A</v>
      </c>
      <c r="W1520" s="9" t="str">
        <f>VLOOKUP(Table1[[#This Row],[Port B]],traffic_types[],2,FALSE)</f>
        <v>Modbus</v>
      </c>
    </row>
    <row r="1521" spans="1:23" x14ac:dyDescent="0.6">
      <c r="A1521" t="s">
        <v>174</v>
      </c>
      <c r="B1521">
        <v>3841</v>
      </c>
      <c r="C1521" t="s">
        <v>176</v>
      </c>
      <c r="D1521">
        <v>502</v>
      </c>
      <c r="E1521">
        <v>5</v>
      </c>
      <c r="F1521" s="13">
        <v>320</v>
      </c>
      <c r="G1521">
        <v>5</v>
      </c>
      <c r="H1521">
        <v>320</v>
      </c>
      <c r="I1521">
        <v>0</v>
      </c>
      <c r="J1521">
        <v>0</v>
      </c>
      <c r="K1521">
        <v>659.07873700000005</v>
      </c>
      <c r="L1521">
        <v>34.959719</v>
      </c>
      <c r="M1521">
        <v>73.2271332043602</v>
      </c>
      <c r="N1521">
        <v>0</v>
      </c>
      <c r="O1521" s="8" t="str">
        <f>formatIP(Table1[[#This Row],[Address A]])</f>
        <v>010.012.001.124</v>
      </c>
      <c r="P1521" s="8" t="str">
        <f>formatIP(Table1[[#This Row],[Address B]])</f>
        <v>010.001.001.003</v>
      </c>
      <c r="Q1521" s="8" t="str">
        <f>VLOOKUP(Table1[[#This Row],[Address A]],IP_Master[],4,FALSE)</f>
        <v>KBPPLC</v>
      </c>
      <c r="R1521" s="8" t="e">
        <f>VLOOKUP(Table1[[#This Row],[Address B]],IP_Master[],4,FALSE)</f>
        <v>#N/A</v>
      </c>
      <c r="S1521" s="8" t="str">
        <f>VLOOKUP(Table1[[#This Row],[Address A]],IP_Master[],2,FALSE)</f>
        <v>Slag Fumer</v>
      </c>
      <c r="T1521" s="8" t="e">
        <f>VLOOKUP(Table1[[#This Row],[Address B]],IP_Master[],2,FALSE)</f>
        <v>#N/A</v>
      </c>
      <c r="U1521" s="9" t="str">
        <f>VLOOKUP(Table1[[#This Row],[Address A]],IP_Master[],3,FALSE)</f>
        <v>PLCs &amp; Control Equipment</v>
      </c>
      <c r="V1521" s="9" t="e">
        <f>VLOOKUP(Table1[[#This Row],[Address B]],IP_Master[],3,FALSE)</f>
        <v>#N/A</v>
      </c>
      <c r="W1521" s="9" t="str">
        <f>VLOOKUP(Table1[[#This Row],[Port B]],traffic_types[],2,FALSE)</f>
        <v>Modbus</v>
      </c>
    </row>
    <row r="1522" spans="1:23" x14ac:dyDescent="0.6">
      <c r="A1522" t="s">
        <v>174</v>
      </c>
      <c r="B1522">
        <v>4480</v>
      </c>
      <c r="C1522" t="s">
        <v>175</v>
      </c>
      <c r="D1522">
        <v>502</v>
      </c>
      <c r="E1522">
        <v>5</v>
      </c>
      <c r="F1522" s="13">
        <v>320</v>
      </c>
      <c r="G1522">
        <v>5</v>
      </c>
      <c r="H1522">
        <v>320</v>
      </c>
      <c r="I1522">
        <v>0</v>
      </c>
      <c r="J1522">
        <v>0</v>
      </c>
      <c r="K1522">
        <v>661.73789199999999</v>
      </c>
      <c r="L1522">
        <v>90.891350000000003</v>
      </c>
      <c r="M1522">
        <v>28.1654964966413</v>
      </c>
      <c r="N1522">
        <v>0</v>
      </c>
      <c r="O1522" s="8" t="str">
        <f>formatIP(Table1[[#This Row],[Address A]])</f>
        <v>010.012.001.124</v>
      </c>
      <c r="P1522" s="8" t="str">
        <f>formatIP(Table1[[#This Row],[Address B]])</f>
        <v>010.001.001.002</v>
      </c>
      <c r="Q1522" s="8" t="str">
        <f>VLOOKUP(Table1[[#This Row],[Address A]],IP_Master[],4,FALSE)</f>
        <v>KBPPLC</v>
      </c>
      <c r="R1522" s="8" t="e">
        <f>VLOOKUP(Table1[[#This Row],[Address B]],IP_Master[],4,FALSE)</f>
        <v>#N/A</v>
      </c>
      <c r="S1522" s="8" t="str">
        <f>VLOOKUP(Table1[[#This Row],[Address A]],IP_Master[],2,FALSE)</f>
        <v>Slag Fumer</v>
      </c>
      <c r="T1522" s="8" t="e">
        <f>VLOOKUP(Table1[[#This Row],[Address B]],IP_Master[],2,FALSE)</f>
        <v>#N/A</v>
      </c>
      <c r="U1522" s="9" t="str">
        <f>VLOOKUP(Table1[[#This Row],[Address A]],IP_Master[],3,FALSE)</f>
        <v>PLCs &amp; Control Equipment</v>
      </c>
      <c r="V1522" s="9" t="e">
        <f>VLOOKUP(Table1[[#This Row],[Address B]],IP_Master[],3,FALSE)</f>
        <v>#N/A</v>
      </c>
      <c r="W1522" s="9" t="str">
        <f>VLOOKUP(Table1[[#This Row],[Port B]],traffic_types[],2,FALSE)</f>
        <v>Modbus</v>
      </c>
    </row>
    <row r="1523" spans="1:23" x14ac:dyDescent="0.6">
      <c r="A1523" t="s">
        <v>174</v>
      </c>
      <c r="B1523">
        <v>3457</v>
      </c>
      <c r="C1523" t="s">
        <v>176</v>
      </c>
      <c r="D1523">
        <v>502</v>
      </c>
      <c r="E1523">
        <v>5</v>
      </c>
      <c r="F1523" s="13">
        <v>320</v>
      </c>
      <c r="G1523">
        <v>5</v>
      </c>
      <c r="H1523">
        <v>320</v>
      </c>
      <c r="I1523">
        <v>0</v>
      </c>
      <c r="J1523">
        <v>0</v>
      </c>
      <c r="K1523">
        <v>666.07801400000005</v>
      </c>
      <c r="L1523">
        <v>34.950501999999901</v>
      </c>
      <c r="M1523">
        <v>73.246444357222899</v>
      </c>
      <c r="N1523">
        <v>0</v>
      </c>
      <c r="O1523" s="8" t="str">
        <f>formatIP(Table1[[#This Row],[Address A]])</f>
        <v>010.012.001.124</v>
      </c>
      <c r="P1523" s="8" t="str">
        <f>formatIP(Table1[[#This Row],[Address B]])</f>
        <v>010.001.001.003</v>
      </c>
      <c r="Q1523" s="8" t="str">
        <f>VLOOKUP(Table1[[#This Row],[Address A]],IP_Master[],4,FALSE)</f>
        <v>KBPPLC</v>
      </c>
      <c r="R1523" s="8" t="e">
        <f>VLOOKUP(Table1[[#This Row],[Address B]],IP_Master[],4,FALSE)</f>
        <v>#N/A</v>
      </c>
      <c r="S1523" s="8" t="str">
        <f>VLOOKUP(Table1[[#This Row],[Address A]],IP_Master[],2,FALSE)</f>
        <v>Slag Fumer</v>
      </c>
      <c r="T1523" s="8" t="e">
        <f>VLOOKUP(Table1[[#This Row],[Address B]],IP_Master[],2,FALSE)</f>
        <v>#N/A</v>
      </c>
      <c r="U1523" s="9" t="str">
        <f>VLOOKUP(Table1[[#This Row],[Address A]],IP_Master[],3,FALSE)</f>
        <v>PLCs &amp; Control Equipment</v>
      </c>
      <c r="V1523" s="9" t="e">
        <f>VLOOKUP(Table1[[#This Row],[Address B]],IP_Master[],3,FALSE)</f>
        <v>#N/A</v>
      </c>
      <c r="W1523" s="9" t="str">
        <f>VLOOKUP(Table1[[#This Row],[Port B]],traffic_types[],2,FALSE)</f>
        <v>Modbus</v>
      </c>
    </row>
    <row r="1524" spans="1:23" x14ac:dyDescent="0.6">
      <c r="A1524" t="s">
        <v>174</v>
      </c>
      <c r="B1524">
        <v>4224</v>
      </c>
      <c r="C1524" t="s">
        <v>175</v>
      </c>
      <c r="D1524">
        <v>502</v>
      </c>
      <c r="E1524">
        <v>5</v>
      </c>
      <c r="F1524" s="13">
        <v>320</v>
      </c>
      <c r="G1524">
        <v>5</v>
      </c>
      <c r="H1524">
        <v>320</v>
      </c>
      <c r="I1524">
        <v>0</v>
      </c>
      <c r="J1524">
        <v>0</v>
      </c>
      <c r="K1524">
        <v>668.72812599999997</v>
      </c>
      <c r="L1524">
        <v>34.960492000000002</v>
      </c>
      <c r="M1524">
        <v>73.225514103176707</v>
      </c>
      <c r="N1524">
        <v>0</v>
      </c>
      <c r="O1524" s="8" t="str">
        <f>formatIP(Table1[[#This Row],[Address A]])</f>
        <v>010.012.001.124</v>
      </c>
      <c r="P1524" s="8" t="str">
        <f>formatIP(Table1[[#This Row],[Address B]])</f>
        <v>010.001.001.002</v>
      </c>
      <c r="Q1524" s="8" t="str">
        <f>VLOOKUP(Table1[[#This Row],[Address A]],IP_Master[],4,FALSE)</f>
        <v>KBPPLC</v>
      </c>
      <c r="R1524" s="8" t="e">
        <f>VLOOKUP(Table1[[#This Row],[Address B]],IP_Master[],4,FALSE)</f>
        <v>#N/A</v>
      </c>
      <c r="S1524" s="8" t="str">
        <f>VLOOKUP(Table1[[#This Row],[Address A]],IP_Master[],2,FALSE)</f>
        <v>Slag Fumer</v>
      </c>
      <c r="T1524" s="8" t="e">
        <f>VLOOKUP(Table1[[#This Row],[Address B]],IP_Master[],2,FALSE)</f>
        <v>#N/A</v>
      </c>
      <c r="U1524" s="9" t="str">
        <f>VLOOKUP(Table1[[#This Row],[Address A]],IP_Master[],3,FALSE)</f>
        <v>PLCs &amp; Control Equipment</v>
      </c>
      <c r="V1524" s="9" t="e">
        <f>VLOOKUP(Table1[[#This Row],[Address B]],IP_Master[],3,FALSE)</f>
        <v>#N/A</v>
      </c>
      <c r="W1524" s="9" t="str">
        <f>VLOOKUP(Table1[[#This Row],[Port B]],traffic_types[],2,FALSE)</f>
        <v>Modbus</v>
      </c>
    </row>
    <row r="1525" spans="1:23" x14ac:dyDescent="0.6">
      <c r="A1525" t="s">
        <v>174</v>
      </c>
      <c r="B1525">
        <v>4097</v>
      </c>
      <c r="C1525" t="s">
        <v>176</v>
      </c>
      <c r="D1525">
        <v>502</v>
      </c>
      <c r="E1525">
        <v>5</v>
      </c>
      <c r="F1525" s="13">
        <v>320</v>
      </c>
      <c r="G1525">
        <v>5</v>
      </c>
      <c r="H1525">
        <v>320</v>
      </c>
      <c r="I1525">
        <v>0</v>
      </c>
      <c r="J1525">
        <v>0</v>
      </c>
      <c r="K1525">
        <v>673.06812100000002</v>
      </c>
      <c r="L1525">
        <v>90.901274999999899</v>
      </c>
      <c r="M1525">
        <v>28.162421264168199</v>
      </c>
      <c r="N1525">
        <v>0</v>
      </c>
      <c r="O1525" s="8" t="str">
        <f>formatIP(Table1[[#This Row],[Address A]])</f>
        <v>010.012.001.124</v>
      </c>
      <c r="P1525" s="8" t="str">
        <f>formatIP(Table1[[#This Row],[Address B]])</f>
        <v>010.001.001.003</v>
      </c>
      <c r="Q1525" s="8" t="str">
        <f>VLOOKUP(Table1[[#This Row],[Address A]],IP_Master[],4,FALSE)</f>
        <v>KBPPLC</v>
      </c>
      <c r="R1525" s="8" t="e">
        <f>VLOOKUP(Table1[[#This Row],[Address B]],IP_Master[],4,FALSE)</f>
        <v>#N/A</v>
      </c>
      <c r="S1525" s="8" t="str">
        <f>VLOOKUP(Table1[[#This Row],[Address A]],IP_Master[],2,FALSE)</f>
        <v>Slag Fumer</v>
      </c>
      <c r="T1525" s="8" t="e">
        <f>VLOOKUP(Table1[[#This Row],[Address B]],IP_Master[],2,FALSE)</f>
        <v>#N/A</v>
      </c>
      <c r="U1525" s="9" t="str">
        <f>VLOOKUP(Table1[[#This Row],[Address A]],IP_Master[],3,FALSE)</f>
        <v>PLCs &amp; Control Equipment</v>
      </c>
      <c r="V1525" s="9" t="e">
        <f>VLOOKUP(Table1[[#This Row],[Address B]],IP_Master[],3,FALSE)</f>
        <v>#N/A</v>
      </c>
      <c r="W1525" s="9" t="str">
        <f>VLOOKUP(Table1[[#This Row],[Port B]],traffic_types[],2,FALSE)</f>
        <v>Modbus</v>
      </c>
    </row>
    <row r="1526" spans="1:23" x14ac:dyDescent="0.6">
      <c r="A1526" t="s">
        <v>174</v>
      </c>
      <c r="B1526">
        <v>3840</v>
      </c>
      <c r="C1526" t="s">
        <v>175</v>
      </c>
      <c r="D1526">
        <v>502</v>
      </c>
      <c r="E1526">
        <v>5</v>
      </c>
      <c r="F1526" s="13">
        <v>320</v>
      </c>
      <c r="G1526">
        <v>5</v>
      </c>
      <c r="H1526">
        <v>320</v>
      </c>
      <c r="I1526">
        <v>0</v>
      </c>
      <c r="J1526">
        <v>0</v>
      </c>
      <c r="K1526">
        <v>675.71827800000005</v>
      </c>
      <c r="L1526">
        <v>34.960408999999899</v>
      </c>
      <c r="M1526">
        <v>73.225687948902603</v>
      </c>
      <c r="N1526">
        <v>0</v>
      </c>
      <c r="O1526" s="8" t="str">
        <f>formatIP(Table1[[#This Row],[Address A]])</f>
        <v>010.012.001.124</v>
      </c>
      <c r="P1526" s="8" t="str">
        <f>formatIP(Table1[[#This Row],[Address B]])</f>
        <v>010.001.001.002</v>
      </c>
      <c r="Q1526" s="8" t="str">
        <f>VLOOKUP(Table1[[#This Row],[Address A]],IP_Master[],4,FALSE)</f>
        <v>KBPPLC</v>
      </c>
      <c r="R1526" s="8" t="e">
        <f>VLOOKUP(Table1[[#This Row],[Address B]],IP_Master[],4,FALSE)</f>
        <v>#N/A</v>
      </c>
      <c r="S1526" s="8" t="str">
        <f>VLOOKUP(Table1[[#This Row],[Address A]],IP_Master[],2,FALSE)</f>
        <v>Slag Fumer</v>
      </c>
      <c r="T1526" s="8" t="e">
        <f>VLOOKUP(Table1[[#This Row],[Address B]],IP_Master[],2,FALSE)</f>
        <v>#N/A</v>
      </c>
      <c r="U1526" s="9" t="str">
        <f>VLOOKUP(Table1[[#This Row],[Address A]],IP_Master[],3,FALSE)</f>
        <v>PLCs &amp; Control Equipment</v>
      </c>
      <c r="V1526" s="9" t="e">
        <f>VLOOKUP(Table1[[#This Row],[Address B]],IP_Master[],3,FALSE)</f>
        <v>#N/A</v>
      </c>
      <c r="W1526" s="9" t="str">
        <f>VLOOKUP(Table1[[#This Row],[Port B]],traffic_types[],2,FALSE)</f>
        <v>Modbus</v>
      </c>
    </row>
    <row r="1527" spans="1:23" x14ac:dyDescent="0.6">
      <c r="A1527" t="s">
        <v>174</v>
      </c>
      <c r="B1527">
        <v>4609</v>
      </c>
      <c r="C1527" t="s">
        <v>176</v>
      </c>
      <c r="D1527">
        <v>502</v>
      </c>
      <c r="E1527">
        <v>5</v>
      </c>
      <c r="F1527" s="13">
        <v>320</v>
      </c>
      <c r="G1527">
        <v>5</v>
      </c>
      <c r="H1527">
        <v>320</v>
      </c>
      <c r="I1527">
        <v>0</v>
      </c>
      <c r="J1527">
        <v>0</v>
      </c>
      <c r="K1527">
        <v>680.05827799999997</v>
      </c>
      <c r="L1527">
        <v>160.82219000000001</v>
      </c>
      <c r="M1527">
        <v>15.9182013377632</v>
      </c>
      <c r="N1527">
        <v>0</v>
      </c>
      <c r="O1527" s="8" t="str">
        <f>formatIP(Table1[[#This Row],[Address A]])</f>
        <v>010.012.001.124</v>
      </c>
      <c r="P1527" s="8" t="str">
        <f>formatIP(Table1[[#This Row],[Address B]])</f>
        <v>010.001.001.003</v>
      </c>
      <c r="Q1527" s="8" t="str">
        <f>VLOOKUP(Table1[[#This Row],[Address A]],IP_Master[],4,FALSE)</f>
        <v>KBPPLC</v>
      </c>
      <c r="R1527" s="8" t="e">
        <f>VLOOKUP(Table1[[#This Row],[Address B]],IP_Master[],4,FALSE)</f>
        <v>#N/A</v>
      </c>
      <c r="S1527" s="8" t="str">
        <f>VLOOKUP(Table1[[#This Row],[Address A]],IP_Master[],2,FALSE)</f>
        <v>Slag Fumer</v>
      </c>
      <c r="T1527" s="8" t="e">
        <f>VLOOKUP(Table1[[#This Row],[Address B]],IP_Master[],2,FALSE)</f>
        <v>#N/A</v>
      </c>
      <c r="U1527" s="9" t="str">
        <f>VLOOKUP(Table1[[#This Row],[Address A]],IP_Master[],3,FALSE)</f>
        <v>PLCs &amp; Control Equipment</v>
      </c>
      <c r="V1527" s="9" t="e">
        <f>VLOOKUP(Table1[[#This Row],[Address B]],IP_Master[],3,FALSE)</f>
        <v>#N/A</v>
      </c>
      <c r="W1527" s="9" t="str">
        <f>VLOOKUP(Table1[[#This Row],[Port B]],traffic_types[],2,FALSE)</f>
        <v>Modbus</v>
      </c>
    </row>
    <row r="1528" spans="1:23" x14ac:dyDescent="0.6">
      <c r="A1528" t="s">
        <v>174</v>
      </c>
      <c r="B1528">
        <v>3456</v>
      </c>
      <c r="C1528" t="s">
        <v>175</v>
      </c>
      <c r="D1528">
        <v>502</v>
      </c>
      <c r="E1528">
        <v>5</v>
      </c>
      <c r="F1528" s="13">
        <v>320</v>
      </c>
      <c r="G1528">
        <v>5</v>
      </c>
      <c r="H1528">
        <v>320</v>
      </c>
      <c r="I1528">
        <v>0</v>
      </c>
      <c r="J1528">
        <v>0</v>
      </c>
      <c r="K1528">
        <v>682.70826999999997</v>
      </c>
      <c r="L1528">
        <v>34.9604870000001</v>
      </c>
      <c r="M1528">
        <v>73.225524575787404</v>
      </c>
      <c r="N1528">
        <v>0</v>
      </c>
      <c r="O1528" s="8" t="str">
        <f>formatIP(Table1[[#This Row],[Address A]])</f>
        <v>010.012.001.124</v>
      </c>
      <c r="P1528" s="8" t="str">
        <f>formatIP(Table1[[#This Row],[Address B]])</f>
        <v>010.001.001.002</v>
      </c>
      <c r="Q1528" s="8" t="str">
        <f>VLOOKUP(Table1[[#This Row],[Address A]],IP_Master[],4,FALSE)</f>
        <v>KBPPLC</v>
      </c>
      <c r="R1528" s="8" t="e">
        <f>VLOOKUP(Table1[[#This Row],[Address B]],IP_Master[],4,FALSE)</f>
        <v>#N/A</v>
      </c>
      <c r="S1528" s="8" t="str">
        <f>VLOOKUP(Table1[[#This Row],[Address A]],IP_Master[],2,FALSE)</f>
        <v>Slag Fumer</v>
      </c>
      <c r="T1528" s="8" t="e">
        <f>VLOOKUP(Table1[[#This Row],[Address B]],IP_Master[],2,FALSE)</f>
        <v>#N/A</v>
      </c>
      <c r="U1528" s="9" t="str">
        <f>VLOOKUP(Table1[[#This Row],[Address A]],IP_Master[],3,FALSE)</f>
        <v>PLCs &amp; Control Equipment</v>
      </c>
      <c r="V1528" s="9" t="e">
        <f>VLOOKUP(Table1[[#This Row],[Address B]],IP_Master[],3,FALSE)</f>
        <v>#N/A</v>
      </c>
      <c r="W1528" s="9" t="str">
        <f>VLOOKUP(Table1[[#This Row],[Port B]],traffic_types[],2,FALSE)</f>
        <v>Modbus</v>
      </c>
    </row>
    <row r="1529" spans="1:23" x14ac:dyDescent="0.6">
      <c r="A1529" t="s">
        <v>174</v>
      </c>
      <c r="B1529">
        <v>4225</v>
      </c>
      <c r="C1529" t="s">
        <v>176</v>
      </c>
      <c r="D1529">
        <v>502</v>
      </c>
      <c r="E1529">
        <v>5</v>
      </c>
      <c r="F1529" s="13">
        <v>320</v>
      </c>
      <c r="G1529">
        <v>5</v>
      </c>
      <c r="H1529">
        <v>320</v>
      </c>
      <c r="I1529">
        <v>0</v>
      </c>
      <c r="J1529">
        <v>0</v>
      </c>
      <c r="K1529">
        <v>687.04836799999998</v>
      </c>
      <c r="L1529">
        <v>146.842039</v>
      </c>
      <c r="M1529">
        <v>17.433699623307501</v>
      </c>
      <c r="N1529">
        <v>0</v>
      </c>
      <c r="O1529" s="8" t="str">
        <f>formatIP(Table1[[#This Row],[Address A]])</f>
        <v>010.012.001.124</v>
      </c>
      <c r="P1529" s="8" t="str">
        <f>formatIP(Table1[[#This Row],[Address B]])</f>
        <v>010.001.001.003</v>
      </c>
      <c r="Q1529" s="8" t="str">
        <f>VLOOKUP(Table1[[#This Row],[Address A]],IP_Master[],4,FALSE)</f>
        <v>KBPPLC</v>
      </c>
      <c r="R1529" s="8" t="e">
        <f>VLOOKUP(Table1[[#This Row],[Address B]],IP_Master[],4,FALSE)</f>
        <v>#N/A</v>
      </c>
      <c r="S1529" s="8" t="str">
        <f>VLOOKUP(Table1[[#This Row],[Address A]],IP_Master[],2,FALSE)</f>
        <v>Slag Fumer</v>
      </c>
      <c r="T1529" s="8" t="e">
        <f>VLOOKUP(Table1[[#This Row],[Address B]],IP_Master[],2,FALSE)</f>
        <v>#N/A</v>
      </c>
      <c r="U1529" s="9" t="str">
        <f>VLOOKUP(Table1[[#This Row],[Address A]],IP_Master[],3,FALSE)</f>
        <v>PLCs &amp; Control Equipment</v>
      </c>
      <c r="V1529" s="9" t="e">
        <f>VLOOKUP(Table1[[#This Row],[Address B]],IP_Master[],3,FALSE)</f>
        <v>#N/A</v>
      </c>
      <c r="W1529" s="9" t="str">
        <f>VLOOKUP(Table1[[#This Row],[Port B]],traffic_types[],2,FALSE)</f>
        <v>Modbus</v>
      </c>
    </row>
    <row r="1530" spans="1:23" x14ac:dyDescent="0.6">
      <c r="A1530" t="s">
        <v>174</v>
      </c>
      <c r="B1530">
        <v>3072</v>
      </c>
      <c r="C1530" t="s">
        <v>175</v>
      </c>
      <c r="D1530">
        <v>502</v>
      </c>
      <c r="E1530">
        <v>5</v>
      </c>
      <c r="F1530" s="13">
        <v>320</v>
      </c>
      <c r="G1530">
        <v>5</v>
      </c>
      <c r="H1530">
        <v>320</v>
      </c>
      <c r="I1530">
        <v>0</v>
      </c>
      <c r="J1530">
        <v>0</v>
      </c>
      <c r="K1530">
        <v>689.69830100000001</v>
      </c>
      <c r="L1530">
        <v>125.85189</v>
      </c>
      <c r="M1530">
        <v>20.341371114887501</v>
      </c>
      <c r="N1530">
        <v>0</v>
      </c>
      <c r="O1530" s="8" t="str">
        <f>formatIP(Table1[[#This Row],[Address A]])</f>
        <v>010.012.001.124</v>
      </c>
      <c r="P1530" s="8" t="str">
        <f>formatIP(Table1[[#This Row],[Address B]])</f>
        <v>010.001.001.002</v>
      </c>
      <c r="Q1530" s="8" t="str">
        <f>VLOOKUP(Table1[[#This Row],[Address A]],IP_Master[],4,FALSE)</f>
        <v>KBPPLC</v>
      </c>
      <c r="R1530" s="8" t="e">
        <f>VLOOKUP(Table1[[#This Row],[Address B]],IP_Master[],4,FALSE)</f>
        <v>#N/A</v>
      </c>
      <c r="S1530" s="8" t="str">
        <f>VLOOKUP(Table1[[#This Row],[Address A]],IP_Master[],2,FALSE)</f>
        <v>Slag Fumer</v>
      </c>
      <c r="T1530" s="8" t="e">
        <f>VLOOKUP(Table1[[#This Row],[Address B]],IP_Master[],2,FALSE)</f>
        <v>#N/A</v>
      </c>
      <c r="U1530" s="9" t="str">
        <f>VLOOKUP(Table1[[#This Row],[Address A]],IP_Master[],3,FALSE)</f>
        <v>PLCs &amp; Control Equipment</v>
      </c>
      <c r="V1530" s="9" t="e">
        <f>VLOOKUP(Table1[[#This Row],[Address B]],IP_Master[],3,FALSE)</f>
        <v>#N/A</v>
      </c>
      <c r="W1530" s="9" t="str">
        <f>VLOOKUP(Table1[[#This Row],[Port B]],traffic_types[],2,FALSE)</f>
        <v>Modbus</v>
      </c>
    </row>
    <row r="1531" spans="1:23" x14ac:dyDescent="0.6">
      <c r="A1531" t="s">
        <v>174</v>
      </c>
      <c r="B1531">
        <v>3841</v>
      </c>
      <c r="C1531" t="s">
        <v>176</v>
      </c>
      <c r="D1531">
        <v>502</v>
      </c>
      <c r="E1531">
        <v>5</v>
      </c>
      <c r="F1531" s="13">
        <v>320</v>
      </c>
      <c r="G1531">
        <v>5</v>
      </c>
      <c r="H1531">
        <v>320</v>
      </c>
      <c r="I1531">
        <v>0</v>
      </c>
      <c r="J1531">
        <v>0</v>
      </c>
      <c r="K1531">
        <v>694.03845899999999</v>
      </c>
      <c r="L1531">
        <v>181.81246999999999</v>
      </c>
      <c r="M1531">
        <v>14.080442337096001</v>
      </c>
      <c r="N1531">
        <v>0</v>
      </c>
      <c r="O1531" s="8" t="str">
        <f>formatIP(Table1[[#This Row],[Address A]])</f>
        <v>010.012.001.124</v>
      </c>
      <c r="P1531" s="8" t="str">
        <f>formatIP(Table1[[#This Row],[Address B]])</f>
        <v>010.001.001.003</v>
      </c>
      <c r="Q1531" s="8" t="str">
        <f>VLOOKUP(Table1[[#This Row],[Address A]],IP_Master[],4,FALSE)</f>
        <v>KBPPLC</v>
      </c>
      <c r="R1531" s="8" t="e">
        <f>VLOOKUP(Table1[[#This Row],[Address B]],IP_Master[],4,FALSE)</f>
        <v>#N/A</v>
      </c>
      <c r="S1531" s="8" t="str">
        <f>VLOOKUP(Table1[[#This Row],[Address A]],IP_Master[],2,FALSE)</f>
        <v>Slag Fumer</v>
      </c>
      <c r="T1531" s="8" t="e">
        <f>VLOOKUP(Table1[[#This Row],[Address B]],IP_Master[],2,FALSE)</f>
        <v>#N/A</v>
      </c>
      <c r="U1531" s="9" t="str">
        <f>VLOOKUP(Table1[[#This Row],[Address A]],IP_Master[],3,FALSE)</f>
        <v>PLCs &amp; Control Equipment</v>
      </c>
      <c r="V1531" s="9" t="e">
        <f>VLOOKUP(Table1[[#This Row],[Address B]],IP_Master[],3,FALSE)</f>
        <v>#N/A</v>
      </c>
      <c r="W1531" s="9" t="str">
        <f>VLOOKUP(Table1[[#This Row],[Port B]],traffic_types[],2,FALSE)</f>
        <v>Modbus</v>
      </c>
    </row>
    <row r="1532" spans="1:23" x14ac:dyDescent="0.6">
      <c r="A1532" t="s">
        <v>174</v>
      </c>
      <c r="B1532">
        <v>4608</v>
      </c>
      <c r="C1532" t="s">
        <v>175</v>
      </c>
      <c r="D1532">
        <v>502</v>
      </c>
      <c r="E1532">
        <v>5</v>
      </c>
      <c r="F1532" s="13">
        <v>320</v>
      </c>
      <c r="G1532">
        <v>5</v>
      </c>
      <c r="H1532">
        <v>320</v>
      </c>
      <c r="I1532">
        <v>0</v>
      </c>
      <c r="J1532">
        <v>0</v>
      </c>
      <c r="K1532">
        <v>696.68916999999999</v>
      </c>
      <c r="L1532">
        <v>160.831615</v>
      </c>
      <c r="M1532">
        <v>15.9172685047029</v>
      </c>
      <c r="N1532">
        <v>0</v>
      </c>
      <c r="O1532" s="8" t="str">
        <f>formatIP(Table1[[#This Row],[Address A]])</f>
        <v>010.012.001.124</v>
      </c>
      <c r="P1532" s="8" t="str">
        <f>formatIP(Table1[[#This Row],[Address B]])</f>
        <v>010.001.001.002</v>
      </c>
      <c r="Q1532" s="8" t="str">
        <f>VLOOKUP(Table1[[#This Row],[Address A]],IP_Master[],4,FALSE)</f>
        <v>KBPPLC</v>
      </c>
      <c r="R1532" s="8" t="e">
        <f>VLOOKUP(Table1[[#This Row],[Address B]],IP_Master[],4,FALSE)</f>
        <v>#N/A</v>
      </c>
      <c r="S1532" s="8" t="str">
        <f>VLOOKUP(Table1[[#This Row],[Address A]],IP_Master[],2,FALSE)</f>
        <v>Slag Fumer</v>
      </c>
      <c r="T1532" s="8" t="e">
        <f>VLOOKUP(Table1[[#This Row],[Address B]],IP_Master[],2,FALSE)</f>
        <v>#N/A</v>
      </c>
      <c r="U1532" s="9" t="str">
        <f>VLOOKUP(Table1[[#This Row],[Address A]],IP_Master[],3,FALSE)</f>
        <v>PLCs &amp; Control Equipment</v>
      </c>
      <c r="V1532" s="9" t="e">
        <f>VLOOKUP(Table1[[#This Row],[Address B]],IP_Master[],3,FALSE)</f>
        <v>#N/A</v>
      </c>
      <c r="W1532" s="9" t="str">
        <f>VLOOKUP(Table1[[#This Row],[Port B]],traffic_types[],2,FALSE)</f>
        <v>Modbus</v>
      </c>
    </row>
    <row r="1533" spans="1:23" x14ac:dyDescent="0.6">
      <c r="A1533" t="s">
        <v>174</v>
      </c>
      <c r="B1533">
        <v>3457</v>
      </c>
      <c r="C1533" t="s">
        <v>176</v>
      </c>
      <c r="D1533">
        <v>502</v>
      </c>
      <c r="E1533">
        <v>5</v>
      </c>
      <c r="F1533" s="13">
        <v>320</v>
      </c>
      <c r="G1533">
        <v>5</v>
      </c>
      <c r="H1533">
        <v>320</v>
      </c>
      <c r="I1533">
        <v>0</v>
      </c>
      <c r="J1533">
        <v>0</v>
      </c>
      <c r="K1533">
        <v>701.02851899999996</v>
      </c>
      <c r="L1533">
        <v>125.87181</v>
      </c>
      <c r="M1533">
        <v>20.338151965877</v>
      </c>
      <c r="N1533">
        <v>0</v>
      </c>
      <c r="O1533" s="8" t="str">
        <f>formatIP(Table1[[#This Row],[Address A]])</f>
        <v>010.012.001.124</v>
      </c>
      <c r="P1533" s="8" t="str">
        <f>formatIP(Table1[[#This Row],[Address B]])</f>
        <v>010.001.001.003</v>
      </c>
      <c r="Q1533" s="8" t="str">
        <f>VLOOKUP(Table1[[#This Row],[Address A]],IP_Master[],4,FALSE)</f>
        <v>KBPPLC</v>
      </c>
      <c r="R1533" s="8" t="e">
        <f>VLOOKUP(Table1[[#This Row],[Address B]],IP_Master[],4,FALSE)</f>
        <v>#N/A</v>
      </c>
      <c r="S1533" s="8" t="str">
        <f>VLOOKUP(Table1[[#This Row],[Address A]],IP_Master[],2,FALSE)</f>
        <v>Slag Fumer</v>
      </c>
      <c r="T1533" s="8" t="e">
        <f>VLOOKUP(Table1[[#This Row],[Address B]],IP_Master[],2,FALSE)</f>
        <v>#N/A</v>
      </c>
      <c r="U1533" s="9" t="str">
        <f>VLOOKUP(Table1[[#This Row],[Address A]],IP_Master[],3,FALSE)</f>
        <v>PLCs &amp; Control Equipment</v>
      </c>
      <c r="V1533" s="9" t="e">
        <f>VLOOKUP(Table1[[#This Row],[Address B]],IP_Master[],3,FALSE)</f>
        <v>#N/A</v>
      </c>
      <c r="W1533" s="9" t="str">
        <f>VLOOKUP(Table1[[#This Row],[Port B]],traffic_types[],2,FALSE)</f>
        <v>Modbus</v>
      </c>
    </row>
    <row r="1534" spans="1:23" x14ac:dyDescent="0.6">
      <c r="A1534" t="s">
        <v>174</v>
      </c>
      <c r="B1534">
        <v>4224</v>
      </c>
      <c r="C1534" t="s">
        <v>175</v>
      </c>
      <c r="D1534">
        <v>502</v>
      </c>
      <c r="E1534">
        <v>5</v>
      </c>
      <c r="F1534" s="13">
        <v>320</v>
      </c>
      <c r="G1534">
        <v>5</v>
      </c>
      <c r="H1534">
        <v>320</v>
      </c>
      <c r="I1534">
        <v>0</v>
      </c>
      <c r="J1534">
        <v>0</v>
      </c>
      <c r="K1534">
        <v>703.68862000000001</v>
      </c>
      <c r="L1534">
        <v>125.851682</v>
      </c>
      <c r="M1534">
        <v>20.341404733867599</v>
      </c>
      <c r="N1534">
        <v>0</v>
      </c>
      <c r="O1534" s="8" t="str">
        <f>formatIP(Table1[[#This Row],[Address A]])</f>
        <v>010.012.001.124</v>
      </c>
      <c r="P1534" s="8" t="str">
        <f>formatIP(Table1[[#This Row],[Address B]])</f>
        <v>010.001.001.002</v>
      </c>
      <c r="Q1534" s="8" t="str">
        <f>VLOOKUP(Table1[[#This Row],[Address A]],IP_Master[],4,FALSE)</f>
        <v>KBPPLC</v>
      </c>
      <c r="R1534" s="8" t="e">
        <f>VLOOKUP(Table1[[#This Row],[Address B]],IP_Master[],4,FALSE)</f>
        <v>#N/A</v>
      </c>
      <c r="S1534" s="8" t="str">
        <f>VLOOKUP(Table1[[#This Row],[Address A]],IP_Master[],2,FALSE)</f>
        <v>Slag Fumer</v>
      </c>
      <c r="T1534" s="8" t="e">
        <f>VLOOKUP(Table1[[#This Row],[Address B]],IP_Master[],2,FALSE)</f>
        <v>#N/A</v>
      </c>
      <c r="U1534" s="9" t="str">
        <f>VLOOKUP(Table1[[#This Row],[Address A]],IP_Master[],3,FALSE)</f>
        <v>PLCs &amp; Control Equipment</v>
      </c>
      <c r="V1534" s="9" t="e">
        <f>VLOOKUP(Table1[[#This Row],[Address B]],IP_Master[],3,FALSE)</f>
        <v>#N/A</v>
      </c>
      <c r="W1534" s="9" t="str">
        <f>VLOOKUP(Table1[[#This Row],[Port B]],traffic_types[],2,FALSE)</f>
        <v>Modbus</v>
      </c>
    </row>
    <row r="1535" spans="1:23" x14ac:dyDescent="0.6">
      <c r="A1535" t="s">
        <v>174</v>
      </c>
      <c r="B1535">
        <v>3073</v>
      </c>
      <c r="C1535" t="s">
        <v>176</v>
      </c>
      <c r="D1535">
        <v>502</v>
      </c>
      <c r="E1535">
        <v>5</v>
      </c>
      <c r="F1535" s="13">
        <v>320</v>
      </c>
      <c r="G1535">
        <v>5</v>
      </c>
      <c r="H1535">
        <v>320</v>
      </c>
      <c r="I1535">
        <v>0</v>
      </c>
      <c r="J1535">
        <v>0</v>
      </c>
      <c r="K1535">
        <v>708.01872900000001</v>
      </c>
      <c r="L1535">
        <v>146.85196199999999</v>
      </c>
      <c r="M1535">
        <v>17.432521602946</v>
      </c>
      <c r="N1535">
        <v>0</v>
      </c>
      <c r="O1535" s="8" t="str">
        <f>formatIP(Table1[[#This Row],[Address A]])</f>
        <v>010.012.001.124</v>
      </c>
      <c r="P1535" s="8" t="str">
        <f>formatIP(Table1[[#This Row],[Address B]])</f>
        <v>010.001.001.003</v>
      </c>
      <c r="Q1535" s="8" t="str">
        <f>VLOOKUP(Table1[[#This Row],[Address A]],IP_Master[],4,FALSE)</f>
        <v>KBPPLC</v>
      </c>
      <c r="R1535" s="8" t="e">
        <f>VLOOKUP(Table1[[#This Row],[Address B]],IP_Master[],4,FALSE)</f>
        <v>#N/A</v>
      </c>
      <c r="S1535" s="8" t="str">
        <f>VLOOKUP(Table1[[#This Row],[Address A]],IP_Master[],2,FALSE)</f>
        <v>Slag Fumer</v>
      </c>
      <c r="T1535" s="8" t="e">
        <f>VLOOKUP(Table1[[#This Row],[Address B]],IP_Master[],2,FALSE)</f>
        <v>#N/A</v>
      </c>
      <c r="U1535" s="9" t="str">
        <f>VLOOKUP(Table1[[#This Row],[Address A]],IP_Master[],3,FALSE)</f>
        <v>PLCs &amp; Control Equipment</v>
      </c>
      <c r="V1535" s="9" t="e">
        <f>VLOOKUP(Table1[[#This Row],[Address B]],IP_Master[],3,FALSE)</f>
        <v>#N/A</v>
      </c>
      <c r="W1535" s="9" t="str">
        <f>VLOOKUP(Table1[[#This Row],[Port B]],traffic_types[],2,FALSE)</f>
        <v>Modbus</v>
      </c>
    </row>
    <row r="1536" spans="1:23" x14ac:dyDescent="0.6">
      <c r="A1536" t="s">
        <v>174</v>
      </c>
      <c r="B1536">
        <v>3840</v>
      </c>
      <c r="C1536" t="s">
        <v>175</v>
      </c>
      <c r="D1536">
        <v>502</v>
      </c>
      <c r="E1536">
        <v>5</v>
      </c>
      <c r="F1536" s="13">
        <v>320</v>
      </c>
      <c r="G1536">
        <v>5</v>
      </c>
      <c r="H1536">
        <v>320</v>
      </c>
      <c r="I1536">
        <v>0</v>
      </c>
      <c r="J1536">
        <v>0</v>
      </c>
      <c r="K1536">
        <v>710.67868799999997</v>
      </c>
      <c r="L1536">
        <v>90.891295</v>
      </c>
      <c r="M1536">
        <v>28.165513540102999</v>
      </c>
      <c r="N1536">
        <v>0</v>
      </c>
      <c r="O1536" s="8" t="str">
        <f>formatIP(Table1[[#This Row],[Address A]])</f>
        <v>010.012.001.124</v>
      </c>
      <c r="P1536" s="8" t="str">
        <f>formatIP(Table1[[#This Row],[Address B]])</f>
        <v>010.001.001.002</v>
      </c>
      <c r="Q1536" s="8" t="str">
        <f>VLOOKUP(Table1[[#This Row],[Address A]],IP_Master[],4,FALSE)</f>
        <v>KBPPLC</v>
      </c>
      <c r="R1536" s="8" t="e">
        <f>VLOOKUP(Table1[[#This Row],[Address B]],IP_Master[],4,FALSE)</f>
        <v>#N/A</v>
      </c>
      <c r="S1536" s="8" t="str">
        <f>VLOOKUP(Table1[[#This Row],[Address A]],IP_Master[],2,FALSE)</f>
        <v>Slag Fumer</v>
      </c>
      <c r="T1536" s="8" t="e">
        <f>VLOOKUP(Table1[[#This Row],[Address B]],IP_Master[],2,FALSE)</f>
        <v>#N/A</v>
      </c>
      <c r="U1536" s="9" t="str">
        <f>VLOOKUP(Table1[[#This Row],[Address A]],IP_Master[],3,FALSE)</f>
        <v>PLCs &amp; Control Equipment</v>
      </c>
      <c r="V1536" s="9" t="e">
        <f>VLOOKUP(Table1[[#This Row],[Address B]],IP_Master[],3,FALSE)</f>
        <v>#N/A</v>
      </c>
      <c r="W1536" s="9" t="str">
        <f>VLOOKUP(Table1[[#This Row],[Port B]],traffic_types[],2,FALSE)</f>
        <v>Modbus</v>
      </c>
    </row>
    <row r="1537" spans="1:23" x14ac:dyDescent="0.6">
      <c r="A1537" t="s">
        <v>174</v>
      </c>
      <c r="B1537">
        <v>4737</v>
      </c>
      <c r="C1537" t="s">
        <v>176</v>
      </c>
      <c r="D1537">
        <v>502</v>
      </c>
      <c r="E1537">
        <v>5</v>
      </c>
      <c r="F1537" s="13">
        <v>320</v>
      </c>
      <c r="G1537">
        <v>5</v>
      </c>
      <c r="H1537">
        <v>320</v>
      </c>
      <c r="I1537">
        <v>0</v>
      </c>
      <c r="J1537">
        <v>0</v>
      </c>
      <c r="K1537">
        <v>715.00878499999999</v>
      </c>
      <c r="L1537">
        <v>34.961089999999999</v>
      </c>
      <c r="M1537">
        <v>73.224261600539293</v>
      </c>
      <c r="N1537">
        <v>0</v>
      </c>
      <c r="O1537" s="8" t="str">
        <f>formatIP(Table1[[#This Row],[Address A]])</f>
        <v>010.012.001.124</v>
      </c>
      <c r="P1537" s="8" t="str">
        <f>formatIP(Table1[[#This Row],[Address B]])</f>
        <v>010.001.001.003</v>
      </c>
      <c r="Q1537" s="8" t="str">
        <f>VLOOKUP(Table1[[#This Row],[Address A]],IP_Master[],4,FALSE)</f>
        <v>KBPPLC</v>
      </c>
      <c r="R1537" s="8" t="e">
        <f>VLOOKUP(Table1[[#This Row],[Address B]],IP_Master[],4,FALSE)</f>
        <v>#N/A</v>
      </c>
      <c r="S1537" s="8" t="str">
        <f>VLOOKUP(Table1[[#This Row],[Address A]],IP_Master[],2,FALSE)</f>
        <v>Slag Fumer</v>
      </c>
      <c r="T1537" s="8" t="e">
        <f>VLOOKUP(Table1[[#This Row],[Address B]],IP_Master[],2,FALSE)</f>
        <v>#N/A</v>
      </c>
      <c r="U1537" s="9" t="str">
        <f>VLOOKUP(Table1[[#This Row],[Address A]],IP_Master[],3,FALSE)</f>
        <v>PLCs &amp; Control Equipment</v>
      </c>
      <c r="V1537" s="9" t="e">
        <f>VLOOKUP(Table1[[#This Row],[Address B]],IP_Master[],3,FALSE)</f>
        <v>#N/A</v>
      </c>
      <c r="W1537" s="9" t="str">
        <f>VLOOKUP(Table1[[#This Row],[Port B]],traffic_types[],2,FALSE)</f>
        <v>Modbus</v>
      </c>
    </row>
    <row r="1538" spans="1:23" x14ac:dyDescent="0.6">
      <c r="A1538" t="s">
        <v>174</v>
      </c>
      <c r="B1538">
        <v>3456</v>
      </c>
      <c r="C1538" t="s">
        <v>175</v>
      </c>
      <c r="D1538">
        <v>502</v>
      </c>
      <c r="E1538">
        <v>5</v>
      </c>
      <c r="F1538" s="13">
        <v>320</v>
      </c>
      <c r="G1538">
        <v>5</v>
      </c>
      <c r="H1538">
        <v>320</v>
      </c>
      <c r="I1538">
        <v>0</v>
      </c>
      <c r="J1538">
        <v>0</v>
      </c>
      <c r="K1538">
        <v>717.66876000000002</v>
      </c>
      <c r="L1538">
        <v>125.862509</v>
      </c>
      <c r="M1538">
        <v>20.339654916620201</v>
      </c>
      <c r="N1538">
        <v>0</v>
      </c>
      <c r="O1538" s="8" t="str">
        <f>formatIP(Table1[[#This Row],[Address A]])</f>
        <v>010.012.001.124</v>
      </c>
      <c r="P1538" s="8" t="str">
        <f>formatIP(Table1[[#This Row],[Address B]])</f>
        <v>010.001.001.002</v>
      </c>
      <c r="Q1538" s="8" t="str">
        <f>VLOOKUP(Table1[[#This Row],[Address A]],IP_Master[],4,FALSE)</f>
        <v>KBPPLC</v>
      </c>
      <c r="R1538" s="8" t="e">
        <f>VLOOKUP(Table1[[#This Row],[Address B]],IP_Master[],4,FALSE)</f>
        <v>#N/A</v>
      </c>
      <c r="S1538" s="8" t="str">
        <f>VLOOKUP(Table1[[#This Row],[Address A]],IP_Master[],2,FALSE)</f>
        <v>Slag Fumer</v>
      </c>
      <c r="T1538" s="8" t="e">
        <f>VLOOKUP(Table1[[#This Row],[Address B]],IP_Master[],2,FALSE)</f>
        <v>#N/A</v>
      </c>
      <c r="U1538" s="9" t="str">
        <f>VLOOKUP(Table1[[#This Row],[Address A]],IP_Master[],3,FALSE)</f>
        <v>PLCs &amp; Control Equipment</v>
      </c>
      <c r="V1538" s="9" t="e">
        <f>VLOOKUP(Table1[[#This Row],[Address B]],IP_Master[],3,FALSE)</f>
        <v>#N/A</v>
      </c>
      <c r="W1538" s="9" t="str">
        <f>VLOOKUP(Table1[[#This Row],[Port B]],traffic_types[],2,FALSE)</f>
        <v>Modbus</v>
      </c>
    </row>
    <row r="1539" spans="1:23" x14ac:dyDescent="0.6">
      <c r="A1539" t="s">
        <v>174</v>
      </c>
      <c r="B1539">
        <v>4353</v>
      </c>
      <c r="C1539" t="s">
        <v>176</v>
      </c>
      <c r="D1539">
        <v>502</v>
      </c>
      <c r="E1539">
        <v>5</v>
      </c>
      <c r="F1539" s="13">
        <v>320</v>
      </c>
      <c r="G1539">
        <v>5</v>
      </c>
      <c r="H1539">
        <v>320</v>
      </c>
      <c r="I1539">
        <v>0</v>
      </c>
      <c r="J1539">
        <v>0</v>
      </c>
      <c r="K1539">
        <v>721.99884299999997</v>
      </c>
      <c r="L1539">
        <v>34.971220000000002</v>
      </c>
      <c r="M1539">
        <v>73.203050965908503</v>
      </c>
      <c r="N1539">
        <v>0</v>
      </c>
      <c r="O1539" s="8" t="str">
        <f>formatIP(Table1[[#This Row],[Address A]])</f>
        <v>010.012.001.124</v>
      </c>
      <c r="P1539" s="8" t="str">
        <f>formatIP(Table1[[#This Row],[Address B]])</f>
        <v>010.001.001.003</v>
      </c>
      <c r="Q1539" s="8" t="str">
        <f>VLOOKUP(Table1[[#This Row],[Address A]],IP_Master[],4,FALSE)</f>
        <v>KBPPLC</v>
      </c>
      <c r="R1539" s="8" t="e">
        <f>VLOOKUP(Table1[[#This Row],[Address B]],IP_Master[],4,FALSE)</f>
        <v>#N/A</v>
      </c>
      <c r="S1539" s="8" t="str">
        <f>VLOOKUP(Table1[[#This Row],[Address A]],IP_Master[],2,FALSE)</f>
        <v>Slag Fumer</v>
      </c>
      <c r="T1539" s="8" t="e">
        <f>VLOOKUP(Table1[[#This Row],[Address B]],IP_Master[],2,FALSE)</f>
        <v>#N/A</v>
      </c>
      <c r="U1539" s="9" t="str">
        <f>VLOOKUP(Table1[[#This Row],[Address A]],IP_Master[],3,FALSE)</f>
        <v>PLCs &amp; Control Equipment</v>
      </c>
      <c r="V1539" s="9" t="e">
        <f>VLOOKUP(Table1[[#This Row],[Address B]],IP_Master[],3,FALSE)</f>
        <v>#N/A</v>
      </c>
      <c r="W1539" s="9" t="str">
        <f>VLOOKUP(Table1[[#This Row],[Port B]],traffic_types[],2,FALSE)</f>
        <v>Modbus</v>
      </c>
    </row>
    <row r="1540" spans="1:23" x14ac:dyDescent="0.6">
      <c r="A1540" t="s">
        <v>174</v>
      </c>
      <c r="B1540">
        <v>3968</v>
      </c>
      <c r="C1540" t="s">
        <v>175</v>
      </c>
      <c r="D1540">
        <v>502</v>
      </c>
      <c r="E1540">
        <v>5</v>
      </c>
      <c r="F1540" s="13">
        <v>320</v>
      </c>
      <c r="G1540">
        <v>5</v>
      </c>
      <c r="H1540">
        <v>320</v>
      </c>
      <c r="I1540">
        <v>0</v>
      </c>
      <c r="J1540">
        <v>0</v>
      </c>
      <c r="K1540">
        <v>724.658952</v>
      </c>
      <c r="L1540">
        <v>146.84194600000001</v>
      </c>
      <c r="M1540">
        <v>17.433710664662499</v>
      </c>
      <c r="N1540">
        <v>0</v>
      </c>
      <c r="O1540" s="8" t="str">
        <f>formatIP(Table1[[#This Row],[Address A]])</f>
        <v>010.012.001.124</v>
      </c>
      <c r="P1540" s="8" t="str">
        <f>formatIP(Table1[[#This Row],[Address B]])</f>
        <v>010.001.001.002</v>
      </c>
      <c r="Q1540" s="8" t="str">
        <f>VLOOKUP(Table1[[#This Row],[Address A]],IP_Master[],4,FALSE)</f>
        <v>KBPPLC</v>
      </c>
      <c r="R1540" s="8" t="e">
        <f>VLOOKUP(Table1[[#This Row],[Address B]],IP_Master[],4,FALSE)</f>
        <v>#N/A</v>
      </c>
      <c r="S1540" s="8" t="str">
        <f>VLOOKUP(Table1[[#This Row],[Address A]],IP_Master[],2,FALSE)</f>
        <v>Slag Fumer</v>
      </c>
      <c r="T1540" s="8" t="e">
        <f>VLOOKUP(Table1[[#This Row],[Address B]],IP_Master[],2,FALSE)</f>
        <v>#N/A</v>
      </c>
      <c r="U1540" s="9" t="str">
        <f>VLOOKUP(Table1[[#This Row],[Address A]],IP_Master[],3,FALSE)</f>
        <v>PLCs &amp; Control Equipment</v>
      </c>
      <c r="V1540" s="9" t="e">
        <f>VLOOKUP(Table1[[#This Row],[Address B]],IP_Master[],3,FALSE)</f>
        <v>#N/A</v>
      </c>
      <c r="W1540" s="9" t="str">
        <f>VLOOKUP(Table1[[#This Row],[Port B]],traffic_types[],2,FALSE)</f>
        <v>Modbus</v>
      </c>
    </row>
    <row r="1541" spans="1:23" x14ac:dyDescent="0.6">
      <c r="A1541" t="s">
        <v>174</v>
      </c>
      <c r="B1541">
        <v>3969</v>
      </c>
      <c r="C1541" t="s">
        <v>176</v>
      </c>
      <c r="D1541">
        <v>502</v>
      </c>
      <c r="E1541">
        <v>5</v>
      </c>
      <c r="F1541" s="13">
        <v>320</v>
      </c>
      <c r="G1541">
        <v>5</v>
      </c>
      <c r="H1541">
        <v>320</v>
      </c>
      <c r="I1541">
        <v>0</v>
      </c>
      <c r="J1541">
        <v>0</v>
      </c>
      <c r="K1541">
        <v>728.988877</v>
      </c>
      <c r="L1541">
        <v>160.84219899999999</v>
      </c>
      <c r="M1541">
        <v>15.9162210907102</v>
      </c>
      <c r="N1541">
        <v>0</v>
      </c>
      <c r="O1541" s="8" t="str">
        <f>formatIP(Table1[[#This Row],[Address A]])</f>
        <v>010.012.001.124</v>
      </c>
      <c r="P1541" s="8" t="str">
        <f>formatIP(Table1[[#This Row],[Address B]])</f>
        <v>010.001.001.003</v>
      </c>
      <c r="Q1541" s="8" t="str">
        <f>VLOOKUP(Table1[[#This Row],[Address A]],IP_Master[],4,FALSE)</f>
        <v>KBPPLC</v>
      </c>
      <c r="R1541" s="8" t="e">
        <f>VLOOKUP(Table1[[#This Row],[Address B]],IP_Master[],4,FALSE)</f>
        <v>#N/A</v>
      </c>
      <c r="S1541" s="8" t="str">
        <f>VLOOKUP(Table1[[#This Row],[Address A]],IP_Master[],2,FALSE)</f>
        <v>Slag Fumer</v>
      </c>
      <c r="T1541" s="8" t="e">
        <f>VLOOKUP(Table1[[#This Row],[Address B]],IP_Master[],2,FALSE)</f>
        <v>#N/A</v>
      </c>
      <c r="U1541" s="9" t="str">
        <f>VLOOKUP(Table1[[#This Row],[Address A]],IP_Master[],3,FALSE)</f>
        <v>PLCs &amp; Control Equipment</v>
      </c>
      <c r="V1541" s="9" t="e">
        <f>VLOOKUP(Table1[[#This Row],[Address B]],IP_Master[],3,FALSE)</f>
        <v>#N/A</v>
      </c>
      <c r="W1541" s="9" t="str">
        <f>VLOOKUP(Table1[[#This Row],[Port B]],traffic_types[],2,FALSE)</f>
        <v>Modbus</v>
      </c>
    </row>
    <row r="1542" spans="1:23" x14ac:dyDescent="0.6">
      <c r="A1542" t="s">
        <v>174</v>
      </c>
      <c r="B1542">
        <v>3712</v>
      </c>
      <c r="C1542" t="s">
        <v>175</v>
      </c>
      <c r="D1542">
        <v>502</v>
      </c>
      <c r="E1542">
        <v>5</v>
      </c>
      <c r="F1542" s="13">
        <v>320</v>
      </c>
      <c r="G1542">
        <v>5</v>
      </c>
      <c r="H1542">
        <v>320</v>
      </c>
      <c r="I1542">
        <v>0</v>
      </c>
      <c r="J1542">
        <v>0</v>
      </c>
      <c r="K1542">
        <v>731.64970400000004</v>
      </c>
      <c r="L1542">
        <v>34.959727999999899</v>
      </c>
      <c r="M1542">
        <v>73.227114352834903</v>
      </c>
      <c r="N1542">
        <v>0</v>
      </c>
      <c r="O1542" s="8" t="str">
        <f>formatIP(Table1[[#This Row],[Address A]])</f>
        <v>010.012.001.124</v>
      </c>
      <c r="P1542" s="8" t="str">
        <f>formatIP(Table1[[#This Row],[Address B]])</f>
        <v>010.001.001.002</v>
      </c>
      <c r="Q1542" s="8" t="str">
        <f>VLOOKUP(Table1[[#This Row],[Address A]],IP_Master[],4,FALSE)</f>
        <v>KBPPLC</v>
      </c>
      <c r="R1542" s="8" t="e">
        <f>VLOOKUP(Table1[[#This Row],[Address B]],IP_Master[],4,FALSE)</f>
        <v>#N/A</v>
      </c>
      <c r="S1542" s="8" t="str">
        <f>VLOOKUP(Table1[[#This Row],[Address A]],IP_Master[],2,FALSE)</f>
        <v>Slag Fumer</v>
      </c>
      <c r="T1542" s="8" t="e">
        <f>VLOOKUP(Table1[[#This Row],[Address B]],IP_Master[],2,FALSE)</f>
        <v>#N/A</v>
      </c>
      <c r="U1542" s="9" t="str">
        <f>VLOOKUP(Table1[[#This Row],[Address A]],IP_Master[],3,FALSE)</f>
        <v>PLCs &amp; Control Equipment</v>
      </c>
      <c r="V1542" s="9" t="e">
        <f>VLOOKUP(Table1[[#This Row],[Address B]],IP_Master[],3,FALSE)</f>
        <v>#N/A</v>
      </c>
      <c r="W1542" s="9" t="str">
        <f>VLOOKUP(Table1[[#This Row],[Port B]],traffic_types[],2,FALSE)</f>
        <v>Modbus</v>
      </c>
    </row>
    <row r="1543" spans="1:23" x14ac:dyDescent="0.6">
      <c r="A1543" t="s">
        <v>174</v>
      </c>
      <c r="B1543">
        <v>4481</v>
      </c>
      <c r="C1543" t="s">
        <v>176</v>
      </c>
      <c r="D1543">
        <v>502</v>
      </c>
      <c r="E1543">
        <v>5</v>
      </c>
      <c r="F1543" s="13">
        <v>320</v>
      </c>
      <c r="G1543">
        <v>5</v>
      </c>
      <c r="H1543">
        <v>320</v>
      </c>
      <c r="I1543">
        <v>0</v>
      </c>
      <c r="J1543">
        <v>0</v>
      </c>
      <c r="K1543">
        <v>735.97905700000001</v>
      </c>
      <c r="L1543">
        <v>55.96163</v>
      </c>
      <c r="M1543">
        <v>45.745629639451202</v>
      </c>
      <c r="N1543">
        <v>0</v>
      </c>
      <c r="O1543" s="8" t="str">
        <f>formatIP(Table1[[#This Row],[Address A]])</f>
        <v>010.012.001.124</v>
      </c>
      <c r="P1543" s="8" t="str">
        <f>formatIP(Table1[[#This Row],[Address B]])</f>
        <v>010.001.001.003</v>
      </c>
      <c r="Q1543" s="8" t="str">
        <f>VLOOKUP(Table1[[#This Row],[Address A]],IP_Master[],4,FALSE)</f>
        <v>KBPPLC</v>
      </c>
      <c r="R1543" s="8" t="e">
        <f>VLOOKUP(Table1[[#This Row],[Address B]],IP_Master[],4,FALSE)</f>
        <v>#N/A</v>
      </c>
      <c r="S1543" s="8" t="str">
        <f>VLOOKUP(Table1[[#This Row],[Address A]],IP_Master[],2,FALSE)</f>
        <v>Slag Fumer</v>
      </c>
      <c r="T1543" s="8" t="e">
        <f>VLOOKUP(Table1[[#This Row],[Address B]],IP_Master[],2,FALSE)</f>
        <v>#N/A</v>
      </c>
      <c r="U1543" s="9" t="str">
        <f>VLOOKUP(Table1[[#This Row],[Address A]],IP_Master[],3,FALSE)</f>
        <v>PLCs &amp; Control Equipment</v>
      </c>
      <c r="V1543" s="9" t="e">
        <f>VLOOKUP(Table1[[#This Row],[Address B]],IP_Master[],3,FALSE)</f>
        <v>#N/A</v>
      </c>
      <c r="W1543" s="9" t="str">
        <f>VLOOKUP(Table1[[#This Row],[Port B]],traffic_types[],2,FALSE)</f>
        <v>Modbus</v>
      </c>
    </row>
    <row r="1544" spans="1:23" x14ac:dyDescent="0.6">
      <c r="A1544" t="s">
        <v>174</v>
      </c>
      <c r="B1544">
        <v>4352</v>
      </c>
      <c r="C1544" t="s">
        <v>175</v>
      </c>
      <c r="D1544">
        <v>502</v>
      </c>
      <c r="E1544">
        <v>5</v>
      </c>
      <c r="F1544" s="13">
        <v>320</v>
      </c>
      <c r="G1544">
        <v>5</v>
      </c>
      <c r="H1544">
        <v>320</v>
      </c>
      <c r="I1544">
        <v>0</v>
      </c>
      <c r="J1544">
        <v>0</v>
      </c>
      <c r="K1544">
        <v>738.64904000000001</v>
      </c>
      <c r="L1544">
        <v>125.861831</v>
      </c>
      <c r="M1544">
        <v>20.339764483483499</v>
      </c>
      <c r="N1544">
        <v>0</v>
      </c>
      <c r="O1544" s="8" t="str">
        <f>formatIP(Table1[[#This Row],[Address A]])</f>
        <v>010.012.001.124</v>
      </c>
      <c r="P1544" s="8" t="str">
        <f>formatIP(Table1[[#This Row],[Address B]])</f>
        <v>010.001.001.002</v>
      </c>
      <c r="Q1544" s="8" t="str">
        <f>VLOOKUP(Table1[[#This Row],[Address A]],IP_Master[],4,FALSE)</f>
        <v>KBPPLC</v>
      </c>
      <c r="R1544" s="8" t="e">
        <f>VLOOKUP(Table1[[#This Row],[Address B]],IP_Master[],4,FALSE)</f>
        <v>#N/A</v>
      </c>
      <c r="S1544" s="8" t="str">
        <f>VLOOKUP(Table1[[#This Row],[Address A]],IP_Master[],2,FALSE)</f>
        <v>Slag Fumer</v>
      </c>
      <c r="T1544" s="8" t="e">
        <f>VLOOKUP(Table1[[#This Row],[Address B]],IP_Master[],2,FALSE)</f>
        <v>#N/A</v>
      </c>
      <c r="U1544" s="9" t="str">
        <f>VLOOKUP(Table1[[#This Row],[Address A]],IP_Master[],3,FALSE)</f>
        <v>PLCs &amp; Control Equipment</v>
      </c>
      <c r="V1544" s="9" t="e">
        <f>VLOOKUP(Table1[[#This Row],[Address B]],IP_Master[],3,FALSE)</f>
        <v>#N/A</v>
      </c>
      <c r="W1544" s="9" t="str">
        <f>VLOOKUP(Table1[[#This Row],[Port B]],traffic_types[],2,FALSE)</f>
        <v>Modbus</v>
      </c>
    </row>
    <row r="1545" spans="1:23" x14ac:dyDescent="0.6">
      <c r="A1545" t="s">
        <v>174</v>
      </c>
      <c r="B1545">
        <v>3201</v>
      </c>
      <c r="C1545" t="s">
        <v>176</v>
      </c>
      <c r="D1545">
        <v>502</v>
      </c>
      <c r="E1545">
        <v>5</v>
      </c>
      <c r="F1545" s="13">
        <v>320</v>
      </c>
      <c r="G1545">
        <v>5</v>
      </c>
      <c r="H1545">
        <v>320</v>
      </c>
      <c r="I1545">
        <v>0</v>
      </c>
      <c r="J1545">
        <v>0</v>
      </c>
      <c r="K1545">
        <v>742.96979899999997</v>
      </c>
      <c r="L1545">
        <v>125.88185300000001</v>
      </c>
      <c r="M1545">
        <v>20.3365293645622</v>
      </c>
      <c r="N1545">
        <v>0</v>
      </c>
      <c r="O1545" s="8" t="str">
        <f>formatIP(Table1[[#This Row],[Address A]])</f>
        <v>010.012.001.124</v>
      </c>
      <c r="P1545" s="8" t="str">
        <f>formatIP(Table1[[#This Row],[Address B]])</f>
        <v>010.001.001.003</v>
      </c>
      <c r="Q1545" s="8" t="str">
        <f>VLOOKUP(Table1[[#This Row],[Address A]],IP_Master[],4,FALSE)</f>
        <v>KBPPLC</v>
      </c>
      <c r="R1545" s="8" t="e">
        <f>VLOOKUP(Table1[[#This Row],[Address B]],IP_Master[],4,FALSE)</f>
        <v>#N/A</v>
      </c>
      <c r="S1545" s="8" t="str">
        <f>VLOOKUP(Table1[[#This Row],[Address A]],IP_Master[],2,FALSE)</f>
        <v>Slag Fumer</v>
      </c>
      <c r="T1545" s="8" t="e">
        <f>VLOOKUP(Table1[[#This Row],[Address B]],IP_Master[],2,FALSE)</f>
        <v>#N/A</v>
      </c>
      <c r="U1545" s="9" t="str">
        <f>VLOOKUP(Table1[[#This Row],[Address A]],IP_Master[],3,FALSE)</f>
        <v>PLCs &amp; Control Equipment</v>
      </c>
      <c r="V1545" s="9" t="e">
        <f>VLOOKUP(Table1[[#This Row],[Address B]],IP_Master[],3,FALSE)</f>
        <v>#N/A</v>
      </c>
      <c r="W1545" s="9" t="str">
        <f>VLOOKUP(Table1[[#This Row],[Port B]],traffic_types[],2,FALSE)</f>
        <v>Modbus</v>
      </c>
    </row>
    <row r="1546" spans="1:23" x14ac:dyDescent="0.6">
      <c r="A1546" t="s">
        <v>174</v>
      </c>
      <c r="B1546">
        <v>4864</v>
      </c>
      <c r="C1546" t="s">
        <v>175</v>
      </c>
      <c r="D1546">
        <v>502</v>
      </c>
      <c r="E1546">
        <v>5</v>
      </c>
      <c r="F1546" s="13">
        <v>320</v>
      </c>
      <c r="G1546">
        <v>5</v>
      </c>
      <c r="H1546">
        <v>320</v>
      </c>
      <c r="I1546">
        <v>0</v>
      </c>
      <c r="J1546">
        <v>0</v>
      </c>
      <c r="K1546">
        <v>745.63908000000004</v>
      </c>
      <c r="L1546">
        <v>34.950539999999897</v>
      </c>
      <c r="M1546">
        <v>73.246364719973002</v>
      </c>
      <c r="N1546">
        <v>0</v>
      </c>
      <c r="O1546" s="8" t="str">
        <f>formatIP(Table1[[#This Row],[Address A]])</f>
        <v>010.012.001.124</v>
      </c>
      <c r="P1546" s="8" t="str">
        <f>formatIP(Table1[[#This Row],[Address B]])</f>
        <v>010.001.001.002</v>
      </c>
      <c r="Q1546" s="8" t="str">
        <f>VLOOKUP(Table1[[#This Row],[Address A]],IP_Master[],4,FALSE)</f>
        <v>KBPPLC</v>
      </c>
      <c r="R1546" s="8" t="e">
        <f>VLOOKUP(Table1[[#This Row],[Address B]],IP_Master[],4,FALSE)</f>
        <v>#N/A</v>
      </c>
      <c r="S1546" s="8" t="str">
        <f>VLOOKUP(Table1[[#This Row],[Address A]],IP_Master[],2,FALSE)</f>
        <v>Slag Fumer</v>
      </c>
      <c r="T1546" s="8" t="e">
        <f>VLOOKUP(Table1[[#This Row],[Address B]],IP_Master[],2,FALSE)</f>
        <v>#N/A</v>
      </c>
      <c r="U1546" s="9" t="str">
        <f>VLOOKUP(Table1[[#This Row],[Address A]],IP_Master[],3,FALSE)</f>
        <v>PLCs &amp; Control Equipment</v>
      </c>
      <c r="V1546" s="9" t="e">
        <f>VLOOKUP(Table1[[#This Row],[Address B]],IP_Master[],3,FALSE)</f>
        <v>#N/A</v>
      </c>
      <c r="W1546" s="9" t="str">
        <f>VLOOKUP(Table1[[#This Row],[Port B]],traffic_types[],2,FALSE)</f>
        <v>Modbus</v>
      </c>
    </row>
    <row r="1547" spans="1:23" x14ac:dyDescent="0.6">
      <c r="A1547" t="s">
        <v>174</v>
      </c>
      <c r="B1547">
        <v>4737</v>
      </c>
      <c r="C1547" t="s">
        <v>176</v>
      </c>
      <c r="D1547">
        <v>502</v>
      </c>
      <c r="E1547">
        <v>4</v>
      </c>
      <c r="F1547" s="13">
        <v>256</v>
      </c>
      <c r="G1547">
        <v>4</v>
      </c>
      <c r="H1547">
        <v>256</v>
      </c>
      <c r="I1547">
        <v>0</v>
      </c>
      <c r="J1547">
        <v>0</v>
      </c>
      <c r="K1547">
        <v>749.96988899999997</v>
      </c>
      <c r="L1547">
        <v>4.5087439999999797</v>
      </c>
      <c r="M1547">
        <v>454.22849467612502</v>
      </c>
      <c r="N1547">
        <v>0</v>
      </c>
      <c r="O1547" s="8" t="str">
        <f>formatIP(Table1[[#This Row],[Address A]])</f>
        <v>010.012.001.124</v>
      </c>
      <c r="P1547" s="8" t="str">
        <f>formatIP(Table1[[#This Row],[Address B]])</f>
        <v>010.001.001.003</v>
      </c>
      <c r="Q1547" s="8" t="str">
        <f>VLOOKUP(Table1[[#This Row],[Address A]],IP_Master[],4,FALSE)</f>
        <v>KBPPLC</v>
      </c>
      <c r="R1547" s="8" t="e">
        <f>VLOOKUP(Table1[[#This Row],[Address B]],IP_Master[],4,FALSE)</f>
        <v>#N/A</v>
      </c>
      <c r="S1547" s="8" t="str">
        <f>VLOOKUP(Table1[[#This Row],[Address A]],IP_Master[],2,FALSE)</f>
        <v>Slag Fumer</v>
      </c>
      <c r="T1547" s="8" t="e">
        <f>VLOOKUP(Table1[[#This Row],[Address B]],IP_Master[],2,FALSE)</f>
        <v>#N/A</v>
      </c>
      <c r="U1547" s="9" t="str">
        <f>VLOOKUP(Table1[[#This Row],[Address A]],IP_Master[],3,FALSE)</f>
        <v>PLCs &amp; Control Equipment</v>
      </c>
      <c r="V1547" s="9" t="e">
        <f>VLOOKUP(Table1[[#This Row],[Address B]],IP_Master[],3,FALSE)</f>
        <v>#N/A</v>
      </c>
      <c r="W1547" s="9" t="str">
        <f>VLOOKUP(Table1[[#This Row],[Port B]],traffic_types[],2,FALSE)</f>
        <v>Modbus</v>
      </c>
    </row>
    <row r="1548" spans="1:23" x14ac:dyDescent="0.6">
      <c r="A1548" t="s">
        <v>174</v>
      </c>
      <c r="B1548">
        <v>4480</v>
      </c>
      <c r="C1548" t="s">
        <v>175</v>
      </c>
      <c r="D1548">
        <v>502</v>
      </c>
      <c r="E1548">
        <v>5</v>
      </c>
      <c r="F1548" s="13">
        <v>320</v>
      </c>
      <c r="G1548">
        <v>5</v>
      </c>
      <c r="H1548">
        <v>320</v>
      </c>
      <c r="I1548">
        <v>0</v>
      </c>
      <c r="J1548">
        <v>0</v>
      </c>
      <c r="K1548">
        <v>752.62924399999997</v>
      </c>
      <c r="L1548">
        <v>34.951162000000103</v>
      </c>
      <c r="M1548">
        <v>73.245061208551405</v>
      </c>
      <c r="N1548">
        <v>0</v>
      </c>
      <c r="O1548" s="8" t="str">
        <f>formatIP(Table1[[#This Row],[Address A]])</f>
        <v>010.012.001.124</v>
      </c>
      <c r="P1548" s="8" t="str">
        <f>formatIP(Table1[[#This Row],[Address B]])</f>
        <v>010.001.001.002</v>
      </c>
      <c r="Q1548" s="8" t="str">
        <f>VLOOKUP(Table1[[#This Row],[Address A]],IP_Master[],4,FALSE)</f>
        <v>KBPPLC</v>
      </c>
      <c r="R1548" s="8" t="e">
        <f>VLOOKUP(Table1[[#This Row],[Address B]],IP_Master[],4,FALSE)</f>
        <v>#N/A</v>
      </c>
      <c r="S1548" s="8" t="str">
        <f>VLOOKUP(Table1[[#This Row],[Address A]],IP_Master[],2,FALSE)</f>
        <v>Slag Fumer</v>
      </c>
      <c r="T1548" s="8" t="e">
        <f>VLOOKUP(Table1[[#This Row],[Address B]],IP_Master[],2,FALSE)</f>
        <v>#N/A</v>
      </c>
      <c r="U1548" s="9" t="str">
        <f>VLOOKUP(Table1[[#This Row],[Address A]],IP_Master[],3,FALSE)</f>
        <v>PLCs &amp; Control Equipment</v>
      </c>
      <c r="V1548" s="9" t="e">
        <f>VLOOKUP(Table1[[#This Row],[Address B]],IP_Master[],3,FALSE)</f>
        <v>#N/A</v>
      </c>
      <c r="W1548" s="9" t="str">
        <f>VLOOKUP(Table1[[#This Row],[Port B]],traffic_types[],2,FALSE)</f>
        <v>Modbus</v>
      </c>
    </row>
    <row r="1549" spans="1:23" x14ac:dyDescent="0.6">
      <c r="A1549" t="s">
        <v>174</v>
      </c>
      <c r="B1549">
        <v>4353</v>
      </c>
      <c r="C1549" t="s">
        <v>176</v>
      </c>
      <c r="D1549">
        <v>502</v>
      </c>
      <c r="E1549">
        <v>5</v>
      </c>
      <c r="F1549" s="13">
        <v>320</v>
      </c>
      <c r="G1549">
        <v>5</v>
      </c>
      <c r="H1549">
        <v>320</v>
      </c>
      <c r="I1549">
        <v>0</v>
      </c>
      <c r="J1549">
        <v>0</v>
      </c>
      <c r="K1549">
        <v>756.97006499999998</v>
      </c>
      <c r="L1549">
        <v>90.901289000000006</v>
      </c>
      <c r="M1549">
        <v>28.162416926783099</v>
      </c>
      <c r="N1549">
        <v>0</v>
      </c>
      <c r="O1549" s="8" t="str">
        <f>formatIP(Table1[[#This Row],[Address A]])</f>
        <v>010.012.001.124</v>
      </c>
      <c r="P1549" s="8" t="str">
        <f>formatIP(Table1[[#This Row],[Address B]])</f>
        <v>010.001.001.003</v>
      </c>
      <c r="Q1549" s="8" t="str">
        <f>VLOOKUP(Table1[[#This Row],[Address A]],IP_Master[],4,FALSE)</f>
        <v>KBPPLC</v>
      </c>
      <c r="R1549" s="8" t="e">
        <f>VLOOKUP(Table1[[#This Row],[Address B]],IP_Master[],4,FALSE)</f>
        <v>#N/A</v>
      </c>
      <c r="S1549" s="8" t="str">
        <f>VLOOKUP(Table1[[#This Row],[Address A]],IP_Master[],2,FALSE)</f>
        <v>Slag Fumer</v>
      </c>
      <c r="T1549" s="8" t="e">
        <f>VLOOKUP(Table1[[#This Row],[Address B]],IP_Master[],2,FALSE)</f>
        <v>#N/A</v>
      </c>
      <c r="U1549" s="9" t="str">
        <f>VLOOKUP(Table1[[#This Row],[Address A]],IP_Master[],3,FALSE)</f>
        <v>PLCs &amp; Control Equipment</v>
      </c>
      <c r="V1549" s="9" t="e">
        <f>VLOOKUP(Table1[[#This Row],[Address B]],IP_Master[],3,FALSE)</f>
        <v>#N/A</v>
      </c>
      <c r="W1549" s="9" t="str">
        <f>VLOOKUP(Table1[[#This Row],[Port B]],traffic_types[],2,FALSE)</f>
        <v>Modbus</v>
      </c>
    </row>
    <row r="1550" spans="1:23" x14ac:dyDescent="0.6">
      <c r="A1550" t="s">
        <v>174</v>
      </c>
      <c r="B1550">
        <v>4096</v>
      </c>
      <c r="C1550" t="s">
        <v>175</v>
      </c>
      <c r="D1550">
        <v>502</v>
      </c>
      <c r="E1550">
        <v>5</v>
      </c>
      <c r="F1550" s="13">
        <v>320</v>
      </c>
      <c r="G1550">
        <v>5</v>
      </c>
      <c r="H1550">
        <v>320</v>
      </c>
      <c r="I1550">
        <v>0</v>
      </c>
      <c r="J1550">
        <v>0</v>
      </c>
      <c r="K1550">
        <v>759.61956299999997</v>
      </c>
      <c r="L1550">
        <v>34.960219000000102</v>
      </c>
      <c r="M1550">
        <v>73.226085912104693</v>
      </c>
      <c r="N1550">
        <v>0</v>
      </c>
      <c r="O1550" s="8" t="str">
        <f>formatIP(Table1[[#This Row],[Address A]])</f>
        <v>010.012.001.124</v>
      </c>
      <c r="P1550" s="8" t="str">
        <f>formatIP(Table1[[#This Row],[Address B]])</f>
        <v>010.001.001.002</v>
      </c>
      <c r="Q1550" s="8" t="str">
        <f>VLOOKUP(Table1[[#This Row],[Address A]],IP_Master[],4,FALSE)</f>
        <v>KBPPLC</v>
      </c>
      <c r="R1550" s="8" t="e">
        <f>VLOOKUP(Table1[[#This Row],[Address B]],IP_Master[],4,FALSE)</f>
        <v>#N/A</v>
      </c>
      <c r="S1550" s="8" t="str">
        <f>VLOOKUP(Table1[[#This Row],[Address A]],IP_Master[],2,FALSE)</f>
        <v>Slag Fumer</v>
      </c>
      <c r="T1550" s="8" t="e">
        <f>VLOOKUP(Table1[[#This Row],[Address B]],IP_Master[],2,FALSE)</f>
        <v>#N/A</v>
      </c>
      <c r="U1550" s="9" t="str">
        <f>VLOOKUP(Table1[[#This Row],[Address A]],IP_Master[],3,FALSE)</f>
        <v>PLCs &amp; Control Equipment</v>
      </c>
      <c r="V1550" s="9" t="e">
        <f>VLOOKUP(Table1[[#This Row],[Address B]],IP_Master[],3,FALSE)</f>
        <v>#N/A</v>
      </c>
      <c r="W1550" s="9" t="str">
        <f>VLOOKUP(Table1[[#This Row],[Port B]],traffic_types[],2,FALSE)</f>
        <v>Modbus</v>
      </c>
    </row>
    <row r="1551" spans="1:23" x14ac:dyDescent="0.6">
      <c r="A1551" t="s">
        <v>174</v>
      </c>
      <c r="B1551">
        <v>4097</v>
      </c>
      <c r="C1551" t="s">
        <v>176</v>
      </c>
      <c r="D1551">
        <v>502</v>
      </c>
      <c r="E1551">
        <v>5</v>
      </c>
      <c r="F1551" s="13">
        <v>320</v>
      </c>
      <c r="G1551">
        <v>5</v>
      </c>
      <c r="H1551">
        <v>320</v>
      </c>
      <c r="I1551">
        <v>0</v>
      </c>
      <c r="J1551">
        <v>0</v>
      </c>
      <c r="K1551">
        <v>763.96939899999995</v>
      </c>
      <c r="L1551">
        <v>34.970599</v>
      </c>
      <c r="M1551">
        <v>73.204350889156899</v>
      </c>
      <c r="N1551">
        <v>0</v>
      </c>
      <c r="O1551" s="8" t="str">
        <f>formatIP(Table1[[#This Row],[Address A]])</f>
        <v>010.012.001.124</v>
      </c>
      <c r="P1551" s="8" t="str">
        <f>formatIP(Table1[[#This Row],[Address B]])</f>
        <v>010.001.001.003</v>
      </c>
      <c r="Q1551" s="8" t="str">
        <f>VLOOKUP(Table1[[#This Row],[Address A]],IP_Master[],4,FALSE)</f>
        <v>KBPPLC</v>
      </c>
      <c r="R1551" s="8" t="e">
        <f>VLOOKUP(Table1[[#This Row],[Address B]],IP_Master[],4,FALSE)</f>
        <v>#N/A</v>
      </c>
      <c r="S1551" s="8" t="str">
        <f>VLOOKUP(Table1[[#This Row],[Address A]],IP_Master[],2,FALSE)</f>
        <v>Slag Fumer</v>
      </c>
      <c r="T1551" s="8" t="e">
        <f>VLOOKUP(Table1[[#This Row],[Address B]],IP_Master[],2,FALSE)</f>
        <v>#N/A</v>
      </c>
      <c r="U1551" s="9" t="str">
        <f>VLOOKUP(Table1[[#This Row],[Address A]],IP_Master[],3,FALSE)</f>
        <v>PLCs &amp; Control Equipment</v>
      </c>
      <c r="V1551" s="9" t="e">
        <f>VLOOKUP(Table1[[#This Row],[Address B]],IP_Master[],3,FALSE)</f>
        <v>#N/A</v>
      </c>
      <c r="W1551" s="9" t="str">
        <f>VLOOKUP(Table1[[#This Row],[Port B]],traffic_types[],2,FALSE)</f>
        <v>Modbus</v>
      </c>
    </row>
    <row r="1552" spans="1:23" x14ac:dyDescent="0.6">
      <c r="A1552" t="s">
        <v>174</v>
      </c>
      <c r="B1552">
        <v>3712</v>
      </c>
      <c r="C1552" t="s">
        <v>175</v>
      </c>
      <c r="D1552">
        <v>502</v>
      </c>
      <c r="E1552">
        <v>5</v>
      </c>
      <c r="F1552" s="13">
        <v>320</v>
      </c>
      <c r="G1552">
        <v>5</v>
      </c>
      <c r="H1552">
        <v>320</v>
      </c>
      <c r="I1552">
        <v>0</v>
      </c>
      <c r="J1552">
        <v>0</v>
      </c>
      <c r="K1552">
        <v>766.60943499999996</v>
      </c>
      <c r="L1552">
        <v>125.86175299999999</v>
      </c>
      <c r="M1552">
        <v>20.339777088596598</v>
      </c>
      <c r="N1552">
        <v>0</v>
      </c>
      <c r="O1552" s="8" t="str">
        <f>formatIP(Table1[[#This Row],[Address A]])</f>
        <v>010.012.001.124</v>
      </c>
      <c r="P1552" s="8" t="str">
        <f>formatIP(Table1[[#This Row],[Address B]])</f>
        <v>010.001.001.002</v>
      </c>
      <c r="Q1552" s="8" t="str">
        <f>VLOOKUP(Table1[[#This Row],[Address A]],IP_Master[],4,FALSE)</f>
        <v>KBPPLC</v>
      </c>
      <c r="R1552" s="8" t="e">
        <f>VLOOKUP(Table1[[#This Row],[Address B]],IP_Master[],4,FALSE)</f>
        <v>#N/A</v>
      </c>
      <c r="S1552" s="8" t="str">
        <f>VLOOKUP(Table1[[#This Row],[Address A]],IP_Master[],2,FALSE)</f>
        <v>Slag Fumer</v>
      </c>
      <c r="T1552" s="8" t="e">
        <f>VLOOKUP(Table1[[#This Row],[Address B]],IP_Master[],2,FALSE)</f>
        <v>#N/A</v>
      </c>
      <c r="U1552" s="9" t="str">
        <f>VLOOKUP(Table1[[#This Row],[Address A]],IP_Master[],3,FALSE)</f>
        <v>PLCs &amp; Control Equipment</v>
      </c>
      <c r="V1552" s="9" t="e">
        <f>VLOOKUP(Table1[[#This Row],[Address B]],IP_Master[],3,FALSE)</f>
        <v>#N/A</v>
      </c>
      <c r="W1552" s="9" t="str">
        <f>VLOOKUP(Table1[[#This Row],[Port B]],traffic_types[],2,FALSE)</f>
        <v>Modbus</v>
      </c>
    </row>
    <row r="1553" spans="1:23" x14ac:dyDescent="0.6">
      <c r="A1553" t="s">
        <v>174</v>
      </c>
      <c r="B1553">
        <v>3585</v>
      </c>
      <c r="C1553" t="s">
        <v>176</v>
      </c>
      <c r="D1553">
        <v>502</v>
      </c>
      <c r="E1553">
        <v>5</v>
      </c>
      <c r="F1553" s="13">
        <v>320</v>
      </c>
      <c r="G1553">
        <v>5</v>
      </c>
      <c r="H1553">
        <v>320</v>
      </c>
      <c r="I1553">
        <v>0</v>
      </c>
      <c r="J1553">
        <v>0</v>
      </c>
      <c r="K1553">
        <v>770.96035099999995</v>
      </c>
      <c r="L1553">
        <v>90.900375000000096</v>
      </c>
      <c r="M1553">
        <v>28.162700098872001</v>
      </c>
      <c r="N1553">
        <v>0</v>
      </c>
      <c r="O1553" s="8" t="str">
        <f>formatIP(Table1[[#This Row],[Address A]])</f>
        <v>010.012.001.124</v>
      </c>
      <c r="P1553" s="8" t="str">
        <f>formatIP(Table1[[#This Row],[Address B]])</f>
        <v>010.001.001.003</v>
      </c>
      <c r="Q1553" s="8" t="str">
        <f>VLOOKUP(Table1[[#This Row],[Address A]],IP_Master[],4,FALSE)</f>
        <v>KBPPLC</v>
      </c>
      <c r="R1553" s="8" t="e">
        <f>VLOOKUP(Table1[[#This Row],[Address B]],IP_Master[],4,FALSE)</f>
        <v>#N/A</v>
      </c>
      <c r="S1553" s="8" t="str">
        <f>VLOOKUP(Table1[[#This Row],[Address A]],IP_Master[],2,FALSE)</f>
        <v>Slag Fumer</v>
      </c>
      <c r="T1553" s="8" t="e">
        <f>VLOOKUP(Table1[[#This Row],[Address B]],IP_Master[],2,FALSE)</f>
        <v>#N/A</v>
      </c>
      <c r="U1553" s="9" t="str">
        <f>VLOOKUP(Table1[[#This Row],[Address A]],IP_Master[],3,FALSE)</f>
        <v>PLCs &amp; Control Equipment</v>
      </c>
      <c r="V1553" s="9" t="e">
        <f>VLOOKUP(Table1[[#This Row],[Address B]],IP_Master[],3,FALSE)</f>
        <v>#N/A</v>
      </c>
      <c r="W1553" s="9" t="str">
        <f>VLOOKUP(Table1[[#This Row],[Port B]],traffic_types[],2,FALSE)</f>
        <v>Modbus</v>
      </c>
    </row>
    <row r="1554" spans="1:23" x14ac:dyDescent="0.6">
      <c r="A1554" t="s">
        <v>174</v>
      </c>
      <c r="B1554">
        <v>3328</v>
      </c>
      <c r="C1554" t="s">
        <v>175</v>
      </c>
      <c r="D1554">
        <v>502</v>
      </c>
      <c r="E1554">
        <v>5</v>
      </c>
      <c r="F1554" s="13">
        <v>320</v>
      </c>
      <c r="G1554">
        <v>5</v>
      </c>
      <c r="H1554">
        <v>320</v>
      </c>
      <c r="I1554">
        <v>0</v>
      </c>
      <c r="J1554">
        <v>0</v>
      </c>
      <c r="K1554">
        <v>773.59958700000004</v>
      </c>
      <c r="L1554">
        <v>34.960448999999898</v>
      </c>
      <c r="M1554">
        <v>73.2256041677269</v>
      </c>
      <c r="N1554">
        <v>0</v>
      </c>
      <c r="O1554" s="8" t="str">
        <f>formatIP(Table1[[#This Row],[Address A]])</f>
        <v>010.012.001.124</v>
      </c>
      <c r="P1554" s="8" t="str">
        <f>formatIP(Table1[[#This Row],[Address B]])</f>
        <v>010.001.001.002</v>
      </c>
      <c r="Q1554" s="8" t="str">
        <f>VLOOKUP(Table1[[#This Row],[Address A]],IP_Master[],4,FALSE)</f>
        <v>KBPPLC</v>
      </c>
      <c r="R1554" s="8" t="e">
        <f>VLOOKUP(Table1[[#This Row],[Address B]],IP_Master[],4,FALSE)</f>
        <v>#N/A</v>
      </c>
      <c r="S1554" s="8" t="str">
        <f>VLOOKUP(Table1[[#This Row],[Address A]],IP_Master[],2,FALSE)</f>
        <v>Slag Fumer</v>
      </c>
      <c r="T1554" s="8" t="e">
        <f>VLOOKUP(Table1[[#This Row],[Address B]],IP_Master[],2,FALSE)</f>
        <v>#N/A</v>
      </c>
      <c r="U1554" s="9" t="str">
        <f>VLOOKUP(Table1[[#This Row],[Address A]],IP_Master[],3,FALSE)</f>
        <v>PLCs &amp; Control Equipment</v>
      </c>
      <c r="V1554" s="9" t="e">
        <f>VLOOKUP(Table1[[#This Row],[Address B]],IP_Master[],3,FALSE)</f>
        <v>#N/A</v>
      </c>
      <c r="W1554" s="9" t="str">
        <f>VLOOKUP(Table1[[#This Row],[Port B]],traffic_types[],2,FALSE)</f>
        <v>Modbus</v>
      </c>
    </row>
    <row r="1555" spans="1:23" x14ac:dyDescent="0.6">
      <c r="A1555" t="s">
        <v>174</v>
      </c>
      <c r="B1555">
        <v>3329</v>
      </c>
      <c r="C1555" t="s">
        <v>176</v>
      </c>
      <c r="D1555">
        <v>502</v>
      </c>
      <c r="E1555">
        <v>5</v>
      </c>
      <c r="F1555" s="13">
        <v>320</v>
      </c>
      <c r="G1555">
        <v>5</v>
      </c>
      <c r="H1555">
        <v>320</v>
      </c>
      <c r="I1555">
        <v>0</v>
      </c>
      <c r="J1555">
        <v>0</v>
      </c>
      <c r="K1555">
        <v>777.95957299999998</v>
      </c>
      <c r="L1555">
        <v>34.960566999999998</v>
      </c>
      <c r="M1555">
        <v>73.225357014375703</v>
      </c>
      <c r="N1555">
        <v>0</v>
      </c>
      <c r="O1555" s="8" t="str">
        <f>formatIP(Table1[[#This Row],[Address A]])</f>
        <v>010.012.001.124</v>
      </c>
      <c r="P1555" s="8" t="str">
        <f>formatIP(Table1[[#This Row],[Address B]])</f>
        <v>010.001.001.003</v>
      </c>
      <c r="Q1555" s="8" t="str">
        <f>VLOOKUP(Table1[[#This Row],[Address A]],IP_Master[],4,FALSE)</f>
        <v>KBPPLC</v>
      </c>
      <c r="R1555" s="8" t="e">
        <f>VLOOKUP(Table1[[#This Row],[Address B]],IP_Master[],4,FALSE)</f>
        <v>#N/A</v>
      </c>
      <c r="S1555" s="8" t="str">
        <f>VLOOKUP(Table1[[#This Row],[Address A]],IP_Master[],2,FALSE)</f>
        <v>Slag Fumer</v>
      </c>
      <c r="T1555" s="8" t="e">
        <f>VLOOKUP(Table1[[#This Row],[Address B]],IP_Master[],2,FALSE)</f>
        <v>#N/A</v>
      </c>
      <c r="U1555" s="9" t="str">
        <f>VLOOKUP(Table1[[#This Row],[Address A]],IP_Master[],3,FALSE)</f>
        <v>PLCs &amp; Control Equipment</v>
      </c>
      <c r="V1555" s="9" t="e">
        <f>VLOOKUP(Table1[[#This Row],[Address B]],IP_Master[],3,FALSE)</f>
        <v>#N/A</v>
      </c>
      <c r="W1555" s="9" t="str">
        <f>VLOOKUP(Table1[[#This Row],[Port B]],traffic_types[],2,FALSE)</f>
        <v>Modbus</v>
      </c>
    </row>
    <row r="1556" spans="1:23" x14ac:dyDescent="0.6">
      <c r="A1556" t="s">
        <v>174</v>
      </c>
      <c r="B1556">
        <v>4864</v>
      </c>
      <c r="C1556" t="s">
        <v>175</v>
      </c>
      <c r="D1556">
        <v>502</v>
      </c>
      <c r="E1556">
        <v>4</v>
      </c>
      <c r="F1556" s="13">
        <v>256</v>
      </c>
      <c r="G1556">
        <v>4</v>
      </c>
      <c r="H1556">
        <v>256</v>
      </c>
      <c r="I1556">
        <v>0</v>
      </c>
      <c r="J1556">
        <v>0</v>
      </c>
      <c r="K1556">
        <v>780.58962299999996</v>
      </c>
      <c r="L1556">
        <v>4.5005030000000898</v>
      </c>
      <c r="M1556">
        <v>455.06024548810598</v>
      </c>
      <c r="N1556">
        <v>0</v>
      </c>
      <c r="O1556" s="8" t="str">
        <f>formatIP(Table1[[#This Row],[Address A]])</f>
        <v>010.012.001.124</v>
      </c>
      <c r="P1556" s="8" t="str">
        <f>formatIP(Table1[[#This Row],[Address B]])</f>
        <v>010.001.001.002</v>
      </c>
      <c r="Q1556" s="8" t="str">
        <f>VLOOKUP(Table1[[#This Row],[Address A]],IP_Master[],4,FALSE)</f>
        <v>KBPPLC</v>
      </c>
      <c r="R1556" s="8" t="e">
        <f>VLOOKUP(Table1[[#This Row],[Address B]],IP_Master[],4,FALSE)</f>
        <v>#N/A</v>
      </c>
      <c r="S1556" s="8" t="str">
        <f>VLOOKUP(Table1[[#This Row],[Address A]],IP_Master[],2,FALSE)</f>
        <v>Slag Fumer</v>
      </c>
      <c r="T1556" s="8" t="e">
        <f>VLOOKUP(Table1[[#This Row],[Address B]],IP_Master[],2,FALSE)</f>
        <v>#N/A</v>
      </c>
      <c r="U1556" s="9" t="str">
        <f>VLOOKUP(Table1[[#This Row],[Address A]],IP_Master[],3,FALSE)</f>
        <v>PLCs &amp; Control Equipment</v>
      </c>
      <c r="V1556" s="9" t="e">
        <f>VLOOKUP(Table1[[#This Row],[Address B]],IP_Master[],3,FALSE)</f>
        <v>#N/A</v>
      </c>
      <c r="W1556" s="9" t="str">
        <f>VLOOKUP(Table1[[#This Row],[Port B]],traffic_types[],2,FALSE)</f>
        <v>Modbus</v>
      </c>
    </row>
    <row r="1557" spans="1:23" x14ac:dyDescent="0.6">
      <c r="A1557" t="s">
        <v>174</v>
      </c>
      <c r="B1557">
        <v>4865</v>
      </c>
      <c r="C1557" t="s">
        <v>176</v>
      </c>
      <c r="D1557">
        <v>502</v>
      </c>
      <c r="E1557">
        <v>5</v>
      </c>
      <c r="F1557" s="13">
        <v>320</v>
      </c>
      <c r="G1557">
        <v>5</v>
      </c>
      <c r="H1557">
        <v>320</v>
      </c>
      <c r="I1557">
        <v>0</v>
      </c>
      <c r="J1557">
        <v>0</v>
      </c>
      <c r="K1557">
        <v>784.94962699999996</v>
      </c>
      <c r="L1557">
        <v>34.960628</v>
      </c>
      <c r="M1557">
        <v>73.225229249314296</v>
      </c>
      <c r="N1557">
        <v>0</v>
      </c>
      <c r="O1557" s="8" t="str">
        <f>formatIP(Table1[[#This Row],[Address A]])</f>
        <v>010.012.001.124</v>
      </c>
      <c r="P1557" s="8" t="str">
        <f>formatIP(Table1[[#This Row],[Address B]])</f>
        <v>010.001.001.003</v>
      </c>
      <c r="Q1557" s="8" t="str">
        <f>VLOOKUP(Table1[[#This Row],[Address A]],IP_Master[],4,FALSE)</f>
        <v>KBPPLC</v>
      </c>
      <c r="R1557" s="8" t="e">
        <f>VLOOKUP(Table1[[#This Row],[Address B]],IP_Master[],4,FALSE)</f>
        <v>#N/A</v>
      </c>
      <c r="S1557" s="8" t="str">
        <f>VLOOKUP(Table1[[#This Row],[Address A]],IP_Master[],2,FALSE)</f>
        <v>Slag Fumer</v>
      </c>
      <c r="T1557" s="8" t="e">
        <f>VLOOKUP(Table1[[#This Row],[Address B]],IP_Master[],2,FALSE)</f>
        <v>#N/A</v>
      </c>
      <c r="U1557" s="9" t="str">
        <f>VLOOKUP(Table1[[#This Row],[Address A]],IP_Master[],3,FALSE)</f>
        <v>PLCs &amp; Control Equipment</v>
      </c>
      <c r="V1557" s="9" t="e">
        <f>VLOOKUP(Table1[[#This Row],[Address B]],IP_Master[],3,FALSE)</f>
        <v>#N/A</v>
      </c>
      <c r="W1557" s="9" t="str">
        <f>VLOOKUP(Table1[[#This Row],[Port B]],traffic_types[],2,FALSE)</f>
        <v>Modbus</v>
      </c>
    </row>
    <row r="1558" spans="1:23" x14ac:dyDescent="0.6">
      <c r="A1558" t="s">
        <v>174</v>
      </c>
      <c r="B1558">
        <v>4480</v>
      </c>
      <c r="C1558" t="s">
        <v>175</v>
      </c>
      <c r="D1558">
        <v>502</v>
      </c>
      <c r="E1558">
        <v>4</v>
      </c>
      <c r="F1558" s="13">
        <v>256</v>
      </c>
      <c r="G1558">
        <v>4</v>
      </c>
      <c r="H1558">
        <v>256</v>
      </c>
      <c r="I1558">
        <v>0</v>
      </c>
      <c r="J1558">
        <v>0</v>
      </c>
      <c r="K1558">
        <v>787.58041600000001</v>
      </c>
      <c r="L1558">
        <v>4.5090950000000003</v>
      </c>
      <c r="M1558">
        <v>454.19313631671099</v>
      </c>
      <c r="N1558">
        <v>0</v>
      </c>
      <c r="O1558" s="8" t="str">
        <f>formatIP(Table1[[#This Row],[Address A]])</f>
        <v>010.012.001.124</v>
      </c>
      <c r="P1558" s="8" t="str">
        <f>formatIP(Table1[[#This Row],[Address B]])</f>
        <v>010.001.001.002</v>
      </c>
      <c r="Q1558" s="8" t="str">
        <f>VLOOKUP(Table1[[#This Row],[Address A]],IP_Master[],4,FALSE)</f>
        <v>KBPPLC</v>
      </c>
      <c r="R1558" s="8" t="e">
        <f>VLOOKUP(Table1[[#This Row],[Address B]],IP_Master[],4,FALSE)</f>
        <v>#N/A</v>
      </c>
      <c r="S1558" s="8" t="str">
        <f>VLOOKUP(Table1[[#This Row],[Address A]],IP_Master[],2,FALSE)</f>
        <v>Slag Fumer</v>
      </c>
      <c r="T1558" s="8" t="e">
        <f>VLOOKUP(Table1[[#This Row],[Address B]],IP_Master[],2,FALSE)</f>
        <v>#N/A</v>
      </c>
      <c r="U1558" s="9" t="str">
        <f>VLOOKUP(Table1[[#This Row],[Address A]],IP_Master[],3,FALSE)</f>
        <v>PLCs &amp; Control Equipment</v>
      </c>
      <c r="V1558" s="9" t="e">
        <f>VLOOKUP(Table1[[#This Row],[Address B]],IP_Master[],3,FALSE)</f>
        <v>#N/A</v>
      </c>
      <c r="W1558" s="9" t="str">
        <f>VLOOKUP(Table1[[#This Row],[Port B]],traffic_types[],2,FALSE)</f>
        <v>Modbus</v>
      </c>
    </row>
    <row r="1559" spans="1:23" x14ac:dyDescent="0.6">
      <c r="A1559" t="s">
        <v>174</v>
      </c>
      <c r="B1559">
        <v>4481</v>
      </c>
      <c r="C1559" t="s">
        <v>176</v>
      </c>
      <c r="D1559">
        <v>502</v>
      </c>
      <c r="E1559">
        <v>4</v>
      </c>
      <c r="F1559" s="13">
        <v>256</v>
      </c>
      <c r="G1559">
        <v>4</v>
      </c>
      <c r="H1559">
        <v>256</v>
      </c>
      <c r="I1559">
        <v>0</v>
      </c>
      <c r="J1559">
        <v>0</v>
      </c>
      <c r="K1559">
        <v>791.94068900000002</v>
      </c>
      <c r="L1559">
        <v>4.5084859999999498</v>
      </c>
      <c r="M1559">
        <v>454.25448809201703</v>
      </c>
      <c r="N1559">
        <v>0</v>
      </c>
      <c r="O1559" s="8" t="str">
        <f>formatIP(Table1[[#This Row],[Address A]])</f>
        <v>010.012.001.124</v>
      </c>
      <c r="P1559" s="8" t="str">
        <f>formatIP(Table1[[#This Row],[Address B]])</f>
        <v>010.001.001.003</v>
      </c>
      <c r="Q1559" s="8" t="str">
        <f>VLOOKUP(Table1[[#This Row],[Address A]],IP_Master[],4,FALSE)</f>
        <v>KBPPLC</v>
      </c>
      <c r="R1559" s="8" t="e">
        <f>VLOOKUP(Table1[[#This Row],[Address B]],IP_Master[],4,FALSE)</f>
        <v>#N/A</v>
      </c>
      <c r="S1559" s="8" t="str">
        <f>VLOOKUP(Table1[[#This Row],[Address A]],IP_Master[],2,FALSE)</f>
        <v>Slag Fumer</v>
      </c>
      <c r="T1559" s="8" t="e">
        <f>VLOOKUP(Table1[[#This Row],[Address B]],IP_Master[],2,FALSE)</f>
        <v>#N/A</v>
      </c>
      <c r="U1559" s="9" t="str">
        <f>VLOOKUP(Table1[[#This Row],[Address A]],IP_Master[],3,FALSE)</f>
        <v>PLCs &amp; Control Equipment</v>
      </c>
      <c r="V1559" s="9" t="e">
        <f>VLOOKUP(Table1[[#This Row],[Address B]],IP_Master[],3,FALSE)</f>
        <v>#N/A</v>
      </c>
      <c r="W1559" s="9" t="str">
        <f>VLOOKUP(Table1[[#This Row],[Port B]],traffic_types[],2,FALSE)</f>
        <v>Modbus</v>
      </c>
    </row>
    <row r="1560" spans="1:23" x14ac:dyDescent="0.6">
      <c r="A1560" t="s">
        <v>174</v>
      </c>
      <c r="B1560">
        <v>4096</v>
      </c>
      <c r="C1560" t="s">
        <v>175</v>
      </c>
      <c r="D1560">
        <v>502</v>
      </c>
      <c r="E1560">
        <v>5</v>
      </c>
      <c r="F1560" s="13">
        <v>320</v>
      </c>
      <c r="G1560">
        <v>5</v>
      </c>
      <c r="H1560">
        <v>320</v>
      </c>
      <c r="I1560">
        <v>0</v>
      </c>
      <c r="J1560">
        <v>0</v>
      </c>
      <c r="K1560">
        <v>794.57978400000002</v>
      </c>
      <c r="L1560">
        <v>90.901311000000007</v>
      </c>
      <c r="M1560">
        <v>28.1624101108949</v>
      </c>
      <c r="N1560">
        <v>0</v>
      </c>
      <c r="O1560" s="8" t="str">
        <f>formatIP(Table1[[#This Row],[Address A]])</f>
        <v>010.012.001.124</v>
      </c>
      <c r="P1560" s="8" t="str">
        <f>formatIP(Table1[[#This Row],[Address B]])</f>
        <v>010.001.001.002</v>
      </c>
      <c r="Q1560" s="8" t="str">
        <f>VLOOKUP(Table1[[#This Row],[Address A]],IP_Master[],4,FALSE)</f>
        <v>KBPPLC</v>
      </c>
      <c r="R1560" s="8" t="e">
        <f>VLOOKUP(Table1[[#This Row],[Address B]],IP_Master[],4,FALSE)</f>
        <v>#N/A</v>
      </c>
      <c r="S1560" s="8" t="str">
        <f>VLOOKUP(Table1[[#This Row],[Address A]],IP_Master[],2,FALSE)</f>
        <v>Slag Fumer</v>
      </c>
      <c r="T1560" s="8" t="e">
        <f>VLOOKUP(Table1[[#This Row],[Address B]],IP_Master[],2,FALSE)</f>
        <v>#N/A</v>
      </c>
      <c r="U1560" s="9" t="str">
        <f>VLOOKUP(Table1[[#This Row],[Address A]],IP_Master[],3,FALSE)</f>
        <v>PLCs &amp; Control Equipment</v>
      </c>
      <c r="V1560" s="9" t="e">
        <f>VLOOKUP(Table1[[#This Row],[Address B]],IP_Master[],3,FALSE)</f>
        <v>#N/A</v>
      </c>
      <c r="W1560" s="9" t="str">
        <f>VLOOKUP(Table1[[#This Row],[Port B]],traffic_types[],2,FALSE)</f>
        <v>Modbus</v>
      </c>
    </row>
    <row r="1561" spans="1:23" x14ac:dyDescent="0.6">
      <c r="A1561" t="s">
        <v>174</v>
      </c>
      <c r="B1561">
        <v>4097</v>
      </c>
      <c r="C1561" t="s">
        <v>176</v>
      </c>
      <c r="D1561">
        <v>502</v>
      </c>
      <c r="E1561">
        <v>4</v>
      </c>
      <c r="F1561" s="13">
        <v>256</v>
      </c>
      <c r="G1561">
        <v>4</v>
      </c>
      <c r="H1561">
        <v>256</v>
      </c>
      <c r="I1561">
        <v>0</v>
      </c>
      <c r="J1561">
        <v>0</v>
      </c>
      <c r="K1561">
        <v>798.94000200000005</v>
      </c>
      <c r="L1561">
        <v>4.4993199999998996</v>
      </c>
      <c r="M1561">
        <v>455.17989385063697</v>
      </c>
      <c r="N1561">
        <v>0</v>
      </c>
      <c r="O1561" s="8" t="str">
        <f>formatIP(Table1[[#This Row],[Address A]])</f>
        <v>010.012.001.124</v>
      </c>
      <c r="P1561" s="8" t="str">
        <f>formatIP(Table1[[#This Row],[Address B]])</f>
        <v>010.001.001.003</v>
      </c>
      <c r="Q1561" s="8" t="str">
        <f>VLOOKUP(Table1[[#This Row],[Address A]],IP_Master[],4,FALSE)</f>
        <v>KBPPLC</v>
      </c>
      <c r="R1561" s="8" t="e">
        <f>VLOOKUP(Table1[[#This Row],[Address B]],IP_Master[],4,FALSE)</f>
        <v>#N/A</v>
      </c>
      <c r="S1561" s="8" t="str">
        <f>VLOOKUP(Table1[[#This Row],[Address A]],IP_Master[],2,FALSE)</f>
        <v>Slag Fumer</v>
      </c>
      <c r="T1561" s="8" t="e">
        <f>VLOOKUP(Table1[[#This Row],[Address B]],IP_Master[],2,FALSE)</f>
        <v>#N/A</v>
      </c>
      <c r="U1561" s="9" t="str">
        <f>VLOOKUP(Table1[[#This Row],[Address A]],IP_Master[],3,FALSE)</f>
        <v>PLCs &amp; Control Equipment</v>
      </c>
      <c r="V1561" s="9" t="e">
        <f>VLOOKUP(Table1[[#This Row],[Address B]],IP_Master[],3,FALSE)</f>
        <v>#N/A</v>
      </c>
      <c r="W1561" s="9" t="str">
        <f>VLOOKUP(Table1[[#This Row],[Port B]],traffic_types[],2,FALSE)</f>
        <v>Modbus</v>
      </c>
    </row>
    <row r="1562" spans="1:23" x14ac:dyDescent="0.6">
      <c r="A1562" t="s">
        <v>174</v>
      </c>
      <c r="B1562">
        <v>3840</v>
      </c>
      <c r="C1562" t="s">
        <v>175</v>
      </c>
      <c r="D1562">
        <v>502</v>
      </c>
      <c r="E1562">
        <v>5</v>
      </c>
      <c r="F1562" s="13">
        <v>320</v>
      </c>
      <c r="G1562">
        <v>5</v>
      </c>
      <c r="H1562">
        <v>320</v>
      </c>
      <c r="I1562">
        <v>0</v>
      </c>
      <c r="J1562">
        <v>0</v>
      </c>
      <c r="K1562">
        <v>801.56998499999997</v>
      </c>
      <c r="L1562">
        <v>34.961103999999999</v>
      </c>
      <c r="M1562">
        <v>73.224232278248493</v>
      </c>
      <c r="N1562">
        <v>0</v>
      </c>
      <c r="O1562" s="8" t="str">
        <f>formatIP(Table1[[#This Row],[Address A]])</f>
        <v>010.012.001.124</v>
      </c>
      <c r="P1562" s="8" t="str">
        <f>formatIP(Table1[[#This Row],[Address B]])</f>
        <v>010.001.001.002</v>
      </c>
      <c r="Q1562" s="8" t="str">
        <f>VLOOKUP(Table1[[#This Row],[Address A]],IP_Master[],4,FALSE)</f>
        <v>KBPPLC</v>
      </c>
      <c r="R1562" s="8" t="e">
        <f>VLOOKUP(Table1[[#This Row],[Address B]],IP_Master[],4,FALSE)</f>
        <v>#N/A</v>
      </c>
      <c r="S1562" s="8" t="str">
        <f>VLOOKUP(Table1[[#This Row],[Address A]],IP_Master[],2,FALSE)</f>
        <v>Slag Fumer</v>
      </c>
      <c r="T1562" s="8" t="e">
        <f>VLOOKUP(Table1[[#This Row],[Address B]],IP_Master[],2,FALSE)</f>
        <v>#N/A</v>
      </c>
      <c r="U1562" s="9" t="str">
        <f>VLOOKUP(Table1[[#This Row],[Address A]],IP_Master[],3,FALSE)</f>
        <v>PLCs &amp; Control Equipment</v>
      </c>
      <c r="V1562" s="9" t="e">
        <f>VLOOKUP(Table1[[#This Row],[Address B]],IP_Master[],3,FALSE)</f>
        <v>#N/A</v>
      </c>
      <c r="W1562" s="9" t="str">
        <f>VLOOKUP(Table1[[#This Row],[Port B]],traffic_types[],2,FALSE)</f>
        <v>Modbus</v>
      </c>
    </row>
    <row r="1563" spans="1:23" x14ac:dyDescent="0.6">
      <c r="A1563" t="s">
        <v>174</v>
      </c>
      <c r="B1563">
        <v>3713</v>
      </c>
      <c r="C1563" t="s">
        <v>176</v>
      </c>
      <c r="D1563">
        <v>502</v>
      </c>
      <c r="E1563">
        <v>4</v>
      </c>
      <c r="F1563" s="13">
        <v>256</v>
      </c>
      <c r="G1563">
        <v>4</v>
      </c>
      <c r="H1563">
        <v>256</v>
      </c>
      <c r="I1563">
        <v>0</v>
      </c>
      <c r="J1563">
        <v>0</v>
      </c>
      <c r="K1563">
        <v>805.92990399999996</v>
      </c>
      <c r="L1563">
        <v>4.4994850000000497</v>
      </c>
      <c r="M1563">
        <v>455.16320201089201</v>
      </c>
      <c r="N1563">
        <v>0</v>
      </c>
      <c r="O1563" s="8" t="str">
        <f>formatIP(Table1[[#This Row],[Address A]])</f>
        <v>010.012.001.124</v>
      </c>
      <c r="P1563" s="8" t="str">
        <f>formatIP(Table1[[#This Row],[Address B]])</f>
        <v>010.001.001.003</v>
      </c>
      <c r="Q1563" s="8" t="str">
        <f>VLOOKUP(Table1[[#This Row],[Address A]],IP_Master[],4,FALSE)</f>
        <v>KBPPLC</v>
      </c>
      <c r="R1563" s="8" t="e">
        <f>VLOOKUP(Table1[[#This Row],[Address B]],IP_Master[],4,FALSE)</f>
        <v>#N/A</v>
      </c>
      <c r="S1563" s="8" t="str">
        <f>VLOOKUP(Table1[[#This Row],[Address A]],IP_Master[],2,FALSE)</f>
        <v>Slag Fumer</v>
      </c>
      <c r="T1563" s="8" t="e">
        <f>VLOOKUP(Table1[[#This Row],[Address B]],IP_Master[],2,FALSE)</f>
        <v>#N/A</v>
      </c>
      <c r="U1563" s="9" t="str">
        <f>VLOOKUP(Table1[[#This Row],[Address A]],IP_Master[],3,FALSE)</f>
        <v>PLCs &amp; Control Equipment</v>
      </c>
      <c r="V1563" s="9" t="e">
        <f>VLOOKUP(Table1[[#This Row],[Address B]],IP_Master[],3,FALSE)</f>
        <v>#N/A</v>
      </c>
      <c r="W1563" s="9" t="str">
        <f>VLOOKUP(Table1[[#This Row],[Port B]],traffic_types[],2,FALSE)</f>
        <v>Modbus</v>
      </c>
    </row>
    <row r="1564" spans="1:23" x14ac:dyDescent="0.6">
      <c r="A1564" t="s">
        <v>174</v>
      </c>
      <c r="B1564">
        <v>3328</v>
      </c>
      <c r="C1564" t="s">
        <v>175</v>
      </c>
      <c r="D1564">
        <v>502</v>
      </c>
      <c r="E1564">
        <v>5</v>
      </c>
      <c r="F1564" s="13">
        <v>320</v>
      </c>
      <c r="G1564">
        <v>5</v>
      </c>
      <c r="H1564">
        <v>320</v>
      </c>
      <c r="I1564">
        <v>0</v>
      </c>
      <c r="J1564">
        <v>0</v>
      </c>
      <c r="K1564">
        <v>808.56003599999997</v>
      </c>
      <c r="L1564">
        <v>90.901281999999995</v>
      </c>
      <c r="M1564">
        <v>28.162419095475499</v>
      </c>
      <c r="N1564">
        <v>0</v>
      </c>
      <c r="O1564" s="8" t="str">
        <f>formatIP(Table1[[#This Row],[Address A]])</f>
        <v>010.012.001.124</v>
      </c>
      <c r="P1564" s="8" t="str">
        <f>formatIP(Table1[[#This Row],[Address B]])</f>
        <v>010.001.001.002</v>
      </c>
      <c r="Q1564" s="8" t="str">
        <f>VLOOKUP(Table1[[#This Row],[Address A]],IP_Master[],4,FALSE)</f>
        <v>KBPPLC</v>
      </c>
      <c r="R1564" s="8" t="e">
        <f>VLOOKUP(Table1[[#This Row],[Address B]],IP_Master[],4,FALSE)</f>
        <v>#N/A</v>
      </c>
      <c r="S1564" s="8" t="str">
        <f>VLOOKUP(Table1[[#This Row],[Address A]],IP_Master[],2,FALSE)</f>
        <v>Slag Fumer</v>
      </c>
      <c r="T1564" s="8" t="e">
        <f>VLOOKUP(Table1[[#This Row],[Address B]],IP_Master[],2,FALSE)</f>
        <v>#N/A</v>
      </c>
      <c r="U1564" s="9" t="str">
        <f>VLOOKUP(Table1[[#This Row],[Address A]],IP_Master[],3,FALSE)</f>
        <v>PLCs &amp; Control Equipment</v>
      </c>
      <c r="V1564" s="9" t="e">
        <f>VLOOKUP(Table1[[#This Row],[Address B]],IP_Master[],3,FALSE)</f>
        <v>#N/A</v>
      </c>
      <c r="W1564" s="9" t="str">
        <f>VLOOKUP(Table1[[#This Row],[Port B]],traffic_types[],2,FALSE)</f>
        <v>Modbus</v>
      </c>
    </row>
    <row r="1565" spans="1:23" x14ac:dyDescent="0.6">
      <c r="A1565" t="s">
        <v>174</v>
      </c>
      <c r="B1565">
        <v>3329</v>
      </c>
      <c r="C1565" t="s">
        <v>176</v>
      </c>
      <c r="D1565">
        <v>502</v>
      </c>
      <c r="E1565">
        <v>4</v>
      </c>
      <c r="F1565" s="13">
        <v>256</v>
      </c>
      <c r="G1565">
        <v>4</v>
      </c>
      <c r="H1565">
        <v>256</v>
      </c>
      <c r="I1565">
        <v>0</v>
      </c>
      <c r="J1565">
        <v>0</v>
      </c>
      <c r="K1565">
        <v>812.92014300000005</v>
      </c>
      <c r="L1565">
        <v>4.4993629999999003</v>
      </c>
      <c r="M1565">
        <v>455.17554373809003</v>
      </c>
      <c r="N1565">
        <v>0</v>
      </c>
      <c r="O1565" s="8" t="str">
        <f>formatIP(Table1[[#This Row],[Address A]])</f>
        <v>010.012.001.124</v>
      </c>
      <c r="P1565" s="8" t="str">
        <f>formatIP(Table1[[#This Row],[Address B]])</f>
        <v>010.001.001.003</v>
      </c>
      <c r="Q1565" s="8" t="str">
        <f>VLOOKUP(Table1[[#This Row],[Address A]],IP_Master[],4,FALSE)</f>
        <v>KBPPLC</v>
      </c>
      <c r="R1565" s="8" t="e">
        <f>VLOOKUP(Table1[[#This Row],[Address B]],IP_Master[],4,FALSE)</f>
        <v>#N/A</v>
      </c>
      <c r="S1565" s="8" t="str">
        <f>VLOOKUP(Table1[[#This Row],[Address A]],IP_Master[],2,FALSE)</f>
        <v>Slag Fumer</v>
      </c>
      <c r="T1565" s="8" t="e">
        <f>VLOOKUP(Table1[[#This Row],[Address B]],IP_Master[],2,FALSE)</f>
        <v>#N/A</v>
      </c>
      <c r="U1565" s="9" t="str">
        <f>VLOOKUP(Table1[[#This Row],[Address A]],IP_Master[],3,FALSE)</f>
        <v>PLCs &amp; Control Equipment</v>
      </c>
      <c r="V1565" s="9" t="e">
        <f>VLOOKUP(Table1[[#This Row],[Address B]],IP_Master[],3,FALSE)</f>
        <v>#N/A</v>
      </c>
      <c r="W1565" s="9" t="str">
        <f>VLOOKUP(Table1[[#This Row],[Port B]],traffic_types[],2,FALSE)</f>
        <v>Modbus</v>
      </c>
    </row>
    <row r="1566" spans="1:23" x14ac:dyDescent="0.6">
      <c r="A1566" t="s">
        <v>174</v>
      </c>
      <c r="B1566">
        <v>3072</v>
      </c>
      <c r="C1566" t="s">
        <v>175</v>
      </c>
      <c r="D1566">
        <v>502</v>
      </c>
      <c r="E1566">
        <v>5</v>
      </c>
      <c r="F1566" s="13">
        <v>320</v>
      </c>
      <c r="G1566">
        <v>5</v>
      </c>
      <c r="H1566">
        <v>320</v>
      </c>
      <c r="I1566">
        <v>0</v>
      </c>
      <c r="J1566">
        <v>0</v>
      </c>
      <c r="K1566">
        <v>815.55019300000004</v>
      </c>
      <c r="L1566">
        <v>34.980379999999997</v>
      </c>
      <c r="M1566">
        <v>73.183881936102495</v>
      </c>
      <c r="N1566">
        <v>0</v>
      </c>
      <c r="O1566" s="8" t="str">
        <f>formatIP(Table1[[#This Row],[Address A]])</f>
        <v>010.012.001.124</v>
      </c>
      <c r="P1566" s="8" t="str">
        <f>formatIP(Table1[[#This Row],[Address B]])</f>
        <v>010.001.001.002</v>
      </c>
      <c r="Q1566" s="8" t="str">
        <f>VLOOKUP(Table1[[#This Row],[Address A]],IP_Master[],4,FALSE)</f>
        <v>KBPPLC</v>
      </c>
      <c r="R1566" s="8" t="e">
        <f>VLOOKUP(Table1[[#This Row],[Address B]],IP_Master[],4,FALSE)</f>
        <v>#N/A</v>
      </c>
      <c r="S1566" s="8" t="str">
        <f>VLOOKUP(Table1[[#This Row],[Address A]],IP_Master[],2,FALSE)</f>
        <v>Slag Fumer</v>
      </c>
      <c r="T1566" s="8" t="e">
        <f>VLOOKUP(Table1[[#This Row],[Address B]],IP_Master[],2,FALSE)</f>
        <v>#N/A</v>
      </c>
      <c r="U1566" s="9" t="str">
        <f>VLOOKUP(Table1[[#This Row],[Address A]],IP_Master[],3,FALSE)</f>
        <v>PLCs &amp; Control Equipment</v>
      </c>
      <c r="V1566" s="9" t="e">
        <f>VLOOKUP(Table1[[#This Row],[Address B]],IP_Master[],3,FALSE)</f>
        <v>#N/A</v>
      </c>
      <c r="W1566" s="9" t="str">
        <f>VLOOKUP(Table1[[#This Row],[Port B]],traffic_types[],2,FALSE)</f>
        <v>Modbus</v>
      </c>
    </row>
    <row r="1567" spans="1:23" x14ac:dyDescent="0.6">
      <c r="A1567" t="s">
        <v>174</v>
      </c>
      <c r="B1567">
        <v>4865</v>
      </c>
      <c r="C1567" t="s">
        <v>176</v>
      </c>
      <c r="D1567">
        <v>502</v>
      </c>
      <c r="E1567">
        <v>4</v>
      </c>
      <c r="F1567" s="13">
        <v>256</v>
      </c>
      <c r="G1567">
        <v>4</v>
      </c>
      <c r="H1567">
        <v>256</v>
      </c>
      <c r="I1567">
        <v>0</v>
      </c>
      <c r="J1567">
        <v>0</v>
      </c>
      <c r="K1567">
        <v>819.910258</v>
      </c>
      <c r="L1567">
        <v>4.4994500000000199</v>
      </c>
      <c r="M1567">
        <v>455.16674260187102</v>
      </c>
      <c r="N1567">
        <v>0</v>
      </c>
      <c r="O1567" s="8" t="str">
        <f>formatIP(Table1[[#This Row],[Address A]])</f>
        <v>010.012.001.124</v>
      </c>
      <c r="P1567" s="8" t="str">
        <f>formatIP(Table1[[#This Row],[Address B]])</f>
        <v>010.001.001.003</v>
      </c>
      <c r="Q1567" s="8" t="str">
        <f>VLOOKUP(Table1[[#This Row],[Address A]],IP_Master[],4,FALSE)</f>
        <v>KBPPLC</v>
      </c>
      <c r="R1567" s="8" t="e">
        <f>VLOOKUP(Table1[[#This Row],[Address B]],IP_Master[],4,FALSE)</f>
        <v>#N/A</v>
      </c>
      <c r="S1567" s="8" t="str">
        <f>VLOOKUP(Table1[[#This Row],[Address A]],IP_Master[],2,FALSE)</f>
        <v>Slag Fumer</v>
      </c>
      <c r="T1567" s="8" t="e">
        <f>VLOOKUP(Table1[[#This Row],[Address B]],IP_Master[],2,FALSE)</f>
        <v>#N/A</v>
      </c>
      <c r="U1567" s="9" t="str">
        <f>VLOOKUP(Table1[[#This Row],[Address A]],IP_Master[],3,FALSE)</f>
        <v>PLCs &amp; Control Equipment</v>
      </c>
      <c r="V1567" s="9" t="e">
        <f>VLOOKUP(Table1[[#This Row],[Address B]],IP_Master[],3,FALSE)</f>
        <v>#N/A</v>
      </c>
      <c r="W1567" s="9" t="str">
        <f>VLOOKUP(Table1[[#This Row],[Port B]],traffic_types[],2,FALSE)</f>
        <v>Modbus</v>
      </c>
    </row>
    <row r="1568" spans="1:23" x14ac:dyDescent="0.6">
      <c r="A1568" t="s">
        <v>174</v>
      </c>
      <c r="B1568">
        <v>3584</v>
      </c>
      <c r="C1568" t="s">
        <v>175</v>
      </c>
      <c r="D1568">
        <v>502</v>
      </c>
      <c r="E1568">
        <v>5</v>
      </c>
      <c r="F1568" s="13">
        <v>320</v>
      </c>
      <c r="G1568">
        <v>5</v>
      </c>
      <c r="H1568">
        <v>320</v>
      </c>
      <c r="I1568">
        <v>0</v>
      </c>
      <c r="J1568">
        <v>0</v>
      </c>
      <c r="K1568">
        <v>822.54095800000005</v>
      </c>
      <c r="L1568">
        <v>55.950137999999903</v>
      </c>
      <c r="M1568">
        <v>45.755025662313898</v>
      </c>
      <c r="N1568">
        <v>0</v>
      </c>
      <c r="O1568" s="8" t="str">
        <f>formatIP(Table1[[#This Row],[Address A]])</f>
        <v>010.012.001.124</v>
      </c>
      <c r="P1568" s="8" t="str">
        <f>formatIP(Table1[[#This Row],[Address B]])</f>
        <v>010.001.001.002</v>
      </c>
      <c r="Q1568" s="8" t="str">
        <f>VLOOKUP(Table1[[#This Row],[Address A]],IP_Master[],4,FALSE)</f>
        <v>KBPPLC</v>
      </c>
      <c r="R1568" s="8" t="e">
        <f>VLOOKUP(Table1[[#This Row],[Address B]],IP_Master[],4,FALSE)</f>
        <v>#N/A</v>
      </c>
      <c r="S1568" s="8" t="str">
        <f>VLOOKUP(Table1[[#This Row],[Address A]],IP_Master[],2,FALSE)</f>
        <v>Slag Fumer</v>
      </c>
      <c r="T1568" s="8" t="e">
        <f>VLOOKUP(Table1[[#This Row],[Address B]],IP_Master[],2,FALSE)</f>
        <v>#N/A</v>
      </c>
      <c r="U1568" s="9" t="str">
        <f>VLOOKUP(Table1[[#This Row],[Address A]],IP_Master[],3,FALSE)</f>
        <v>PLCs &amp; Control Equipment</v>
      </c>
      <c r="V1568" s="9" t="e">
        <f>VLOOKUP(Table1[[#This Row],[Address B]],IP_Master[],3,FALSE)</f>
        <v>#N/A</v>
      </c>
      <c r="W1568" s="9" t="str">
        <f>VLOOKUP(Table1[[#This Row],[Port B]],traffic_types[],2,FALSE)</f>
        <v>Modbus</v>
      </c>
    </row>
    <row r="1569" spans="1:23" x14ac:dyDescent="0.6">
      <c r="A1569" t="s">
        <v>174</v>
      </c>
      <c r="B1569">
        <v>3457</v>
      </c>
      <c r="C1569" t="s">
        <v>176</v>
      </c>
      <c r="D1569">
        <v>502</v>
      </c>
      <c r="E1569">
        <v>4</v>
      </c>
      <c r="F1569" s="13">
        <v>256</v>
      </c>
      <c r="G1569">
        <v>4</v>
      </c>
      <c r="H1569">
        <v>256</v>
      </c>
      <c r="I1569">
        <v>0</v>
      </c>
      <c r="J1569">
        <v>0</v>
      </c>
      <c r="K1569">
        <v>826.90033200000005</v>
      </c>
      <c r="L1569">
        <v>4.49938799999995</v>
      </c>
      <c r="M1569">
        <v>455.17301464110699</v>
      </c>
      <c r="N1569">
        <v>0</v>
      </c>
      <c r="O1569" s="8" t="str">
        <f>formatIP(Table1[[#This Row],[Address A]])</f>
        <v>010.012.001.124</v>
      </c>
      <c r="P1569" s="8" t="str">
        <f>formatIP(Table1[[#This Row],[Address B]])</f>
        <v>010.001.001.003</v>
      </c>
      <c r="Q1569" s="8" t="str">
        <f>VLOOKUP(Table1[[#This Row],[Address A]],IP_Master[],4,FALSE)</f>
        <v>KBPPLC</v>
      </c>
      <c r="R1569" s="8" t="e">
        <f>VLOOKUP(Table1[[#This Row],[Address B]],IP_Master[],4,FALSE)</f>
        <v>#N/A</v>
      </c>
      <c r="S1569" s="8" t="str">
        <f>VLOOKUP(Table1[[#This Row],[Address A]],IP_Master[],2,FALSE)</f>
        <v>Slag Fumer</v>
      </c>
      <c r="T1569" s="8" t="e">
        <f>VLOOKUP(Table1[[#This Row],[Address B]],IP_Master[],2,FALSE)</f>
        <v>#N/A</v>
      </c>
      <c r="U1569" s="9" t="str">
        <f>VLOOKUP(Table1[[#This Row],[Address A]],IP_Master[],3,FALSE)</f>
        <v>PLCs &amp; Control Equipment</v>
      </c>
      <c r="V1569" s="9" t="e">
        <f>VLOOKUP(Table1[[#This Row],[Address B]],IP_Master[],3,FALSE)</f>
        <v>#N/A</v>
      </c>
      <c r="W1569" s="9" t="str">
        <f>VLOOKUP(Table1[[#This Row],[Port B]],traffic_types[],2,FALSE)</f>
        <v>Modbus</v>
      </c>
    </row>
    <row r="1570" spans="1:23" x14ac:dyDescent="0.6">
      <c r="A1570" t="s">
        <v>174</v>
      </c>
      <c r="B1570">
        <v>4224</v>
      </c>
      <c r="C1570" t="s">
        <v>175</v>
      </c>
      <c r="D1570">
        <v>502</v>
      </c>
      <c r="E1570">
        <v>4</v>
      </c>
      <c r="F1570" s="13">
        <v>256</v>
      </c>
      <c r="G1570">
        <v>4</v>
      </c>
      <c r="H1570">
        <v>256</v>
      </c>
      <c r="I1570">
        <v>0</v>
      </c>
      <c r="J1570">
        <v>0</v>
      </c>
      <c r="K1570">
        <v>829.54030499999999</v>
      </c>
      <c r="L1570">
        <v>4.4994390000000504</v>
      </c>
      <c r="M1570">
        <v>455.16785537040897</v>
      </c>
      <c r="N1570">
        <v>0</v>
      </c>
      <c r="O1570" s="8" t="str">
        <f>formatIP(Table1[[#This Row],[Address A]])</f>
        <v>010.012.001.124</v>
      </c>
      <c r="P1570" s="8" t="str">
        <f>formatIP(Table1[[#This Row],[Address B]])</f>
        <v>010.001.001.002</v>
      </c>
      <c r="Q1570" s="8" t="str">
        <f>VLOOKUP(Table1[[#This Row],[Address A]],IP_Master[],4,FALSE)</f>
        <v>KBPPLC</v>
      </c>
      <c r="R1570" s="8" t="e">
        <f>VLOOKUP(Table1[[#This Row],[Address B]],IP_Master[],4,FALSE)</f>
        <v>#N/A</v>
      </c>
      <c r="S1570" s="8" t="str">
        <f>VLOOKUP(Table1[[#This Row],[Address A]],IP_Master[],2,FALSE)</f>
        <v>Slag Fumer</v>
      </c>
      <c r="T1570" s="8" t="e">
        <f>VLOOKUP(Table1[[#This Row],[Address B]],IP_Master[],2,FALSE)</f>
        <v>#N/A</v>
      </c>
      <c r="U1570" s="9" t="str">
        <f>VLOOKUP(Table1[[#This Row],[Address A]],IP_Master[],3,FALSE)</f>
        <v>PLCs &amp; Control Equipment</v>
      </c>
      <c r="V1570" s="9" t="e">
        <f>VLOOKUP(Table1[[#This Row],[Address B]],IP_Master[],3,FALSE)</f>
        <v>#N/A</v>
      </c>
      <c r="W1570" s="9" t="str">
        <f>VLOOKUP(Table1[[#This Row],[Port B]],traffic_types[],2,FALSE)</f>
        <v>Modbus</v>
      </c>
    </row>
    <row r="1571" spans="1:23" x14ac:dyDescent="0.6">
      <c r="A1571" t="s">
        <v>174</v>
      </c>
      <c r="B1571">
        <v>4225</v>
      </c>
      <c r="C1571" t="s">
        <v>176</v>
      </c>
      <c r="D1571">
        <v>502</v>
      </c>
      <c r="E1571">
        <v>4</v>
      </c>
      <c r="F1571" s="13">
        <v>256</v>
      </c>
      <c r="G1571">
        <v>4</v>
      </c>
      <c r="H1571">
        <v>256</v>
      </c>
      <c r="I1571">
        <v>0</v>
      </c>
      <c r="J1571">
        <v>0</v>
      </c>
      <c r="K1571">
        <v>833.89040899999998</v>
      </c>
      <c r="L1571">
        <v>4.4994390000000504</v>
      </c>
      <c r="M1571">
        <v>455.16785537040897</v>
      </c>
      <c r="N1571">
        <v>0</v>
      </c>
      <c r="O1571" s="8" t="str">
        <f>formatIP(Table1[[#This Row],[Address A]])</f>
        <v>010.012.001.124</v>
      </c>
      <c r="P1571" s="8" t="str">
        <f>formatIP(Table1[[#This Row],[Address B]])</f>
        <v>010.001.001.003</v>
      </c>
      <c r="Q1571" s="8" t="str">
        <f>VLOOKUP(Table1[[#This Row],[Address A]],IP_Master[],4,FALSE)</f>
        <v>KBPPLC</v>
      </c>
      <c r="R1571" s="8" t="e">
        <f>VLOOKUP(Table1[[#This Row],[Address B]],IP_Master[],4,FALSE)</f>
        <v>#N/A</v>
      </c>
      <c r="S1571" s="8" t="str">
        <f>VLOOKUP(Table1[[#This Row],[Address A]],IP_Master[],2,FALSE)</f>
        <v>Slag Fumer</v>
      </c>
      <c r="T1571" s="8" t="e">
        <f>VLOOKUP(Table1[[#This Row],[Address B]],IP_Master[],2,FALSE)</f>
        <v>#N/A</v>
      </c>
      <c r="U1571" s="9" t="str">
        <f>VLOOKUP(Table1[[#This Row],[Address A]],IP_Master[],3,FALSE)</f>
        <v>PLCs &amp; Control Equipment</v>
      </c>
      <c r="V1571" s="9" t="e">
        <f>VLOOKUP(Table1[[#This Row],[Address B]],IP_Master[],3,FALSE)</f>
        <v>#N/A</v>
      </c>
      <c r="W1571" s="9" t="str">
        <f>VLOOKUP(Table1[[#This Row],[Port B]],traffic_types[],2,FALSE)</f>
        <v>Modbus</v>
      </c>
    </row>
    <row r="1572" spans="1:23" x14ac:dyDescent="0.6">
      <c r="A1572" t="s">
        <v>174</v>
      </c>
      <c r="B1572">
        <v>3840</v>
      </c>
      <c r="C1572" t="s">
        <v>175</v>
      </c>
      <c r="D1572">
        <v>502</v>
      </c>
      <c r="E1572">
        <v>4</v>
      </c>
      <c r="F1572" s="13">
        <v>256</v>
      </c>
      <c r="G1572">
        <v>4</v>
      </c>
      <c r="H1572">
        <v>256</v>
      </c>
      <c r="I1572">
        <v>0</v>
      </c>
      <c r="J1572">
        <v>0</v>
      </c>
      <c r="K1572">
        <v>836.53108999999995</v>
      </c>
      <c r="L1572">
        <v>4.5088030000000598</v>
      </c>
      <c r="M1572">
        <v>454.22255086327198</v>
      </c>
      <c r="N1572">
        <v>0</v>
      </c>
      <c r="O1572" s="8" t="str">
        <f>formatIP(Table1[[#This Row],[Address A]])</f>
        <v>010.012.001.124</v>
      </c>
      <c r="P1572" s="8" t="str">
        <f>formatIP(Table1[[#This Row],[Address B]])</f>
        <v>010.001.001.002</v>
      </c>
      <c r="Q1572" s="8" t="str">
        <f>VLOOKUP(Table1[[#This Row],[Address A]],IP_Master[],4,FALSE)</f>
        <v>KBPPLC</v>
      </c>
      <c r="R1572" s="8" t="e">
        <f>VLOOKUP(Table1[[#This Row],[Address B]],IP_Master[],4,FALSE)</f>
        <v>#N/A</v>
      </c>
      <c r="S1572" s="8" t="str">
        <f>VLOOKUP(Table1[[#This Row],[Address A]],IP_Master[],2,FALSE)</f>
        <v>Slag Fumer</v>
      </c>
      <c r="T1572" s="8" t="e">
        <f>VLOOKUP(Table1[[#This Row],[Address B]],IP_Master[],2,FALSE)</f>
        <v>#N/A</v>
      </c>
      <c r="U1572" s="9" t="str">
        <f>VLOOKUP(Table1[[#This Row],[Address A]],IP_Master[],3,FALSE)</f>
        <v>PLCs &amp; Control Equipment</v>
      </c>
      <c r="V1572" s="9" t="e">
        <f>VLOOKUP(Table1[[#This Row],[Address B]],IP_Master[],3,FALSE)</f>
        <v>#N/A</v>
      </c>
      <c r="W1572" s="9" t="str">
        <f>VLOOKUP(Table1[[#This Row],[Port B]],traffic_types[],2,FALSE)</f>
        <v>Modbus</v>
      </c>
    </row>
    <row r="1573" spans="1:23" x14ac:dyDescent="0.6">
      <c r="A1573" t="s">
        <v>174</v>
      </c>
      <c r="B1573">
        <v>4609</v>
      </c>
      <c r="C1573" t="s">
        <v>176</v>
      </c>
      <c r="D1573">
        <v>502</v>
      </c>
      <c r="E1573">
        <v>4</v>
      </c>
      <c r="F1573" s="13">
        <v>256</v>
      </c>
      <c r="G1573">
        <v>4</v>
      </c>
      <c r="H1573">
        <v>256</v>
      </c>
      <c r="I1573">
        <v>0</v>
      </c>
      <c r="J1573">
        <v>0</v>
      </c>
      <c r="K1573">
        <v>840.88047099999994</v>
      </c>
      <c r="L1573">
        <v>4.4994470000000302</v>
      </c>
      <c r="M1573">
        <v>455.16704608366001</v>
      </c>
      <c r="N1573">
        <v>0</v>
      </c>
      <c r="O1573" s="8" t="str">
        <f>formatIP(Table1[[#This Row],[Address A]])</f>
        <v>010.012.001.124</v>
      </c>
      <c r="P1573" s="8" t="str">
        <f>formatIP(Table1[[#This Row],[Address B]])</f>
        <v>010.001.001.003</v>
      </c>
      <c r="Q1573" s="8" t="str">
        <f>VLOOKUP(Table1[[#This Row],[Address A]],IP_Master[],4,FALSE)</f>
        <v>KBPPLC</v>
      </c>
      <c r="R1573" s="8" t="e">
        <f>VLOOKUP(Table1[[#This Row],[Address B]],IP_Master[],4,FALSE)</f>
        <v>#N/A</v>
      </c>
      <c r="S1573" s="8" t="str">
        <f>VLOOKUP(Table1[[#This Row],[Address A]],IP_Master[],2,FALSE)</f>
        <v>Slag Fumer</v>
      </c>
      <c r="T1573" s="8" t="e">
        <f>VLOOKUP(Table1[[#This Row],[Address B]],IP_Master[],2,FALSE)</f>
        <v>#N/A</v>
      </c>
      <c r="U1573" s="9" t="str">
        <f>VLOOKUP(Table1[[#This Row],[Address A]],IP_Master[],3,FALSE)</f>
        <v>PLCs &amp; Control Equipment</v>
      </c>
      <c r="V1573" s="9" t="e">
        <f>VLOOKUP(Table1[[#This Row],[Address B]],IP_Master[],3,FALSE)</f>
        <v>#N/A</v>
      </c>
      <c r="W1573" s="9" t="str">
        <f>VLOOKUP(Table1[[#This Row],[Port B]],traffic_types[],2,FALSE)</f>
        <v>Modbus</v>
      </c>
    </row>
    <row r="1574" spans="1:23" x14ac:dyDescent="0.6">
      <c r="A1574" t="s">
        <v>174</v>
      </c>
      <c r="B1574">
        <v>3456</v>
      </c>
      <c r="C1574" t="s">
        <v>175</v>
      </c>
      <c r="D1574">
        <v>502</v>
      </c>
      <c r="E1574">
        <v>4</v>
      </c>
      <c r="F1574" s="13">
        <v>256</v>
      </c>
      <c r="G1574">
        <v>4</v>
      </c>
      <c r="H1574">
        <v>256</v>
      </c>
      <c r="I1574">
        <v>0</v>
      </c>
      <c r="J1574">
        <v>0</v>
      </c>
      <c r="K1574">
        <v>843.53127199999994</v>
      </c>
      <c r="L1574">
        <v>4.5089580000000096</v>
      </c>
      <c r="M1574">
        <v>454.206936502845</v>
      </c>
      <c r="N1574">
        <v>0</v>
      </c>
      <c r="O1574" s="8" t="str">
        <f>formatIP(Table1[[#This Row],[Address A]])</f>
        <v>010.012.001.124</v>
      </c>
      <c r="P1574" s="8" t="str">
        <f>formatIP(Table1[[#This Row],[Address B]])</f>
        <v>010.001.001.002</v>
      </c>
      <c r="Q1574" s="8" t="str">
        <f>VLOOKUP(Table1[[#This Row],[Address A]],IP_Master[],4,FALSE)</f>
        <v>KBPPLC</v>
      </c>
      <c r="R1574" s="8" t="e">
        <f>VLOOKUP(Table1[[#This Row],[Address B]],IP_Master[],4,FALSE)</f>
        <v>#N/A</v>
      </c>
      <c r="S1574" s="8" t="str">
        <f>VLOOKUP(Table1[[#This Row],[Address A]],IP_Master[],2,FALSE)</f>
        <v>Slag Fumer</v>
      </c>
      <c r="T1574" s="8" t="e">
        <f>VLOOKUP(Table1[[#This Row],[Address B]],IP_Master[],2,FALSE)</f>
        <v>#N/A</v>
      </c>
      <c r="U1574" s="9" t="str">
        <f>VLOOKUP(Table1[[#This Row],[Address A]],IP_Master[],3,FALSE)</f>
        <v>PLCs &amp; Control Equipment</v>
      </c>
      <c r="V1574" s="9" t="e">
        <f>VLOOKUP(Table1[[#This Row],[Address B]],IP_Master[],3,FALSE)</f>
        <v>#N/A</v>
      </c>
      <c r="W1574" s="9" t="str">
        <f>VLOOKUP(Table1[[#This Row],[Port B]],traffic_types[],2,FALSE)</f>
        <v>Modbus</v>
      </c>
    </row>
    <row r="1575" spans="1:23" x14ac:dyDescent="0.6">
      <c r="A1575" t="s">
        <v>174</v>
      </c>
      <c r="B1575">
        <v>4353</v>
      </c>
      <c r="C1575" t="s">
        <v>176</v>
      </c>
      <c r="D1575">
        <v>502</v>
      </c>
      <c r="E1575">
        <v>5</v>
      </c>
      <c r="F1575" s="13">
        <v>320</v>
      </c>
      <c r="G1575">
        <v>5</v>
      </c>
      <c r="H1575">
        <v>320</v>
      </c>
      <c r="I1575">
        <v>0</v>
      </c>
      <c r="J1575">
        <v>0</v>
      </c>
      <c r="K1575">
        <v>847.87135799999999</v>
      </c>
      <c r="L1575">
        <v>34.969630000000102</v>
      </c>
      <c r="M1575">
        <v>73.206379364036593</v>
      </c>
      <c r="N1575">
        <v>0</v>
      </c>
      <c r="O1575" s="8" t="str">
        <f>formatIP(Table1[[#This Row],[Address A]])</f>
        <v>010.012.001.124</v>
      </c>
      <c r="P1575" s="8" t="str">
        <f>formatIP(Table1[[#This Row],[Address B]])</f>
        <v>010.001.001.003</v>
      </c>
      <c r="Q1575" s="8" t="str">
        <f>VLOOKUP(Table1[[#This Row],[Address A]],IP_Master[],4,FALSE)</f>
        <v>KBPPLC</v>
      </c>
      <c r="R1575" s="8" t="e">
        <f>VLOOKUP(Table1[[#This Row],[Address B]],IP_Master[],4,FALSE)</f>
        <v>#N/A</v>
      </c>
      <c r="S1575" s="8" t="str">
        <f>VLOOKUP(Table1[[#This Row],[Address A]],IP_Master[],2,FALSE)</f>
        <v>Slag Fumer</v>
      </c>
      <c r="T1575" s="8" t="e">
        <f>VLOOKUP(Table1[[#This Row],[Address B]],IP_Master[],2,FALSE)</f>
        <v>#N/A</v>
      </c>
      <c r="U1575" s="9" t="str">
        <f>VLOOKUP(Table1[[#This Row],[Address A]],IP_Master[],3,FALSE)</f>
        <v>PLCs &amp; Control Equipment</v>
      </c>
      <c r="V1575" s="9" t="e">
        <f>VLOOKUP(Table1[[#This Row],[Address B]],IP_Master[],3,FALSE)</f>
        <v>#N/A</v>
      </c>
      <c r="W1575" s="9" t="str">
        <f>VLOOKUP(Table1[[#This Row],[Port B]],traffic_types[],2,FALSE)</f>
        <v>Modbus</v>
      </c>
    </row>
    <row r="1576" spans="1:23" x14ac:dyDescent="0.6">
      <c r="A1576" t="s">
        <v>174</v>
      </c>
      <c r="B1576">
        <v>3072</v>
      </c>
      <c r="C1576" t="s">
        <v>175</v>
      </c>
      <c r="D1576">
        <v>502</v>
      </c>
      <c r="E1576">
        <v>4</v>
      </c>
      <c r="F1576" s="13">
        <v>256</v>
      </c>
      <c r="G1576">
        <v>4</v>
      </c>
      <c r="H1576">
        <v>256</v>
      </c>
      <c r="I1576">
        <v>0</v>
      </c>
      <c r="J1576">
        <v>0</v>
      </c>
      <c r="K1576">
        <v>850.530574</v>
      </c>
      <c r="L1576">
        <v>4.4995689999999504</v>
      </c>
      <c r="M1576">
        <v>455.15470481728897</v>
      </c>
      <c r="N1576">
        <v>0</v>
      </c>
      <c r="O1576" s="8" t="str">
        <f>formatIP(Table1[[#This Row],[Address A]])</f>
        <v>010.012.001.124</v>
      </c>
      <c r="P1576" s="8" t="str">
        <f>formatIP(Table1[[#This Row],[Address B]])</f>
        <v>010.001.001.002</v>
      </c>
      <c r="Q1576" s="8" t="str">
        <f>VLOOKUP(Table1[[#This Row],[Address A]],IP_Master[],4,FALSE)</f>
        <v>KBPPLC</v>
      </c>
      <c r="R1576" s="8" t="e">
        <f>VLOOKUP(Table1[[#This Row],[Address B]],IP_Master[],4,FALSE)</f>
        <v>#N/A</v>
      </c>
      <c r="S1576" s="8" t="str">
        <f>VLOOKUP(Table1[[#This Row],[Address A]],IP_Master[],2,FALSE)</f>
        <v>Slag Fumer</v>
      </c>
      <c r="T1576" s="8" t="e">
        <f>VLOOKUP(Table1[[#This Row],[Address B]],IP_Master[],2,FALSE)</f>
        <v>#N/A</v>
      </c>
      <c r="U1576" s="9" t="str">
        <f>VLOOKUP(Table1[[#This Row],[Address A]],IP_Master[],3,FALSE)</f>
        <v>PLCs &amp; Control Equipment</v>
      </c>
      <c r="V1576" s="9" t="e">
        <f>VLOOKUP(Table1[[#This Row],[Address B]],IP_Master[],3,FALSE)</f>
        <v>#N/A</v>
      </c>
      <c r="W1576" s="9" t="str">
        <f>VLOOKUP(Table1[[#This Row],[Port B]],traffic_types[],2,FALSE)</f>
        <v>Modbus</v>
      </c>
    </row>
    <row r="1577" spans="1:23" x14ac:dyDescent="0.6">
      <c r="A1577" t="s">
        <v>174</v>
      </c>
      <c r="B1577">
        <v>3073</v>
      </c>
      <c r="C1577" t="s">
        <v>176</v>
      </c>
      <c r="D1577">
        <v>502</v>
      </c>
      <c r="E1577">
        <v>4</v>
      </c>
      <c r="F1577" s="13">
        <v>256</v>
      </c>
      <c r="G1577">
        <v>4</v>
      </c>
      <c r="H1577">
        <v>256</v>
      </c>
      <c r="I1577">
        <v>0</v>
      </c>
      <c r="J1577">
        <v>0</v>
      </c>
      <c r="K1577">
        <v>854.87069199999996</v>
      </c>
      <c r="L1577">
        <v>4.49935700000003</v>
      </c>
      <c r="M1577">
        <v>455.176150725534</v>
      </c>
      <c r="N1577">
        <v>0</v>
      </c>
      <c r="O1577" s="8" t="str">
        <f>formatIP(Table1[[#This Row],[Address A]])</f>
        <v>010.012.001.124</v>
      </c>
      <c r="P1577" s="8" t="str">
        <f>formatIP(Table1[[#This Row],[Address B]])</f>
        <v>010.001.001.003</v>
      </c>
      <c r="Q1577" s="8" t="str">
        <f>VLOOKUP(Table1[[#This Row],[Address A]],IP_Master[],4,FALSE)</f>
        <v>KBPPLC</v>
      </c>
      <c r="R1577" s="8" t="e">
        <f>VLOOKUP(Table1[[#This Row],[Address B]],IP_Master[],4,FALSE)</f>
        <v>#N/A</v>
      </c>
      <c r="S1577" s="8" t="str">
        <f>VLOOKUP(Table1[[#This Row],[Address A]],IP_Master[],2,FALSE)</f>
        <v>Slag Fumer</v>
      </c>
      <c r="T1577" s="8" t="e">
        <f>VLOOKUP(Table1[[#This Row],[Address B]],IP_Master[],2,FALSE)</f>
        <v>#N/A</v>
      </c>
      <c r="U1577" s="9" t="str">
        <f>VLOOKUP(Table1[[#This Row],[Address A]],IP_Master[],3,FALSE)</f>
        <v>PLCs &amp; Control Equipment</v>
      </c>
      <c r="V1577" s="9" t="e">
        <f>VLOOKUP(Table1[[#This Row],[Address B]],IP_Master[],3,FALSE)</f>
        <v>#N/A</v>
      </c>
      <c r="W1577" s="9" t="str">
        <f>VLOOKUP(Table1[[#This Row],[Port B]],traffic_types[],2,FALSE)</f>
        <v>Modbus</v>
      </c>
    </row>
    <row r="1578" spans="1:23" x14ac:dyDescent="0.6">
      <c r="A1578" t="s">
        <v>174</v>
      </c>
      <c r="B1578">
        <v>4608</v>
      </c>
      <c r="C1578" t="s">
        <v>175</v>
      </c>
      <c r="D1578">
        <v>502</v>
      </c>
      <c r="E1578">
        <v>4</v>
      </c>
      <c r="F1578" s="13">
        <v>256</v>
      </c>
      <c r="G1578">
        <v>4</v>
      </c>
      <c r="H1578">
        <v>256</v>
      </c>
      <c r="I1578">
        <v>0</v>
      </c>
      <c r="J1578">
        <v>0</v>
      </c>
      <c r="K1578">
        <v>857.52078800000004</v>
      </c>
      <c r="L1578">
        <v>4.4992929999999696</v>
      </c>
      <c r="M1578">
        <v>455.182625359143</v>
      </c>
      <c r="N1578">
        <v>0</v>
      </c>
      <c r="O1578" s="8" t="str">
        <f>formatIP(Table1[[#This Row],[Address A]])</f>
        <v>010.012.001.124</v>
      </c>
      <c r="P1578" s="8" t="str">
        <f>formatIP(Table1[[#This Row],[Address B]])</f>
        <v>010.001.001.002</v>
      </c>
      <c r="Q1578" s="8" t="str">
        <f>VLOOKUP(Table1[[#This Row],[Address A]],IP_Master[],4,FALSE)</f>
        <v>KBPPLC</v>
      </c>
      <c r="R1578" s="8" t="e">
        <f>VLOOKUP(Table1[[#This Row],[Address B]],IP_Master[],4,FALSE)</f>
        <v>#N/A</v>
      </c>
      <c r="S1578" s="8" t="str">
        <f>VLOOKUP(Table1[[#This Row],[Address A]],IP_Master[],2,FALSE)</f>
        <v>Slag Fumer</v>
      </c>
      <c r="T1578" s="8" t="e">
        <f>VLOOKUP(Table1[[#This Row],[Address B]],IP_Master[],2,FALSE)</f>
        <v>#N/A</v>
      </c>
      <c r="U1578" s="9" t="str">
        <f>VLOOKUP(Table1[[#This Row],[Address A]],IP_Master[],3,FALSE)</f>
        <v>PLCs &amp; Control Equipment</v>
      </c>
      <c r="V1578" s="9" t="e">
        <f>VLOOKUP(Table1[[#This Row],[Address B]],IP_Master[],3,FALSE)</f>
        <v>#N/A</v>
      </c>
      <c r="W1578" s="9" t="str">
        <f>VLOOKUP(Table1[[#This Row],[Port B]],traffic_types[],2,FALSE)</f>
        <v>Modbus</v>
      </c>
    </row>
    <row r="1579" spans="1:23" x14ac:dyDescent="0.6">
      <c r="A1579" t="s">
        <v>174</v>
      </c>
      <c r="B1579">
        <v>3585</v>
      </c>
      <c r="C1579" t="s">
        <v>176</v>
      </c>
      <c r="D1579">
        <v>502</v>
      </c>
      <c r="E1579">
        <v>5</v>
      </c>
      <c r="F1579" s="13">
        <v>320</v>
      </c>
      <c r="G1579">
        <v>5</v>
      </c>
      <c r="H1579">
        <v>320</v>
      </c>
      <c r="I1579">
        <v>0</v>
      </c>
      <c r="J1579">
        <v>0</v>
      </c>
      <c r="K1579">
        <v>861.860726</v>
      </c>
      <c r="L1579">
        <v>34.960484999999899</v>
      </c>
      <c r="M1579">
        <v>73.225528764832703</v>
      </c>
      <c r="N1579">
        <v>0</v>
      </c>
      <c r="O1579" s="8" t="str">
        <f>formatIP(Table1[[#This Row],[Address A]])</f>
        <v>010.012.001.124</v>
      </c>
      <c r="P1579" s="8" t="str">
        <f>formatIP(Table1[[#This Row],[Address B]])</f>
        <v>010.001.001.003</v>
      </c>
      <c r="Q1579" s="8" t="str">
        <f>VLOOKUP(Table1[[#This Row],[Address A]],IP_Master[],4,FALSE)</f>
        <v>KBPPLC</v>
      </c>
      <c r="R1579" s="8" t="e">
        <f>VLOOKUP(Table1[[#This Row],[Address B]],IP_Master[],4,FALSE)</f>
        <v>#N/A</v>
      </c>
      <c r="S1579" s="8" t="str">
        <f>VLOOKUP(Table1[[#This Row],[Address A]],IP_Master[],2,FALSE)</f>
        <v>Slag Fumer</v>
      </c>
      <c r="T1579" s="8" t="e">
        <f>VLOOKUP(Table1[[#This Row],[Address B]],IP_Master[],2,FALSE)</f>
        <v>#N/A</v>
      </c>
      <c r="U1579" s="9" t="str">
        <f>VLOOKUP(Table1[[#This Row],[Address A]],IP_Master[],3,FALSE)</f>
        <v>PLCs &amp; Control Equipment</v>
      </c>
      <c r="V1579" s="9" t="e">
        <f>VLOOKUP(Table1[[#This Row],[Address B]],IP_Master[],3,FALSE)</f>
        <v>#N/A</v>
      </c>
      <c r="W1579" s="9" t="str">
        <f>VLOOKUP(Table1[[#This Row],[Port B]],traffic_types[],2,FALSE)</f>
        <v>Modbus</v>
      </c>
    </row>
    <row r="1580" spans="1:23" x14ac:dyDescent="0.6">
      <c r="A1580" t="s">
        <v>174</v>
      </c>
      <c r="B1580">
        <v>4352</v>
      </c>
      <c r="C1580" t="s">
        <v>175</v>
      </c>
      <c r="D1580">
        <v>502</v>
      </c>
      <c r="E1580">
        <v>4</v>
      </c>
      <c r="F1580" s="13">
        <v>256</v>
      </c>
      <c r="G1580">
        <v>4</v>
      </c>
      <c r="H1580">
        <v>256</v>
      </c>
      <c r="I1580">
        <v>0</v>
      </c>
      <c r="J1580">
        <v>0</v>
      </c>
      <c r="K1580">
        <v>864.51087399999994</v>
      </c>
      <c r="L1580">
        <v>4.49968800000011</v>
      </c>
      <c r="M1580">
        <v>455.14266766939198</v>
      </c>
      <c r="N1580">
        <v>0</v>
      </c>
      <c r="O1580" s="8" t="str">
        <f>formatIP(Table1[[#This Row],[Address A]])</f>
        <v>010.012.001.124</v>
      </c>
      <c r="P1580" s="8" t="str">
        <f>formatIP(Table1[[#This Row],[Address B]])</f>
        <v>010.001.001.002</v>
      </c>
      <c r="Q1580" s="8" t="str">
        <f>VLOOKUP(Table1[[#This Row],[Address A]],IP_Master[],4,FALSE)</f>
        <v>KBPPLC</v>
      </c>
      <c r="R1580" s="8" t="e">
        <f>VLOOKUP(Table1[[#This Row],[Address B]],IP_Master[],4,FALSE)</f>
        <v>#N/A</v>
      </c>
      <c r="S1580" s="8" t="str">
        <f>VLOOKUP(Table1[[#This Row],[Address A]],IP_Master[],2,FALSE)</f>
        <v>Slag Fumer</v>
      </c>
      <c r="T1580" s="8" t="e">
        <f>VLOOKUP(Table1[[#This Row],[Address B]],IP_Master[],2,FALSE)</f>
        <v>#N/A</v>
      </c>
      <c r="U1580" s="9" t="str">
        <f>VLOOKUP(Table1[[#This Row],[Address A]],IP_Master[],3,FALSE)</f>
        <v>PLCs &amp; Control Equipment</v>
      </c>
      <c r="V1580" s="9" t="e">
        <f>VLOOKUP(Table1[[#This Row],[Address B]],IP_Master[],3,FALSE)</f>
        <v>#N/A</v>
      </c>
      <c r="W1580" s="9" t="str">
        <f>VLOOKUP(Table1[[#This Row],[Port B]],traffic_types[],2,FALSE)</f>
        <v>Modbus</v>
      </c>
    </row>
    <row r="1581" spans="1:23" x14ac:dyDescent="0.6">
      <c r="A1581" t="s">
        <v>174</v>
      </c>
      <c r="B1581">
        <v>3201</v>
      </c>
      <c r="C1581" t="s">
        <v>176</v>
      </c>
      <c r="D1581">
        <v>502</v>
      </c>
      <c r="E1581">
        <v>4</v>
      </c>
      <c r="F1581" s="13">
        <v>256</v>
      </c>
      <c r="G1581">
        <v>4</v>
      </c>
      <c r="H1581">
        <v>256</v>
      </c>
      <c r="I1581">
        <v>0</v>
      </c>
      <c r="J1581">
        <v>0</v>
      </c>
      <c r="K1581">
        <v>868.85165600000005</v>
      </c>
      <c r="L1581">
        <v>4.50903999999991</v>
      </c>
      <c r="M1581">
        <v>454.198676436678</v>
      </c>
      <c r="N1581">
        <v>0</v>
      </c>
      <c r="O1581" s="8" t="str">
        <f>formatIP(Table1[[#This Row],[Address A]])</f>
        <v>010.012.001.124</v>
      </c>
      <c r="P1581" s="8" t="str">
        <f>formatIP(Table1[[#This Row],[Address B]])</f>
        <v>010.001.001.003</v>
      </c>
      <c r="Q1581" s="8" t="str">
        <f>VLOOKUP(Table1[[#This Row],[Address A]],IP_Master[],4,FALSE)</f>
        <v>KBPPLC</v>
      </c>
      <c r="R1581" s="8" t="e">
        <f>VLOOKUP(Table1[[#This Row],[Address B]],IP_Master[],4,FALSE)</f>
        <v>#N/A</v>
      </c>
      <c r="S1581" s="8" t="str">
        <f>VLOOKUP(Table1[[#This Row],[Address A]],IP_Master[],2,FALSE)</f>
        <v>Slag Fumer</v>
      </c>
      <c r="T1581" s="8" t="e">
        <f>VLOOKUP(Table1[[#This Row],[Address B]],IP_Master[],2,FALSE)</f>
        <v>#N/A</v>
      </c>
      <c r="U1581" s="9" t="str">
        <f>VLOOKUP(Table1[[#This Row],[Address A]],IP_Master[],3,FALSE)</f>
        <v>PLCs &amp; Control Equipment</v>
      </c>
      <c r="V1581" s="9" t="e">
        <f>VLOOKUP(Table1[[#This Row],[Address B]],IP_Master[],3,FALSE)</f>
        <v>#N/A</v>
      </c>
      <c r="W1581" s="9" t="str">
        <f>VLOOKUP(Table1[[#This Row],[Port B]],traffic_types[],2,FALSE)</f>
        <v>Modbus</v>
      </c>
    </row>
    <row r="1582" spans="1:23" x14ac:dyDescent="0.6">
      <c r="A1582" t="s">
        <v>174</v>
      </c>
      <c r="B1582">
        <v>3968</v>
      </c>
      <c r="C1582" t="s">
        <v>175</v>
      </c>
      <c r="D1582">
        <v>502</v>
      </c>
      <c r="E1582">
        <v>4</v>
      </c>
      <c r="F1582" s="13">
        <v>256</v>
      </c>
      <c r="G1582">
        <v>4</v>
      </c>
      <c r="H1582">
        <v>256</v>
      </c>
      <c r="I1582">
        <v>0</v>
      </c>
      <c r="J1582">
        <v>0</v>
      </c>
      <c r="K1582">
        <v>871.500901</v>
      </c>
      <c r="L1582">
        <v>4.49950000000001</v>
      </c>
      <c r="M1582">
        <v>455.16168463162501</v>
      </c>
      <c r="N1582">
        <v>0</v>
      </c>
      <c r="O1582" s="8" t="str">
        <f>formatIP(Table1[[#This Row],[Address A]])</f>
        <v>010.012.001.124</v>
      </c>
      <c r="P1582" s="8" t="str">
        <f>formatIP(Table1[[#This Row],[Address B]])</f>
        <v>010.001.001.002</v>
      </c>
      <c r="Q1582" s="8" t="str">
        <f>VLOOKUP(Table1[[#This Row],[Address A]],IP_Master[],4,FALSE)</f>
        <v>KBPPLC</v>
      </c>
      <c r="R1582" s="8" t="e">
        <f>VLOOKUP(Table1[[#This Row],[Address B]],IP_Master[],4,FALSE)</f>
        <v>#N/A</v>
      </c>
      <c r="S1582" s="8" t="str">
        <f>VLOOKUP(Table1[[#This Row],[Address A]],IP_Master[],2,FALSE)</f>
        <v>Slag Fumer</v>
      </c>
      <c r="T1582" s="8" t="e">
        <f>VLOOKUP(Table1[[#This Row],[Address B]],IP_Master[],2,FALSE)</f>
        <v>#N/A</v>
      </c>
      <c r="U1582" s="9" t="str">
        <f>VLOOKUP(Table1[[#This Row],[Address A]],IP_Master[],3,FALSE)</f>
        <v>PLCs &amp; Control Equipment</v>
      </c>
      <c r="V1582" s="9" t="e">
        <f>VLOOKUP(Table1[[#This Row],[Address B]],IP_Master[],3,FALSE)</f>
        <v>#N/A</v>
      </c>
      <c r="W1582" s="9" t="str">
        <f>VLOOKUP(Table1[[#This Row],[Port B]],traffic_types[],2,FALSE)</f>
        <v>Modbus</v>
      </c>
    </row>
    <row r="1583" spans="1:23" x14ac:dyDescent="0.6">
      <c r="A1583" t="s">
        <v>174</v>
      </c>
      <c r="B1583">
        <v>3841</v>
      </c>
      <c r="C1583" t="s">
        <v>176</v>
      </c>
      <c r="D1583">
        <v>502</v>
      </c>
      <c r="E1583">
        <v>4</v>
      </c>
      <c r="F1583" s="13">
        <v>256</v>
      </c>
      <c r="G1583">
        <v>4</v>
      </c>
      <c r="H1583">
        <v>256</v>
      </c>
      <c r="I1583">
        <v>0</v>
      </c>
      <c r="J1583">
        <v>0</v>
      </c>
      <c r="K1583">
        <v>875.85093199999994</v>
      </c>
      <c r="L1583">
        <v>4.4998040000000401</v>
      </c>
      <c r="M1583">
        <v>455.13093459181403</v>
      </c>
      <c r="N1583">
        <v>0</v>
      </c>
      <c r="O1583" s="8" t="str">
        <f>formatIP(Table1[[#This Row],[Address A]])</f>
        <v>010.012.001.124</v>
      </c>
      <c r="P1583" s="8" t="str">
        <f>formatIP(Table1[[#This Row],[Address B]])</f>
        <v>010.001.001.003</v>
      </c>
      <c r="Q1583" s="8" t="str">
        <f>VLOOKUP(Table1[[#This Row],[Address A]],IP_Master[],4,FALSE)</f>
        <v>KBPPLC</v>
      </c>
      <c r="R1583" s="8" t="e">
        <f>VLOOKUP(Table1[[#This Row],[Address B]],IP_Master[],4,FALSE)</f>
        <v>#N/A</v>
      </c>
      <c r="S1583" s="8" t="str">
        <f>VLOOKUP(Table1[[#This Row],[Address A]],IP_Master[],2,FALSE)</f>
        <v>Slag Fumer</v>
      </c>
      <c r="T1583" s="8" t="e">
        <f>VLOOKUP(Table1[[#This Row],[Address B]],IP_Master[],2,FALSE)</f>
        <v>#N/A</v>
      </c>
      <c r="U1583" s="9" t="str">
        <f>VLOOKUP(Table1[[#This Row],[Address A]],IP_Master[],3,FALSE)</f>
        <v>PLCs &amp; Control Equipment</v>
      </c>
      <c r="V1583" s="9" t="e">
        <f>VLOOKUP(Table1[[#This Row],[Address B]],IP_Master[],3,FALSE)</f>
        <v>#N/A</v>
      </c>
      <c r="W1583" s="9" t="str">
        <f>VLOOKUP(Table1[[#This Row],[Port B]],traffic_types[],2,FALSE)</f>
        <v>Modbus</v>
      </c>
    </row>
    <row r="1584" spans="1:23" x14ac:dyDescent="0.6">
      <c r="A1584" t="s">
        <v>174</v>
      </c>
      <c r="B1584">
        <v>3584</v>
      </c>
      <c r="C1584" t="s">
        <v>175</v>
      </c>
      <c r="D1584">
        <v>502</v>
      </c>
      <c r="E1584">
        <v>4</v>
      </c>
      <c r="F1584" s="13">
        <v>256</v>
      </c>
      <c r="G1584">
        <v>4</v>
      </c>
      <c r="H1584">
        <v>256</v>
      </c>
      <c r="I1584">
        <v>0</v>
      </c>
      <c r="J1584">
        <v>0</v>
      </c>
      <c r="K1584">
        <v>878.49109899999996</v>
      </c>
      <c r="L1584">
        <v>4.4993810000000796</v>
      </c>
      <c r="M1584">
        <v>455.17372278541501</v>
      </c>
      <c r="N1584">
        <v>0</v>
      </c>
      <c r="O1584" s="8" t="str">
        <f>formatIP(Table1[[#This Row],[Address A]])</f>
        <v>010.012.001.124</v>
      </c>
      <c r="P1584" s="8" t="str">
        <f>formatIP(Table1[[#This Row],[Address B]])</f>
        <v>010.001.001.002</v>
      </c>
      <c r="Q1584" s="8" t="str">
        <f>VLOOKUP(Table1[[#This Row],[Address A]],IP_Master[],4,FALSE)</f>
        <v>KBPPLC</v>
      </c>
      <c r="R1584" s="8" t="e">
        <f>VLOOKUP(Table1[[#This Row],[Address B]],IP_Master[],4,FALSE)</f>
        <v>#N/A</v>
      </c>
      <c r="S1584" s="8" t="str">
        <f>VLOOKUP(Table1[[#This Row],[Address A]],IP_Master[],2,FALSE)</f>
        <v>Slag Fumer</v>
      </c>
      <c r="T1584" s="8" t="e">
        <f>VLOOKUP(Table1[[#This Row],[Address B]],IP_Master[],2,FALSE)</f>
        <v>#N/A</v>
      </c>
      <c r="U1584" s="9" t="str">
        <f>VLOOKUP(Table1[[#This Row],[Address A]],IP_Master[],3,FALSE)</f>
        <v>PLCs &amp; Control Equipment</v>
      </c>
      <c r="V1584" s="9" t="e">
        <f>VLOOKUP(Table1[[#This Row],[Address B]],IP_Master[],3,FALSE)</f>
        <v>#N/A</v>
      </c>
      <c r="W1584" s="9" t="str">
        <f>VLOOKUP(Table1[[#This Row],[Port B]],traffic_types[],2,FALSE)</f>
        <v>Modbus</v>
      </c>
    </row>
    <row r="1585" spans="1:23" x14ac:dyDescent="0.6">
      <c r="A1585" t="s">
        <v>174</v>
      </c>
      <c r="B1585">
        <v>4353</v>
      </c>
      <c r="C1585" t="s">
        <v>176</v>
      </c>
      <c r="D1585">
        <v>502</v>
      </c>
      <c r="E1585">
        <v>4</v>
      </c>
      <c r="F1585" s="13">
        <v>256</v>
      </c>
      <c r="G1585">
        <v>4</v>
      </c>
      <c r="H1585">
        <v>256</v>
      </c>
      <c r="I1585">
        <v>0</v>
      </c>
      <c r="J1585">
        <v>0</v>
      </c>
      <c r="K1585">
        <v>882.84098900000004</v>
      </c>
      <c r="L1585">
        <v>4.4995649999999596</v>
      </c>
      <c r="M1585">
        <v>455.15510943836102</v>
      </c>
      <c r="N1585">
        <v>0</v>
      </c>
      <c r="O1585" s="8" t="str">
        <f>formatIP(Table1[[#This Row],[Address A]])</f>
        <v>010.012.001.124</v>
      </c>
      <c r="P1585" s="8" t="str">
        <f>formatIP(Table1[[#This Row],[Address B]])</f>
        <v>010.001.001.003</v>
      </c>
      <c r="Q1585" s="8" t="str">
        <f>VLOOKUP(Table1[[#This Row],[Address A]],IP_Master[],4,FALSE)</f>
        <v>KBPPLC</v>
      </c>
      <c r="R1585" s="8" t="e">
        <f>VLOOKUP(Table1[[#This Row],[Address B]],IP_Master[],4,FALSE)</f>
        <v>#N/A</v>
      </c>
      <c r="S1585" s="8" t="str">
        <f>VLOOKUP(Table1[[#This Row],[Address A]],IP_Master[],2,FALSE)</f>
        <v>Slag Fumer</v>
      </c>
      <c r="T1585" s="8" t="e">
        <f>VLOOKUP(Table1[[#This Row],[Address B]],IP_Master[],2,FALSE)</f>
        <v>#N/A</v>
      </c>
      <c r="U1585" s="9" t="str">
        <f>VLOOKUP(Table1[[#This Row],[Address A]],IP_Master[],3,FALSE)</f>
        <v>PLCs &amp; Control Equipment</v>
      </c>
      <c r="V1585" s="9" t="e">
        <f>VLOOKUP(Table1[[#This Row],[Address B]],IP_Master[],3,FALSE)</f>
        <v>#N/A</v>
      </c>
      <c r="W1585" s="9" t="str">
        <f>VLOOKUP(Table1[[#This Row],[Port B]],traffic_types[],2,FALSE)</f>
        <v>Modbus</v>
      </c>
    </row>
    <row r="1586" spans="1:23" x14ac:dyDescent="0.6">
      <c r="A1586" t="s">
        <v>174</v>
      </c>
      <c r="B1586">
        <v>4096</v>
      </c>
      <c r="C1586" t="s">
        <v>175</v>
      </c>
      <c r="D1586">
        <v>502</v>
      </c>
      <c r="E1586">
        <v>4</v>
      </c>
      <c r="F1586" s="13">
        <v>256</v>
      </c>
      <c r="G1586">
        <v>4</v>
      </c>
      <c r="H1586">
        <v>256</v>
      </c>
      <c r="I1586">
        <v>0</v>
      </c>
      <c r="J1586">
        <v>0</v>
      </c>
      <c r="K1586">
        <v>885.48109799999997</v>
      </c>
      <c r="L1586">
        <v>4.4994719999999697</v>
      </c>
      <c r="M1586">
        <v>455.16451708111799</v>
      </c>
      <c r="N1586">
        <v>0</v>
      </c>
      <c r="O1586" s="8" t="str">
        <f>formatIP(Table1[[#This Row],[Address A]])</f>
        <v>010.012.001.124</v>
      </c>
      <c r="P1586" s="8" t="str">
        <f>formatIP(Table1[[#This Row],[Address B]])</f>
        <v>010.001.001.002</v>
      </c>
      <c r="Q1586" s="8" t="str">
        <f>VLOOKUP(Table1[[#This Row],[Address A]],IP_Master[],4,FALSE)</f>
        <v>KBPPLC</v>
      </c>
      <c r="R1586" s="8" t="e">
        <f>VLOOKUP(Table1[[#This Row],[Address B]],IP_Master[],4,FALSE)</f>
        <v>#N/A</v>
      </c>
      <c r="S1586" s="8" t="str">
        <f>VLOOKUP(Table1[[#This Row],[Address A]],IP_Master[],2,FALSE)</f>
        <v>Slag Fumer</v>
      </c>
      <c r="T1586" s="8" t="e">
        <f>VLOOKUP(Table1[[#This Row],[Address B]],IP_Master[],2,FALSE)</f>
        <v>#N/A</v>
      </c>
      <c r="U1586" s="9" t="str">
        <f>VLOOKUP(Table1[[#This Row],[Address A]],IP_Master[],3,FALSE)</f>
        <v>PLCs &amp; Control Equipment</v>
      </c>
      <c r="V1586" s="9" t="e">
        <f>VLOOKUP(Table1[[#This Row],[Address B]],IP_Master[],3,FALSE)</f>
        <v>#N/A</v>
      </c>
      <c r="W1586" s="9" t="str">
        <f>VLOOKUP(Table1[[#This Row],[Port B]],traffic_types[],2,FALSE)</f>
        <v>Modbus</v>
      </c>
    </row>
    <row r="1587" spans="1:23" x14ac:dyDescent="0.6">
      <c r="A1587" t="s">
        <v>174</v>
      </c>
      <c r="B1587">
        <v>3969</v>
      </c>
      <c r="C1587" t="s">
        <v>176</v>
      </c>
      <c r="D1587">
        <v>502</v>
      </c>
      <c r="E1587">
        <v>4</v>
      </c>
      <c r="F1587" s="13">
        <v>256</v>
      </c>
      <c r="G1587">
        <v>4</v>
      </c>
      <c r="H1587">
        <v>256</v>
      </c>
      <c r="I1587">
        <v>0</v>
      </c>
      <c r="J1587">
        <v>0</v>
      </c>
      <c r="K1587">
        <v>889.83107700000005</v>
      </c>
      <c r="L1587">
        <v>4.4995469999998896</v>
      </c>
      <c r="M1587">
        <v>455.15693024209997</v>
      </c>
      <c r="N1587">
        <v>0</v>
      </c>
      <c r="O1587" s="8" t="str">
        <f>formatIP(Table1[[#This Row],[Address A]])</f>
        <v>010.012.001.124</v>
      </c>
      <c r="P1587" s="8" t="str">
        <f>formatIP(Table1[[#This Row],[Address B]])</f>
        <v>010.001.001.003</v>
      </c>
      <c r="Q1587" s="8" t="str">
        <f>VLOOKUP(Table1[[#This Row],[Address A]],IP_Master[],4,FALSE)</f>
        <v>KBPPLC</v>
      </c>
      <c r="R1587" s="8" t="e">
        <f>VLOOKUP(Table1[[#This Row],[Address B]],IP_Master[],4,FALSE)</f>
        <v>#N/A</v>
      </c>
      <c r="S1587" s="8" t="str">
        <f>VLOOKUP(Table1[[#This Row],[Address A]],IP_Master[],2,FALSE)</f>
        <v>Slag Fumer</v>
      </c>
      <c r="T1587" s="8" t="e">
        <f>VLOOKUP(Table1[[#This Row],[Address B]],IP_Master[],2,FALSE)</f>
        <v>#N/A</v>
      </c>
      <c r="U1587" s="9" t="str">
        <f>VLOOKUP(Table1[[#This Row],[Address A]],IP_Master[],3,FALSE)</f>
        <v>PLCs &amp; Control Equipment</v>
      </c>
      <c r="V1587" s="9" t="e">
        <f>VLOOKUP(Table1[[#This Row],[Address B]],IP_Master[],3,FALSE)</f>
        <v>#N/A</v>
      </c>
      <c r="W1587" s="9" t="str">
        <f>VLOOKUP(Table1[[#This Row],[Port B]],traffic_types[],2,FALSE)</f>
        <v>Modbus</v>
      </c>
    </row>
    <row r="1588" spans="1:23" x14ac:dyDescent="0.6">
      <c r="A1588" t="s">
        <v>174</v>
      </c>
      <c r="B1588">
        <v>3712</v>
      </c>
      <c r="C1588" t="s">
        <v>175</v>
      </c>
      <c r="D1588">
        <v>502</v>
      </c>
      <c r="E1588">
        <v>4</v>
      </c>
      <c r="F1588" s="13">
        <v>256</v>
      </c>
      <c r="G1588">
        <v>4</v>
      </c>
      <c r="H1588">
        <v>256</v>
      </c>
      <c r="I1588">
        <v>0</v>
      </c>
      <c r="J1588">
        <v>0</v>
      </c>
      <c r="K1588">
        <v>892.47118899999998</v>
      </c>
      <c r="L1588">
        <v>4.4994860000000498</v>
      </c>
      <c r="M1588">
        <v>455.16310085195897</v>
      </c>
      <c r="N1588">
        <v>0</v>
      </c>
      <c r="O1588" s="8" t="str">
        <f>formatIP(Table1[[#This Row],[Address A]])</f>
        <v>010.012.001.124</v>
      </c>
      <c r="P1588" s="8" t="str">
        <f>formatIP(Table1[[#This Row],[Address B]])</f>
        <v>010.001.001.002</v>
      </c>
      <c r="Q1588" s="8" t="str">
        <f>VLOOKUP(Table1[[#This Row],[Address A]],IP_Master[],4,FALSE)</f>
        <v>KBPPLC</v>
      </c>
      <c r="R1588" s="8" t="e">
        <f>VLOOKUP(Table1[[#This Row],[Address B]],IP_Master[],4,FALSE)</f>
        <v>#N/A</v>
      </c>
      <c r="S1588" s="8" t="str">
        <f>VLOOKUP(Table1[[#This Row],[Address A]],IP_Master[],2,FALSE)</f>
        <v>Slag Fumer</v>
      </c>
      <c r="T1588" s="8" t="e">
        <f>VLOOKUP(Table1[[#This Row],[Address B]],IP_Master[],2,FALSE)</f>
        <v>#N/A</v>
      </c>
      <c r="U1588" s="9" t="str">
        <f>VLOOKUP(Table1[[#This Row],[Address A]],IP_Master[],3,FALSE)</f>
        <v>PLCs &amp; Control Equipment</v>
      </c>
      <c r="V1588" s="9" t="e">
        <f>VLOOKUP(Table1[[#This Row],[Address B]],IP_Master[],3,FALSE)</f>
        <v>#N/A</v>
      </c>
      <c r="W1588" s="9" t="str">
        <f>VLOOKUP(Table1[[#This Row],[Port B]],traffic_types[],2,FALSE)</f>
        <v>Modbus</v>
      </c>
    </row>
    <row r="1589" spans="1:23" x14ac:dyDescent="0.6">
      <c r="A1589" t="s">
        <v>174</v>
      </c>
      <c r="B1589">
        <v>3585</v>
      </c>
      <c r="C1589" t="s">
        <v>176</v>
      </c>
      <c r="D1589">
        <v>502</v>
      </c>
      <c r="E1589">
        <v>4</v>
      </c>
      <c r="F1589" s="13">
        <v>256</v>
      </c>
      <c r="G1589">
        <v>4</v>
      </c>
      <c r="H1589">
        <v>256</v>
      </c>
      <c r="I1589">
        <v>0</v>
      </c>
      <c r="J1589">
        <v>0</v>
      </c>
      <c r="K1589">
        <v>896.82121299999994</v>
      </c>
      <c r="L1589">
        <v>4.4994050000000199</v>
      </c>
      <c r="M1589">
        <v>455.17129487120798</v>
      </c>
      <c r="N1589">
        <v>0</v>
      </c>
      <c r="O1589" s="8" t="str">
        <f>formatIP(Table1[[#This Row],[Address A]])</f>
        <v>010.012.001.124</v>
      </c>
      <c r="P1589" s="8" t="str">
        <f>formatIP(Table1[[#This Row],[Address B]])</f>
        <v>010.001.001.003</v>
      </c>
      <c r="Q1589" s="8" t="str">
        <f>VLOOKUP(Table1[[#This Row],[Address A]],IP_Master[],4,FALSE)</f>
        <v>KBPPLC</v>
      </c>
      <c r="R1589" s="8" t="e">
        <f>VLOOKUP(Table1[[#This Row],[Address B]],IP_Master[],4,FALSE)</f>
        <v>#N/A</v>
      </c>
      <c r="S1589" s="8" t="str">
        <f>VLOOKUP(Table1[[#This Row],[Address A]],IP_Master[],2,FALSE)</f>
        <v>Slag Fumer</v>
      </c>
      <c r="T1589" s="8" t="e">
        <f>VLOOKUP(Table1[[#This Row],[Address B]],IP_Master[],2,FALSE)</f>
        <v>#N/A</v>
      </c>
      <c r="U1589" s="9" t="str">
        <f>VLOOKUP(Table1[[#This Row],[Address A]],IP_Master[],3,FALSE)</f>
        <v>PLCs &amp; Control Equipment</v>
      </c>
      <c r="V1589" s="9" t="e">
        <f>VLOOKUP(Table1[[#This Row],[Address B]],IP_Master[],3,FALSE)</f>
        <v>#N/A</v>
      </c>
      <c r="W1589" s="9" t="str">
        <f>VLOOKUP(Table1[[#This Row],[Port B]],traffic_types[],2,FALSE)</f>
        <v>Modbus</v>
      </c>
    </row>
    <row r="1590" spans="1:23" x14ac:dyDescent="0.6">
      <c r="A1590" t="s">
        <v>174</v>
      </c>
      <c r="B1590">
        <v>3328</v>
      </c>
      <c r="C1590" t="s">
        <v>175</v>
      </c>
      <c r="D1590">
        <v>502</v>
      </c>
      <c r="E1590">
        <v>3</v>
      </c>
      <c r="F1590" s="13">
        <v>192</v>
      </c>
      <c r="G1590">
        <v>3</v>
      </c>
      <c r="H1590">
        <v>192</v>
      </c>
      <c r="I1590">
        <v>0</v>
      </c>
      <c r="J1590">
        <v>0</v>
      </c>
      <c r="K1590">
        <v>899.461321</v>
      </c>
      <c r="L1590">
        <v>2.9994390000000499</v>
      </c>
      <c r="M1590">
        <v>512.09576190746805</v>
      </c>
      <c r="N1590">
        <v>0</v>
      </c>
      <c r="O1590" s="8" t="str">
        <f>formatIP(Table1[[#This Row],[Address A]])</f>
        <v>010.012.001.124</v>
      </c>
      <c r="P1590" s="8" t="str">
        <f>formatIP(Table1[[#This Row],[Address B]])</f>
        <v>010.001.001.002</v>
      </c>
      <c r="Q1590" s="8" t="str">
        <f>VLOOKUP(Table1[[#This Row],[Address A]],IP_Master[],4,FALSE)</f>
        <v>KBPPLC</v>
      </c>
      <c r="R1590" s="8" t="e">
        <f>VLOOKUP(Table1[[#This Row],[Address B]],IP_Master[],4,FALSE)</f>
        <v>#N/A</v>
      </c>
      <c r="S1590" s="8" t="str">
        <f>VLOOKUP(Table1[[#This Row],[Address A]],IP_Master[],2,FALSE)</f>
        <v>Slag Fumer</v>
      </c>
      <c r="T1590" s="8" t="e">
        <f>VLOOKUP(Table1[[#This Row],[Address B]],IP_Master[],2,FALSE)</f>
        <v>#N/A</v>
      </c>
      <c r="U1590" s="9" t="str">
        <f>VLOOKUP(Table1[[#This Row],[Address A]],IP_Master[],3,FALSE)</f>
        <v>PLCs &amp; Control Equipment</v>
      </c>
      <c r="V1590" s="9" t="e">
        <f>VLOOKUP(Table1[[#This Row],[Address B]],IP_Master[],3,FALSE)</f>
        <v>#N/A</v>
      </c>
      <c r="W1590" s="9" t="str">
        <f>VLOOKUP(Table1[[#This Row],[Port B]],traffic_types[],2,FALSE)</f>
        <v>Modbus</v>
      </c>
    </row>
    <row r="1591" spans="1:23" x14ac:dyDescent="0.6">
      <c r="A1591" t="s">
        <v>177</v>
      </c>
      <c r="B1591">
        <v>1430</v>
      </c>
      <c r="C1591" t="s">
        <v>178</v>
      </c>
      <c r="D1591">
        <v>443</v>
      </c>
      <c r="E1591">
        <v>1</v>
      </c>
      <c r="F1591">
        <v>60</v>
      </c>
      <c r="G1591">
        <v>1</v>
      </c>
      <c r="H1591">
        <v>60</v>
      </c>
      <c r="I1591">
        <v>0</v>
      </c>
      <c r="J1591">
        <v>0</v>
      </c>
      <c r="K1591">
        <v>559.01169000000004</v>
      </c>
      <c r="L1591">
        <v>0</v>
      </c>
      <c r="M1591">
        <v>0</v>
      </c>
      <c r="N1591">
        <v>0</v>
      </c>
      <c r="O1591" s="8" t="str">
        <f>formatIP(Table1[[#This Row],[Address A]])</f>
        <v>010.012.129.252</v>
      </c>
      <c r="P1591" s="8" t="str">
        <f>formatIP(Table1[[#This Row],[Address B]])</f>
        <v>010.012.128.180</v>
      </c>
      <c r="Q1591" s="8" t="e">
        <f>VLOOKUP(Table1[[#This Row],[Address A]],IP_Master[],4,FALSE)</f>
        <v>#N/A</v>
      </c>
      <c r="R1591" s="8" t="str">
        <f>VLOOKUP(Table1[[#This Row],[Address B]],IP_Master[],4,FALSE)</f>
        <v>SPSW1A/B</v>
      </c>
      <c r="S1591" s="8" t="e">
        <f>VLOOKUP(Table1[[#This Row],[Address A]],IP_Master[],2,FALSE)</f>
        <v>#N/A</v>
      </c>
      <c r="T1591" s="8" t="str">
        <f>VLOOKUP(Table1[[#This Row],[Address B]],IP_Master[],2,FALSE)</f>
        <v>Sinter Plant</v>
      </c>
      <c r="U1591" s="9" t="e">
        <f>VLOOKUP(Table1[[#This Row],[Address A]],IP_Master[],3,FALSE)</f>
        <v>#N/A</v>
      </c>
      <c r="V1591" s="9" t="str">
        <f>VLOOKUP(Table1[[#This Row],[Address B]],IP_Master[],3,FALSE)</f>
        <v>iFIX Nodes &amp; Ethernet Switches</v>
      </c>
      <c r="W1591" s="9" t="str">
        <f>VLOOKUP(Table1[[#This Row],[Port B]],traffic_types[],2,FALSE)</f>
        <v>HTTP/S</v>
      </c>
    </row>
    <row r="1592" spans="1:23" x14ac:dyDescent="0.6">
      <c r="A1592" t="s">
        <v>177</v>
      </c>
      <c r="B1592">
        <v>1447</v>
      </c>
      <c r="C1592" t="s">
        <v>179</v>
      </c>
      <c r="D1592">
        <v>80</v>
      </c>
      <c r="E1592">
        <v>1</v>
      </c>
      <c r="F1592">
        <v>60</v>
      </c>
      <c r="G1592">
        <v>1</v>
      </c>
      <c r="H1592">
        <v>60</v>
      </c>
      <c r="I1592">
        <v>0</v>
      </c>
      <c r="J1592">
        <v>0</v>
      </c>
      <c r="K1592">
        <v>559.85619599999995</v>
      </c>
      <c r="L1592">
        <v>0</v>
      </c>
      <c r="M1592">
        <v>0</v>
      </c>
      <c r="N1592">
        <v>0</v>
      </c>
      <c r="O1592" s="8" t="str">
        <f>formatIP(Table1[[#This Row],[Address A]])</f>
        <v>010.012.129.252</v>
      </c>
      <c r="P1592" s="8" t="str">
        <f>formatIP(Table1[[#This Row],[Address B]])</f>
        <v>010.012.128.179</v>
      </c>
      <c r="Q1592" s="8" t="e">
        <f>VLOOKUP(Table1[[#This Row],[Address A]],IP_Master[],4,FALSE)</f>
        <v>#N/A</v>
      </c>
      <c r="R1592" s="8" t="e">
        <f>VLOOKUP(Table1[[#This Row],[Address B]],IP_Master[],4,FALSE)</f>
        <v>#N/A</v>
      </c>
      <c r="S1592" s="8" t="e">
        <f>VLOOKUP(Table1[[#This Row],[Address A]],IP_Master[],2,FALSE)</f>
        <v>#N/A</v>
      </c>
      <c r="T1592" s="8" t="e">
        <f>VLOOKUP(Table1[[#This Row],[Address B]],IP_Master[],2,FALSE)</f>
        <v>#N/A</v>
      </c>
      <c r="U1592" s="9" t="e">
        <f>VLOOKUP(Table1[[#This Row],[Address A]],IP_Master[],3,FALSE)</f>
        <v>#N/A</v>
      </c>
      <c r="V1592" s="9" t="e">
        <f>VLOOKUP(Table1[[#This Row],[Address B]],IP_Master[],3,FALSE)</f>
        <v>#N/A</v>
      </c>
      <c r="W1592" s="9" t="str">
        <f>VLOOKUP(Table1[[#This Row],[Port B]],traffic_types[],2,FALSE)</f>
        <v>HTTP</v>
      </c>
    </row>
    <row r="1593" spans="1:23" x14ac:dyDescent="0.6">
      <c r="A1593" t="s">
        <v>177</v>
      </c>
      <c r="B1593">
        <v>1567</v>
      </c>
      <c r="C1593" t="s">
        <v>180</v>
      </c>
      <c r="D1593">
        <v>80</v>
      </c>
      <c r="E1593">
        <v>3</v>
      </c>
      <c r="F1593">
        <v>317</v>
      </c>
      <c r="G1593">
        <v>3</v>
      </c>
      <c r="H1593">
        <v>317</v>
      </c>
      <c r="I1593">
        <v>0</v>
      </c>
      <c r="J1593">
        <v>0</v>
      </c>
      <c r="K1593">
        <v>559.99223400000005</v>
      </c>
      <c r="L1593">
        <v>1.1049999999386299E-3</v>
      </c>
      <c r="M1593">
        <v>0</v>
      </c>
      <c r="N1593">
        <v>0</v>
      </c>
      <c r="O1593" s="8" t="str">
        <f>formatIP(Table1[[#This Row],[Address A]])</f>
        <v>010.012.129.252</v>
      </c>
      <c r="P1593" s="8" t="str">
        <f>formatIP(Table1[[#This Row],[Address B]])</f>
        <v>010.012.128.040</v>
      </c>
      <c r="Q1593" s="8" t="e">
        <f>VLOOKUP(Table1[[#This Row],[Address A]],IP_Master[],4,FALSE)</f>
        <v>#N/A</v>
      </c>
      <c r="R1593" s="8" t="str">
        <f>VLOOKUP(Table1[[#This Row],[Address B]],IP_Master[],4,FALSE)</f>
        <v>BFSW1A/B</v>
      </c>
      <c r="S1593" s="8" t="e">
        <f>VLOOKUP(Table1[[#This Row],[Address A]],IP_Master[],2,FALSE)</f>
        <v>#N/A</v>
      </c>
      <c r="T1593" s="8" t="str">
        <f>VLOOKUP(Table1[[#This Row],[Address B]],IP_Master[],2,FALSE)</f>
        <v>Blast Furnace</v>
      </c>
      <c r="U1593" s="9" t="e">
        <f>VLOOKUP(Table1[[#This Row],[Address A]],IP_Master[],3,FALSE)</f>
        <v>#N/A</v>
      </c>
      <c r="V1593" s="9" t="str">
        <f>VLOOKUP(Table1[[#This Row],[Address B]],IP_Master[],3,FALSE)</f>
        <v>iFIX Nodes &amp; Ethernet Switches</v>
      </c>
      <c r="W1593" s="9" t="str">
        <f>VLOOKUP(Table1[[#This Row],[Port B]],traffic_types[],2,FALSE)</f>
        <v>HTTP</v>
      </c>
    </row>
    <row r="1594" spans="1:23" x14ac:dyDescent="0.6">
      <c r="A1594" t="s">
        <v>177</v>
      </c>
      <c r="B1594">
        <v>1568</v>
      </c>
      <c r="C1594" t="s">
        <v>181</v>
      </c>
      <c r="D1594">
        <v>80</v>
      </c>
      <c r="E1594">
        <v>3</v>
      </c>
      <c r="F1594">
        <v>317</v>
      </c>
      <c r="G1594">
        <v>3</v>
      </c>
      <c r="H1594">
        <v>317</v>
      </c>
      <c r="I1594">
        <v>0</v>
      </c>
      <c r="J1594">
        <v>0</v>
      </c>
      <c r="K1594">
        <v>559.99240999999995</v>
      </c>
      <c r="L1594">
        <v>4.5200000000704703E-3</v>
      </c>
      <c r="M1594">
        <v>0</v>
      </c>
      <c r="N1594">
        <v>0</v>
      </c>
      <c r="O1594" s="8" t="str">
        <f>formatIP(Table1[[#This Row],[Address A]])</f>
        <v>010.012.129.252</v>
      </c>
      <c r="P1594" s="8" t="str">
        <f>formatIP(Table1[[#This Row],[Address B]])</f>
        <v>010.012.128.060</v>
      </c>
      <c r="Q1594" s="8" t="e">
        <f>VLOOKUP(Table1[[#This Row],[Address A]],IP_Master[],4,FALSE)</f>
        <v>#N/A</v>
      </c>
      <c r="R1594" s="8" t="str">
        <f>VLOOKUP(Table1[[#This Row],[Address B]],IP_Master[],4,FALSE)</f>
        <v>APSW1</v>
      </c>
      <c r="S1594" s="8" t="e">
        <f>VLOOKUP(Table1[[#This Row],[Address A]],IP_Master[],2,FALSE)</f>
        <v>#N/A</v>
      </c>
      <c r="T1594" s="8" t="str">
        <f>VLOOKUP(Table1[[#This Row],[Address B]],IP_Master[],2,FALSE)</f>
        <v>Acid Plant</v>
      </c>
      <c r="U1594" s="9" t="e">
        <f>VLOOKUP(Table1[[#This Row],[Address A]],IP_Master[],3,FALSE)</f>
        <v>#N/A</v>
      </c>
      <c r="V1594" s="9" t="str">
        <f>VLOOKUP(Table1[[#This Row],[Address B]],IP_Master[],3,FALSE)</f>
        <v>iFIX Nodes &amp; Ethernet Switches</v>
      </c>
      <c r="W1594" s="9" t="str">
        <f>VLOOKUP(Table1[[#This Row],[Port B]],traffic_types[],2,FALSE)</f>
        <v>HTTP</v>
      </c>
    </row>
    <row r="1595" spans="1:23" hidden="1" x14ac:dyDescent="0.6">
      <c r="A1595" t="s">
        <v>182</v>
      </c>
      <c r="B1595">
        <v>8081</v>
      </c>
      <c r="C1595" t="s">
        <v>108</v>
      </c>
      <c r="D1595">
        <v>3856</v>
      </c>
      <c r="E1595">
        <v>3</v>
      </c>
      <c r="F1595">
        <v>186</v>
      </c>
      <c r="G1595">
        <v>0</v>
      </c>
      <c r="H1595">
        <v>0</v>
      </c>
      <c r="I1595">
        <v>3</v>
      </c>
      <c r="J1595">
        <v>186</v>
      </c>
      <c r="K1595">
        <v>8.0820430000000005</v>
      </c>
      <c r="L1595">
        <v>9.2961430000000007</v>
      </c>
      <c r="M1595">
        <v>0</v>
      </c>
      <c r="N1595">
        <v>160.066384520978</v>
      </c>
      <c r="O1595" s="8" t="str">
        <f>formatIP(Table1[[#This Row],[Address A]])</f>
        <v>010.015.035.107</v>
      </c>
      <c r="P1595" s="8" t="str">
        <f>formatIP(Table1[[#This Row],[Address B]])</f>
        <v>010.012.000.065</v>
      </c>
      <c r="Q1595" s="8" t="e">
        <f>VLOOKUP(Table1[[#This Row],[Address A]],IP_Master[],4,FALSE)</f>
        <v>#N/A</v>
      </c>
      <c r="R1595" s="8" t="str">
        <f>VLOOKUP(Table1[[#This Row],[Address B]],IP_Master[],4,FALSE)</f>
        <v>PPPCPET5</v>
      </c>
      <c r="S1595" s="8" t="e">
        <f>VLOOKUP(Table1[[#This Row],[Address A]],IP_Master[],2,FALSE)</f>
        <v>#N/A</v>
      </c>
      <c r="T1595" s="8" t="str">
        <f>VLOOKUP(Table1[[#This Row],[Address B]],IP_Master[],2,FALSE)</f>
        <v>PETs Plant</v>
      </c>
      <c r="U1595" s="9" t="e">
        <f>VLOOKUP(Table1[[#This Row],[Address A]],IP_Master[],3,FALSE)</f>
        <v>#N/A</v>
      </c>
      <c r="V1595" s="9" t="str">
        <f>VLOOKUP(Table1[[#This Row],[Address B]],IP_Master[],3,FALSE)</f>
        <v>iFIX Nodes &amp; Ethernet Switches</v>
      </c>
      <c r="W1595" s="9" t="e">
        <f>VLOOKUP(Table1[[#This Row],[Port B]],traffic_types[],2,FALSE)</f>
        <v>#N/A</v>
      </c>
    </row>
    <row r="1596" spans="1:23" hidden="1" x14ac:dyDescent="0.6">
      <c r="A1596" t="s">
        <v>182</v>
      </c>
      <c r="B1596">
        <v>8081</v>
      </c>
      <c r="C1596" t="s">
        <v>108</v>
      </c>
      <c r="D1596">
        <v>3857</v>
      </c>
      <c r="E1596">
        <v>3</v>
      </c>
      <c r="F1596">
        <v>186</v>
      </c>
      <c r="G1596">
        <v>0</v>
      </c>
      <c r="H1596">
        <v>0</v>
      </c>
      <c r="I1596">
        <v>3</v>
      </c>
      <c r="J1596">
        <v>186</v>
      </c>
      <c r="K1596">
        <v>29.521947000000001</v>
      </c>
      <c r="L1596">
        <v>9.1852169999999997</v>
      </c>
      <c r="M1596">
        <v>0</v>
      </c>
      <c r="N1596">
        <v>161.99943888097599</v>
      </c>
      <c r="O1596" s="8" t="str">
        <f>formatIP(Table1[[#This Row],[Address A]])</f>
        <v>010.015.035.107</v>
      </c>
      <c r="P1596" s="8" t="str">
        <f>formatIP(Table1[[#This Row],[Address B]])</f>
        <v>010.012.000.065</v>
      </c>
      <c r="Q1596" s="8" t="e">
        <f>VLOOKUP(Table1[[#This Row],[Address A]],IP_Master[],4,FALSE)</f>
        <v>#N/A</v>
      </c>
      <c r="R1596" s="8" t="str">
        <f>VLOOKUP(Table1[[#This Row],[Address B]],IP_Master[],4,FALSE)</f>
        <v>PPPCPET5</v>
      </c>
      <c r="S1596" s="8" t="e">
        <f>VLOOKUP(Table1[[#This Row],[Address A]],IP_Master[],2,FALSE)</f>
        <v>#N/A</v>
      </c>
      <c r="T1596" s="8" t="str">
        <f>VLOOKUP(Table1[[#This Row],[Address B]],IP_Master[],2,FALSE)</f>
        <v>PETs Plant</v>
      </c>
      <c r="U1596" s="9" t="e">
        <f>VLOOKUP(Table1[[#This Row],[Address A]],IP_Master[],3,FALSE)</f>
        <v>#N/A</v>
      </c>
      <c r="V1596" s="9" t="str">
        <f>VLOOKUP(Table1[[#This Row],[Address B]],IP_Master[],3,FALSE)</f>
        <v>iFIX Nodes &amp; Ethernet Switches</v>
      </c>
      <c r="W1596" s="9" t="e">
        <f>VLOOKUP(Table1[[#This Row],[Port B]],traffic_types[],2,FALSE)</f>
        <v>#N/A</v>
      </c>
    </row>
    <row r="1597" spans="1:23" hidden="1" x14ac:dyDescent="0.6">
      <c r="A1597" t="s">
        <v>182</v>
      </c>
      <c r="B1597">
        <v>8081</v>
      </c>
      <c r="C1597" t="s">
        <v>108</v>
      </c>
      <c r="D1597">
        <v>3858</v>
      </c>
      <c r="E1597">
        <v>3</v>
      </c>
      <c r="F1597">
        <v>186</v>
      </c>
      <c r="G1597">
        <v>0</v>
      </c>
      <c r="H1597">
        <v>0</v>
      </c>
      <c r="I1597">
        <v>3</v>
      </c>
      <c r="J1597">
        <v>186</v>
      </c>
      <c r="K1597">
        <v>50.849358000000002</v>
      </c>
      <c r="L1597">
        <v>9.1873489999999993</v>
      </c>
      <c r="M1597">
        <v>0</v>
      </c>
      <c r="N1597">
        <v>161.961845576999</v>
      </c>
      <c r="O1597" s="8" t="str">
        <f>formatIP(Table1[[#This Row],[Address A]])</f>
        <v>010.015.035.107</v>
      </c>
      <c r="P1597" s="8" t="str">
        <f>formatIP(Table1[[#This Row],[Address B]])</f>
        <v>010.012.000.065</v>
      </c>
      <c r="Q1597" s="8" t="e">
        <f>VLOOKUP(Table1[[#This Row],[Address A]],IP_Master[],4,FALSE)</f>
        <v>#N/A</v>
      </c>
      <c r="R1597" s="8" t="str">
        <f>VLOOKUP(Table1[[#This Row],[Address B]],IP_Master[],4,FALSE)</f>
        <v>PPPCPET5</v>
      </c>
      <c r="S1597" s="8" t="e">
        <f>VLOOKUP(Table1[[#This Row],[Address A]],IP_Master[],2,FALSE)</f>
        <v>#N/A</v>
      </c>
      <c r="T1597" s="8" t="str">
        <f>VLOOKUP(Table1[[#This Row],[Address B]],IP_Master[],2,FALSE)</f>
        <v>PETs Plant</v>
      </c>
      <c r="U1597" s="9" t="e">
        <f>VLOOKUP(Table1[[#This Row],[Address A]],IP_Master[],3,FALSE)</f>
        <v>#N/A</v>
      </c>
      <c r="V1597" s="9" t="str">
        <f>VLOOKUP(Table1[[#This Row],[Address B]],IP_Master[],3,FALSE)</f>
        <v>iFIX Nodes &amp; Ethernet Switches</v>
      </c>
      <c r="W1597" s="9" t="e">
        <f>VLOOKUP(Table1[[#This Row],[Port B]],traffic_types[],2,FALSE)</f>
        <v>#N/A</v>
      </c>
    </row>
    <row r="1598" spans="1:23" hidden="1" x14ac:dyDescent="0.6">
      <c r="A1598" t="s">
        <v>182</v>
      </c>
      <c r="B1598">
        <v>8081</v>
      </c>
      <c r="C1598" t="s">
        <v>53</v>
      </c>
      <c r="D1598">
        <v>2590</v>
      </c>
      <c r="E1598">
        <v>3</v>
      </c>
      <c r="F1598">
        <v>186</v>
      </c>
      <c r="G1598">
        <v>0</v>
      </c>
      <c r="H1598">
        <v>0</v>
      </c>
      <c r="I1598">
        <v>3</v>
      </c>
      <c r="J1598">
        <v>186</v>
      </c>
      <c r="K1598">
        <v>61.240909000000002</v>
      </c>
      <c r="L1598">
        <v>9.0504160000000002</v>
      </c>
      <c r="M1598">
        <v>0</v>
      </c>
      <c r="N1598">
        <v>164.41233198562401</v>
      </c>
      <c r="O1598" s="8" t="str">
        <f>formatIP(Table1[[#This Row],[Address A]])</f>
        <v>010.015.035.107</v>
      </c>
      <c r="P1598" s="8" t="str">
        <f>formatIP(Table1[[#This Row],[Address B]])</f>
        <v>010.012.000.001</v>
      </c>
      <c r="Q1598" s="8" t="e">
        <f>VLOOKUP(Table1[[#This Row],[Address A]],IP_Master[],4,FALSE)</f>
        <v>#N/A</v>
      </c>
      <c r="R1598" s="8" t="str">
        <f>VLOOKUP(Table1[[#This Row],[Address B]],IP_Master[],4,FALSE)</f>
        <v>PPPCFC1</v>
      </c>
      <c r="S1598" s="8" t="e">
        <f>VLOOKUP(Table1[[#This Row],[Address A]],IP_Master[],2,FALSE)</f>
        <v>#N/A</v>
      </c>
      <c r="T1598" s="8" t="str">
        <f>VLOOKUP(Table1[[#This Row],[Address B]],IP_Master[],2,FALSE)</f>
        <v>Fume Control</v>
      </c>
      <c r="U1598" s="9" t="e">
        <f>VLOOKUP(Table1[[#This Row],[Address A]],IP_Master[],3,FALSE)</f>
        <v>#N/A</v>
      </c>
      <c r="V1598" s="9" t="str">
        <f>VLOOKUP(Table1[[#This Row],[Address B]],IP_Master[],3,FALSE)</f>
        <v>iFIX Nodes &amp; Ethernet Switches</v>
      </c>
      <c r="W1598" s="9" t="e">
        <f>VLOOKUP(Table1[[#This Row],[Port B]],traffic_types[],2,FALSE)</f>
        <v>#N/A</v>
      </c>
    </row>
    <row r="1599" spans="1:23" hidden="1" x14ac:dyDescent="0.6">
      <c r="A1599" t="s">
        <v>182</v>
      </c>
      <c r="B1599">
        <v>8081</v>
      </c>
      <c r="C1599" t="s">
        <v>53</v>
      </c>
      <c r="D1599">
        <v>2606</v>
      </c>
      <c r="E1599">
        <v>3</v>
      </c>
      <c r="F1599">
        <v>186</v>
      </c>
      <c r="G1599">
        <v>0</v>
      </c>
      <c r="H1599">
        <v>0</v>
      </c>
      <c r="I1599">
        <v>3</v>
      </c>
      <c r="J1599">
        <v>186</v>
      </c>
      <c r="K1599">
        <v>82.464357000000007</v>
      </c>
      <c r="L1599">
        <v>9.1538769999999907</v>
      </c>
      <c r="M1599">
        <v>0</v>
      </c>
      <c r="N1599">
        <v>162.55407408248999</v>
      </c>
      <c r="O1599" s="8" t="str">
        <f>formatIP(Table1[[#This Row],[Address A]])</f>
        <v>010.015.035.107</v>
      </c>
      <c r="P1599" s="8" t="str">
        <f>formatIP(Table1[[#This Row],[Address B]])</f>
        <v>010.012.000.001</v>
      </c>
      <c r="Q1599" s="8" t="e">
        <f>VLOOKUP(Table1[[#This Row],[Address A]],IP_Master[],4,FALSE)</f>
        <v>#N/A</v>
      </c>
      <c r="R1599" s="8" t="str">
        <f>VLOOKUP(Table1[[#This Row],[Address B]],IP_Master[],4,FALSE)</f>
        <v>PPPCFC1</v>
      </c>
      <c r="S1599" s="8" t="e">
        <f>VLOOKUP(Table1[[#This Row],[Address A]],IP_Master[],2,FALSE)</f>
        <v>#N/A</v>
      </c>
      <c r="T1599" s="8" t="str">
        <f>VLOOKUP(Table1[[#This Row],[Address B]],IP_Master[],2,FALSE)</f>
        <v>Fume Control</v>
      </c>
      <c r="U1599" s="9" t="e">
        <f>VLOOKUP(Table1[[#This Row],[Address A]],IP_Master[],3,FALSE)</f>
        <v>#N/A</v>
      </c>
      <c r="V1599" s="9" t="str">
        <f>VLOOKUP(Table1[[#This Row],[Address B]],IP_Master[],3,FALSE)</f>
        <v>iFIX Nodes &amp; Ethernet Switches</v>
      </c>
      <c r="W1599" s="9" t="e">
        <f>VLOOKUP(Table1[[#This Row],[Port B]],traffic_types[],2,FALSE)</f>
        <v>#N/A</v>
      </c>
    </row>
    <row r="1600" spans="1:23" hidden="1" x14ac:dyDescent="0.6">
      <c r="A1600" t="s">
        <v>183</v>
      </c>
      <c r="B1600">
        <v>8081</v>
      </c>
      <c r="C1600" t="s">
        <v>97</v>
      </c>
      <c r="D1600">
        <v>2496</v>
      </c>
      <c r="E1600">
        <v>9</v>
      </c>
      <c r="F1600">
        <v>693</v>
      </c>
      <c r="G1600">
        <v>4</v>
      </c>
      <c r="H1600">
        <v>332</v>
      </c>
      <c r="I1600">
        <v>5</v>
      </c>
      <c r="J1600">
        <v>361</v>
      </c>
      <c r="K1600">
        <v>6.3180350000000001</v>
      </c>
      <c r="L1600">
        <v>1.3471E-2</v>
      </c>
      <c r="M1600">
        <v>197164.278821171</v>
      </c>
      <c r="N1600">
        <v>214386.459802539</v>
      </c>
      <c r="O1600" s="8" t="str">
        <f>formatIP(Table1[[#This Row],[Address A]])</f>
        <v>010.015.097.041</v>
      </c>
      <c r="P1600" s="8" t="str">
        <f>formatIP(Table1[[#This Row],[Address B]])</f>
        <v>010.012.000.002</v>
      </c>
      <c r="Q1600" s="8" t="e">
        <f>VLOOKUP(Table1[[#This Row],[Address A]],IP_Master[],4,FALSE)</f>
        <v>#N/A</v>
      </c>
      <c r="R1600" s="8" t="str">
        <f>VLOOKUP(Table1[[#This Row],[Address B]],IP_Master[],4,FALSE)</f>
        <v>PPPCFC2</v>
      </c>
      <c r="S1600" s="8" t="e">
        <f>VLOOKUP(Table1[[#This Row],[Address A]],IP_Master[],2,FALSE)</f>
        <v>#N/A</v>
      </c>
      <c r="T1600" s="8" t="str">
        <f>VLOOKUP(Table1[[#This Row],[Address B]],IP_Master[],2,FALSE)</f>
        <v>Fume Control</v>
      </c>
      <c r="U1600" s="9" t="e">
        <f>VLOOKUP(Table1[[#This Row],[Address A]],IP_Master[],3,FALSE)</f>
        <v>#N/A</v>
      </c>
      <c r="V1600" s="9" t="str">
        <f>VLOOKUP(Table1[[#This Row],[Address B]],IP_Master[],3,FALSE)</f>
        <v>iFIX Nodes &amp; Ethernet Switches</v>
      </c>
      <c r="W1600" s="9" t="e">
        <f>VLOOKUP(Table1[[#This Row],[Port B]],traffic_types[],2,FALSE)</f>
        <v>#N/A</v>
      </c>
    </row>
    <row r="1601" spans="1:23" hidden="1" x14ac:dyDescent="0.6">
      <c r="A1601" t="s">
        <v>183</v>
      </c>
      <c r="B1601">
        <v>8081</v>
      </c>
      <c r="C1601" t="s">
        <v>97</v>
      </c>
      <c r="D1601">
        <v>2497</v>
      </c>
      <c r="E1601">
        <v>12</v>
      </c>
      <c r="F1601">
        <v>3527</v>
      </c>
      <c r="G1601">
        <v>6</v>
      </c>
      <c r="H1601">
        <v>3032</v>
      </c>
      <c r="I1601">
        <v>6</v>
      </c>
      <c r="J1601">
        <v>495</v>
      </c>
      <c r="K1601">
        <v>6.3328930000000003</v>
      </c>
      <c r="L1601">
        <v>1.30759999999999E-2</v>
      </c>
      <c r="M1601">
        <v>1855001.52951975</v>
      </c>
      <c r="N1601">
        <v>302844.90669929999</v>
      </c>
      <c r="O1601" s="8" t="str">
        <f>formatIP(Table1[[#This Row],[Address A]])</f>
        <v>010.015.097.041</v>
      </c>
      <c r="P1601" s="8" t="str">
        <f>formatIP(Table1[[#This Row],[Address B]])</f>
        <v>010.012.000.002</v>
      </c>
      <c r="Q1601" s="8" t="e">
        <f>VLOOKUP(Table1[[#This Row],[Address A]],IP_Master[],4,FALSE)</f>
        <v>#N/A</v>
      </c>
      <c r="R1601" s="8" t="str">
        <f>VLOOKUP(Table1[[#This Row],[Address B]],IP_Master[],4,FALSE)</f>
        <v>PPPCFC2</v>
      </c>
      <c r="S1601" s="8" t="e">
        <f>VLOOKUP(Table1[[#This Row],[Address A]],IP_Master[],2,FALSE)</f>
        <v>#N/A</v>
      </c>
      <c r="T1601" s="8" t="str">
        <f>VLOOKUP(Table1[[#This Row],[Address B]],IP_Master[],2,FALSE)</f>
        <v>Fume Control</v>
      </c>
      <c r="U1601" s="9" t="e">
        <f>VLOOKUP(Table1[[#This Row],[Address A]],IP_Master[],3,FALSE)</f>
        <v>#N/A</v>
      </c>
      <c r="V1601" s="9" t="str">
        <f>VLOOKUP(Table1[[#This Row],[Address B]],IP_Master[],3,FALSE)</f>
        <v>iFIX Nodes &amp; Ethernet Switches</v>
      </c>
      <c r="W1601" s="9" t="e">
        <f>VLOOKUP(Table1[[#This Row],[Port B]],traffic_types[],2,FALSE)</f>
        <v>#N/A</v>
      </c>
    </row>
    <row r="1602" spans="1:23" hidden="1" x14ac:dyDescent="0.6">
      <c r="A1602" t="s">
        <v>183</v>
      </c>
      <c r="B1602">
        <v>8081</v>
      </c>
      <c r="C1602" t="s">
        <v>69</v>
      </c>
      <c r="D1602">
        <v>4075</v>
      </c>
      <c r="E1602">
        <v>9</v>
      </c>
      <c r="F1602">
        <v>693</v>
      </c>
      <c r="G1602">
        <v>4</v>
      </c>
      <c r="H1602">
        <v>332</v>
      </c>
      <c r="I1602">
        <v>5</v>
      </c>
      <c r="J1602">
        <v>361</v>
      </c>
      <c r="K1602">
        <v>6.4702260000000003</v>
      </c>
      <c r="L1602">
        <v>1.8766999999999499E-2</v>
      </c>
      <c r="M1602">
        <v>141525.017317636</v>
      </c>
      <c r="N1602">
        <v>153887.142324296</v>
      </c>
      <c r="O1602" s="8" t="str">
        <f>formatIP(Table1[[#This Row],[Address A]])</f>
        <v>010.015.097.041</v>
      </c>
      <c r="P1602" s="8" t="str">
        <f>formatIP(Table1[[#This Row],[Address B]])</f>
        <v>010.012.000.041</v>
      </c>
      <c r="Q1602" s="8" t="e">
        <f>VLOOKUP(Table1[[#This Row],[Address A]],IP_Master[],4,FALSE)</f>
        <v>#N/A</v>
      </c>
      <c r="R1602" s="8" t="str">
        <f>VLOOKUP(Table1[[#This Row],[Address B]],IP_Master[],4,FALSE)</f>
        <v>PPPCAP1</v>
      </c>
      <c r="S1602" s="8" t="e">
        <f>VLOOKUP(Table1[[#This Row],[Address A]],IP_Master[],2,FALSE)</f>
        <v>#N/A</v>
      </c>
      <c r="T1602" s="8" t="str">
        <f>VLOOKUP(Table1[[#This Row],[Address B]],IP_Master[],2,FALSE)</f>
        <v>Acid Plant</v>
      </c>
      <c r="U1602" s="9" t="e">
        <f>VLOOKUP(Table1[[#This Row],[Address A]],IP_Master[],3,FALSE)</f>
        <v>#N/A</v>
      </c>
      <c r="V1602" s="9" t="str">
        <f>VLOOKUP(Table1[[#This Row],[Address B]],IP_Master[],3,FALSE)</f>
        <v>iFIX Nodes &amp; Ethernet Switches</v>
      </c>
      <c r="W1602" s="9" t="e">
        <f>VLOOKUP(Table1[[#This Row],[Port B]],traffic_types[],2,FALSE)</f>
        <v>#N/A</v>
      </c>
    </row>
    <row r="1603" spans="1:23" hidden="1" x14ac:dyDescent="0.6">
      <c r="A1603" t="s">
        <v>183</v>
      </c>
      <c r="B1603">
        <v>8081</v>
      </c>
      <c r="C1603" t="s">
        <v>69</v>
      </c>
      <c r="D1603">
        <v>4076</v>
      </c>
      <c r="E1603">
        <v>9</v>
      </c>
      <c r="F1603">
        <v>2266</v>
      </c>
      <c r="G1603">
        <v>4</v>
      </c>
      <c r="H1603">
        <v>1838</v>
      </c>
      <c r="I1603">
        <v>5</v>
      </c>
      <c r="J1603">
        <v>428</v>
      </c>
      <c r="K1603">
        <v>6.4911490000000001</v>
      </c>
      <c r="L1603">
        <v>1.38169999999995E-2</v>
      </c>
      <c r="M1603">
        <v>1064196.2799450301</v>
      </c>
      <c r="N1603">
        <v>247810.66801766801</v>
      </c>
      <c r="O1603" s="8" t="str">
        <f>formatIP(Table1[[#This Row],[Address A]])</f>
        <v>010.015.097.041</v>
      </c>
      <c r="P1603" s="8" t="str">
        <f>formatIP(Table1[[#This Row],[Address B]])</f>
        <v>010.012.000.041</v>
      </c>
      <c r="Q1603" s="8" t="e">
        <f>VLOOKUP(Table1[[#This Row],[Address A]],IP_Master[],4,FALSE)</f>
        <v>#N/A</v>
      </c>
      <c r="R1603" s="8" t="str">
        <f>VLOOKUP(Table1[[#This Row],[Address B]],IP_Master[],4,FALSE)</f>
        <v>PPPCAP1</v>
      </c>
      <c r="S1603" s="8" t="e">
        <f>VLOOKUP(Table1[[#This Row],[Address A]],IP_Master[],2,FALSE)</f>
        <v>#N/A</v>
      </c>
      <c r="T1603" s="8" t="str">
        <f>VLOOKUP(Table1[[#This Row],[Address B]],IP_Master[],2,FALSE)</f>
        <v>Acid Plant</v>
      </c>
      <c r="U1603" s="9" t="e">
        <f>VLOOKUP(Table1[[#This Row],[Address A]],IP_Master[],3,FALSE)</f>
        <v>#N/A</v>
      </c>
      <c r="V1603" s="9" t="str">
        <f>VLOOKUP(Table1[[#This Row],[Address B]],IP_Master[],3,FALSE)</f>
        <v>iFIX Nodes &amp; Ethernet Switches</v>
      </c>
      <c r="W1603" s="9" t="e">
        <f>VLOOKUP(Table1[[#This Row],[Port B]],traffic_types[],2,FALSE)</f>
        <v>#N/A</v>
      </c>
    </row>
    <row r="1604" spans="1:23" hidden="1" x14ac:dyDescent="0.6">
      <c r="A1604" t="s">
        <v>183</v>
      </c>
      <c r="B1604">
        <v>8081</v>
      </c>
      <c r="C1604" t="s">
        <v>69</v>
      </c>
      <c r="D1604">
        <v>4079</v>
      </c>
      <c r="E1604">
        <v>9</v>
      </c>
      <c r="F1604">
        <v>693</v>
      </c>
      <c r="G1604">
        <v>4</v>
      </c>
      <c r="H1604">
        <v>332</v>
      </c>
      <c r="I1604">
        <v>5</v>
      </c>
      <c r="J1604">
        <v>361</v>
      </c>
      <c r="K1604">
        <v>50.038640999999998</v>
      </c>
      <c r="L1604">
        <v>1.1470000000002799E-2</v>
      </c>
      <c r="M1604">
        <v>231560.59285086</v>
      </c>
      <c r="N1604">
        <v>251787.27114204899</v>
      </c>
      <c r="O1604" s="8" t="str">
        <f>formatIP(Table1[[#This Row],[Address A]])</f>
        <v>010.015.097.041</v>
      </c>
      <c r="P1604" s="8" t="str">
        <f>formatIP(Table1[[#This Row],[Address B]])</f>
        <v>010.012.000.041</v>
      </c>
      <c r="Q1604" s="8" t="e">
        <f>VLOOKUP(Table1[[#This Row],[Address A]],IP_Master[],4,FALSE)</f>
        <v>#N/A</v>
      </c>
      <c r="R1604" s="8" t="str">
        <f>VLOOKUP(Table1[[#This Row],[Address B]],IP_Master[],4,FALSE)</f>
        <v>PPPCAP1</v>
      </c>
      <c r="S1604" s="8" t="e">
        <f>VLOOKUP(Table1[[#This Row],[Address A]],IP_Master[],2,FALSE)</f>
        <v>#N/A</v>
      </c>
      <c r="T1604" s="8" t="str">
        <f>VLOOKUP(Table1[[#This Row],[Address B]],IP_Master[],2,FALSE)</f>
        <v>Acid Plant</v>
      </c>
      <c r="U1604" s="9" t="e">
        <f>VLOOKUP(Table1[[#This Row],[Address A]],IP_Master[],3,FALSE)</f>
        <v>#N/A</v>
      </c>
      <c r="V1604" s="9" t="str">
        <f>VLOOKUP(Table1[[#This Row],[Address B]],IP_Master[],3,FALSE)</f>
        <v>iFIX Nodes &amp; Ethernet Switches</v>
      </c>
      <c r="W1604" s="9" t="e">
        <f>VLOOKUP(Table1[[#This Row],[Port B]],traffic_types[],2,FALSE)</f>
        <v>#N/A</v>
      </c>
    </row>
    <row r="1605" spans="1:23" hidden="1" x14ac:dyDescent="0.6">
      <c r="A1605" t="s">
        <v>183</v>
      </c>
      <c r="B1605">
        <v>8081</v>
      </c>
      <c r="C1605" t="s">
        <v>69</v>
      </c>
      <c r="D1605">
        <v>4080</v>
      </c>
      <c r="E1605">
        <v>12</v>
      </c>
      <c r="F1605">
        <v>3311</v>
      </c>
      <c r="G1605">
        <v>6</v>
      </c>
      <c r="H1605">
        <v>2816</v>
      </c>
      <c r="I1605">
        <v>6</v>
      </c>
      <c r="J1605">
        <v>495</v>
      </c>
      <c r="K1605">
        <v>50.054228999999999</v>
      </c>
      <c r="L1605">
        <v>1.06499999999983E-2</v>
      </c>
      <c r="M1605">
        <v>2115305.1643195902</v>
      </c>
      <c r="N1605">
        <v>371830.985915553</v>
      </c>
      <c r="O1605" s="8" t="str">
        <f>formatIP(Table1[[#This Row],[Address A]])</f>
        <v>010.015.097.041</v>
      </c>
      <c r="P1605" s="8" t="str">
        <f>formatIP(Table1[[#This Row],[Address B]])</f>
        <v>010.012.000.041</v>
      </c>
      <c r="Q1605" s="8" t="e">
        <f>VLOOKUP(Table1[[#This Row],[Address A]],IP_Master[],4,FALSE)</f>
        <v>#N/A</v>
      </c>
      <c r="R1605" s="8" t="str">
        <f>VLOOKUP(Table1[[#This Row],[Address B]],IP_Master[],4,FALSE)</f>
        <v>PPPCAP1</v>
      </c>
      <c r="S1605" s="8" t="e">
        <f>VLOOKUP(Table1[[#This Row],[Address A]],IP_Master[],2,FALSE)</f>
        <v>#N/A</v>
      </c>
      <c r="T1605" s="8" t="str">
        <f>VLOOKUP(Table1[[#This Row],[Address B]],IP_Master[],2,FALSE)</f>
        <v>Acid Plant</v>
      </c>
      <c r="U1605" s="9" t="e">
        <f>VLOOKUP(Table1[[#This Row],[Address A]],IP_Master[],3,FALSE)</f>
        <v>#N/A</v>
      </c>
      <c r="V1605" s="9" t="str">
        <f>VLOOKUP(Table1[[#This Row],[Address B]],IP_Master[],3,FALSE)</f>
        <v>iFIX Nodes &amp; Ethernet Switches</v>
      </c>
      <c r="W1605" s="9" t="e">
        <f>VLOOKUP(Table1[[#This Row],[Port B]],traffic_types[],2,FALSE)</f>
        <v>#N/A</v>
      </c>
    </row>
    <row r="1606" spans="1:23" hidden="1" x14ac:dyDescent="0.6">
      <c r="A1606" t="s">
        <v>183</v>
      </c>
      <c r="B1606">
        <v>8081</v>
      </c>
      <c r="C1606" t="s">
        <v>69</v>
      </c>
      <c r="D1606">
        <v>4083</v>
      </c>
      <c r="E1606">
        <v>9</v>
      </c>
      <c r="F1606">
        <v>693</v>
      </c>
      <c r="G1606">
        <v>4</v>
      </c>
      <c r="H1606">
        <v>332</v>
      </c>
      <c r="I1606">
        <v>5</v>
      </c>
      <c r="J1606">
        <v>361</v>
      </c>
      <c r="K1606">
        <v>93.705628000000004</v>
      </c>
      <c r="L1606">
        <v>1.3190999999992001E-2</v>
      </c>
      <c r="M1606">
        <v>201349.40489740099</v>
      </c>
      <c r="N1606">
        <v>218937.15412036699</v>
      </c>
      <c r="O1606" s="8" t="str">
        <f>formatIP(Table1[[#This Row],[Address A]])</f>
        <v>010.015.097.041</v>
      </c>
      <c r="P1606" s="8" t="str">
        <f>formatIP(Table1[[#This Row],[Address B]])</f>
        <v>010.012.000.041</v>
      </c>
      <c r="Q1606" s="8" t="e">
        <f>VLOOKUP(Table1[[#This Row],[Address A]],IP_Master[],4,FALSE)</f>
        <v>#N/A</v>
      </c>
      <c r="R1606" s="8" t="str">
        <f>VLOOKUP(Table1[[#This Row],[Address B]],IP_Master[],4,FALSE)</f>
        <v>PPPCAP1</v>
      </c>
      <c r="S1606" s="8" t="e">
        <f>VLOOKUP(Table1[[#This Row],[Address A]],IP_Master[],2,FALSE)</f>
        <v>#N/A</v>
      </c>
      <c r="T1606" s="8" t="str">
        <f>VLOOKUP(Table1[[#This Row],[Address B]],IP_Master[],2,FALSE)</f>
        <v>Acid Plant</v>
      </c>
      <c r="U1606" s="9" t="e">
        <f>VLOOKUP(Table1[[#This Row],[Address A]],IP_Master[],3,FALSE)</f>
        <v>#N/A</v>
      </c>
      <c r="V1606" s="9" t="str">
        <f>VLOOKUP(Table1[[#This Row],[Address B]],IP_Master[],3,FALSE)</f>
        <v>iFIX Nodes &amp; Ethernet Switches</v>
      </c>
      <c r="W1606" s="9" t="e">
        <f>VLOOKUP(Table1[[#This Row],[Port B]],traffic_types[],2,FALSE)</f>
        <v>#N/A</v>
      </c>
    </row>
    <row r="1607" spans="1:23" hidden="1" x14ac:dyDescent="0.6">
      <c r="A1607" t="s">
        <v>183</v>
      </c>
      <c r="B1607">
        <v>8081</v>
      </c>
      <c r="C1607" t="s">
        <v>69</v>
      </c>
      <c r="D1607">
        <v>4084</v>
      </c>
      <c r="E1607">
        <v>11</v>
      </c>
      <c r="F1607">
        <v>3467</v>
      </c>
      <c r="G1607">
        <v>6</v>
      </c>
      <c r="H1607">
        <v>3032</v>
      </c>
      <c r="I1607">
        <v>5</v>
      </c>
      <c r="J1607">
        <v>435</v>
      </c>
      <c r="K1607">
        <v>93.723211000000006</v>
      </c>
      <c r="L1607">
        <v>1.6735999999994498E-2</v>
      </c>
      <c r="M1607">
        <v>1449330.7839392901</v>
      </c>
      <c r="N1607">
        <v>207934.990439838</v>
      </c>
      <c r="O1607" s="8" t="str">
        <f>formatIP(Table1[[#This Row],[Address A]])</f>
        <v>010.015.097.041</v>
      </c>
      <c r="P1607" s="8" t="str">
        <f>formatIP(Table1[[#This Row],[Address B]])</f>
        <v>010.012.000.041</v>
      </c>
      <c r="Q1607" s="8" t="e">
        <f>VLOOKUP(Table1[[#This Row],[Address A]],IP_Master[],4,FALSE)</f>
        <v>#N/A</v>
      </c>
      <c r="R1607" s="8" t="str">
        <f>VLOOKUP(Table1[[#This Row],[Address B]],IP_Master[],4,FALSE)</f>
        <v>PPPCAP1</v>
      </c>
      <c r="S1607" s="8" t="e">
        <f>VLOOKUP(Table1[[#This Row],[Address A]],IP_Master[],2,FALSE)</f>
        <v>#N/A</v>
      </c>
      <c r="T1607" s="8" t="str">
        <f>VLOOKUP(Table1[[#This Row],[Address B]],IP_Master[],2,FALSE)</f>
        <v>Acid Plant</v>
      </c>
      <c r="U1607" s="9" t="e">
        <f>VLOOKUP(Table1[[#This Row],[Address A]],IP_Master[],3,FALSE)</f>
        <v>#N/A</v>
      </c>
      <c r="V1607" s="9" t="str">
        <f>VLOOKUP(Table1[[#This Row],[Address B]],IP_Master[],3,FALSE)</f>
        <v>iFIX Nodes &amp; Ethernet Switches</v>
      </c>
      <c r="W1607" s="9" t="e">
        <f>VLOOKUP(Table1[[#This Row],[Port B]],traffic_types[],2,FALSE)</f>
        <v>#N/A</v>
      </c>
    </row>
    <row r="1608" spans="1:23" hidden="1" x14ac:dyDescent="0.6">
      <c r="A1608" t="s">
        <v>184</v>
      </c>
      <c r="B1608">
        <v>8081</v>
      </c>
      <c r="C1608" t="s">
        <v>108</v>
      </c>
      <c r="D1608">
        <v>3859</v>
      </c>
      <c r="E1608">
        <v>3</v>
      </c>
      <c r="F1608">
        <v>186</v>
      </c>
      <c r="G1608">
        <v>0</v>
      </c>
      <c r="H1608">
        <v>0</v>
      </c>
      <c r="I1608">
        <v>3</v>
      </c>
      <c r="J1608">
        <v>186</v>
      </c>
      <c r="K1608">
        <v>76.681747999999999</v>
      </c>
      <c r="L1608">
        <v>8.949173</v>
      </c>
      <c r="M1608">
        <v>0</v>
      </c>
      <c r="N1608">
        <v>166.27234717666099</v>
      </c>
      <c r="O1608" s="8" t="str">
        <f>formatIP(Table1[[#This Row],[Address A]])</f>
        <v>010.015.098.041</v>
      </c>
      <c r="P1608" s="8" t="str">
        <f>formatIP(Table1[[#This Row],[Address B]])</f>
        <v>010.012.000.065</v>
      </c>
      <c r="Q1608" s="8" t="e">
        <f>VLOOKUP(Table1[[#This Row],[Address A]],IP_Master[],4,FALSE)</f>
        <v>#N/A</v>
      </c>
      <c r="R1608" s="8" t="str">
        <f>VLOOKUP(Table1[[#This Row],[Address B]],IP_Master[],4,FALSE)</f>
        <v>PPPCPET5</v>
      </c>
      <c r="S1608" s="8" t="e">
        <f>VLOOKUP(Table1[[#This Row],[Address A]],IP_Master[],2,FALSE)</f>
        <v>#N/A</v>
      </c>
      <c r="T1608" s="8" t="str">
        <f>VLOOKUP(Table1[[#This Row],[Address B]],IP_Master[],2,FALSE)</f>
        <v>PETs Plant</v>
      </c>
      <c r="U1608" s="9" t="e">
        <f>VLOOKUP(Table1[[#This Row],[Address A]],IP_Master[],3,FALSE)</f>
        <v>#N/A</v>
      </c>
      <c r="V1608" s="9" t="str">
        <f>VLOOKUP(Table1[[#This Row],[Address B]],IP_Master[],3,FALSE)</f>
        <v>iFIX Nodes &amp; Ethernet Switches</v>
      </c>
      <c r="W1608" s="9" t="e">
        <f>VLOOKUP(Table1[[#This Row],[Port B]],traffic_types[],2,FALSE)</f>
        <v>#N/A</v>
      </c>
    </row>
    <row r="1609" spans="1:23" hidden="1" x14ac:dyDescent="0.6">
      <c r="A1609" t="s">
        <v>184</v>
      </c>
      <c r="B1609">
        <v>8081</v>
      </c>
      <c r="C1609" t="s">
        <v>108</v>
      </c>
      <c r="D1609">
        <v>3860</v>
      </c>
      <c r="E1609">
        <v>3</v>
      </c>
      <c r="F1609">
        <v>186</v>
      </c>
      <c r="G1609">
        <v>0</v>
      </c>
      <c r="H1609">
        <v>0</v>
      </c>
      <c r="I1609">
        <v>3</v>
      </c>
      <c r="J1609">
        <v>186</v>
      </c>
      <c r="K1609">
        <v>97.663466</v>
      </c>
      <c r="L1609">
        <v>9.1869879999999995</v>
      </c>
      <c r="M1609">
        <v>0</v>
      </c>
      <c r="N1609">
        <v>161.96820982023701</v>
      </c>
      <c r="O1609" s="8" t="str">
        <f>formatIP(Table1[[#This Row],[Address A]])</f>
        <v>010.015.098.041</v>
      </c>
      <c r="P1609" s="8" t="str">
        <f>formatIP(Table1[[#This Row],[Address B]])</f>
        <v>010.012.000.065</v>
      </c>
      <c r="Q1609" s="8" t="e">
        <f>VLOOKUP(Table1[[#This Row],[Address A]],IP_Master[],4,FALSE)</f>
        <v>#N/A</v>
      </c>
      <c r="R1609" s="8" t="str">
        <f>VLOOKUP(Table1[[#This Row],[Address B]],IP_Master[],4,FALSE)</f>
        <v>PPPCPET5</v>
      </c>
      <c r="S1609" s="8" t="e">
        <f>VLOOKUP(Table1[[#This Row],[Address A]],IP_Master[],2,FALSE)</f>
        <v>#N/A</v>
      </c>
      <c r="T1609" s="8" t="str">
        <f>VLOOKUP(Table1[[#This Row],[Address B]],IP_Master[],2,FALSE)</f>
        <v>PETs Plant</v>
      </c>
      <c r="U1609" s="9" t="e">
        <f>VLOOKUP(Table1[[#This Row],[Address A]],IP_Master[],3,FALSE)</f>
        <v>#N/A</v>
      </c>
      <c r="V1609" s="9" t="str">
        <f>VLOOKUP(Table1[[#This Row],[Address B]],IP_Master[],3,FALSE)</f>
        <v>iFIX Nodes &amp; Ethernet Switches</v>
      </c>
      <c r="W1609" s="9" t="e">
        <f>VLOOKUP(Table1[[#This Row],[Port B]],traffic_types[],2,FALSE)</f>
        <v>#N/A</v>
      </c>
    </row>
    <row r="1610" spans="1:23" hidden="1" x14ac:dyDescent="0.6">
      <c r="A1610" t="s">
        <v>184</v>
      </c>
      <c r="B1610">
        <v>8081</v>
      </c>
      <c r="C1610" t="s">
        <v>108</v>
      </c>
      <c r="D1610">
        <v>3861</v>
      </c>
      <c r="E1610">
        <v>3</v>
      </c>
      <c r="F1610">
        <v>186</v>
      </c>
      <c r="G1610">
        <v>0</v>
      </c>
      <c r="H1610">
        <v>0</v>
      </c>
      <c r="I1610">
        <v>3</v>
      </c>
      <c r="J1610">
        <v>186</v>
      </c>
      <c r="K1610">
        <v>118.887502</v>
      </c>
      <c r="L1610">
        <v>9.2932650000000105</v>
      </c>
      <c r="M1610">
        <v>0</v>
      </c>
      <c r="N1610">
        <v>160.11595494156199</v>
      </c>
      <c r="O1610" s="8" t="str">
        <f>formatIP(Table1[[#This Row],[Address A]])</f>
        <v>010.015.098.041</v>
      </c>
      <c r="P1610" s="8" t="str">
        <f>formatIP(Table1[[#This Row],[Address B]])</f>
        <v>010.012.000.065</v>
      </c>
      <c r="Q1610" s="8" t="e">
        <f>VLOOKUP(Table1[[#This Row],[Address A]],IP_Master[],4,FALSE)</f>
        <v>#N/A</v>
      </c>
      <c r="R1610" s="8" t="str">
        <f>VLOOKUP(Table1[[#This Row],[Address B]],IP_Master[],4,FALSE)</f>
        <v>PPPCPET5</v>
      </c>
      <c r="S1610" s="8" t="e">
        <f>VLOOKUP(Table1[[#This Row],[Address A]],IP_Master[],2,FALSE)</f>
        <v>#N/A</v>
      </c>
      <c r="T1610" s="8" t="str">
        <f>VLOOKUP(Table1[[#This Row],[Address B]],IP_Master[],2,FALSE)</f>
        <v>PETs Plant</v>
      </c>
      <c r="U1610" s="9" t="e">
        <f>VLOOKUP(Table1[[#This Row],[Address A]],IP_Master[],3,FALSE)</f>
        <v>#N/A</v>
      </c>
      <c r="V1610" s="9" t="str">
        <f>VLOOKUP(Table1[[#This Row],[Address B]],IP_Master[],3,FALSE)</f>
        <v>iFIX Nodes &amp; Ethernet Switches</v>
      </c>
      <c r="W1610" s="9" t="e">
        <f>VLOOKUP(Table1[[#This Row],[Port B]],traffic_types[],2,FALSE)</f>
        <v>#N/A</v>
      </c>
    </row>
    <row r="1611" spans="1:23" hidden="1" x14ac:dyDescent="0.6">
      <c r="A1611" t="s">
        <v>184</v>
      </c>
      <c r="B1611">
        <v>8081</v>
      </c>
      <c r="C1611" t="s">
        <v>108</v>
      </c>
      <c r="D1611">
        <v>3862</v>
      </c>
      <c r="E1611">
        <v>3</v>
      </c>
      <c r="F1611">
        <v>186</v>
      </c>
      <c r="G1611">
        <v>0</v>
      </c>
      <c r="H1611">
        <v>0</v>
      </c>
      <c r="I1611">
        <v>3</v>
      </c>
      <c r="J1611">
        <v>186</v>
      </c>
      <c r="K1611">
        <v>140.32177200000001</v>
      </c>
      <c r="L1611">
        <v>9.1866109999999992</v>
      </c>
      <c r="M1611">
        <v>0</v>
      </c>
      <c r="N1611">
        <v>161.97485666912399</v>
      </c>
      <c r="O1611" s="8" t="str">
        <f>formatIP(Table1[[#This Row],[Address A]])</f>
        <v>010.015.098.041</v>
      </c>
      <c r="P1611" s="8" t="str">
        <f>formatIP(Table1[[#This Row],[Address B]])</f>
        <v>010.012.000.065</v>
      </c>
      <c r="Q1611" s="8" t="e">
        <f>VLOOKUP(Table1[[#This Row],[Address A]],IP_Master[],4,FALSE)</f>
        <v>#N/A</v>
      </c>
      <c r="R1611" s="8" t="str">
        <f>VLOOKUP(Table1[[#This Row],[Address B]],IP_Master[],4,FALSE)</f>
        <v>PPPCPET5</v>
      </c>
      <c r="S1611" s="8" t="e">
        <f>VLOOKUP(Table1[[#This Row],[Address A]],IP_Master[],2,FALSE)</f>
        <v>#N/A</v>
      </c>
      <c r="T1611" s="8" t="str">
        <f>VLOOKUP(Table1[[#This Row],[Address B]],IP_Master[],2,FALSE)</f>
        <v>PETs Plant</v>
      </c>
      <c r="U1611" s="9" t="e">
        <f>VLOOKUP(Table1[[#This Row],[Address A]],IP_Master[],3,FALSE)</f>
        <v>#N/A</v>
      </c>
      <c r="V1611" s="9" t="str">
        <f>VLOOKUP(Table1[[#This Row],[Address B]],IP_Master[],3,FALSE)</f>
        <v>iFIX Nodes &amp; Ethernet Switches</v>
      </c>
      <c r="W1611" s="9" t="e">
        <f>VLOOKUP(Table1[[#This Row],[Port B]],traffic_types[],2,FALSE)</f>
        <v>#N/A</v>
      </c>
    </row>
    <row r="1612" spans="1:23" hidden="1" x14ac:dyDescent="0.6">
      <c r="A1612" t="s">
        <v>184</v>
      </c>
      <c r="B1612">
        <v>8081</v>
      </c>
      <c r="C1612" t="s">
        <v>53</v>
      </c>
      <c r="D1612">
        <v>2646</v>
      </c>
      <c r="E1612">
        <v>3</v>
      </c>
      <c r="F1612">
        <v>186</v>
      </c>
      <c r="G1612">
        <v>0</v>
      </c>
      <c r="H1612">
        <v>0</v>
      </c>
      <c r="I1612">
        <v>3</v>
      </c>
      <c r="J1612">
        <v>186</v>
      </c>
      <c r="K1612">
        <v>150.068634</v>
      </c>
      <c r="L1612">
        <v>9.0513579999999898</v>
      </c>
      <c r="M1612">
        <v>0</v>
      </c>
      <c r="N1612">
        <v>164.395221136983</v>
      </c>
      <c r="O1612" s="8" t="str">
        <f>formatIP(Table1[[#This Row],[Address A]])</f>
        <v>010.015.098.041</v>
      </c>
      <c r="P1612" s="8" t="str">
        <f>formatIP(Table1[[#This Row],[Address B]])</f>
        <v>010.012.000.001</v>
      </c>
      <c r="Q1612" s="8" t="e">
        <f>VLOOKUP(Table1[[#This Row],[Address A]],IP_Master[],4,FALSE)</f>
        <v>#N/A</v>
      </c>
      <c r="R1612" s="8" t="str">
        <f>VLOOKUP(Table1[[#This Row],[Address B]],IP_Master[],4,FALSE)</f>
        <v>PPPCFC1</v>
      </c>
      <c r="S1612" s="8" t="e">
        <f>VLOOKUP(Table1[[#This Row],[Address A]],IP_Master[],2,FALSE)</f>
        <v>#N/A</v>
      </c>
      <c r="T1612" s="8" t="str">
        <f>VLOOKUP(Table1[[#This Row],[Address B]],IP_Master[],2,FALSE)</f>
        <v>Fume Control</v>
      </c>
      <c r="U1612" s="9" t="e">
        <f>VLOOKUP(Table1[[#This Row],[Address A]],IP_Master[],3,FALSE)</f>
        <v>#N/A</v>
      </c>
      <c r="V1612" s="9" t="str">
        <f>VLOOKUP(Table1[[#This Row],[Address B]],IP_Master[],3,FALSE)</f>
        <v>iFIX Nodes &amp; Ethernet Switches</v>
      </c>
      <c r="W1612" s="9" t="e">
        <f>VLOOKUP(Table1[[#This Row],[Port B]],traffic_types[],2,FALSE)</f>
        <v>#N/A</v>
      </c>
    </row>
    <row r="1613" spans="1:23" hidden="1" x14ac:dyDescent="0.6">
      <c r="A1613" t="s">
        <v>184</v>
      </c>
      <c r="B1613">
        <v>8081</v>
      </c>
      <c r="C1613" t="s">
        <v>54</v>
      </c>
      <c r="D1613">
        <v>3062</v>
      </c>
      <c r="E1613">
        <v>3</v>
      </c>
      <c r="F1613">
        <v>186</v>
      </c>
      <c r="G1613">
        <v>0</v>
      </c>
      <c r="H1613">
        <v>0</v>
      </c>
      <c r="I1613">
        <v>3</v>
      </c>
      <c r="J1613">
        <v>186</v>
      </c>
      <c r="K1613">
        <v>157.73431400000001</v>
      </c>
      <c r="L1613">
        <v>9.1848379999999796</v>
      </c>
      <c r="M1613">
        <v>0</v>
      </c>
      <c r="N1613">
        <v>162.00612357017101</v>
      </c>
      <c r="O1613" s="8" t="str">
        <f>formatIP(Table1[[#This Row],[Address A]])</f>
        <v>010.015.098.041</v>
      </c>
      <c r="P1613" s="8" t="str">
        <f>formatIP(Table1[[#This Row],[Address B]])</f>
        <v>010.012.000.063</v>
      </c>
      <c r="Q1613" s="8" t="e">
        <f>VLOOKUP(Table1[[#This Row],[Address A]],IP_Master[],4,FALSE)</f>
        <v>#N/A</v>
      </c>
      <c r="R1613" s="8" t="str">
        <f>VLOOKUP(Table1[[#This Row],[Address B]],IP_Master[],4,FALSE)</f>
        <v>PPPCPET3</v>
      </c>
      <c r="S1613" s="8" t="e">
        <f>VLOOKUP(Table1[[#This Row],[Address A]],IP_Master[],2,FALSE)</f>
        <v>#N/A</v>
      </c>
      <c r="T1613" s="8" t="str">
        <f>VLOOKUP(Table1[[#This Row],[Address B]],IP_Master[],2,FALSE)</f>
        <v>PETs Plant</v>
      </c>
      <c r="U1613" s="9" t="e">
        <f>VLOOKUP(Table1[[#This Row],[Address A]],IP_Master[],3,FALSE)</f>
        <v>#N/A</v>
      </c>
      <c r="V1613" s="9" t="str">
        <f>VLOOKUP(Table1[[#This Row],[Address B]],IP_Master[],3,FALSE)</f>
        <v>iFIX Nodes &amp; Ethernet Switches</v>
      </c>
      <c r="W1613" s="9" t="e">
        <f>VLOOKUP(Table1[[#This Row],[Port B]],traffic_types[],2,FALSE)</f>
        <v>#N/A</v>
      </c>
    </row>
    <row r="1614" spans="1:23" hidden="1" x14ac:dyDescent="0.6">
      <c r="A1614" t="s">
        <v>184</v>
      </c>
      <c r="B1614">
        <v>8081</v>
      </c>
      <c r="C1614" t="s">
        <v>53</v>
      </c>
      <c r="D1614">
        <v>2664</v>
      </c>
      <c r="E1614">
        <v>3</v>
      </c>
      <c r="F1614">
        <v>186</v>
      </c>
      <c r="G1614">
        <v>0</v>
      </c>
      <c r="H1614">
        <v>0</v>
      </c>
      <c r="I1614">
        <v>3</v>
      </c>
      <c r="J1614">
        <v>186</v>
      </c>
      <c r="K1614">
        <v>171.193667</v>
      </c>
      <c r="L1614">
        <v>9.0521679999999893</v>
      </c>
      <c r="M1614">
        <v>0</v>
      </c>
      <c r="N1614">
        <v>164.380510834532</v>
      </c>
      <c r="O1614" s="8" t="str">
        <f>formatIP(Table1[[#This Row],[Address A]])</f>
        <v>010.015.098.041</v>
      </c>
      <c r="P1614" s="8" t="str">
        <f>formatIP(Table1[[#This Row],[Address B]])</f>
        <v>010.012.000.001</v>
      </c>
      <c r="Q1614" s="8" t="e">
        <f>VLOOKUP(Table1[[#This Row],[Address A]],IP_Master[],4,FALSE)</f>
        <v>#N/A</v>
      </c>
      <c r="R1614" s="8" t="str">
        <f>VLOOKUP(Table1[[#This Row],[Address B]],IP_Master[],4,FALSE)</f>
        <v>PPPCFC1</v>
      </c>
      <c r="S1614" s="8" t="e">
        <f>VLOOKUP(Table1[[#This Row],[Address A]],IP_Master[],2,FALSE)</f>
        <v>#N/A</v>
      </c>
      <c r="T1614" s="8" t="str">
        <f>VLOOKUP(Table1[[#This Row],[Address B]],IP_Master[],2,FALSE)</f>
        <v>Fume Control</v>
      </c>
      <c r="U1614" s="9" t="e">
        <f>VLOOKUP(Table1[[#This Row],[Address A]],IP_Master[],3,FALSE)</f>
        <v>#N/A</v>
      </c>
      <c r="V1614" s="9" t="str">
        <f>VLOOKUP(Table1[[#This Row],[Address B]],IP_Master[],3,FALSE)</f>
        <v>iFIX Nodes &amp; Ethernet Switches</v>
      </c>
      <c r="W1614" s="9" t="e">
        <f>VLOOKUP(Table1[[#This Row],[Port B]],traffic_types[],2,FALSE)</f>
        <v>#N/A</v>
      </c>
    </row>
    <row r="1615" spans="1:23" hidden="1" x14ac:dyDescent="0.6">
      <c r="A1615" t="s">
        <v>184</v>
      </c>
      <c r="B1615">
        <v>8081</v>
      </c>
      <c r="C1615" t="s">
        <v>54</v>
      </c>
      <c r="D1615">
        <v>3063</v>
      </c>
      <c r="E1615">
        <v>3</v>
      </c>
      <c r="F1615">
        <v>186</v>
      </c>
      <c r="G1615">
        <v>0</v>
      </c>
      <c r="H1615">
        <v>0</v>
      </c>
      <c r="I1615">
        <v>3</v>
      </c>
      <c r="J1615">
        <v>186</v>
      </c>
      <c r="K1615">
        <v>179.06165200000001</v>
      </c>
      <c r="L1615">
        <v>9.1860729999999897</v>
      </c>
      <c r="M1615">
        <v>0</v>
      </c>
      <c r="N1615">
        <v>161.984343037553</v>
      </c>
      <c r="O1615" s="8" t="str">
        <f>formatIP(Table1[[#This Row],[Address A]])</f>
        <v>010.015.098.041</v>
      </c>
      <c r="P1615" s="8" t="str">
        <f>formatIP(Table1[[#This Row],[Address B]])</f>
        <v>010.012.000.063</v>
      </c>
      <c r="Q1615" s="8" t="e">
        <f>VLOOKUP(Table1[[#This Row],[Address A]],IP_Master[],4,FALSE)</f>
        <v>#N/A</v>
      </c>
      <c r="R1615" s="8" t="str">
        <f>VLOOKUP(Table1[[#This Row],[Address B]],IP_Master[],4,FALSE)</f>
        <v>PPPCPET3</v>
      </c>
      <c r="S1615" s="8" t="e">
        <f>VLOOKUP(Table1[[#This Row],[Address A]],IP_Master[],2,FALSE)</f>
        <v>#N/A</v>
      </c>
      <c r="T1615" s="8" t="str">
        <f>VLOOKUP(Table1[[#This Row],[Address B]],IP_Master[],2,FALSE)</f>
        <v>PETs Plant</v>
      </c>
      <c r="U1615" s="9" t="e">
        <f>VLOOKUP(Table1[[#This Row],[Address A]],IP_Master[],3,FALSE)</f>
        <v>#N/A</v>
      </c>
      <c r="V1615" s="9" t="str">
        <f>VLOOKUP(Table1[[#This Row],[Address B]],IP_Master[],3,FALSE)</f>
        <v>iFIX Nodes &amp; Ethernet Switches</v>
      </c>
      <c r="W1615" s="9" t="e">
        <f>VLOOKUP(Table1[[#This Row],[Port B]],traffic_types[],2,FALSE)</f>
        <v>#N/A</v>
      </c>
    </row>
    <row r="1616" spans="1:23" hidden="1" x14ac:dyDescent="0.6">
      <c r="A1616" t="s">
        <v>185</v>
      </c>
      <c r="B1616">
        <v>65032</v>
      </c>
      <c r="C1616" t="s">
        <v>78</v>
      </c>
      <c r="D1616">
        <v>14000</v>
      </c>
      <c r="E1616">
        <v>1019</v>
      </c>
      <c r="F1616">
        <v>198546</v>
      </c>
      <c r="G1616">
        <v>362</v>
      </c>
      <c r="H1616">
        <v>23820</v>
      </c>
      <c r="I1616">
        <v>657</v>
      </c>
      <c r="J1616">
        <v>174726</v>
      </c>
      <c r="K1616">
        <v>3.758175</v>
      </c>
      <c r="L1616">
        <v>894.055612</v>
      </c>
      <c r="M1616">
        <v>213.14110379970401</v>
      </c>
      <c r="N1616">
        <v>1563.44636870307</v>
      </c>
      <c r="O1616" s="8" t="str">
        <f>formatIP(Table1[[#This Row],[Address A]])</f>
        <v>010.020.097.012</v>
      </c>
      <c r="P1616" s="8" t="str">
        <f>formatIP(Table1[[#This Row],[Address B]])</f>
        <v>010.012.000.241</v>
      </c>
      <c r="Q1616" s="8" t="e">
        <f>VLOOKUP(Table1[[#This Row],[Address A]],IP_Master[],4,FALSE)</f>
        <v>#N/A</v>
      </c>
      <c r="R1616" s="8" t="str">
        <f>VLOOKUP(Table1[[#This Row],[Address B]],IP_Master[],4,FALSE)</f>
        <v>PPPCHIST</v>
      </c>
      <c r="S1616" s="8" t="e">
        <f>VLOOKUP(Table1[[#This Row],[Address A]],IP_Master[],2,FALSE)</f>
        <v>#N/A</v>
      </c>
      <c r="T1616" s="8" t="str">
        <f>VLOOKUP(Table1[[#This Row],[Address B]],IP_Master[],2,FALSE)</f>
        <v>Other ProcN Devices</v>
      </c>
      <c r="U1616" s="9" t="e">
        <f>VLOOKUP(Table1[[#This Row],[Address A]],IP_Master[],3,FALSE)</f>
        <v>#N/A</v>
      </c>
      <c r="V1616" s="9" t="str">
        <f>VLOOKUP(Table1[[#This Row],[Address B]],IP_Master[],3,FALSE)</f>
        <v>iFIX Nodes &amp; Ethernet Switches</v>
      </c>
      <c r="W1616" s="9" t="e">
        <f>VLOOKUP(Table1[[#This Row],[Port B]],traffic_types[],2,FALSE)</f>
        <v>#N/A</v>
      </c>
    </row>
    <row r="1617" spans="1:23" x14ac:dyDescent="0.6">
      <c r="A1617" t="s">
        <v>185</v>
      </c>
      <c r="B1617">
        <v>49447</v>
      </c>
      <c r="C1617" t="s">
        <v>78</v>
      </c>
      <c r="D1617">
        <v>445</v>
      </c>
      <c r="E1617">
        <v>40</v>
      </c>
      <c r="F1617">
        <v>4294</v>
      </c>
      <c r="G1617">
        <v>21</v>
      </c>
      <c r="H1617">
        <v>2142</v>
      </c>
      <c r="I1617">
        <v>19</v>
      </c>
      <c r="J1617">
        <v>2152</v>
      </c>
      <c r="K1617">
        <v>23.55564</v>
      </c>
      <c r="L1617">
        <v>788.79586600000005</v>
      </c>
      <c r="M1617">
        <v>21.724251785061998</v>
      </c>
      <c r="N1617">
        <v>21.825672194889499</v>
      </c>
      <c r="O1617" s="8" t="str">
        <f>formatIP(Table1[[#This Row],[Address A]])</f>
        <v>010.020.097.012</v>
      </c>
      <c r="P1617" s="8" t="str">
        <f>formatIP(Table1[[#This Row],[Address B]])</f>
        <v>010.012.000.241</v>
      </c>
      <c r="Q1617" s="8" t="e">
        <f>VLOOKUP(Table1[[#This Row],[Address A]],IP_Master[],4,FALSE)</f>
        <v>#N/A</v>
      </c>
      <c r="R1617" s="8" t="str">
        <f>VLOOKUP(Table1[[#This Row],[Address B]],IP_Master[],4,FALSE)</f>
        <v>PPPCHIST</v>
      </c>
      <c r="S1617" s="8" t="e">
        <f>VLOOKUP(Table1[[#This Row],[Address A]],IP_Master[],2,FALSE)</f>
        <v>#N/A</v>
      </c>
      <c r="T1617" s="8" t="str">
        <f>VLOOKUP(Table1[[#This Row],[Address B]],IP_Master[],2,FALSE)</f>
        <v>Other ProcN Devices</v>
      </c>
      <c r="U1617" s="9" t="e">
        <f>VLOOKUP(Table1[[#This Row],[Address A]],IP_Master[],3,FALSE)</f>
        <v>#N/A</v>
      </c>
      <c r="V1617" s="9" t="str">
        <f>VLOOKUP(Table1[[#This Row],[Address B]],IP_Master[],3,FALSE)</f>
        <v>iFIX Nodes &amp; Ethernet Switches</v>
      </c>
      <c r="W1617" s="9" t="str">
        <f>VLOOKUP(Table1[[#This Row],[Port B]],traffic_types[],2,FALSE)</f>
        <v>SMB</v>
      </c>
    </row>
    <row r="1618" spans="1:23" x14ac:dyDescent="0.6">
      <c r="A1618" t="s">
        <v>185</v>
      </c>
      <c r="B1618">
        <v>49449</v>
      </c>
      <c r="C1618" t="s">
        <v>186</v>
      </c>
      <c r="D1618">
        <v>445</v>
      </c>
      <c r="E1618">
        <v>6912</v>
      </c>
      <c r="F1618">
        <v>8710375</v>
      </c>
      <c r="G1618">
        <v>1019</v>
      </c>
      <c r="H1618">
        <v>91429</v>
      </c>
      <c r="I1618">
        <v>5893</v>
      </c>
      <c r="J1618">
        <v>8618946</v>
      </c>
      <c r="K1618">
        <v>23.696598999999999</v>
      </c>
      <c r="L1618">
        <v>834.29702399999996</v>
      </c>
      <c r="M1618">
        <v>876.70455360512005</v>
      </c>
      <c r="N1618">
        <v>82646.307030336495</v>
      </c>
      <c r="O1618" s="8" t="str">
        <f>formatIP(Table1[[#This Row],[Address A]])</f>
        <v>010.020.097.012</v>
      </c>
      <c r="P1618" s="8" t="str">
        <f>formatIP(Table1[[#This Row],[Address B]])</f>
        <v>010.012.000.223</v>
      </c>
      <c r="Q1618" s="8" t="e">
        <f>VLOOKUP(Table1[[#This Row],[Address A]],IP_Master[],4,FALSE)</f>
        <v>#N/A</v>
      </c>
      <c r="R1618" s="8" t="str">
        <f>VLOOKUP(Table1[[#This Row],[Address B]],IP_Master[],4,FALSE)</f>
        <v>PPPCEAF3</v>
      </c>
      <c r="S1618" s="8" t="e">
        <f>VLOOKUP(Table1[[#This Row],[Address A]],IP_Master[],2,FALSE)</f>
        <v>#N/A</v>
      </c>
      <c r="T1618" s="8" t="str">
        <f>VLOOKUP(Table1[[#This Row],[Address B]],IP_Master[],2,FALSE)</f>
        <v>EAF Dust Washing</v>
      </c>
      <c r="U1618" s="9" t="e">
        <f>VLOOKUP(Table1[[#This Row],[Address A]],IP_Master[],3,FALSE)</f>
        <v>#N/A</v>
      </c>
      <c r="V1618" s="9" t="str">
        <f>VLOOKUP(Table1[[#This Row],[Address B]],IP_Master[],3,FALSE)</f>
        <v>iFIX Nodes &amp; Ethernet Switches</v>
      </c>
      <c r="W1618" s="9" t="str">
        <f>VLOOKUP(Table1[[#This Row],[Port B]],traffic_types[],2,FALSE)</f>
        <v>SMB</v>
      </c>
    </row>
    <row r="1619" spans="1:23" x14ac:dyDescent="0.6">
      <c r="A1619" t="s">
        <v>185</v>
      </c>
      <c r="B1619">
        <v>63372</v>
      </c>
      <c r="C1619" t="s">
        <v>187</v>
      </c>
      <c r="D1619">
        <v>445</v>
      </c>
      <c r="E1619">
        <v>14</v>
      </c>
      <c r="F1619">
        <v>882</v>
      </c>
      <c r="G1619">
        <v>7</v>
      </c>
      <c r="H1619">
        <v>462</v>
      </c>
      <c r="I1619">
        <v>7</v>
      </c>
      <c r="J1619">
        <v>420</v>
      </c>
      <c r="K1619">
        <v>97.537386999999995</v>
      </c>
      <c r="L1619">
        <v>720.10109699999998</v>
      </c>
      <c r="M1619">
        <v>5.1326126503595697</v>
      </c>
      <c r="N1619">
        <v>4.6660115003268796</v>
      </c>
      <c r="O1619" s="8" t="str">
        <f>formatIP(Table1[[#This Row],[Address A]])</f>
        <v>010.020.097.012</v>
      </c>
      <c r="P1619" s="8" t="str">
        <f>formatIP(Table1[[#This Row],[Address B]])</f>
        <v>010.012.000.145</v>
      </c>
      <c r="Q1619" s="8" t="e">
        <f>VLOOKUP(Table1[[#This Row],[Address A]],IP_Master[],4,FALSE)</f>
        <v>#N/A</v>
      </c>
      <c r="R1619" s="8" t="str">
        <f>VLOOKUP(Table1[[#This Row],[Address B]],IP_Master[],4,FALSE)</f>
        <v>PPPCCP5</v>
      </c>
      <c r="S1619" s="8" t="e">
        <f>VLOOKUP(Table1[[#This Row],[Address A]],IP_Master[],2,FALSE)</f>
        <v>#N/A</v>
      </c>
      <c r="T1619" s="8" t="str">
        <f>VLOOKUP(Table1[[#This Row],[Address B]],IP_Master[],2,FALSE)</f>
        <v>Copper Plant</v>
      </c>
      <c r="U1619" s="9" t="e">
        <f>VLOOKUP(Table1[[#This Row],[Address A]],IP_Master[],3,FALSE)</f>
        <v>#N/A</v>
      </c>
      <c r="V1619" s="9" t="str">
        <f>VLOOKUP(Table1[[#This Row],[Address B]],IP_Master[],3,FALSE)</f>
        <v>iFIX Nodes &amp; Ethernet Switches</v>
      </c>
      <c r="W1619" s="9" t="str">
        <f>VLOOKUP(Table1[[#This Row],[Port B]],traffic_types[],2,FALSE)</f>
        <v>SMB</v>
      </c>
    </row>
    <row r="1620" spans="1:23" x14ac:dyDescent="0.6">
      <c r="A1620" t="s">
        <v>185</v>
      </c>
      <c r="B1620">
        <v>63339</v>
      </c>
      <c r="C1620" t="s">
        <v>188</v>
      </c>
      <c r="D1620">
        <v>445</v>
      </c>
      <c r="E1620">
        <v>14</v>
      </c>
      <c r="F1620">
        <v>882</v>
      </c>
      <c r="G1620">
        <v>7</v>
      </c>
      <c r="H1620">
        <v>462</v>
      </c>
      <c r="I1620">
        <v>7</v>
      </c>
      <c r="J1620">
        <v>420</v>
      </c>
      <c r="K1620">
        <v>99.041993000000005</v>
      </c>
      <c r="L1620">
        <v>720.13804100000004</v>
      </c>
      <c r="M1620">
        <v>5.1323493407842404</v>
      </c>
      <c r="N1620">
        <v>4.6657721279856696</v>
      </c>
      <c r="O1620" s="8" t="str">
        <f>formatIP(Table1[[#This Row],[Address A]])</f>
        <v>010.020.097.012</v>
      </c>
      <c r="P1620" s="8" t="str">
        <f>formatIP(Table1[[#This Row],[Address B]])</f>
        <v>010.012.000.143</v>
      </c>
      <c r="Q1620" s="8" t="e">
        <f>VLOOKUP(Table1[[#This Row],[Address A]],IP_Master[],4,FALSE)</f>
        <v>#N/A</v>
      </c>
      <c r="R1620" s="8" t="str">
        <f>VLOOKUP(Table1[[#This Row],[Address B]],IP_Master[],4,FALSE)</f>
        <v>PPPCCP3</v>
      </c>
      <c r="S1620" s="8" t="e">
        <f>VLOOKUP(Table1[[#This Row],[Address A]],IP_Master[],2,FALSE)</f>
        <v>#N/A</v>
      </c>
      <c r="T1620" s="8" t="str">
        <f>VLOOKUP(Table1[[#This Row],[Address B]],IP_Master[],2,FALSE)</f>
        <v>Copper Plant</v>
      </c>
      <c r="U1620" s="9" t="e">
        <f>VLOOKUP(Table1[[#This Row],[Address A]],IP_Master[],3,FALSE)</f>
        <v>#N/A</v>
      </c>
      <c r="V1620" s="9" t="str">
        <f>VLOOKUP(Table1[[#This Row],[Address B]],IP_Master[],3,FALSE)</f>
        <v>iFIX Nodes &amp; Ethernet Switches</v>
      </c>
      <c r="W1620" s="9" t="str">
        <f>VLOOKUP(Table1[[#This Row],[Port B]],traffic_types[],2,FALSE)</f>
        <v>SMB</v>
      </c>
    </row>
    <row r="1621" spans="1:23" x14ac:dyDescent="0.6">
      <c r="A1621" t="s">
        <v>185</v>
      </c>
      <c r="B1621">
        <v>63457</v>
      </c>
      <c r="C1621" t="s">
        <v>189</v>
      </c>
      <c r="D1621">
        <v>445</v>
      </c>
      <c r="E1621">
        <v>14</v>
      </c>
      <c r="F1621">
        <v>882</v>
      </c>
      <c r="G1621">
        <v>7</v>
      </c>
      <c r="H1621">
        <v>462</v>
      </c>
      <c r="I1621">
        <v>7</v>
      </c>
      <c r="J1621">
        <v>420</v>
      </c>
      <c r="K1621">
        <v>102.872748</v>
      </c>
      <c r="L1621">
        <v>720.07149300000003</v>
      </c>
      <c r="M1621">
        <v>5.1328236653301298</v>
      </c>
      <c r="N1621">
        <v>4.6662033321183003</v>
      </c>
      <c r="O1621" s="8" t="str">
        <f>formatIP(Table1[[#This Row],[Address A]])</f>
        <v>010.020.097.012</v>
      </c>
      <c r="P1621" s="8" t="str">
        <f>formatIP(Table1[[#This Row],[Address B]])</f>
        <v>010.012.000.144</v>
      </c>
      <c r="Q1621" s="8" t="e">
        <f>VLOOKUP(Table1[[#This Row],[Address A]],IP_Master[],4,FALSE)</f>
        <v>#N/A</v>
      </c>
      <c r="R1621" s="8" t="str">
        <f>VLOOKUP(Table1[[#This Row],[Address B]],IP_Master[],4,FALSE)</f>
        <v>PPPCCP4</v>
      </c>
      <c r="S1621" s="8" t="e">
        <f>VLOOKUP(Table1[[#This Row],[Address A]],IP_Master[],2,FALSE)</f>
        <v>#N/A</v>
      </c>
      <c r="T1621" s="8" t="str">
        <f>VLOOKUP(Table1[[#This Row],[Address B]],IP_Master[],2,FALSE)</f>
        <v>Copper Plant</v>
      </c>
      <c r="U1621" s="9" t="e">
        <f>VLOOKUP(Table1[[#This Row],[Address A]],IP_Master[],3,FALSE)</f>
        <v>#N/A</v>
      </c>
      <c r="V1621" s="9" t="str">
        <f>VLOOKUP(Table1[[#This Row],[Address B]],IP_Master[],3,FALSE)</f>
        <v>iFIX Nodes &amp; Ethernet Switches</v>
      </c>
      <c r="W1621" s="9" t="str">
        <f>VLOOKUP(Table1[[#This Row],[Port B]],traffic_types[],2,FALSE)</f>
        <v>SMB</v>
      </c>
    </row>
    <row r="1622" spans="1:23" x14ac:dyDescent="0.6">
      <c r="A1622" t="s">
        <v>185</v>
      </c>
      <c r="B1622">
        <v>49564</v>
      </c>
      <c r="C1622" t="s">
        <v>190</v>
      </c>
      <c r="D1622">
        <v>3389</v>
      </c>
      <c r="E1622">
        <v>15</v>
      </c>
      <c r="F1622">
        <v>2591</v>
      </c>
      <c r="G1622">
        <v>9</v>
      </c>
      <c r="H1622">
        <v>1132</v>
      </c>
      <c r="I1622">
        <v>6</v>
      </c>
      <c r="J1622">
        <v>1459</v>
      </c>
      <c r="K1622">
        <v>121.15640399999999</v>
      </c>
      <c r="L1622">
        <v>3.0083050000000102</v>
      </c>
      <c r="M1622">
        <v>3010.3330613086</v>
      </c>
      <c r="N1622">
        <v>3879.9257389127702</v>
      </c>
      <c r="O1622" s="8" t="str">
        <f>formatIP(Table1[[#This Row],[Address A]])</f>
        <v>010.020.097.012</v>
      </c>
      <c r="P1622" s="8" t="str">
        <f>formatIP(Table1[[#This Row],[Address B]])</f>
        <v>010.012.000.121</v>
      </c>
      <c r="Q1622" s="8" t="e">
        <f>VLOOKUP(Table1[[#This Row],[Address A]],IP_Master[],4,FALSE)</f>
        <v>#N/A</v>
      </c>
      <c r="R1622" s="8" t="str">
        <f>VLOOKUP(Table1[[#This Row],[Address B]],IP_Master[],4,FALSE)</f>
        <v>PPPCSF1</v>
      </c>
      <c r="S1622" s="8" t="e">
        <f>VLOOKUP(Table1[[#This Row],[Address A]],IP_Master[],2,FALSE)</f>
        <v>#N/A</v>
      </c>
      <c r="T1622" s="8" t="str">
        <f>VLOOKUP(Table1[[#This Row],[Address B]],IP_Master[],2,FALSE)</f>
        <v>Slag Fumer</v>
      </c>
      <c r="U1622" s="9" t="e">
        <f>VLOOKUP(Table1[[#This Row],[Address A]],IP_Master[],3,FALSE)</f>
        <v>#N/A</v>
      </c>
      <c r="V1622" s="9" t="str">
        <f>VLOOKUP(Table1[[#This Row],[Address B]],IP_Master[],3,FALSE)</f>
        <v>iFIX Nodes &amp; Ethernet Switches</v>
      </c>
      <c r="W1622" s="9" t="str">
        <f>VLOOKUP(Table1[[#This Row],[Port B]],traffic_types[],2,FALSE)</f>
        <v>RDP</v>
      </c>
    </row>
    <row r="1623" spans="1:23" x14ac:dyDescent="0.6">
      <c r="A1623" t="s">
        <v>185</v>
      </c>
      <c r="B1623">
        <v>49569</v>
      </c>
      <c r="C1623" t="s">
        <v>190</v>
      </c>
      <c r="D1623">
        <v>3389</v>
      </c>
      <c r="E1623">
        <v>479</v>
      </c>
      <c r="F1623">
        <v>239586</v>
      </c>
      <c r="G1623">
        <v>189</v>
      </c>
      <c r="H1623">
        <v>57569</v>
      </c>
      <c r="I1623">
        <v>290</v>
      </c>
      <c r="J1623">
        <v>182017</v>
      </c>
      <c r="K1623">
        <v>129.222463</v>
      </c>
      <c r="L1623">
        <v>10.668837999999999</v>
      </c>
      <c r="M1623">
        <v>43167.962621608902</v>
      </c>
      <c r="N1623">
        <v>136484.96677895001</v>
      </c>
      <c r="O1623" s="8" t="str">
        <f>formatIP(Table1[[#This Row],[Address A]])</f>
        <v>010.020.097.012</v>
      </c>
      <c r="P1623" s="8" t="str">
        <f>formatIP(Table1[[#This Row],[Address B]])</f>
        <v>010.012.000.121</v>
      </c>
      <c r="Q1623" s="8" t="e">
        <f>VLOOKUP(Table1[[#This Row],[Address A]],IP_Master[],4,FALSE)</f>
        <v>#N/A</v>
      </c>
      <c r="R1623" s="8" t="str">
        <f>VLOOKUP(Table1[[#This Row],[Address B]],IP_Master[],4,FALSE)</f>
        <v>PPPCSF1</v>
      </c>
      <c r="S1623" s="8" t="e">
        <f>VLOOKUP(Table1[[#This Row],[Address A]],IP_Master[],2,FALSE)</f>
        <v>#N/A</v>
      </c>
      <c r="T1623" s="8" t="str">
        <f>VLOOKUP(Table1[[#This Row],[Address B]],IP_Master[],2,FALSE)</f>
        <v>Slag Fumer</v>
      </c>
      <c r="U1623" s="9" t="e">
        <f>VLOOKUP(Table1[[#This Row],[Address A]],IP_Master[],3,FALSE)</f>
        <v>#N/A</v>
      </c>
      <c r="V1623" s="9" t="str">
        <f>VLOOKUP(Table1[[#This Row],[Address B]],IP_Master[],3,FALSE)</f>
        <v>iFIX Nodes &amp; Ethernet Switches</v>
      </c>
      <c r="W1623" s="9" t="str">
        <f>VLOOKUP(Table1[[#This Row],[Port B]],traffic_types[],2,FALSE)</f>
        <v>RDP</v>
      </c>
    </row>
    <row r="1624" spans="1:23" x14ac:dyDescent="0.6">
      <c r="A1624" t="s">
        <v>185</v>
      </c>
      <c r="B1624">
        <v>49575</v>
      </c>
      <c r="C1624" t="s">
        <v>190</v>
      </c>
      <c r="D1624">
        <v>3389</v>
      </c>
      <c r="E1624">
        <v>13</v>
      </c>
      <c r="F1624">
        <v>2471</v>
      </c>
      <c r="G1624">
        <v>7</v>
      </c>
      <c r="H1624">
        <v>1012</v>
      </c>
      <c r="I1624">
        <v>6</v>
      </c>
      <c r="J1624">
        <v>1459</v>
      </c>
      <c r="K1624">
        <v>154.45020400000001</v>
      </c>
      <c r="L1624">
        <v>8.6270999999982195E-2</v>
      </c>
      <c r="M1624">
        <v>93843.817737150006</v>
      </c>
      <c r="N1624">
        <v>135294.594939231</v>
      </c>
      <c r="O1624" s="8" t="str">
        <f>formatIP(Table1[[#This Row],[Address A]])</f>
        <v>010.020.097.012</v>
      </c>
      <c r="P1624" s="8" t="str">
        <f>formatIP(Table1[[#This Row],[Address B]])</f>
        <v>010.012.000.121</v>
      </c>
      <c r="Q1624" s="8" t="e">
        <f>VLOOKUP(Table1[[#This Row],[Address A]],IP_Master[],4,FALSE)</f>
        <v>#N/A</v>
      </c>
      <c r="R1624" s="8" t="str">
        <f>VLOOKUP(Table1[[#This Row],[Address B]],IP_Master[],4,FALSE)</f>
        <v>PPPCSF1</v>
      </c>
      <c r="S1624" s="8" t="e">
        <f>VLOOKUP(Table1[[#This Row],[Address A]],IP_Master[],2,FALSE)</f>
        <v>#N/A</v>
      </c>
      <c r="T1624" s="8" t="str">
        <f>VLOOKUP(Table1[[#This Row],[Address B]],IP_Master[],2,FALSE)</f>
        <v>Slag Fumer</v>
      </c>
      <c r="U1624" s="9" t="e">
        <f>VLOOKUP(Table1[[#This Row],[Address A]],IP_Master[],3,FALSE)</f>
        <v>#N/A</v>
      </c>
      <c r="V1624" s="9" t="str">
        <f>VLOOKUP(Table1[[#This Row],[Address B]],IP_Master[],3,FALSE)</f>
        <v>iFIX Nodes &amp; Ethernet Switches</v>
      </c>
      <c r="W1624" s="9" t="str">
        <f>VLOOKUP(Table1[[#This Row],[Port B]],traffic_types[],2,FALSE)</f>
        <v>RDP</v>
      </c>
    </row>
    <row r="1625" spans="1:23" x14ac:dyDescent="0.6">
      <c r="A1625" t="s">
        <v>185</v>
      </c>
      <c r="B1625">
        <v>49576</v>
      </c>
      <c r="C1625" t="s">
        <v>190</v>
      </c>
      <c r="D1625">
        <v>3389</v>
      </c>
      <c r="E1625">
        <v>994</v>
      </c>
      <c r="F1625">
        <v>543957</v>
      </c>
      <c r="G1625">
        <v>361</v>
      </c>
      <c r="H1625">
        <v>77897</v>
      </c>
      <c r="I1625">
        <v>633</v>
      </c>
      <c r="J1625">
        <v>466060</v>
      </c>
      <c r="K1625">
        <v>157.33429599999999</v>
      </c>
      <c r="L1625">
        <v>15.098413000000001</v>
      </c>
      <c r="M1625">
        <v>41274.271673453397</v>
      </c>
      <c r="N1625">
        <v>246945.159070692</v>
      </c>
      <c r="O1625" s="8" t="str">
        <f>formatIP(Table1[[#This Row],[Address A]])</f>
        <v>010.020.097.012</v>
      </c>
      <c r="P1625" s="8" t="str">
        <f>formatIP(Table1[[#This Row],[Address B]])</f>
        <v>010.012.000.121</v>
      </c>
      <c r="Q1625" s="8" t="e">
        <f>VLOOKUP(Table1[[#This Row],[Address A]],IP_Master[],4,FALSE)</f>
        <v>#N/A</v>
      </c>
      <c r="R1625" s="8" t="str">
        <f>VLOOKUP(Table1[[#This Row],[Address B]],IP_Master[],4,FALSE)</f>
        <v>PPPCSF1</v>
      </c>
      <c r="S1625" s="8" t="e">
        <f>VLOOKUP(Table1[[#This Row],[Address A]],IP_Master[],2,FALSE)</f>
        <v>#N/A</v>
      </c>
      <c r="T1625" s="8" t="str">
        <f>VLOOKUP(Table1[[#This Row],[Address B]],IP_Master[],2,FALSE)</f>
        <v>Slag Fumer</v>
      </c>
      <c r="U1625" s="9" t="e">
        <f>VLOOKUP(Table1[[#This Row],[Address A]],IP_Master[],3,FALSE)</f>
        <v>#N/A</v>
      </c>
      <c r="V1625" s="9" t="str">
        <f>VLOOKUP(Table1[[#This Row],[Address B]],IP_Master[],3,FALSE)</f>
        <v>iFIX Nodes &amp; Ethernet Switches</v>
      </c>
      <c r="W1625" s="9" t="str">
        <f>VLOOKUP(Table1[[#This Row],[Port B]],traffic_types[],2,FALSE)</f>
        <v>RDP</v>
      </c>
    </row>
    <row r="1626" spans="1:23" hidden="1" x14ac:dyDescent="0.6">
      <c r="A1626" t="s">
        <v>185</v>
      </c>
      <c r="B1626">
        <v>49585</v>
      </c>
      <c r="C1626" t="s">
        <v>190</v>
      </c>
      <c r="D1626">
        <v>5900</v>
      </c>
      <c r="E1626">
        <v>1004</v>
      </c>
      <c r="F1626">
        <v>1072123</v>
      </c>
      <c r="G1626">
        <v>213</v>
      </c>
      <c r="H1626">
        <v>13174</v>
      </c>
      <c r="I1626">
        <v>791</v>
      </c>
      <c r="J1626">
        <v>1058949</v>
      </c>
      <c r="K1626">
        <v>194.22602699999999</v>
      </c>
      <c r="L1626">
        <v>20.629916999999999</v>
      </c>
      <c r="M1626">
        <v>5108.6972380935904</v>
      </c>
      <c r="N1626">
        <v>410645.95654941298</v>
      </c>
      <c r="O1626" s="8" t="str">
        <f>formatIP(Table1[[#This Row],[Address A]])</f>
        <v>010.020.097.012</v>
      </c>
      <c r="P1626" s="8" t="str">
        <f>formatIP(Table1[[#This Row],[Address B]])</f>
        <v>010.012.000.121</v>
      </c>
      <c r="Q1626" s="8" t="e">
        <f>VLOOKUP(Table1[[#This Row],[Address A]],IP_Master[],4,FALSE)</f>
        <v>#N/A</v>
      </c>
      <c r="R1626" s="8" t="str">
        <f>VLOOKUP(Table1[[#This Row],[Address B]],IP_Master[],4,FALSE)</f>
        <v>PPPCSF1</v>
      </c>
      <c r="S1626" s="8" t="e">
        <f>VLOOKUP(Table1[[#This Row],[Address A]],IP_Master[],2,FALSE)</f>
        <v>#N/A</v>
      </c>
      <c r="T1626" s="8" t="str">
        <f>VLOOKUP(Table1[[#This Row],[Address B]],IP_Master[],2,FALSE)</f>
        <v>Slag Fumer</v>
      </c>
      <c r="U1626" s="9" t="e">
        <f>VLOOKUP(Table1[[#This Row],[Address A]],IP_Master[],3,FALSE)</f>
        <v>#N/A</v>
      </c>
      <c r="V1626" s="9" t="str">
        <f>VLOOKUP(Table1[[#This Row],[Address B]],IP_Master[],3,FALSE)</f>
        <v>iFIX Nodes &amp; Ethernet Switches</v>
      </c>
      <c r="W1626" s="9" t="e">
        <f>VLOOKUP(Table1[[#This Row],[Port B]],traffic_types[],2,FALSE)</f>
        <v>#N/A</v>
      </c>
    </row>
    <row r="1627" spans="1:23" hidden="1" x14ac:dyDescent="0.6">
      <c r="A1627" t="s">
        <v>185</v>
      </c>
      <c r="B1627">
        <v>49590</v>
      </c>
      <c r="C1627" t="s">
        <v>190</v>
      </c>
      <c r="D1627">
        <v>5900</v>
      </c>
      <c r="E1627">
        <v>3209</v>
      </c>
      <c r="F1627">
        <v>2679318</v>
      </c>
      <c r="G1627">
        <v>1080</v>
      </c>
      <c r="H1627">
        <v>67886</v>
      </c>
      <c r="I1627">
        <v>2129</v>
      </c>
      <c r="J1627">
        <v>2611432</v>
      </c>
      <c r="K1627">
        <v>215.935608</v>
      </c>
      <c r="L1627">
        <v>17.865435000000002</v>
      </c>
      <c r="M1627">
        <v>30398.812007656099</v>
      </c>
      <c r="N1627">
        <v>1169378.5233888801</v>
      </c>
      <c r="O1627" s="8" t="str">
        <f>formatIP(Table1[[#This Row],[Address A]])</f>
        <v>010.020.097.012</v>
      </c>
      <c r="P1627" s="8" t="str">
        <f>formatIP(Table1[[#This Row],[Address B]])</f>
        <v>010.012.000.121</v>
      </c>
      <c r="Q1627" s="8" t="e">
        <f>VLOOKUP(Table1[[#This Row],[Address A]],IP_Master[],4,FALSE)</f>
        <v>#N/A</v>
      </c>
      <c r="R1627" s="8" t="str">
        <f>VLOOKUP(Table1[[#This Row],[Address B]],IP_Master[],4,FALSE)</f>
        <v>PPPCSF1</v>
      </c>
      <c r="S1627" s="8" t="e">
        <f>VLOOKUP(Table1[[#This Row],[Address A]],IP_Master[],2,FALSE)</f>
        <v>#N/A</v>
      </c>
      <c r="T1627" s="8" t="str">
        <f>VLOOKUP(Table1[[#This Row],[Address B]],IP_Master[],2,FALSE)</f>
        <v>Slag Fumer</v>
      </c>
      <c r="U1627" s="9" t="e">
        <f>VLOOKUP(Table1[[#This Row],[Address A]],IP_Master[],3,FALSE)</f>
        <v>#N/A</v>
      </c>
      <c r="V1627" s="9" t="str">
        <f>VLOOKUP(Table1[[#This Row],[Address B]],IP_Master[],3,FALSE)</f>
        <v>iFIX Nodes &amp; Ethernet Switches</v>
      </c>
      <c r="W1627" s="9" t="e">
        <f>VLOOKUP(Table1[[#This Row],[Port B]],traffic_types[],2,FALSE)</f>
        <v>#N/A</v>
      </c>
    </row>
    <row r="1628" spans="1:23" hidden="1" x14ac:dyDescent="0.6">
      <c r="A1628" t="s">
        <v>191</v>
      </c>
      <c r="B1628">
        <v>62995</v>
      </c>
      <c r="C1628" t="s">
        <v>78</v>
      </c>
      <c r="D1628">
        <v>14000</v>
      </c>
      <c r="E1628">
        <v>1026</v>
      </c>
      <c r="F1628">
        <v>198016</v>
      </c>
      <c r="G1628">
        <v>373</v>
      </c>
      <c r="H1628">
        <v>24456</v>
      </c>
      <c r="I1628">
        <v>653</v>
      </c>
      <c r="J1628">
        <v>173560</v>
      </c>
      <c r="K1628">
        <v>3.7580529999999999</v>
      </c>
      <c r="L1628">
        <v>894.05557499999998</v>
      </c>
      <c r="M1628">
        <v>218.83203401533501</v>
      </c>
      <c r="N1628">
        <v>1553.01307751478</v>
      </c>
      <c r="O1628" s="8" t="str">
        <f>formatIP(Table1[[#This Row],[Address A]])</f>
        <v>010.020.097.017</v>
      </c>
      <c r="P1628" s="8" t="str">
        <f>formatIP(Table1[[#This Row],[Address B]])</f>
        <v>010.012.000.241</v>
      </c>
      <c r="Q1628" s="8" t="e">
        <f>VLOOKUP(Table1[[#This Row],[Address A]],IP_Master[],4,FALSE)</f>
        <v>#N/A</v>
      </c>
      <c r="R1628" s="8" t="str">
        <f>VLOOKUP(Table1[[#This Row],[Address B]],IP_Master[],4,FALSE)</f>
        <v>PPPCHIST</v>
      </c>
      <c r="S1628" s="8" t="e">
        <f>VLOOKUP(Table1[[#This Row],[Address A]],IP_Master[],2,FALSE)</f>
        <v>#N/A</v>
      </c>
      <c r="T1628" s="8" t="str">
        <f>VLOOKUP(Table1[[#This Row],[Address B]],IP_Master[],2,FALSE)</f>
        <v>Other ProcN Devices</v>
      </c>
      <c r="U1628" s="9" t="e">
        <f>VLOOKUP(Table1[[#This Row],[Address A]],IP_Master[],3,FALSE)</f>
        <v>#N/A</v>
      </c>
      <c r="V1628" s="9" t="str">
        <f>VLOOKUP(Table1[[#This Row],[Address B]],IP_Master[],3,FALSE)</f>
        <v>iFIX Nodes &amp; Ethernet Switches</v>
      </c>
      <c r="W1628" s="9" t="e">
        <f>VLOOKUP(Table1[[#This Row],[Port B]],traffic_types[],2,FALSE)</f>
        <v>#N/A</v>
      </c>
    </row>
    <row r="1629" spans="1:23" hidden="1" x14ac:dyDescent="0.6">
      <c r="A1629" t="s">
        <v>191</v>
      </c>
      <c r="B1629">
        <v>52869</v>
      </c>
      <c r="C1629" t="s">
        <v>78</v>
      </c>
      <c r="D1629">
        <v>14000</v>
      </c>
      <c r="E1629">
        <v>1007</v>
      </c>
      <c r="F1629">
        <v>196282</v>
      </c>
      <c r="G1629">
        <v>360</v>
      </c>
      <c r="H1629">
        <v>23620</v>
      </c>
      <c r="I1629">
        <v>647</v>
      </c>
      <c r="J1629">
        <v>172662</v>
      </c>
      <c r="K1629">
        <v>3.7581790000000002</v>
      </c>
      <c r="L1629">
        <v>894.05560700000001</v>
      </c>
      <c r="M1629">
        <v>211.35150713282201</v>
      </c>
      <c r="N1629">
        <v>1544.9777275430699</v>
      </c>
      <c r="O1629" s="8" t="str">
        <f>formatIP(Table1[[#This Row],[Address A]])</f>
        <v>010.020.097.017</v>
      </c>
      <c r="P1629" s="8" t="str">
        <f>formatIP(Table1[[#This Row],[Address B]])</f>
        <v>010.012.000.241</v>
      </c>
      <c r="Q1629" s="8" t="e">
        <f>VLOOKUP(Table1[[#This Row],[Address A]],IP_Master[],4,FALSE)</f>
        <v>#N/A</v>
      </c>
      <c r="R1629" s="8" t="str">
        <f>VLOOKUP(Table1[[#This Row],[Address B]],IP_Master[],4,FALSE)</f>
        <v>PPPCHIST</v>
      </c>
      <c r="S1629" s="8" t="e">
        <f>VLOOKUP(Table1[[#This Row],[Address A]],IP_Master[],2,FALSE)</f>
        <v>#N/A</v>
      </c>
      <c r="T1629" s="8" t="str">
        <f>VLOOKUP(Table1[[#This Row],[Address B]],IP_Master[],2,FALSE)</f>
        <v>Other ProcN Devices</v>
      </c>
      <c r="U1629" s="9" t="e">
        <f>VLOOKUP(Table1[[#This Row],[Address A]],IP_Master[],3,FALSE)</f>
        <v>#N/A</v>
      </c>
      <c r="V1629" s="9" t="str">
        <f>VLOOKUP(Table1[[#This Row],[Address B]],IP_Master[],3,FALSE)</f>
        <v>iFIX Nodes &amp; Ethernet Switches</v>
      </c>
      <c r="W1629" s="9" t="e">
        <f>VLOOKUP(Table1[[#This Row],[Port B]],traffic_types[],2,FALSE)</f>
        <v>#N/A</v>
      </c>
    </row>
    <row r="1630" spans="1:23" hidden="1" x14ac:dyDescent="0.6">
      <c r="A1630" t="s">
        <v>191</v>
      </c>
      <c r="B1630">
        <v>60820</v>
      </c>
      <c r="C1630" t="s">
        <v>78</v>
      </c>
      <c r="D1630">
        <v>14000</v>
      </c>
      <c r="E1630">
        <v>3500</v>
      </c>
      <c r="F1630">
        <v>756602</v>
      </c>
      <c r="G1630">
        <v>1616</v>
      </c>
      <c r="H1630">
        <v>346910</v>
      </c>
      <c r="I1630">
        <v>1884</v>
      </c>
      <c r="J1630">
        <v>409692</v>
      </c>
      <c r="K1630">
        <v>3.7582779999999998</v>
      </c>
      <c r="L1630">
        <v>894.05550500000004</v>
      </c>
      <c r="M1630">
        <v>3104.1473202494299</v>
      </c>
      <c r="N1630">
        <v>3665.9200482189299</v>
      </c>
      <c r="O1630" s="8" t="str">
        <f>formatIP(Table1[[#This Row],[Address A]])</f>
        <v>010.020.097.017</v>
      </c>
      <c r="P1630" s="8" t="str">
        <f>formatIP(Table1[[#This Row],[Address B]])</f>
        <v>010.012.000.241</v>
      </c>
      <c r="Q1630" s="8" t="e">
        <f>VLOOKUP(Table1[[#This Row],[Address A]],IP_Master[],4,FALSE)</f>
        <v>#N/A</v>
      </c>
      <c r="R1630" s="8" t="str">
        <f>VLOOKUP(Table1[[#This Row],[Address B]],IP_Master[],4,FALSE)</f>
        <v>PPPCHIST</v>
      </c>
      <c r="S1630" s="8" t="e">
        <f>VLOOKUP(Table1[[#This Row],[Address A]],IP_Master[],2,FALSE)</f>
        <v>#N/A</v>
      </c>
      <c r="T1630" s="8" t="str">
        <f>VLOOKUP(Table1[[#This Row],[Address B]],IP_Master[],2,FALSE)</f>
        <v>Other ProcN Devices</v>
      </c>
      <c r="U1630" s="9" t="e">
        <f>VLOOKUP(Table1[[#This Row],[Address A]],IP_Master[],3,FALSE)</f>
        <v>#N/A</v>
      </c>
      <c r="V1630" s="9" t="str">
        <f>VLOOKUP(Table1[[#This Row],[Address B]],IP_Master[],3,FALSE)</f>
        <v>iFIX Nodes &amp; Ethernet Switches</v>
      </c>
      <c r="W1630" s="9" t="e">
        <f>VLOOKUP(Table1[[#This Row],[Port B]],traffic_types[],2,FALSE)</f>
        <v>#N/A</v>
      </c>
    </row>
    <row r="1631" spans="1:23" x14ac:dyDescent="0.6">
      <c r="A1631" t="s">
        <v>191</v>
      </c>
      <c r="B1631">
        <v>52738</v>
      </c>
      <c r="C1631" t="s">
        <v>54</v>
      </c>
      <c r="D1631">
        <v>445</v>
      </c>
      <c r="E1631">
        <v>18731</v>
      </c>
      <c r="F1631">
        <v>19123217</v>
      </c>
      <c r="G1631">
        <v>4322</v>
      </c>
      <c r="H1631">
        <v>465215</v>
      </c>
      <c r="I1631">
        <v>14409</v>
      </c>
      <c r="J1631">
        <v>18658002</v>
      </c>
      <c r="K1631">
        <v>5.4816609999999999</v>
      </c>
      <c r="L1631">
        <v>815.99203399999999</v>
      </c>
      <c r="M1631">
        <v>4560.9758979583403</v>
      </c>
      <c r="N1631">
        <v>182923.373979898</v>
      </c>
      <c r="O1631" s="8" t="str">
        <f>formatIP(Table1[[#This Row],[Address A]])</f>
        <v>010.020.097.017</v>
      </c>
      <c r="P1631" s="8" t="str">
        <f>formatIP(Table1[[#This Row],[Address B]])</f>
        <v>010.012.000.063</v>
      </c>
      <c r="Q1631" s="8" t="e">
        <f>VLOOKUP(Table1[[#This Row],[Address A]],IP_Master[],4,FALSE)</f>
        <v>#N/A</v>
      </c>
      <c r="R1631" s="8" t="str">
        <f>VLOOKUP(Table1[[#This Row],[Address B]],IP_Master[],4,FALSE)</f>
        <v>PPPCPET3</v>
      </c>
      <c r="S1631" s="8" t="e">
        <f>VLOOKUP(Table1[[#This Row],[Address A]],IP_Master[],2,FALSE)</f>
        <v>#N/A</v>
      </c>
      <c r="T1631" s="8" t="str">
        <f>VLOOKUP(Table1[[#This Row],[Address B]],IP_Master[],2,FALSE)</f>
        <v>PETs Plant</v>
      </c>
      <c r="U1631" s="9" t="e">
        <f>VLOOKUP(Table1[[#This Row],[Address A]],IP_Master[],3,FALSE)</f>
        <v>#N/A</v>
      </c>
      <c r="V1631" s="9" t="str">
        <f>VLOOKUP(Table1[[#This Row],[Address B]],IP_Master[],3,FALSE)</f>
        <v>iFIX Nodes &amp; Ethernet Switches</v>
      </c>
      <c r="W1631" s="9" t="str">
        <f>VLOOKUP(Table1[[#This Row],[Port B]],traffic_types[],2,FALSE)</f>
        <v>SMB</v>
      </c>
    </row>
    <row r="1632" spans="1:23" x14ac:dyDescent="0.6">
      <c r="A1632" t="s">
        <v>191</v>
      </c>
      <c r="B1632">
        <v>52983</v>
      </c>
      <c r="C1632" t="s">
        <v>192</v>
      </c>
      <c r="D1632">
        <v>445</v>
      </c>
      <c r="E1632">
        <v>11411</v>
      </c>
      <c r="F1632">
        <v>11884209</v>
      </c>
      <c r="G1632">
        <v>7590</v>
      </c>
      <c r="H1632">
        <v>9205337</v>
      </c>
      <c r="I1632">
        <v>3821</v>
      </c>
      <c r="J1632">
        <v>2678872</v>
      </c>
      <c r="K1632">
        <v>678.57701299999997</v>
      </c>
      <c r="L1632">
        <v>76.898053000000004</v>
      </c>
      <c r="M1632">
        <v>957666.58747523802</v>
      </c>
      <c r="N1632">
        <v>278693.35001238598</v>
      </c>
      <c r="O1632" s="8" t="str">
        <f>formatIP(Table1[[#This Row],[Address A]])</f>
        <v>010.020.097.017</v>
      </c>
      <c r="P1632" s="8" t="str">
        <f>formatIP(Table1[[#This Row],[Address B]])</f>
        <v>010.012.000.061</v>
      </c>
      <c r="Q1632" s="8" t="e">
        <f>VLOOKUP(Table1[[#This Row],[Address A]],IP_Master[],4,FALSE)</f>
        <v>#N/A</v>
      </c>
      <c r="R1632" s="8" t="str">
        <f>VLOOKUP(Table1[[#This Row],[Address B]],IP_Master[],4,FALSE)</f>
        <v>PPPCPET1</v>
      </c>
      <c r="S1632" s="8" t="e">
        <f>VLOOKUP(Table1[[#This Row],[Address A]],IP_Master[],2,FALSE)</f>
        <v>#N/A</v>
      </c>
      <c r="T1632" s="8" t="str">
        <f>VLOOKUP(Table1[[#This Row],[Address B]],IP_Master[],2,FALSE)</f>
        <v>PETs Plant</v>
      </c>
      <c r="U1632" s="9" t="e">
        <f>VLOOKUP(Table1[[#This Row],[Address A]],IP_Master[],3,FALSE)</f>
        <v>#N/A</v>
      </c>
      <c r="V1632" s="9" t="str">
        <f>VLOOKUP(Table1[[#This Row],[Address B]],IP_Master[],3,FALSE)</f>
        <v>iFIX Nodes &amp; Ethernet Switches</v>
      </c>
      <c r="W1632" s="9" t="str">
        <f>VLOOKUP(Table1[[#This Row],[Port B]],traffic_types[],2,FALSE)</f>
        <v>SMB</v>
      </c>
    </row>
    <row r="1633" spans="1:23" x14ac:dyDescent="0.6">
      <c r="A1633" t="s">
        <v>191</v>
      </c>
      <c r="B1633">
        <v>52995</v>
      </c>
      <c r="C1633" t="s">
        <v>104</v>
      </c>
      <c r="D1633">
        <v>445</v>
      </c>
      <c r="E1633">
        <v>10400</v>
      </c>
      <c r="F1633">
        <v>11478429</v>
      </c>
      <c r="G1633">
        <v>7430</v>
      </c>
      <c r="H1633">
        <v>9466530</v>
      </c>
      <c r="I1633">
        <v>2970</v>
      </c>
      <c r="J1633">
        <v>2011899</v>
      </c>
      <c r="K1633">
        <v>740.29215699999997</v>
      </c>
      <c r="L1633">
        <v>153.23146399999999</v>
      </c>
      <c r="M1633">
        <v>494234.26509845199</v>
      </c>
      <c r="N1633">
        <v>105038.427355886</v>
      </c>
      <c r="O1633" s="8" t="str">
        <f>formatIP(Table1[[#This Row],[Address A]])</f>
        <v>010.020.097.017</v>
      </c>
      <c r="P1633" s="8" t="str">
        <f>formatIP(Table1[[#This Row],[Address B]])</f>
        <v>010.012.000.062</v>
      </c>
      <c r="Q1633" s="8" t="e">
        <f>VLOOKUP(Table1[[#This Row],[Address A]],IP_Master[],4,FALSE)</f>
        <v>#N/A</v>
      </c>
      <c r="R1633" s="8" t="str">
        <f>VLOOKUP(Table1[[#This Row],[Address B]],IP_Master[],4,FALSE)</f>
        <v>PPPCPET2</v>
      </c>
      <c r="S1633" s="8" t="e">
        <f>VLOOKUP(Table1[[#This Row],[Address A]],IP_Master[],2,FALSE)</f>
        <v>#N/A</v>
      </c>
      <c r="T1633" s="8" t="str">
        <f>VLOOKUP(Table1[[#This Row],[Address B]],IP_Master[],2,FALSE)</f>
        <v>PETs Plant</v>
      </c>
      <c r="U1633" s="9" t="e">
        <f>VLOOKUP(Table1[[#This Row],[Address A]],IP_Master[],3,FALSE)</f>
        <v>#N/A</v>
      </c>
      <c r="V1633" s="9" t="str">
        <f>VLOOKUP(Table1[[#This Row],[Address B]],IP_Master[],3,FALSE)</f>
        <v>iFIX Nodes &amp; Ethernet Switches</v>
      </c>
      <c r="W1633" s="9" t="str">
        <f>VLOOKUP(Table1[[#This Row],[Port B]],traffic_types[],2,FALSE)</f>
        <v>SMB</v>
      </c>
    </row>
    <row r="1634" spans="1:23" x14ac:dyDescent="0.6">
      <c r="A1634" t="s">
        <v>193</v>
      </c>
      <c r="B1634">
        <v>61045</v>
      </c>
      <c r="C1634" t="s">
        <v>63</v>
      </c>
      <c r="D1634">
        <v>3389</v>
      </c>
      <c r="E1634">
        <v>6</v>
      </c>
      <c r="F1634">
        <v>390</v>
      </c>
      <c r="G1634">
        <v>4</v>
      </c>
      <c r="H1634">
        <v>259</v>
      </c>
      <c r="I1634">
        <v>2</v>
      </c>
      <c r="J1634">
        <v>131</v>
      </c>
      <c r="K1634">
        <v>637.82869300000004</v>
      </c>
      <c r="L1634">
        <v>7.7608999999938505E-2</v>
      </c>
      <c r="M1634">
        <v>26697.934517925001</v>
      </c>
      <c r="N1634">
        <v>13503.5885013443</v>
      </c>
      <c r="O1634" s="8" t="str">
        <f>formatIP(Table1[[#This Row],[Address A]])</f>
        <v>010.020.097.087</v>
      </c>
      <c r="P1634" s="8" t="str">
        <f>formatIP(Table1[[#This Row],[Address B]])</f>
        <v>010.012.000.073</v>
      </c>
      <c r="Q1634" s="8" t="e">
        <f>VLOOKUP(Table1[[#This Row],[Address A]],IP_Master[],4,FALSE)</f>
        <v>#N/A</v>
      </c>
      <c r="R1634" s="8">
        <f>VLOOKUP(Table1[[#This Row],[Address B]],IP_Master[],4,FALSE)</f>
        <v>0</v>
      </c>
      <c r="S1634" s="8" t="e">
        <f>VLOOKUP(Table1[[#This Row],[Address A]],IP_Master[],2,FALSE)</f>
        <v>#N/A</v>
      </c>
      <c r="T1634" s="8" t="str">
        <f>VLOOKUP(Table1[[#This Row],[Address B]],IP_Master[],2,FALSE)</f>
        <v>PETs Plant</v>
      </c>
      <c r="U1634" s="9" t="e">
        <f>VLOOKUP(Table1[[#This Row],[Address A]],IP_Master[],3,FALSE)</f>
        <v>#N/A</v>
      </c>
      <c r="V1634" s="9" t="str">
        <f>VLOOKUP(Table1[[#This Row],[Address B]],IP_Master[],3,FALSE)</f>
        <v>iFIX Nodes &amp; Ethernet Switches</v>
      </c>
      <c r="W1634" s="9" t="str">
        <f>VLOOKUP(Table1[[#This Row],[Port B]],traffic_types[],2,FALSE)</f>
        <v>RDP</v>
      </c>
    </row>
    <row r="1635" spans="1:23" x14ac:dyDescent="0.6">
      <c r="A1635" t="s">
        <v>193</v>
      </c>
      <c r="B1635">
        <v>61046</v>
      </c>
      <c r="C1635" t="s">
        <v>63</v>
      </c>
      <c r="D1635">
        <v>3389</v>
      </c>
      <c r="E1635">
        <v>16082</v>
      </c>
      <c r="F1635">
        <v>8778122</v>
      </c>
      <c r="G1635">
        <v>6204</v>
      </c>
      <c r="H1635">
        <v>815567</v>
      </c>
      <c r="I1635">
        <v>9878</v>
      </c>
      <c r="J1635">
        <v>7962555</v>
      </c>
      <c r="K1635">
        <v>638.85449900000003</v>
      </c>
      <c r="L1635">
        <v>264.01530200000002</v>
      </c>
      <c r="M1635">
        <v>24712.719113530798</v>
      </c>
      <c r="N1635">
        <v>241275.56061125599</v>
      </c>
      <c r="O1635" s="8" t="str">
        <f>formatIP(Table1[[#This Row],[Address A]])</f>
        <v>010.020.097.087</v>
      </c>
      <c r="P1635" s="8" t="str">
        <f>formatIP(Table1[[#This Row],[Address B]])</f>
        <v>010.012.000.073</v>
      </c>
      <c r="Q1635" s="8" t="e">
        <f>VLOOKUP(Table1[[#This Row],[Address A]],IP_Master[],4,FALSE)</f>
        <v>#N/A</v>
      </c>
      <c r="R1635" s="8">
        <f>VLOOKUP(Table1[[#This Row],[Address B]],IP_Master[],4,FALSE)</f>
        <v>0</v>
      </c>
      <c r="S1635" s="8" t="e">
        <f>VLOOKUP(Table1[[#This Row],[Address A]],IP_Master[],2,FALSE)</f>
        <v>#N/A</v>
      </c>
      <c r="T1635" s="8" t="str">
        <f>VLOOKUP(Table1[[#This Row],[Address B]],IP_Master[],2,FALSE)</f>
        <v>PETs Plant</v>
      </c>
      <c r="U1635" s="9" t="e">
        <f>VLOOKUP(Table1[[#This Row],[Address A]],IP_Master[],3,FALSE)</f>
        <v>#N/A</v>
      </c>
      <c r="V1635" s="9" t="str">
        <f>VLOOKUP(Table1[[#This Row],[Address B]],IP_Master[],3,FALSE)</f>
        <v>iFIX Nodes &amp; Ethernet Switches</v>
      </c>
      <c r="W1635" s="9" t="str">
        <f>VLOOKUP(Table1[[#This Row],[Port B]],traffic_types[],2,FALSE)</f>
        <v>RDP</v>
      </c>
    </row>
    <row r="1636" spans="1:23" hidden="1" x14ac:dyDescent="0.6">
      <c r="A1636" t="s">
        <v>194</v>
      </c>
      <c r="B1636">
        <v>59146</v>
      </c>
      <c r="C1636" t="s">
        <v>84</v>
      </c>
      <c r="D1636">
        <v>14000</v>
      </c>
      <c r="E1636">
        <v>961</v>
      </c>
      <c r="F1636">
        <v>201904</v>
      </c>
      <c r="G1636">
        <v>340</v>
      </c>
      <c r="H1636">
        <v>22452</v>
      </c>
      <c r="I1636">
        <v>621</v>
      </c>
      <c r="J1636">
        <v>179452</v>
      </c>
      <c r="K1636">
        <v>0.75739500000000004</v>
      </c>
      <c r="L1636">
        <v>900.004186</v>
      </c>
      <c r="M1636">
        <v>199.57240509990299</v>
      </c>
      <c r="N1636">
        <v>1595.1214698017</v>
      </c>
      <c r="O1636" s="8" t="str">
        <f>formatIP(Table1[[#This Row],[Address A]])</f>
        <v>010.021.097.011</v>
      </c>
      <c r="P1636" s="8" t="str">
        <f>formatIP(Table1[[#This Row],[Address B]])</f>
        <v>010.012.001.241</v>
      </c>
      <c r="Q1636" s="8" t="e">
        <f>VLOOKUP(Table1[[#This Row],[Address A]],IP_Master[],4,FALSE)</f>
        <v>#N/A</v>
      </c>
      <c r="R1636" s="8" t="str">
        <f>VLOOKUP(Table1[[#This Row],[Address B]],IP_Master[],4,FALSE)</f>
        <v>PPPCHIST1</v>
      </c>
      <c r="S1636" s="8" t="e">
        <f>VLOOKUP(Table1[[#This Row],[Address A]],IP_Master[],2,FALSE)</f>
        <v>#N/A</v>
      </c>
      <c r="T1636" s="8" t="str">
        <f>VLOOKUP(Table1[[#This Row],[Address B]],IP_Master[],2,FALSE)</f>
        <v>Other ProcN Devices</v>
      </c>
      <c r="U1636" s="9" t="e">
        <f>VLOOKUP(Table1[[#This Row],[Address A]],IP_Master[],3,FALSE)</f>
        <v>#N/A</v>
      </c>
      <c r="V1636" s="9" t="str">
        <f>VLOOKUP(Table1[[#This Row],[Address B]],IP_Master[],3,FALSE)</f>
        <v>PLCs &amp; Control Equipment</v>
      </c>
      <c r="W1636" s="9" t="e">
        <f>VLOOKUP(Table1[[#This Row],[Port B]],traffic_types[],2,FALSE)</f>
        <v>#N/A</v>
      </c>
    </row>
    <row r="1637" spans="1:23" hidden="1" x14ac:dyDescent="0.6">
      <c r="A1637" t="s">
        <v>194</v>
      </c>
      <c r="B1637">
        <v>24800</v>
      </c>
      <c r="C1637" t="s">
        <v>51</v>
      </c>
      <c r="D1637">
        <v>4861</v>
      </c>
      <c r="E1637">
        <v>1097</v>
      </c>
      <c r="F1637">
        <v>70418</v>
      </c>
      <c r="G1637">
        <v>700</v>
      </c>
      <c r="H1637">
        <v>43396</v>
      </c>
      <c r="I1637">
        <v>397</v>
      </c>
      <c r="J1637">
        <v>27022</v>
      </c>
      <c r="K1637">
        <v>1.3252379999999999</v>
      </c>
      <c r="L1637">
        <v>900.24352799999997</v>
      </c>
      <c r="M1637">
        <v>385.63787375542199</v>
      </c>
      <c r="N1637">
        <v>240.13057942250501</v>
      </c>
      <c r="O1637" s="8" t="str">
        <f>formatIP(Table1[[#This Row],[Address A]])</f>
        <v>010.021.097.011</v>
      </c>
      <c r="P1637" s="8" t="str">
        <f>formatIP(Table1[[#This Row],[Address B]])</f>
        <v>010.012.000.252</v>
      </c>
      <c r="Q1637" s="8" t="e">
        <f>VLOOKUP(Table1[[#This Row],[Address A]],IP_Master[],4,FALSE)</f>
        <v>#N/A</v>
      </c>
      <c r="R1637" s="8" t="str">
        <f>VLOOKUP(Table1[[#This Row],[Address B]],IP_Master[],4,FALSE)</f>
        <v>PP_FIX3</v>
      </c>
      <c r="S1637" s="8" t="e">
        <f>VLOOKUP(Table1[[#This Row],[Address A]],IP_Master[],2,FALSE)</f>
        <v>#N/A</v>
      </c>
      <c r="T1637" s="8" t="str">
        <f>VLOOKUP(Table1[[#This Row],[Address B]],IP_Master[],2,FALSE)</f>
        <v>Other ProcN Devices</v>
      </c>
      <c r="U1637" s="9" t="e">
        <f>VLOOKUP(Table1[[#This Row],[Address A]],IP_Master[],3,FALSE)</f>
        <v>#N/A</v>
      </c>
      <c r="V1637" s="9" t="str">
        <f>VLOOKUP(Table1[[#This Row],[Address B]],IP_Master[],3,FALSE)</f>
        <v>iFIX Nodes &amp; Ethernet Switches</v>
      </c>
      <c r="W1637" s="9" t="e">
        <f>VLOOKUP(Table1[[#This Row],[Port B]],traffic_types[],2,FALSE)</f>
        <v>#N/A</v>
      </c>
    </row>
    <row r="1638" spans="1:23" hidden="1" x14ac:dyDescent="0.6">
      <c r="A1638" t="s">
        <v>194</v>
      </c>
      <c r="B1638">
        <v>59142</v>
      </c>
      <c r="C1638" t="s">
        <v>78</v>
      </c>
      <c r="D1638">
        <v>14000</v>
      </c>
      <c r="E1638">
        <v>1011</v>
      </c>
      <c r="F1638">
        <v>196952</v>
      </c>
      <c r="G1638">
        <v>363</v>
      </c>
      <c r="H1638">
        <v>23806</v>
      </c>
      <c r="I1638">
        <v>648</v>
      </c>
      <c r="J1638">
        <v>173146</v>
      </c>
      <c r="K1638">
        <v>3.757787</v>
      </c>
      <c r="L1638">
        <v>894.05573700000002</v>
      </c>
      <c r="M1638">
        <v>213.015802168048</v>
      </c>
      <c r="N1638">
        <v>1549.30832908463</v>
      </c>
      <c r="O1638" s="8" t="str">
        <f>formatIP(Table1[[#This Row],[Address A]])</f>
        <v>010.021.097.011</v>
      </c>
      <c r="P1638" s="8" t="str">
        <f>formatIP(Table1[[#This Row],[Address B]])</f>
        <v>010.012.000.241</v>
      </c>
      <c r="Q1638" s="8" t="e">
        <f>VLOOKUP(Table1[[#This Row],[Address A]],IP_Master[],4,FALSE)</f>
        <v>#N/A</v>
      </c>
      <c r="R1638" s="8" t="str">
        <f>VLOOKUP(Table1[[#This Row],[Address B]],IP_Master[],4,FALSE)</f>
        <v>PPPCHIST</v>
      </c>
      <c r="S1638" s="8" t="e">
        <f>VLOOKUP(Table1[[#This Row],[Address A]],IP_Master[],2,FALSE)</f>
        <v>#N/A</v>
      </c>
      <c r="T1638" s="8" t="str">
        <f>VLOOKUP(Table1[[#This Row],[Address B]],IP_Master[],2,FALSE)</f>
        <v>Other ProcN Devices</v>
      </c>
      <c r="U1638" s="9" t="e">
        <f>VLOOKUP(Table1[[#This Row],[Address A]],IP_Master[],3,FALSE)</f>
        <v>#N/A</v>
      </c>
      <c r="V1638" s="9" t="str">
        <f>VLOOKUP(Table1[[#This Row],[Address B]],IP_Master[],3,FALSE)</f>
        <v>iFIX Nodes &amp; Ethernet Switches</v>
      </c>
      <c r="W1638" s="9" t="e">
        <f>VLOOKUP(Table1[[#This Row],[Port B]],traffic_types[],2,FALSE)</f>
        <v>#N/A</v>
      </c>
    </row>
    <row r="1639" spans="1:23" hidden="1" x14ac:dyDescent="0.6">
      <c r="A1639" t="s">
        <v>194</v>
      </c>
      <c r="B1639">
        <v>59170</v>
      </c>
      <c r="C1639" t="s">
        <v>85</v>
      </c>
      <c r="D1639">
        <v>14000</v>
      </c>
      <c r="E1639">
        <v>176</v>
      </c>
      <c r="F1639">
        <v>21644</v>
      </c>
      <c r="G1639">
        <v>80</v>
      </c>
      <c r="H1639">
        <v>6472</v>
      </c>
      <c r="I1639">
        <v>96</v>
      </c>
      <c r="J1639">
        <v>15172</v>
      </c>
      <c r="K1639">
        <v>26.749991999999999</v>
      </c>
      <c r="L1639">
        <v>870.02072999999996</v>
      </c>
      <c r="M1639">
        <v>59.511225669300998</v>
      </c>
      <c r="N1639">
        <v>139.50931950782399</v>
      </c>
      <c r="O1639" s="8" t="str">
        <f>formatIP(Table1[[#This Row],[Address A]])</f>
        <v>010.021.097.011</v>
      </c>
      <c r="P1639" s="8" t="str">
        <f>formatIP(Table1[[#This Row],[Address B]])</f>
        <v>010.012.001.242</v>
      </c>
      <c r="Q1639" s="8" t="e">
        <f>VLOOKUP(Table1[[#This Row],[Address A]],IP_Master[],4,FALSE)</f>
        <v>#N/A</v>
      </c>
      <c r="R1639" s="8" t="str">
        <f>VLOOKUP(Table1[[#This Row],[Address B]],IP_Master[],4,FALSE)</f>
        <v>PPPCHIST2</v>
      </c>
      <c r="S1639" s="8" t="e">
        <f>VLOOKUP(Table1[[#This Row],[Address A]],IP_Master[],2,FALSE)</f>
        <v>#N/A</v>
      </c>
      <c r="T1639" s="8" t="str">
        <f>VLOOKUP(Table1[[#This Row],[Address B]],IP_Master[],2,FALSE)</f>
        <v>Other ProcN Devices</v>
      </c>
      <c r="U1639" s="9" t="e">
        <f>VLOOKUP(Table1[[#This Row],[Address A]],IP_Master[],3,FALSE)</f>
        <v>#N/A</v>
      </c>
      <c r="V1639" s="9" t="str">
        <f>VLOOKUP(Table1[[#This Row],[Address B]],IP_Master[],3,FALSE)</f>
        <v>PLCs &amp; Control Equipment</v>
      </c>
      <c r="W1639" s="9" t="e">
        <f>VLOOKUP(Table1[[#This Row],[Port B]],traffic_types[],2,FALSE)</f>
        <v>#N/A</v>
      </c>
    </row>
    <row r="1640" spans="1:23" x14ac:dyDescent="0.6">
      <c r="A1640" t="s">
        <v>195</v>
      </c>
      <c r="B1640">
        <v>50208</v>
      </c>
      <c r="C1640" t="s">
        <v>78</v>
      </c>
      <c r="D1640">
        <v>445</v>
      </c>
      <c r="E1640">
        <v>36</v>
      </c>
      <c r="F1640">
        <v>4994</v>
      </c>
      <c r="G1640">
        <v>20</v>
      </c>
      <c r="H1640">
        <v>2761</v>
      </c>
      <c r="I1640">
        <v>16</v>
      </c>
      <c r="J1640">
        <v>2233</v>
      </c>
      <c r="K1640">
        <v>653.81845199999998</v>
      </c>
      <c r="L1640">
        <v>135.67418499999999</v>
      </c>
      <c r="M1640">
        <v>162.80178871168499</v>
      </c>
      <c r="N1640">
        <v>131.66837891821501</v>
      </c>
      <c r="O1640" s="8" t="str">
        <f>formatIP(Table1[[#This Row],[Address A]])</f>
        <v>010.021.097.035</v>
      </c>
      <c r="P1640" s="8" t="str">
        <f>formatIP(Table1[[#This Row],[Address B]])</f>
        <v>010.012.000.241</v>
      </c>
      <c r="Q1640" s="8" t="e">
        <f>VLOOKUP(Table1[[#This Row],[Address A]],IP_Master[],4,FALSE)</f>
        <v>#N/A</v>
      </c>
      <c r="R1640" s="8" t="str">
        <f>VLOOKUP(Table1[[#This Row],[Address B]],IP_Master[],4,FALSE)</f>
        <v>PPPCHIST</v>
      </c>
      <c r="S1640" s="8" t="e">
        <f>VLOOKUP(Table1[[#This Row],[Address A]],IP_Master[],2,FALSE)</f>
        <v>#N/A</v>
      </c>
      <c r="T1640" s="8" t="str">
        <f>VLOOKUP(Table1[[#This Row],[Address B]],IP_Master[],2,FALSE)</f>
        <v>Other ProcN Devices</v>
      </c>
      <c r="U1640" s="9" t="e">
        <f>VLOOKUP(Table1[[#This Row],[Address A]],IP_Master[],3,FALSE)</f>
        <v>#N/A</v>
      </c>
      <c r="V1640" s="9" t="str">
        <f>VLOOKUP(Table1[[#This Row],[Address B]],IP_Master[],3,FALSE)</f>
        <v>iFIX Nodes &amp; Ethernet Switches</v>
      </c>
      <c r="W1640" s="9" t="str">
        <f>VLOOKUP(Table1[[#This Row],[Port B]],traffic_types[],2,FALSE)</f>
        <v>SMB</v>
      </c>
    </row>
    <row r="1641" spans="1:23" x14ac:dyDescent="0.6">
      <c r="A1641" t="s">
        <v>195</v>
      </c>
      <c r="B1641">
        <v>50209</v>
      </c>
      <c r="C1641" t="s">
        <v>196</v>
      </c>
      <c r="D1641">
        <v>445</v>
      </c>
      <c r="E1641">
        <v>31</v>
      </c>
      <c r="F1641">
        <v>4989</v>
      </c>
      <c r="G1641">
        <v>18</v>
      </c>
      <c r="H1641">
        <v>2836</v>
      </c>
      <c r="I1641">
        <v>13</v>
      </c>
      <c r="J1641">
        <v>2153</v>
      </c>
      <c r="K1641">
        <v>656.11835099999996</v>
      </c>
      <c r="L1641">
        <v>127.181011</v>
      </c>
      <c r="M1641">
        <v>178.39141096307199</v>
      </c>
      <c r="N1641">
        <v>135.429022497706</v>
      </c>
      <c r="O1641" s="8" t="str">
        <f>formatIP(Table1[[#This Row],[Address A]])</f>
        <v>010.021.097.035</v>
      </c>
      <c r="P1641" s="8" t="str">
        <f>formatIP(Table1[[#This Row],[Address B]])</f>
        <v>010.012.001.194</v>
      </c>
      <c r="Q1641" s="8" t="e">
        <f>VLOOKUP(Table1[[#This Row],[Address A]],IP_Master[],4,FALSE)</f>
        <v>#N/A</v>
      </c>
      <c r="R1641" s="8" t="str">
        <f>VLOOKUP(Table1[[#This Row],[Address B]],IP_Master[],4,FALSE)</f>
        <v>PPPCSHIP</v>
      </c>
      <c r="S1641" s="8" t="e">
        <f>VLOOKUP(Table1[[#This Row],[Address A]],IP_Master[],2,FALSE)</f>
        <v>#N/A</v>
      </c>
      <c r="T1641" s="8" t="str">
        <f>VLOOKUP(Table1[[#This Row],[Address B]],IP_Master[],2,FALSE)</f>
        <v>Refinery</v>
      </c>
      <c r="U1641" s="9" t="e">
        <f>VLOOKUP(Table1[[#This Row],[Address A]],IP_Master[],3,FALSE)</f>
        <v>#N/A</v>
      </c>
      <c r="V1641" s="9" t="str">
        <f>VLOOKUP(Table1[[#This Row],[Address B]],IP_Master[],3,FALSE)</f>
        <v>PLCs &amp; Control Equipment</v>
      </c>
      <c r="W1641" s="9" t="str">
        <f>VLOOKUP(Table1[[#This Row],[Port B]],traffic_types[],2,FALSE)</f>
        <v>SMB</v>
      </c>
    </row>
    <row r="1642" spans="1:23" hidden="1" x14ac:dyDescent="0.6">
      <c r="A1642" t="s">
        <v>197</v>
      </c>
      <c r="B1642">
        <v>8081</v>
      </c>
      <c r="C1642" t="s">
        <v>54</v>
      </c>
      <c r="D1642">
        <v>3055</v>
      </c>
      <c r="E1642">
        <v>3</v>
      </c>
      <c r="F1642">
        <v>186</v>
      </c>
      <c r="G1642">
        <v>0</v>
      </c>
      <c r="H1642">
        <v>0</v>
      </c>
      <c r="I1642">
        <v>3</v>
      </c>
      <c r="J1642">
        <v>186</v>
      </c>
      <c r="K1642">
        <v>0.77533099999999999</v>
      </c>
      <c r="L1642">
        <v>9.0798000000000005</v>
      </c>
      <c r="M1642">
        <v>0</v>
      </c>
      <c r="N1642">
        <v>163.88026167977301</v>
      </c>
      <c r="O1642" s="8" t="str">
        <f>formatIP(Table1[[#This Row],[Address A]])</f>
        <v>010.033.010.006</v>
      </c>
      <c r="P1642" s="8" t="str">
        <f>formatIP(Table1[[#This Row],[Address B]])</f>
        <v>010.012.000.063</v>
      </c>
      <c r="Q1642" s="8" t="e">
        <f>VLOOKUP(Table1[[#This Row],[Address A]],IP_Master[],4,FALSE)</f>
        <v>#N/A</v>
      </c>
      <c r="R1642" s="8" t="str">
        <f>VLOOKUP(Table1[[#This Row],[Address B]],IP_Master[],4,FALSE)</f>
        <v>PPPCPET3</v>
      </c>
      <c r="S1642" s="8" t="e">
        <f>VLOOKUP(Table1[[#This Row],[Address A]],IP_Master[],2,FALSE)</f>
        <v>#N/A</v>
      </c>
      <c r="T1642" s="8" t="str">
        <f>VLOOKUP(Table1[[#This Row],[Address B]],IP_Master[],2,FALSE)</f>
        <v>PETs Plant</v>
      </c>
      <c r="U1642" s="9" t="e">
        <f>VLOOKUP(Table1[[#This Row],[Address A]],IP_Master[],3,FALSE)</f>
        <v>#N/A</v>
      </c>
      <c r="V1642" s="9" t="str">
        <f>VLOOKUP(Table1[[#This Row],[Address B]],IP_Master[],3,FALSE)</f>
        <v>iFIX Nodes &amp; Ethernet Switches</v>
      </c>
      <c r="W1642" s="9" t="e">
        <f>VLOOKUP(Table1[[#This Row],[Port B]],traffic_types[],2,FALSE)</f>
        <v>#N/A</v>
      </c>
    </row>
    <row r="1643" spans="1:23" hidden="1" x14ac:dyDescent="0.6">
      <c r="A1643" t="s">
        <v>197</v>
      </c>
      <c r="B1643">
        <v>8081</v>
      </c>
      <c r="C1643" t="s">
        <v>51</v>
      </c>
      <c r="D1643">
        <v>1528</v>
      </c>
      <c r="E1643">
        <v>3</v>
      </c>
      <c r="F1643">
        <v>186</v>
      </c>
      <c r="G1643">
        <v>0</v>
      </c>
      <c r="H1643">
        <v>0</v>
      </c>
      <c r="I1643">
        <v>3</v>
      </c>
      <c r="J1643">
        <v>186</v>
      </c>
      <c r="K1643">
        <v>226.71153799999999</v>
      </c>
      <c r="L1643">
        <v>8.9486340000000002</v>
      </c>
      <c r="M1643">
        <v>0</v>
      </c>
      <c r="N1643">
        <v>166.28236220187401</v>
      </c>
      <c r="O1643" s="8" t="str">
        <f>formatIP(Table1[[#This Row],[Address A]])</f>
        <v>010.033.010.006</v>
      </c>
      <c r="P1643" s="8" t="str">
        <f>formatIP(Table1[[#This Row],[Address B]])</f>
        <v>010.012.000.252</v>
      </c>
      <c r="Q1643" s="8" t="e">
        <f>VLOOKUP(Table1[[#This Row],[Address A]],IP_Master[],4,FALSE)</f>
        <v>#N/A</v>
      </c>
      <c r="R1643" s="8" t="str">
        <f>VLOOKUP(Table1[[#This Row],[Address B]],IP_Master[],4,FALSE)</f>
        <v>PP_FIX3</v>
      </c>
      <c r="S1643" s="8" t="e">
        <f>VLOOKUP(Table1[[#This Row],[Address A]],IP_Master[],2,FALSE)</f>
        <v>#N/A</v>
      </c>
      <c r="T1643" s="8" t="str">
        <f>VLOOKUP(Table1[[#This Row],[Address B]],IP_Master[],2,FALSE)</f>
        <v>Other ProcN Devices</v>
      </c>
      <c r="U1643" s="9" t="e">
        <f>VLOOKUP(Table1[[#This Row],[Address A]],IP_Master[],3,FALSE)</f>
        <v>#N/A</v>
      </c>
      <c r="V1643" s="9" t="str">
        <f>VLOOKUP(Table1[[#This Row],[Address B]],IP_Master[],3,FALSE)</f>
        <v>iFIX Nodes &amp; Ethernet Switches</v>
      </c>
      <c r="W1643" s="9" t="e">
        <f>VLOOKUP(Table1[[#This Row],[Port B]],traffic_types[],2,FALSE)</f>
        <v>#N/A</v>
      </c>
    </row>
    <row r="1644" spans="1:23" hidden="1" x14ac:dyDescent="0.6">
      <c r="A1644" t="s">
        <v>198</v>
      </c>
      <c r="B1644">
        <v>8083</v>
      </c>
      <c r="C1644" t="s">
        <v>51</v>
      </c>
      <c r="D1644">
        <v>1527</v>
      </c>
      <c r="E1644">
        <v>3</v>
      </c>
      <c r="F1644">
        <v>186</v>
      </c>
      <c r="G1644">
        <v>0</v>
      </c>
      <c r="H1644">
        <v>0</v>
      </c>
      <c r="I1644">
        <v>3</v>
      </c>
      <c r="J1644">
        <v>186</v>
      </c>
      <c r="K1644">
        <v>200.552649</v>
      </c>
      <c r="L1644">
        <v>8.9666849999999805</v>
      </c>
      <c r="M1644">
        <v>0</v>
      </c>
      <c r="N1644">
        <v>165.94761609223499</v>
      </c>
      <c r="O1644" s="8" t="str">
        <f>formatIP(Table1[[#This Row],[Address A]])</f>
        <v>010.033.010.007</v>
      </c>
      <c r="P1644" s="8" t="str">
        <f>formatIP(Table1[[#This Row],[Address B]])</f>
        <v>010.012.000.252</v>
      </c>
      <c r="Q1644" s="8" t="e">
        <f>VLOOKUP(Table1[[#This Row],[Address A]],IP_Master[],4,FALSE)</f>
        <v>#N/A</v>
      </c>
      <c r="R1644" s="8" t="str">
        <f>VLOOKUP(Table1[[#This Row],[Address B]],IP_Master[],4,FALSE)</f>
        <v>PP_FIX3</v>
      </c>
      <c r="S1644" s="8" t="e">
        <f>VLOOKUP(Table1[[#This Row],[Address A]],IP_Master[],2,FALSE)</f>
        <v>#N/A</v>
      </c>
      <c r="T1644" s="8" t="str">
        <f>VLOOKUP(Table1[[#This Row],[Address B]],IP_Master[],2,FALSE)</f>
        <v>Other ProcN Devices</v>
      </c>
      <c r="U1644" s="9" t="e">
        <f>VLOOKUP(Table1[[#This Row],[Address A]],IP_Master[],3,FALSE)</f>
        <v>#N/A</v>
      </c>
      <c r="V1644" s="9" t="str">
        <f>VLOOKUP(Table1[[#This Row],[Address B]],IP_Master[],3,FALSE)</f>
        <v>iFIX Nodes &amp; Ethernet Switches</v>
      </c>
      <c r="W1644" s="9" t="e">
        <f>VLOOKUP(Table1[[#This Row],[Port B]],traffic_types[],2,FALSE)</f>
        <v>#N/A</v>
      </c>
    </row>
    <row r="1645" spans="1:23" hidden="1" x14ac:dyDescent="0.6">
      <c r="A1645" t="s">
        <v>142</v>
      </c>
      <c r="B1645">
        <v>8081</v>
      </c>
      <c r="C1645" t="s">
        <v>108</v>
      </c>
      <c r="D1645">
        <v>3863</v>
      </c>
      <c r="E1645">
        <v>3</v>
      </c>
      <c r="F1645">
        <v>186</v>
      </c>
      <c r="G1645">
        <v>0</v>
      </c>
      <c r="H1645">
        <v>0</v>
      </c>
      <c r="I1645">
        <v>3</v>
      </c>
      <c r="J1645">
        <v>186</v>
      </c>
      <c r="K1645">
        <v>166.04397599999999</v>
      </c>
      <c r="L1645">
        <v>9.1686940000000199</v>
      </c>
      <c r="M1645">
        <v>0</v>
      </c>
      <c r="N1645">
        <v>162.29137977557099</v>
      </c>
      <c r="O1645" s="8" t="str">
        <f>formatIP(Table1[[#This Row],[Address A]])</f>
        <v>010.033.010.008</v>
      </c>
      <c r="P1645" s="8" t="str">
        <f>formatIP(Table1[[#This Row],[Address B]])</f>
        <v>010.012.000.065</v>
      </c>
      <c r="Q1645" s="8" t="e">
        <f>VLOOKUP(Table1[[#This Row],[Address A]],IP_Master[],4,FALSE)</f>
        <v>#N/A</v>
      </c>
      <c r="R1645" s="8" t="str">
        <f>VLOOKUP(Table1[[#This Row],[Address B]],IP_Master[],4,FALSE)</f>
        <v>PPPCPET5</v>
      </c>
      <c r="S1645" s="8" t="e">
        <f>VLOOKUP(Table1[[#This Row],[Address A]],IP_Master[],2,FALSE)</f>
        <v>#N/A</v>
      </c>
      <c r="T1645" s="8" t="str">
        <f>VLOOKUP(Table1[[#This Row],[Address B]],IP_Master[],2,FALSE)</f>
        <v>PETs Plant</v>
      </c>
      <c r="U1645" s="9" t="e">
        <f>VLOOKUP(Table1[[#This Row],[Address A]],IP_Master[],3,FALSE)</f>
        <v>#N/A</v>
      </c>
      <c r="V1645" s="9" t="str">
        <f>VLOOKUP(Table1[[#This Row],[Address B]],IP_Master[],3,FALSE)</f>
        <v>iFIX Nodes &amp; Ethernet Switches</v>
      </c>
      <c r="W1645" s="9" t="e">
        <f>VLOOKUP(Table1[[#This Row],[Port B]],traffic_types[],2,FALSE)</f>
        <v>#N/A</v>
      </c>
    </row>
    <row r="1646" spans="1:23" hidden="1" x14ac:dyDescent="0.6">
      <c r="A1646" t="s">
        <v>142</v>
      </c>
      <c r="B1646">
        <v>8083</v>
      </c>
      <c r="C1646" t="s">
        <v>51</v>
      </c>
      <c r="D1646">
        <v>1526</v>
      </c>
      <c r="E1646">
        <v>3</v>
      </c>
      <c r="F1646">
        <v>186</v>
      </c>
      <c r="G1646">
        <v>0</v>
      </c>
      <c r="H1646">
        <v>0</v>
      </c>
      <c r="I1646">
        <v>3</v>
      </c>
      <c r="J1646">
        <v>186</v>
      </c>
      <c r="K1646">
        <v>179.41290799999999</v>
      </c>
      <c r="L1646">
        <v>9.1063120000000009</v>
      </c>
      <c r="M1646">
        <v>0</v>
      </c>
      <c r="N1646">
        <v>163.40314278711301</v>
      </c>
      <c r="O1646" s="8" t="str">
        <f>formatIP(Table1[[#This Row],[Address A]])</f>
        <v>010.033.010.008</v>
      </c>
      <c r="P1646" s="8" t="str">
        <f>formatIP(Table1[[#This Row],[Address B]])</f>
        <v>010.012.000.252</v>
      </c>
      <c r="Q1646" s="8" t="e">
        <f>VLOOKUP(Table1[[#This Row],[Address A]],IP_Master[],4,FALSE)</f>
        <v>#N/A</v>
      </c>
      <c r="R1646" s="8" t="str">
        <f>VLOOKUP(Table1[[#This Row],[Address B]],IP_Master[],4,FALSE)</f>
        <v>PP_FIX3</v>
      </c>
      <c r="S1646" s="8" t="e">
        <f>VLOOKUP(Table1[[#This Row],[Address A]],IP_Master[],2,FALSE)</f>
        <v>#N/A</v>
      </c>
      <c r="T1646" s="8" t="str">
        <f>VLOOKUP(Table1[[#This Row],[Address B]],IP_Master[],2,FALSE)</f>
        <v>Other ProcN Devices</v>
      </c>
      <c r="U1646" s="9" t="e">
        <f>VLOOKUP(Table1[[#This Row],[Address A]],IP_Master[],3,FALSE)</f>
        <v>#N/A</v>
      </c>
      <c r="V1646" s="9" t="str">
        <f>VLOOKUP(Table1[[#This Row],[Address B]],IP_Master[],3,FALSE)</f>
        <v>iFIX Nodes &amp; Ethernet Switches</v>
      </c>
      <c r="W1646" s="9" t="e">
        <f>VLOOKUP(Table1[[#This Row],[Port B]],traffic_types[],2,FALSE)</f>
        <v>#N/A</v>
      </c>
    </row>
    <row r="1647" spans="1:23" hidden="1" x14ac:dyDescent="0.6">
      <c r="A1647" t="s">
        <v>142</v>
      </c>
      <c r="B1647">
        <v>8081</v>
      </c>
      <c r="C1647" t="s">
        <v>108</v>
      </c>
      <c r="D1647">
        <v>3864</v>
      </c>
      <c r="E1647">
        <v>3</v>
      </c>
      <c r="F1647">
        <v>186</v>
      </c>
      <c r="G1647">
        <v>0</v>
      </c>
      <c r="H1647">
        <v>0</v>
      </c>
      <c r="I1647">
        <v>3</v>
      </c>
      <c r="J1647">
        <v>186</v>
      </c>
      <c r="K1647">
        <v>187.354579</v>
      </c>
      <c r="L1647">
        <v>9.0780969999999908</v>
      </c>
      <c r="M1647">
        <v>0</v>
      </c>
      <c r="N1647">
        <v>163.91100469624899</v>
      </c>
      <c r="O1647" s="8" t="str">
        <f>formatIP(Table1[[#This Row],[Address A]])</f>
        <v>010.033.010.008</v>
      </c>
      <c r="P1647" s="8" t="str">
        <f>formatIP(Table1[[#This Row],[Address B]])</f>
        <v>010.012.000.065</v>
      </c>
      <c r="Q1647" s="8" t="e">
        <f>VLOOKUP(Table1[[#This Row],[Address A]],IP_Master[],4,FALSE)</f>
        <v>#N/A</v>
      </c>
      <c r="R1647" s="8" t="str">
        <f>VLOOKUP(Table1[[#This Row],[Address B]],IP_Master[],4,FALSE)</f>
        <v>PPPCPET5</v>
      </c>
      <c r="S1647" s="8" t="e">
        <f>VLOOKUP(Table1[[#This Row],[Address A]],IP_Master[],2,FALSE)</f>
        <v>#N/A</v>
      </c>
      <c r="T1647" s="8" t="str">
        <f>VLOOKUP(Table1[[#This Row],[Address B]],IP_Master[],2,FALSE)</f>
        <v>PETs Plant</v>
      </c>
      <c r="U1647" s="9" t="e">
        <f>VLOOKUP(Table1[[#This Row],[Address A]],IP_Master[],3,FALSE)</f>
        <v>#N/A</v>
      </c>
      <c r="V1647" s="9" t="str">
        <f>VLOOKUP(Table1[[#This Row],[Address B]],IP_Master[],3,FALSE)</f>
        <v>iFIX Nodes &amp; Ethernet Switches</v>
      </c>
      <c r="W1647" s="9" t="e">
        <f>VLOOKUP(Table1[[#This Row],[Port B]],traffic_types[],2,FALSE)</f>
        <v>#N/A</v>
      </c>
    </row>
    <row r="1648" spans="1:23" hidden="1" x14ac:dyDescent="0.6">
      <c r="A1648" t="s">
        <v>142</v>
      </c>
      <c r="B1648">
        <v>8081</v>
      </c>
      <c r="C1648" t="s">
        <v>108</v>
      </c>
      <c r="D1648">
        <v>3865</v>
      </c>
      <c r="E1648">
        <v>3</v>
      </c>
      <c r="F1648">
        <v>186</v>
      </c>
      <c r="G1648">
        <v>0</v>
      </c>
      <c r="H1648">
        <v>0</v>
      </c>
      <c r="I1648">
        <v>3</v>
      </c>
      <c r="J1648">
        <v>186</v>
      </c>
      <c r="K1648">
        <v>208.57606200000001</v>
      </c>
      <c r="L1648">
        <v>9.2945819999999895</v>
      </c>
      <c r="M1648">
        <v>0</v>
      </c>
      <c r="N1648">
        <v>160.093267238914</v>
      </c>
      <c r="O1648" s="8" t="str">
        <f>formatIP(Table1[[#This Row],[Address A]])</f>
        <v>010.033.010.008</v>
      </c>
      <c r="P1648" s="8" t="str">
        <f>formatIP(Table1[[#This Row],[Address B]])</f>
        <v>010.012.000.065</v>
      </c>
      <c r="Q1648" s="8" t="e">
        <f>VLOOKUP(Table1[[#This Row],[Address A]],IP_Master[],4,FALSE)</f>
        <v>#N/A</v>
      </c>
      <c r="R1648" s="8" t="str">
        <f>VLOOKUP(Table1[[#This Row],[Address B]],IP_Master[],4,FALSE)</f>
        <v>PPPCPET5</v>
      </c>
      <c r="S1648" s="8" t="e">
        <f>VLOOKUP(Table1[[#This Row],[Address A]],IP_Master[],2,FALSE)</f>
        <v>#N/A</v>
      </c>
      <c r="T1648" s="8" t="str">
        <f>VLOOKUP(Table1[[#This Row],[Address B]],IP_Master[],2,FALSE)</f>
        <v>PETs Plant</v>
      </c>
      <c r="U1648" s="9" t="e">
        <f>VLOOKUP(Table1[[#This Row],[Address A]],IP_Master[],3,FALSE)</f>
        <v>#N/A</v>
      </c>
      <c r="V1648" s="9" t="str">
        <f>VLOOKUP(Table1[[#This Row],[Address B]],IP_Master[],3,FALSE)</f>
        <v>iFIX Nodes &amp; Ethernet Switches</v>
      </c>
      <c r="W1648" s="9" t="e">
        <f>VLOOKUP(Table1[[#This Row],[Port B]],traffic_types[],2,FALSE)</f>
        <v>#N/A</v>
      </c>
    </row>
    <row r="1649" spans="1:23" hidden="1" x14ac:dyDescent="0.6">
      <c r="A1649" t="s">
        <v>142</v>
      </c>
      <c r="B1649">
        <v>8081</v>
      </c>
      <c r="C1649" t="s">
        <v>108</v>
      </c>
      <c r="D1649">
        <v>3866</v>
      </c>
      <c r="E1649">
        <v>3</v>
      </c>
      <c r="F1649">
        <v>186</v>
      </c>
      <c r="G1649">
        <v>0</v>
      </c>
      <c r="H1649">
        <v>0</v>
      </c>
      <c r="I1649">
        <v>3</v>
      </c>
      <c r="J1649">
        <v>186</v>
      </c>
      <c r="K1649">
        <v>229.90299099999999</v>
      </c>
      <c r="L1649">
        <v>9.2964550000000106</v>
      </c>
      <c r="M1649">
        <v>0</v>
      </c>
      <c r="N1649">
        <v>160.06101250422901</v>
      </c>
      <c r="O1649" s="8" t="str">
        <f>formatIP(Table1[[#This Row],[Address A]])</f>
        <v>010.033.010.008</v>
      </c>
      <c r="P1649" s="8" t="str">
        <f>formatIP(Table1[[#This Row],[Address B]])</f>
        <v>010.012.000.065</v>
      </c>
      <c r="Q1649" s="8" t="e">
        <f>VLOOKUP(Table1[[#This Row],[Address A]],IP_Master[],4,FALSE)</f>
        <v>#N/A</v>
      </c>
      <c r="R1649" s="8" t="str">
        <f>VLOOKUP(Table1[[#This Row],[Address B]],IP_Master[],4,FALSE)</f>
        <v>PPPCPET5</v>
      </c>
      <c r="S1649" s="8" t="e">
        <f>VLOOKUP(Table1[[#This Row],[Address A]],IP_Master[],2,FALSE)</f>
        <v>#N/A</v>
      </c>
      <c r="T1649" s="8" t="str">
        <f>VLOOKUP(Table1[[#This Row],[Address B]],IP_Master[],2,FALSE)</f>
        <v>PETs Plant</v>
      </c>
      <c r="U1649" s="9" t="e">
        <f>VLOOKUP(Table1[[#This Row],[Address A]],IP_Master[],3,FALSE)</f>
        <v>#N/A</v>
      </c>
      <c r="V1649" s="9" t="str">
        <f>VLOOKUP(Table1[[#This Row],[Address B]],IP_Master[],3,FALSE)</f>
        <v>iFIX Nodes &amp; Ethernet Switches</v>
      </c>
      <c r="W1649" s="9" t="e">
        <f>VLOOKUP(Table1[[#This Row],[Port B]],traffic_types[],2,FALSE)</f>
        <v>#N/A</v>
      </c>
    </row>
    <row r="1650" spans="1:23" hidden="1" x14ac:dyDescent="0.6">
      <c r="A1650" t="s">
        <v>142</v>
      </c>
      <c r="B1650">
        <v>8083</v>
      </c>
      <c r="C1650" t="s">
        <v>49</v>
      </c>
      <c r="D1650">
        <v>4411</v>
      </c>
      <c r="E1650">
        <v>3</v>
      </c>
      <c r="F1650">
        <v>186</v>
      </c>
      <c r="G1650">
        <v>0</v>
      </c>
      <c r="H1650">
        <v>0</v>
      </c>
      <c r="I1650">
        <v>3</v>
      </c>
      <c r="J1650">
        <v>186</v>
      </c>
      <c r="K1650">
        <v>599.31976699999996</v>
      </c>
      <c r="L1650">
        <v>9.0269749999999895</v>
      </c>
      <c r="M1650">
        <v>0</v>
      </c>
      <c r="N1650">
        <v>164.839273400004</v>
      </c>
      <c r="O1650" s="8" t="str">
        <f>formatIP(Table1[[#This Row],[Address A]])</f>
        <v>010.033.010.008</v>
      </c>
      <c r="P1650" s="8" t="str">
        <f>formatIP(Table1[[#This Row],[Address B]])</f>
        <v>010.012.000.190</v>
      </c>
      <c r="Q1650" s="8" t="e">
        <f>VLOOKUP(Table1[[#This Row],[Address A]],IP_Master[],4,FALSE)</f>
        <v>#N/A</v>
      </c>
      <c r="R1650" s="8" t="str">
        <f>VLOOKUP(Table1[[#This Row],[Address B]],IP_Master[],4,FALSE)</f>
        <v>PPPCRF10</v>
      </c>
      <c r="S1650" s="8" t="e">
        <f>VLOOKUP(Table1[[#This Row],[Address A]],IP_Master[],2,FALSE)</f>
        <v>#N/A</v>
      </c>
      <c r="T1650" s="8" t="str">
        <f>VLOOKUP(Table1[[#This Row],[Address B]],IP_Master[],2,FALSE)</f>
        <v>Refinery</v>
      </c>
      <c r="U1650" s="9" t="e">
        <f>VLOOKUP(Table1[[#This Row],[Address A]],IP_Master[],3,FALSE)</f>
        <v>#N/A</v>
      </c>
      <c r="V1650" s="9" t="str">
        <f>VLOOKUP(Table1[[#This Row],[Address B]],IP_Master[],3,FALSE)</f>
        <v>iFIX Nodes &amp; Ethernet Switches</v>
      </c>
      <c r="W1650" s="9" t="e">
        <f>VLOOKUP(Table1[[#This Row],[Port B]],traffic_types[],2,FALSE)</f>
        <v>#N/A</v>
      </c>
    </row>
    <row r="1651" spans="1:23" hidden="1" x14ac:dyDescent="0.6">
      <c r="A1651" t="s">
        <v>133</v>
      </c>
      <c r="B1651">
        <v>8083</v>
      </c>
      <c r="C1651" t="s">
        <v>49</v>
      </c>
      <c r="D1651">
        <v>4410</v>
      </c>
      <c r="E1651">
        <v>3</v>
      </c>
      <c r="F1651">
        <v>186</v>
      </c>
      <c r="G1651">
        <v>0</v>
      </c>
      <c r="H1651">
        <v>0</v>
      </c>
      <c r="I1651">
        <v>3</v>
      </c>
      <c r="J1651">
        <v>186</v>
      </c>
      <c r="K1651">
        <v>543.86701900000003</v>
      </c>
      <c r="L1651">
        <v>8.91637100000003</v>
      </c>
      <c r="M1651">
        <v>0</v>
      </c>
      <c r="N1651">
        <v>166.88403836044901</v>
      </c>
      <c r="O1651" s="8" t="str">
        <f>formatIP(Table1[[#This Row],[Address A]])</f>
        <v>010.080.001.065</v>
      </c>
      <c r="P1651" s="8" t="str">
        <f>formatIP(Table1[[#This Row],[Address B]])</f>
        <v>010.012.000.190</v>
      </c>
      <c r="Q1651" s="8" t="e">
        <f>VLOOKUP(Table1[[#This Row],[Address A]],IP_Master[],4,FALSE)</f>
        <v>#N/A</v>
      </c>
      <c r="R1651" s="8" t="str">
        <f>VLOOKUP(Table1[[#This Row],[Address B]],IP_Master[],4,FALSE)</f>
        <v>PPPCRF10</v>
      </c>
      <c r="S1651" s="8" t="e">
        <f>VLOOKUP(Table1[[#This Row],[Address A]],IP_Master[],2,FALSE)</f>
        <v>#N/A</v>
      </c>
      <c r="T1651" s="8" t="str">
        <f>VLOOKUP(Table1[[#This Row],[Address B]],IP_Master[],2,FALSE)</f>
        <v>Refinery</v>
      </c>
      <c r="U1651" s="9" t="e">
        <f>VLOOKUP(Table1[[#This Row],[Address A]],IP_Master[],3,FALSE)</f>
        <v>#N/A</v>
      </c>
      <c r="V1651" s="9" t="str">
        <f>VLOOKUP(Table1[[#This Row],[Address B]],IP_Master[],3,FALSE)</f>
        <v>iFIX Nodes &amp; Ethernet Switches</v>
      </c>
      <c r="W1651" s="9" t="e">
        <f>VLOOKUP(Table1[[#This Row],[Port B]],traffic_types[],2,FALSE)</f>
        <v>#N/A</v>
      </c>
    </row>
    <row r="1652" spans="1:23" hidden="1" x14ac:dyDescent="0.6">
      <c r="A1652" t="s">
        <v>199</v>
      </c>
      <c r="B1652">
        <v>8081</v>
      </c>
      <c r="C1652" t="s">
        <v>55</v>
      </c>
      <c r="D1652">
        <v>4229</v>
      </c>
      <c r="E1652">
        <v>3</v>
      </c>
      <c r="F1652">
        <v>186</v>
      </c>
      <c r="G1652">
        <v>0</v>
      </c>
      <c r="H1652">
        <v>0</v>
      </c>
      <c r="I1652">
        <v>3</v>
      </c>
      <c r="J1652">
        <v>186</v>
      </c>
      <c r="K1652">
        <v>2.5349900000000001</v>
      </c>
      <c r="L1652">
        <v>8.8863350000000008</v>
      </c>
      <c r="M1652">
        <v>0</v>
      </c>
      <c r="N1652">
        <v>167.44810993508599</v>
      </c>
      <c r="O1652" s="8" t="str">
        <f>formatIP(Table1[[#This Row],[Address A]])</f>
        <v>010.080.002.057</v>
      </c>
      <c r="P1652" s="8" t="str">
        <f>formatIP(Table1[[#This Row],[Address B]])</f>
        <v>010.012.000.064</v>
      </c>
      <c r="Q1652" s="8" t="e">
        <f>VLOOKUP(Table1[[#This Row],[Address A]],IP_Master[],4,FALSE)</f>
        <v>#N/A</v>
      </c>
      <c r="R1652" s="8" t="str">
        <f>VLOOKUP(Table1[[#This Row],[Address B]],IP_Master[],4,FALSE)</f>
        <v>PPPCPET4</v>
      </c>
      <c r="S1652" s="8" t="e">
        <f>VLOOKUP(Table1[[#This Row],[Address A]],IP_Master[],2,FALSE)</f>
        <v>#N/A</v>
      </c>
      <c r="T1652" s="8" t="str">
        <f>VLOOKUP(Table1[[#This Row],[Address B]],IP_Master[],2,FALSE)</f>
        <v>PETs Plant</v>
      </c>
      <c r="U1652" s="9" t="e">
        <f>VLOOKUP(Table1[[#This Row],[Address A]],IP_Master[],3,FALSE)</f>
        <v>#N/A</v>
      </c>
      <c r="V1652" s="9" t="str">
        <f>VLOOKUP(Table1[[#This Row],[Address B]],IP_Master[],3,FALSE)</f>
        <v>iFIX Nodes &amp; Ethernet Switches</v>
      </c>
      <c r="W1652" s="9" t="e">
        <f>VLOOKUP(Table1[[#This Row],[Port B]],traffic_types[],2,FALSE)</f>
        <v>#N/A</v>
      </c>
    </row>
    <row r="1653" spans="1:23" hidden="1" x14ac:dyDescent="0.6">
      <c r="A1653" t="s">
        <v>199</v>
      </c>
      <c r="B1653">
        <v>8081</v>
      </c>
      <c r="C1653" t="s">
        <v>51</v>
      </c>
      <c r="D1653">
        <v>1530</v>
      </c>
      <c r="E1653">
        <v>3</v>
      </c>
      <c r="F1653">
        <v>186</v>
      </c>
      <c r="G1653">
        <v>0</v>
      </c>
      <c r="H1653">
        <v>0</v>
      </c>
      <c r="I1653">
        <v>3</v>
      </c>
      <c r="J1653">
        <v>186</v>
      </c>
      <c r="K1653">
        <v>279.85146099999997</v>
      </c>
      <c r="L1653">
        <v>9.2937260000000492</v>
      </c>
      <c r="M1653">
        <v>0</v>
      </c>
      <c r="N1653">
        <v>160.10801265283601</v>
      </c>
      <c r="O1653" s="8" t="str">
        <f>formatIP(Table1[[#This Row],[Address A]])</f>
        <v>010.080.002.057</v>
      </c>
      <c r="P1653" s="8" t="str">
        <f>formatIP(Table1[[#This Row],[Address B]])</f>
        <v>010.012.000.252</v>
      </c>
      <c r="Q1653" s="8" t="e">
        <f>VLOOKUP(Table1[[#This Row],[Address A]],IP_Master[],4,FALSE)</f>
        <v>#N/A</v>
      </c>
      <c r="R1653" s="8" t="str">
        <f>VLOOKUP(Table1[[#This Row],[Address B]],IP_Master[],4,FALSE)</f>
        <v>PP_FIX3</v>
      </c>
      <c r="S1653" s="8" t="e">
        <f>VLOOKUP(Table1[[#This Row],[Address A]],IP_Master[],2,FALSE)</f>
        <v>#N/A</v>
      </c>
      <c r="T1653" s="8" t="str">
        <f>VLOOKUP(Table1[[#This Row],[Address B]],IP_Master[],2,FALSE)</f>
        <v>Other ProcN Devices</v>
      </c>
      <c r="U1653" s="9" t="e">
        <f>VLOOKUP(Table1[[#This Row],[Address A]],IP_Master[],3,FALSE)</f>
        <v>#N/A</v>
      </c>
      <c r="V1653" s="9" t="str">
        <f>VLOOKUP(Table1[[#This Row],[Address B]],IP_Master[],3,FALSE)</f>
        <v>iFIX Nodes &amp; Ethernet Switches</v>
      </c>
      <c r="W1653" s="9" t="e">
        <f>VLOOKUP(Table1[[#This Row],[Port B]],traffic_types[],2,FALSE)</f>
        <v>#N/A</v>
      </c>
    </row>
    <row r="1654" spans="1:23" hidden="1" x14ac:dyDescent="0.6">
      <c r="A1654" t="s">
        <v>199</v>
      </c>
      <c r="B1654">
        <v>8081</v>
      </c>
      <c r="C1654" t="s">
        <v>51</v>
      </c>
      <c r="D1654">
        <v>1531</v>
      </c>
      <c r="E1654">
        <v>3</v>
      </c>
      <c r="F1654">
        <v>186</v>
      </c>
      <c r="G1654">
        <v>0</v>
      </c>
      <c r="H1654">
        <v>0</v>
      </c>
      <c r="I1654">
        <v>3</v>
      </c>
      <c r="J1654">
        <v>186</v>
      </c>
      <c r="K1654">
        <v>301.17928799999999</v>
      </c>
      <c r="L1654">
        <v>8.9661310000000203</v>
      </c>
      <c r="M1654">
        <v>0</v>
      </c>
      <c r="N1654">
        <v>165.95786967645199</v>
      </c>
      <c r="O1654" s="8" t="str">
        <f>formatIP(Table1[[#This Row],[Address A]])</f>
        <v>010.080.002.057</v>
      </c>
      <c r="P1654" s="8" t="str">
        <f>formatIP(Table1[[#This Row],[Address B]])</f>
        <v>010.012.000.252</v>
      </c>
      <c r="Q1654" s="8" t="e">
        <f>VLOOKUP(Table1[[#This Row],[Address A]],IP_Master[],4,FALSE)</f>
        <v>#N/A</v>
      </c>
      <c r="R1654" s="8" t="str">
        <f>VLOOKUP(Table1[[#This Row],[Address B]],IP_Master[],4,FALSE)</f>
        <v>PP_FIX3</v>
      </c>
      <c r="S1654" s="8" t="e">
        <f>VLOOKUP(Table1[[#This Row],[Address A]],IP_Master[],2,FALSE)</f>
        <v>#N/A</v>
      </c>
      <c r="T1654" s="8" t="str">
        <f>VLOOKUP(Table1[[#This Row],[Address B]],IP_Master[],2,FALSE)</f>
        <v>Other ProcN Devices</v>
      </c>
      <c r="U1654" s="9" t="e">
        <f>VLOOKUP(Table1[[#This Row],[Address A]],IP_Master[],3,FALSE)</f>
        <v>#N/A</v>
      </c>
      <c r="V1654" s="9" t="str">
        <f>VLOOKUP(Table1[[#This Row],[Address B]],IP_Master[],3,FALSE)</f>
        <v>iFIX Nodes &amp; Ethernet Switches</v>
      </c>
      <c r="W1654" s="9" t="e">
        <f>VLOOKUP(Table1[[#This Row],[Port B]],traffic_types[],2,FALSE)</f>
        <v>#N/A</v>
      </c>
    </row>
    <row r="1655" spans="1:23" hidden="1" x14ac:dyDescent="0.6">
      <c r="A1655" t="s">
        <v>132</v>
      </c>
      <c r="B1655">
        <v>8083</v>
      </c>
      <c r="C1655" t="s">
        <v>49</v>
      </c>
      <c r="D1655">
        <v>4406</v>
      </c>
      <c r="E1655">
        <v>3</v>
      </c>
      <c r="F1655">
        <v>186</v>
      </c>
      <c r="G1655">
        <v>0</v>
      </c>
      <c r="H1655">
        <v>0</v>
      </c>
      <c r="I1655">
        <v>3</v>
      </c>
      <c r="J1655">
        <v>186</v>
      </c>
      <c r="K1655">
        <v>321.22847200000001</v>
      </c>
      <c r="L1655">
        <v>8.9733069999999806</v>
      </c>
      <c r="M1655">
        <v>0</v>
      </c>
      <c r="N1655">
        <v>165.82515231006801</v>
      </c>
      <c r="O1655" s="8" t="str">
        <f>formatIP(Table1[[#This Row],[Address A]])</f>
        <v>010.082.001.030</v>
      </c>
      <c r="P1655" s="8" t="str">
        <f>formatIP(Table1[[#This Row],[Address B]])</f>
        <v>010.012.000.190</v>
      </c>
      <c r="Q1655" s="8" t="e">
        <f>VLOOKUP(Table1[[#This Row],[Address A]],IP_Master[],4,FALSE)</f>
        <v>#N/A</v>
      </c>
      <c r="R1655" s="8" t="str">
        <f>VLOOKUP(Table1[[#This Row],[Address B]],IP_Master[],4,FALSE)</f>
        <v>PPPCRF10</v>
      </c>
      <c r="S1655" s="8" t="e">
        <f>VLOOKUP(Table1[[#This Row],[Address A]],IP_Master[],2,FALSE)</f>
        <v>#N/A</v>
      </c>
      <c r="T1655" s="8" t="str">
        <f>VLOOKUP(Table1[[#This Row],[Address B]],IP_Master[],2,FALSE)</f>
        <v>Refinery</v>
      </c>
      <c r="U1655" s="9" t="e">
        <f>VLOOKUP(Table1[[#This Row],[Address A]],IP_Master[],3,FALSE)</f>
        <v>#N/A</v>
      </c>
      <c r="V1655" s="9" t="str">
        <f>VLOOKUP(Table1[[#This Row],[Address B]],IP_Master[],3,FALSE)</f>
        <v>iFIX Nodes &amp; Ethernet Switches</v>
      </c>
      <c r="W1655" s="9" t="e">
        <f>VLOOKUP(Table1[[#This Row],[Port B]],traffic_types[],2,FALSE)</f>
        <v>#N/A</v>
      </c>
    </row>
    <row r="1656" spans="1:23" hidden="1" x14ac:dyDescent="0.6">
      <c r="A1656" t="s">
        <v>200</v>
      </c>
      <c r="B1656">
        <v>8081</v>
      </c>
      <c r="C1656" t="s">
        <v>51</v>
      </c>
      <c r="D1656">
        <v>1532</v>
      </c>
      <c r="E1656">
        <v>3</v>
      </c>
      <c r="F1656">
        <v>186</v>
      </c>
      <c r="G1656">
        <v>0</v>
      </c>
      <c r="H1656">
        <v>0</v>
      </c>
      <c r="I1656">
        <v>3</v>
      </c>
      <c r="J1656">
        <v>186</v>
      </c>
      <c r="K1656">
        <v>327.07081199999999</v>
      </c>
      <c r="L1656">
        <v>8.8874230000000107</v>
      </c>
      <c r="M1656">
        <v>0</v>
      </c>
      <c r="N1656">
        <v>167.427610905883</v>
      </c>
      <c r="O1656" s="8" t="str">
        <f>formatIP(Table1[[#This Row],[Address A]])</f>
        <v>010.082.001.038</v>
      </c>
      <c r="P1656" s="8" t="str">
        <f>formatIP(Table1[[#This Row],[Address B]])</f>
        <v>010.012.000.252</v>
      </c>
      <c r="Q1656" s="8" t="e">
        <f>VLOOKUP(Table1[[#This Row],[Address A]],IP_Master[],4,FALSE)</f>
        <v>#N/A</v>
      </c>
      <c r="R1656" s="8" t="str">
        <f>VLOOKUP(Table1[[#This Row],[Address B]],IP_Master[],4,FALSE)</f>
        <v>PP_FIX3</v>
      </c>
      <c r="S1656" s="8" t="e">
        <f>VLOOKUP(Table1[[#This Row],[Address A]],IP_Master[],2,FALSE)</f>
        <v>#N/A</v>
      </c>
      <c r="T1656" s="8" t="str">
        <f>VLOOKUP(Table1[[#This Row],[Address B]],IP_Master[],2,FALSE)</f>
        <v>Other ProcN Devices</v>
      </c>
      <c r="U1656" s="9" t="e">
        <f>VLOOKUP(Table1[[#This Row],[Address A]],IP_Master[],3,FALSE)</f>
        <v>#N/A</v>
      </c>
      <c r="V1656" s="9" t="str">
        <f>VLOOKUP(Table1[[#This Row],[Address B]],IP_Master[],3,FALSE)</f>
        <v>iFIX Nodes &amp; Ethernet Switches</v>
      </c>
      <c r="W1656" s="9" t="e">
        <f>VLOOKUP(Table1[[#This Row],[Port B]],traffic_types[],2,FALSE)</f>
        <v>#N/A</v>
      </c>
    </row>
    <row r="1657" spans="1:23" hidden="1" x14ac:dyDescent="0.6">
      <c r="A1657" t="s">
        <v>200</v>
      </c>
      <c r="B1657">
        <v>8081</v>
      </c>
      <c r="C1657" t="s">
        <v>51</v>
      </c>
      <c r="D1657">
        <v>1533</v>
      </c>
      <c r="E1657">
        <v>3</v>
      </c>
      <c r="F1657">
        <v>186</v>
      </c>
      <c r="G1657">
        <v>0</v>
      </c>
      <c r="H1657">
        <v>0</v>
      </c>
      <c r="I1657">
        <v>3</v>
      </c>
      <c r="J1657">
        <v>186</v>
      </c>
      <c r="K1657">
        <v>347.99190399999998</v>
      </c>
      <c r="L1657">
        <v>8.9666040000000198</v>
      </c>
      <c r="M1657">
        <v>0</v>
      </c>
      <c r="N1657">
        <v>165.949115183407</v>
      </c>
      <c r="O1657" s="8" t="str">
        <f>formatIP(Table1[[#This Row],[Address A]])</f>
        <v>010.082.001.038</v>
      </c>
      <c r="P1657" s="8" t="str">
        <f>formatIP(Table1[[#This Row],[Address B]])</f>
        <v>010.012.000.252</v>
      </c>
      <c r="Q1657" s="8" t="e">
        <f>VLOOKUP(Table1[[#This Row],[Address A]],IP_Master[],4,FALSE)</f>
        <v>#N/A</v>
      </c>
      <c r="R1657" s="8" t="str">
        <f>VLOOKUP(Table1[[#This Row],[Address B]],IP_Master[],4,FALSE)</f>
        <v>PP_FIX3</v>
      </c>
      <c r="S1657" s="8" t="e">
        <f>VLOOKUP(Table1[[#This Row],[Address A]],IP_Master[],2,FALSE)</f>
        <v>#N/A</v>
      </c>
      <c r="T1657" s="8" t="str">
        <f>VLOOKUP(Table1[[#This Row],[Address B]],IP_Master[],2,FALSE)</f>
        <v>Other ProcN Devices</v>
      </c>
      <c r="U1657" s="9" t="e">
        <f>VLOOKUP(Table1[[#This Row],[Address A]],IP_Master[],3,FALSE)</f>
        <v>#N/A</v>
      </c>
      <c r="V1657" s="9" t="str">
        <f>VLOOKUP(Table1[[#This Row],[Address B]],IP_Master[],3,FALSE)</f>
        <v>iFIX Nodes &amp; Ethernet Switches</v>
      </c>
      <c r="W1657" s="9" t="e">
        <f>VLOOKUP(Table1[[#This Row],[Port B]],traffic_types[],2,FALSE)</f>
        <v>#N/A</v>
      </c>
    </row>
    <row r="1658" spans="1:23" hidden="1" x14ac:dyDescent="0.6">
      <c r="A1658" t="s">
        <v>135</v>
      </c>
      <c r="B1658">
        <v>8083</v>
      </c>
      <c r="C1658" t="s">
        <v>201</v>
      </c>
      <c r="D1658">
        <v>3243</v>
      </c>
      <c r="E1658">
        <v>3</v>
      </c>
      <c r="F1658">
        <v>186</v>
      </c>
      <c r="G1658">
        <v>0</v>
      </c>
      <c r="H1658">
        <v>0</v>
      </c>
      <c r="I1658">
        <v>3</v>
      </c>
      <c r="J1658">
        <v>186</v>
      </c>
      <c r="K1658">
        <v>69.649191000000002</v>
      </c>
      <c r="L1658">
        <v>9.1516409999999997</v>
      </c>
      <c r="M1658">
        <v>0</v>
      </c>
      <c r="N1658">
        <v>162.59379055625101</v>
      </c>
      <c r="O1658" s="8" t="str">
        <f>formatIP(Table1[[#This Row],[Address A]])</f>
        <v>010.086.001.012</v>
      </c>
      <c r="P1658" s="8" t="str">
        <f>formatIP(Table1[[#This Row],[Address B]])</f>
        <v>010.012.000.186</v>
      </c>
      <c r="Q1658" s="8" t="e">
        <f>VLOOKUP(Table1[[#This Row],[Address A]],IP_Master[],4,FALSE)</f>
        <v>#N/A</v>
      </c>
      <c r="R1658" s="8" t="str">
        <f>VLOOKUP(Table1[[#This Row],[Address B]],IP_Master[],4,FALSE)</f>
        <v>PPPCRF6</v>
      </c>
      <c r="S1658" s="8" t="e">
        <f>VLOOKUP(Table1[[#This Row],[Address A]],IP_Master[],2,FALSE)</f>
        <v>#N/A</v>
      </c>
      <c r="T1658" s="8" t="str">
        <f>VLOOKUP(Table1[[#This Row],[Address B]],IP_Master[],2,FALSE)</f>
        <v>Refinery</v>
      </c>
      <c r="U1658" s="9" t="e">
        <f>VLOOKUP(Table1[[#This Row],[Address A]],IP_Master[],3,FALSE)</f>
        <v>#N/A</v>
      </c>
      <c r="V1658" s="9" t="str">
        <f>VLOOKUP(Table1[[#This Row],[Address B]],IP_Master[],3,FALSE)</f>
        <v>iFIX Nodes &amp; Ethernet Switches</v>
      </c>
      <c r="W1658" s="9" t="e">
        <f>VLOOKUP(Table1[[#This Row],[Port B]],traffic_types[],2,FALSE)</f>
        <v>#N/A</v>
      </c>
    </row>
    <row r="1659" spans="1:23" hidden="1" x14ac:dyDescent="0.6">
      <c r="A1659" t="s">
        <v>139</v>
      </c>
      <c r="B1659">
        <v>8083</v>
      </c>
      <c r="C1659" t="s">
        <v>51</v>
      </c>
      <c r="D1659">
        <v>1519</v>
      </c>
      <c r="E1659">
        <v>2</v>
      </c>
      <c r="F1659">
        <v>124</v>
      </c>
      <c r="G1659">
        <v>0</v>
      </c>
      <c r="H1659">
        <v>0</v>
      </c>
      <c r="I1659">
        <v>2</v>
      </c>
      <c r="J1659">
        <v>124</v>
      </c>
      <c r="K1659">
        <v>1.1576070000000001</v>
      </c>
      <c r="L1659">
        <v>6.015695</v>
      </c>
      <c r="M1659">
        <v>0</v>
      </c>
      <c r="N1659">
        <v>164.901977244525</v>
      </c>
      <c r="O1659" s="8" t="str">
        <f>formatIP(Table1[[#This Row],[Address A]])</f>
        <v>010.095.001.018</v>
      </c>
      <c r="P1659" s="8" t="str">
        <f>formatIP(Table1[[#This Row],[Address B]])</f>
        <v>010.012.000.252</v>
      </c>
      <c r="Q1659" s="8" t="e">
        <f>VLOOKUP(Table1[[#This Row],[Address A]],IP_Master[],4,FALSE)</f>
        <v>#N/A</v>
      </c>
      <c r="R1659" s="8" t="str">
        <f>VLOOKUP(Table1[[#This Row],[Address B]],IP_Master[],4,FALSE)</f>
        <v>PP_FIX3</v>
      </c>
      <c r="S1659" s="8" t="e">
        <f>VLOOKUP(Table1[[#This Row],[Address A]],IP_Master[],2,FALSE)</f>
        <v>#N/A</v>
      </c>
      <c r="T1659" s="8" t="str">
        <f>VLOOKUP(Table1[[#This Row],[Address B]],IP_Master[],2,FALSE)</f>
        <v>Other ProcN Devices</v>
      </c>
      <c r="U1659" s="9" t="e">
        <f>VLOOKUP(Table1[[#This Row],[Address A]],IP_Master[],3,FALSE)</f>
        <v>#N/A</v>
      </c>
      <c r="V1659" s="9" t="str">
        <f>VLOOKUP(Table1[[#This Row],[Address B]],IP_Master[],3,FALSE)</f>
        <v>iFIX Nodes &amp; Ethernet Switches</v>
      </c>
      <c r="W1659" s="9" t="e">
        <f>VLOOKUP(Table1[[#This Row],[Port B]],traffic_types[],2,FALSE)</f>
        <v>#N/A</v>
      </c>
    </row>
    <row r="1660" spans="1:23" hidden="1" x14ac:dyDescent="0.6">
      <c r="A1660" t="s">
        <v>202</v>
      </c>
      <c r="B1660">
        <v>8081</v>
      </c>
      <c r="C1660" t="s">
        <v>55</v>
      </c>
      <c r="D1660">
        <v>4231</v>
      </c>
      <c r="E1660">
        <v>3</v>
      </c>
      <c r="F1660">
        <v>186</v>
      </c>
      <c r="G1660">
        <v>0</v>
      </c>
      <c r="H1660">
        <v>0</v>
      </c>
      <c r="I1660">
        <v>3</v>
      </c>
      <c r="J1660">
        <v>186</v>
      </c>
      <c r="K1660">
        <v>79.097671000000005</v>
      </c>
      <c r="L1660">
        <v>8.9961730000000006</v>
      </c>
      <c r="M1660">
        <v>0</v>
      </c>
      <c r="N1660">
        <v>165.403666648029</v>
      </c>
      <c r="O1660" s="8" t="str">
        <f>formatIP(Table1[[#This Row],[Address A]])</f>
        <v>010.095.001.135</v>
      </c>
      <c r="P1660" s="8" t="str">
        <f>formatIP(Table1[[#This Row],[Address B]])</f>
        <v>010.012.000.064</v>
      </c>
      <c r="Q1660" s="8" t="e">
        <f>VLOOKUP(Table1[[#This Row],[Address A]],IP_Master[],4,FALSE)</f>
        <v>#N/A</v>
      </c>
      <c r="R1660" s="8" t="str">
        <f>VLOOKUP(Table1[[#This Row],[Address B]],IP_Master[],4,FALSE)</f>
        <v>PPPCPET4</v>
      </c>
      <c r="S1660" s="8" t="e">
        <f>VLOOKUP(Table1[[#This Row],[Address A]],IP_Master[],2,FALSE)</f>
        <v>#N/A</v>
      </c>
      <c r="T1660" s="8" t="str">
        <f>VLOOKUP(Table1[[#This Row],[Address B]],IP_Master[],2,FALSE)</f>
        <v>PETs Plant</v>
      </c>
      <c r="U1660" s="9" t="e">
        <f>VLOOKUP(Table1[[#This Row],[Address A]],IP_Master[],3,FALSE)</f>
        <v>#N/A</v>
      </c>
      <c r="V1660" s="9" t="str">
        <f>VLOOKUP(Table1[[#This Row],[Address B]],IP_Master[],3,FALSE)</f>
        <v>iFIX Nodes &amp; Ethernet Switches</v>
      </c>
      <c r="W1660" s="9" t="e">
        <f>VLOOKUP(Table1[[#This Row],[Port B]],traffic_types[],2,FALSE)</f>
        <v>#N/A</v>
      </c>
    </row>
    <row r="1661" spans="1:23" hidden="1" x14ac:dyDescent="0.6">
      <c r="A1661" t="s">
        <v>202</v>
      </c>
      <c r="B1661">
        <v>8081</v>
      </c>
      <c r="C1661" t="s">
        <v>51</v>
      </c>
      <c r="D1661">
        <v>1536</v>
      </c>
      <c r="E1661">
        <v>3</v>
      </c>
      <c r="F1661">
        <v>186</v>
      </c>
      <c r="G1661">
        <v>0</v>
      </c>
      <c r="H1661">
        <v>0</v>
      </c>
      <c r="I1661">
        <v>3</v>
      </c>
      <c r="J1661">
        <v>186</v>
      </c>
      <c r="K1661">
        <v>421.00933199999997</v>
      </c>
      <c r="L1661">
        <v>9.0125210000000493</v>
      </c>
      <c r="M1661">
        <v>0</v>
      </c>
      <c r="N1661">
        <v>165.103637483895</v>
      </c>
      <c r="O1661" s="8" t="str">
        <f>formatIP(Table1[[#This Row],[Address A]])</f>
        <v>010.095.001.135</v>
      </c>
      <c r="P1661" s="8" t="str">
        <f>formatIP(Table1[[#This Row],[Address B]])</f>
        <v>010.012.000.252</v>
      </c>
      <c r="Q1661" s="8" t="e">
        <f>VLOOKUP(Table1[[#This Row],[Address A]],IP_Master[],4,FALSE)</f>
        <v>#N/A</v>
      </c>
      <c r="R1661" s="8" t="str">
        <f>VLOOKUP(Table1[[#This Row],[Address B]],IP_Master[],4,FALSE)</f>
        <v>PP_FIX3</v>
      </c>
      <c r="S1661" s="8" t="e">
        <f>VLOOKUP(Table1[[#This Row],[Address A]],IP_Master[],2,FALSE)</f>
        <v>#N/A</v>
      </c>
      <c r="T1661" s="8" t="str">
        <f>VLOOKUP(Table1[[#This Row],[Address B]],IP_Master[],2,FALSE)</f>
        <v>Other ProcN Devices</v>
      </c>
      <c r="U1661" s="9" t="e">
        <f>VLOOKUP(Table1[[#This Row],[Address A]],IP_Master[],3,FALSE)</f>
        <v>#N/A</v>
      </c>
      <c r="V1661" s="9" t="str">
        <f>VLOOKUP(Table1[[#This Row],[Address B]],IP_Master[],3,FALSE)</f>
        <v>iFIX Nodes &amp; Ethernet Switches</v>
      </c>
      <c r="W1661" s="9" t="e">
        <f>VLOOKUP(Table1[[#This Row],[Port B]],traffic_types[],2,FALSE)</f>
        <v>#N/A</v>
      </c>
    </row>
    <row r="1662" spans="1:23" hidden="1" x14ac:dyDescent="0.6">
      <c r="A1662" t="s">
        <v>143</v>
      </c>
      <c r="B1662">
        <v>8083</v>
      </c>
      <c r="C1662" t="s">
        <v>49</v>
      </c>
      <c r="D1662">
        <v>4409</v>
      </c>
      <c r="E1662">
        <v>3</v>
      </c>
      <c r="F1662">
        <v>186</v>
      </c>
      <c r="G1662">
        <v>0</v>
      </c>
      <c r="H1662">
        <v>0</v>
      </c>
      <c r="I1662">
        <v>3</v>
      </c>
      <c r="J1662">
        <v>186</v>
      </c>
      <c r="K1662">
        <v>488.08396800000003</v>
      </c>
      <c r="L1662">
        <v>9.1359809999999602</v>
      </c>
      <c r="M1662">
        <v>0</v>
      </c>
      <c r="N1662">
        <v>162.87249283902901</v>
      </c>
      <c r="O1662" s="8" t="str">
        <f>formatIP(Table1[[#This Row],[Address A]])</f>
        <v>010.095.032.032</v>
      </c>
      <c r="P1662" s="8" t="str">
        <f>formatIP(Table1[[#This Row],[Address B]])</f>
        <v>010.012.000.190</v>
      </c>
      <c r="Q1662" s="8" t="e">
        <f>VLOOKUP(Table1[[#This Row],[Address A]],IP_Master[],4,FALSE)</f>
        <v>#N/A</v>
      </c>
      <c r="R1662" s="8" t="str">
        <f>VLOOKUP(Table1[[#This Row],[Address B]],IP_Master[],4,FALSE)</f>
        <v>PPPCRF10</v>
      </c>
      <c r="S1662" s="8" t="e">
        <f>VLOOKUP(Table1[[#This Row],[Address A]],IP_Master[],2,FALSE)</f>
        <v>#N/A</v>
      </c>
      <c r="T1662" s="8" t="str">
        <f>VLOOKUP(Table1[[#This Row],[Address B]],IP_Master[],2,FALSE)</f>
        <v>Refinery</v>
      </c>
      <c r="U1662" s="9" t="e">
        <f>VLOOKUP(Table1[[#This Row],[Address A]],IP_Master[],3,FALSE)</f>
        <v>#N/A</v>
      </c>
      <c r="V1662" s="9" t="str">
        <f>VLOOKUP(Table1[[#This Row],[Address B]],IP_Master[],3,FALSE)</f>
        <v>iFIX Nodes &amp; Ethernet Switches</v>
      </c>
      <c r="W1662" s="9" t="e">
        <f>VLOOKUP(Table1[[#This Row],[Port B]],traffic_types[],2,FALSE)</f>
        <v>#N/A</v>
      </c>
    </row>
    <row r="1663" spans="1:23" hidden="1" x14ac:dyDescent="0.6">
      <c r="A1663" t="s">
        <v>203</v>
      </c>
      <c r="B1663">
        <v>8081</v>
      </c>
      <c r="C1663" t="s">
        <v>55</v>
      </c>
      <c r="D1663">
        <v>4230</v>
      </c>
      <c r="E1663">
        <v>3</v>
      </c>
      <c r="F1663">
        <v>186</v>
      </c>
      <c r="G1663">
        <v>0</v>
      </c>
      <c r="H1663">
        <v>0</v>
      </c>
      <c r="I1663">
        <v>3</v>
      </c>
      <c r="J1663">
        <v>186</v>
      </c>
      <c r="K1663">
        <v>40.816485</v>
      </c>
      <c r="L1663">
        <v>8.9957119999999993</v>
      </c>
      <c r="M1663">
        <v>0</v>
      </c>
      <c r="N1663">
        <v>165.41214302992401</v>
      </c>
      <c r="O1663" s="8" t="str">
        <f>formatIP(Table1[[#This Row],[Address A]])</f>
        <v>010.095.032.103</v>
      </c>
      <c r="P1663" s="8" t="str">
        <f>formatIP(Table1[[#This Row],[Address B]])</f>
        <v>010.012.000.064</v>
      </c>
      <c r="Q1663" s="8" t="e">
        <f>VLOOKUP(Table1[[#This Row],[Address A]],IP_Master[],4,FALSE)</f>
        <v>#N/A</v>
      </c>
      <c r="R1663" s="8" t="str">
        <f>VLOOKUP(Table1[[#This Row],[Address B]],IP_Master[],4,FALSE)</f>
        <v>PPPCPET4</v>
      </c>
      <c r="S1663" s="8" t="e">
        <f>VLOOKUP(Table1[[#This Row],[Address A]],IP_Master[],2,FALSE)</f>
        <v>#N/A</v>
      </c>
      <c r="T1663" s="8" t="str">
        <f>VLOOKUP(Table1[[#This Row],[Address B]],IP_Master[],2,FALSE)</f>
        <v>PETs Plant</v>
      </c>
      <c r="U1663" s="9" t="e">
        <f>VLOOKUP(Table1[[#This Row],[Address A]],IP_Master[],3,FALSE)</f>
        <v>#N/A</v>
      </c>
      <c r="V1663" s="9" t="str">
        <f>VLOOKUP(Table1[[#This Row],[Address B]],IP_Master[],3,FALSE)</f>
        <v>iFIX Nodes &amp; Ethernet Switches</v>
      </c>
      <c r="W1663" s="9" t="e">
        <f>VLOOKUP(Table1[[#This Row],[Port B]],traffic_types[],2,FALSE)</f>
        <v>#N/A</v>
      </c>
    </row>
    <row r="1664" spans="1:23" hidden="1" x14ac:dyDescent="0.6">
      <c r="A1664" t="s">
        <v>203</v>
      </c>
      <c r="B1664">
        <v>8081</v>
      </c>
      <c r="C1664" t="s">
        <v>51</v>
      </c>
      <c r="D1664">
        <v>1534</v>
      </c>
      <c r="E1664">
        <v>3</v>
      </c>
      <c r="F1664">
        <v>186</v>
      </c>
      <c r="G1664">
        <v>0</v>
      </c>
      <c r="H1664">
        <v>0</v>
      </c>
      <c r="I1664">
        <v>3</v>
      </c>
      <c r="J1664">
        <v>186</v>
      </c>
      <c r="K1664">
        <v>374.008805</v>
      </c>
      <c r="L1664">
        <v>8.8717819999999996</v>
      </c>
      <c r="M1664">
        <v>0</v>
      </c>
      <c r="N1664">
        <v>167.72278669606601</v>
      </c>
      <c r="O1664" s="8" t="str">
        <f>formatIP(Table1[[#This Row],[Address A]])</f>
        <v>010.095.032.103</v>
      </c>
      <c r="P1664" s="8" t="str">
        <f>formatIP(Table1[[#This Row],[Address B]])</f>
        <v>010.012.000.252</v>
      </c>
      <c r="Q1664" s="8" t="e">
        <f>VLOOKUP(Table1[[#This Row],[Address A]],IP_Master[],4,FALSE)</f>
        <v>#N/A</v>
      </c>
      <c r="R1664" s="8" t="str">
        <f>VLOOKUP(Table1[[#This Row],[Address B]],IP_Master[],4,FALSE)</f>
        <v>PP_FIX3</v>
      </c>
      <c r="S1664" s="8" t="e">
        <f>VLOOKUP(Table1[[#This Row],[Address A]],IP_Master[],2,FALSE)</f>
        <v>#N/A</v>
      </c>
      <c r="T1664" s="8" t="str">
        <f>VLOOKUP(Table1[[#This Row],[Address B]],IP_Master[],2,FALSE)</f>
        <v>Other ProcN Devices</v>
      </c>
      <c r="U1664" s="9" t="e">
        <f>VLOOKUP(Table1[[#This Row],[Address A]],IP_Master[],3,FALSE)</f>
        <v>#N/A</v>
      </c>
      <c r="V1664" s="9" t="str">
        <f>VLOOKUP(Table1[[#This Row],[Address B]],IP_Master[],3,FALSE)</f>
        <v>iFIX Nodes &amp; Ethernet Switches</v>
      </c>
      <c r="W1664" s="9" t="e">
        <f>VLOOKUP(Table1[[#This Row],[Port B]],traffic_types[],2,FALSE)</f>
        <v>#N/A</v>
      </c>
    </row>
    <row r="1665" spans="1:23" hidden="1" x14ac:dyDescent="0.6">
      <c r="A1665" t="s">
        <v>203</v>
      </c>
      <c r="B1665">
        <v>8081</v>
      </c>
      <c r="C1665" t="s">
        <v>51</v>
      </c>
      <c r="D1665">
        <v>1535</v>
      </c>
      <c r="E1665">
        <v>3</v>
      </c>
      <c r="F1665">
        <v>186</v>
      </c>
      <c r="G1665">
        <v>0</v>
      </c>
      <c r="H1665">
        <v>0</v>
      </c>
      <c r="I1665">
        <v>3</v>
      </c>
      <c r="J1665">
        <v>186</v>
      </c>
      <c r="K1665">
        <v>395.02359999999999</v>
      </c>
      <c r="L1665">
        <v>9.1854519999999997</v>
      </c>
      <c r="M1665">
        <v>0</v>
      </c>
      <c r="N1665">
        <v>161.99529429798301</v>
      </c>
      <c r="O1665" s="8" t="str">
        <f>formatIP(Table1[[#This Row],[Address A]])</f>
        <v>010.095.032.103</v>
      </c>
      <c r="P1665" s="8" t="str">
        <f>formatIP(Table1[[#This Row],[Address B]])</f>
        <v>010.012.000.252</v>
      </c>
      <c r="Q1665" s="8" t="e">
        <f>VLOOKUP(Table1[[#This Row],[Address A]],IP_Master[],4,FALSE)</f>
        <v>#N/A</v>
      </c>
      <c r="R1665" s="8" t="str">
        <f>VLOOKUP(Table1[[#This Row],[Address B]],IP_Master[],4,FALSE)</f>
        <v>PP_FIX3</v>
      </c>
      <c r="S1665" s="8" t="e">
        <f>VLOOKUP(Table1[[#This Row],[Address A]],IP_Master[],2,FALSE)</f>
        <v>#N/A</v>
      </c>
      <c r="T1665" s="8" t="str">
        <f>VLOOKUP(Table1[[#This Row],[Address B]],IP_Master[],2,FALSE)</f>
        <v>Other ProcN Devices</v>
      </c>
      <c r="U1665" s="9" t="e">
        <f>VLOOKUP(Table1[[#This Row],[Address A]],IP_Master[],3,FALSE)</f>
        <v>#N/A</v>
      </c>
      <c r="V1665" s="9" t="str">
        <f>VLOOKUP(Table1[[#This Row],[Address B]],IP_Master[],3,FALSE)</f>
        <v>iFIX Nodes &amp; Ethernet Switches</v>
      </c>
      <c r="W1665" s="9" t="e">
        <f>VLOOKUP(Table1[[#This Row],[Port B]],traffic_types[],2,FALSE)</f>
        <v>#N/A</v>
      </c>
    </row>
    <row r="1666" spans="1:23" hidden="1" x14ac:dyDescent="0.6">
      <c r="A1666" t="s">
        <v>204</v>
      </c>
      <c r="B1666">
        <v>8081</v>
      </c>
      <c r="C1666" t="s">
        <v>51</v>
      </c>
      <c r="D1666">
        <v>1529</v>
      </c>
      <c r="E1666">
        <v>3</v>
      </c>
      <c r="F1666">
        <v>186</v>
      </c>
      <c r="G1666">
        <v>0</v>
      </c>
      <c r="H1666">
        <v>0</v>
      </c>
      <c r="I1666">
        <v>3</v>
      </c>
      <c r="J1666">
        <v>186</v>
      </c>
      <c r="K1666">
        <v>253.19493399999999</v>
      </c>
      <c r="L1666">
        <v>9.1531889999999994</v>
      </c>
      <c r="M1666">
        <v>0</v>
      </c>
      <c r="N1666">
        <v>162.566292469215</v>
      </c>
      <c r="O1666" s="8" t="str">
        <f>formatIP(Table1[[#This Row],[Address A]])</f>
        <v>010.095.079.040</v>
      </c>
      <c r="P1666" s="8" t="str">
        <f>formatIP(Table1[[#This Row],[Address B]])</f>
        <v>010.012.000.252</v>
      </c>
      <c r="Q1666" s="8" t="e">
        <f>VLOOKUP(Table1[[#This Row],[Address A]],IP_Master[],4,FALSE)</f>
        <v>#N/A</v>
      </c>
      <c r="R1666" s="8" t="str">
        <f>VLOOKUP(Table1[[#This Row],[Address B]],IP_Master[],4,FALSE)</f>
        <v>PP_FIX3</v>
      </c>
      <c r="S1666" s="8" t="e">
        <f>VLOOKUP(Table1[[#This Row],[Address A]],IP_Master[],2,FALSE)</f>
        <v>#N/A</v>
      </c>
      <c r="T1666" s="8" t="str">
        <f>VLOOKUP(Table1[[#This Row],[Address B]],IP_Master[],2,FALSE)</f>
        <v>Other ProcN Devices</v>
      </c>
      <c r="U1666" s="9" t="e">
        <f>VLOOKUP(Table1[[#This Row],[Address A]],IP_Master[],3,FALSE)</f>
        <v>#N/A</v>
      </c>
      <c r="V1666" s="9" t="str">
        <f>VLOOKUP(Table1[[#This Row],[Address B]],IP_Master[],3,FALSE)</f>
        <v>iFIX Nodes &amp; Ethernet Switches</v>
      </c>
      <c r="W1666" s="9" t="e">
        <f>VLOOKUP(Table1[[#This Row],[Port B]],traffic_types[],2,FALSE)</f>
        <v>#N/A</v>
      </c>
    </row>
    <row r="1667" spans="1:23" hidden="1" x14ac:dyDescent="0.6">
      <c r="A1667" t="s">
        <v>205</v>
      </c>
      <c r="B1667">
        <v>8081</v>
      </c>
      <c r="C1667" t="s">
        <v>51</v>
      </c>
      <c r="D1667">
        <v>1537</v>
      </c>
      <c r="E1667">
        <v>3</v>
      </c>
      <c r="F1667">
        <v>186</v>
      </c>
      <c r="G1667">
        <v>0</v>
      </c>
      <c r="H1667">
        <v>0</v>
      </c>
      <c r="I1667">
        <v>3</v>
      </c>
      <c r="J1667">
        <v>186</v>
      </c>
      <c r="K1667">
        <v>447.40019899999999</v>
      </c>
      <c r="L1667">
        <v>8.8718279999999901</v>
      </c>
      <c r="M1667">
        <v>0</v>
      </c>
      <c r="N1667">
        <v>167.72191706151199</v>
      </c>
      <c r="O1667" s="8" t="str">
        <f>formatIP(Table1[[#This Row],[Address A]])</f>
        <v>010.112.001.076</v>
      </c>
      <c r="P1667" s="8" t="str">
        <f>formatIP(Table1[[#This Row],[Address B]])</f>
        <v>010.012.000.252</v>
      </c>
      <c r="Q1667" s="8" t="e">
        <f>VLOOKUP(Table1[[#This Row],[Address A]],IP_Master[],4,FALSE)</f>
        <v>#N/A</v>
      </c>
      <c r="R1667" s="8" t="str">
        <f>VLOOKUP(Table1[[#This Row],[Address B]],IP_Master[],4,FALSE)</f>
        <v>PP_FIX3</v>
      </c>
      <c r="S1667" s="8" t="e">
        <f>VLOOKUP(Table1[[#This Row],[Address A]],IP_Master[],2,FALSE)</f>
        <v>#N/A</v>
      </c>
      <c r="T1667" s="8" t="str">
        <f>VLOOKUP(Table1[[#This Row],[Address B]],IP_Master[],2,FALSE)</f>
        <v>Other ProcN Devices</v>
      </c>
      <c r="U1667" s="9" t="e">
        <f>VLOOKUP(Table1[[#This Row],[Address A]],IP_Master[],3,FALSE)</f>
        <v>#N/A</v>
      </c>
      <c r="V1667" s="9" t="str">
        <f>VLOOKUP(Table1[[#This Row],[Address B]],IP_Master[],3,FALSE)</f>
        <v>iFIX Nodes &amp; Ethernet Switches</v>
      </c>
      <c r="W1667" s="9" t="e">
        <f>VLOOKUP(Table1[[#This Row],[Port B]],traffic_types[],2,FALSE)</f>
        <v>#N/A</v>
      </c>
    </row>
    <row r="1668" spans="1:23" hidden="1" x14ac:dyDescent="0.6">
      <c r="A1668" t="s">
        <v>141</v>
      </c>
      <c r="B1668">
        <v>8083</v>
      </c>
      <c r="C1668" t="s">
        <v>51</v>
      </c>
      <c r="D1668">
        <v>1525</v>
      </c>
      <c r="E1668">
        <v>3</v>
      </c>
      <c r="F1668">
        <v>186</v>
      </c>
      <c r="G1668">
        <v>0</v>
      </c>
      <c r="H1668">
        <v>0</v>
      </c>
      <c r="I1668">
        <v>3</v>
      </c>
      <c r="J1668">
        <v>186</v>
      </c>
      <c r="K1668">
        <v>152.91270399999999</v>
      </c>
      <c r="L1668">
        <v>9.0280299999999993</v>
      </c>
      <c r="M1668">
        <v>0</v>
      </c>
      <c r="N1668">
        <v>164.82001056708901</v>
      </c>
      <c r="O1668" s="8" t="str">
        <f>formatIP(Table1[[#This Row],[Address A]])</f>
        <v>010.113.010.001</v>
      </c>
      <c r="P1668" s="8" t="str">
        <f>formatIP(Table1[[#This Row],[Address B]])</f>
        <v>010.012.000.252</v>
      </c>
      <c r="Q1668" s="8" t="e">
        <f>VLOOKUP(Table1[[#This Row],[Address A]],IP_Master[],4,FALSE)</f>
        <v>#N/A</v>
      </c>
      <c r="R1668" s="8" t="str">
        <f>VLOOKUP(Table1[[#This Row],[Address B]],IP_Master[],4,FALSE)</f>
        <v>PP_FIX3</v>
      </c>
      <c r="S1668" s="8" t="e">
        <f>VLOOKUP(Table1[[#This Row],[Address A]],IP_Master[],2,FALSE)</f>
        <v>#N/A</v>
      </c>
      <c r="T1668" s="8" t="str">
        <f>VLOOKUP(Table1[[#This Row],[Address B]],IP_Master[],2,FALSE)</f>
        <v>Other ProcN Devices</v>
      </c>
      <c r="U1668" s="9" t="e">
        <f>VLOOKUP(Table1[[#This Row],[Address A]],IP_Master[],3,FALSE)</f>
        <v>#N/A</v>
      </c>
      <c r="V1668" s="9" t="str">
        <f>VLOOKUP(Table1[[#This Row],[Address B]],IP_Master[],3,FALSE)</f>
        <v>iFIX Nodes &amp; Ethernet Switches</v>
      </c>
      <c r="W1668" s="9" t="e">
        <f>VLOOKUP(Table1[[#This Row],[Port B]],traffic_types[],2,FALSE)</f>
        <v>#N/A</v>
      </c>
    </row>
    <row r="1669" spans="1:23" hidden="1" x14ac:dyDescent="0.6">
      <c r="A1669" t="s">
        <v>141</v>
      </c>
      <c r="B1669">
        <v>8083</v>
      </c>
      <c r="C1669" t="s">
        <v>49</v>
      </c>
      <c r="D1669">
        <v>4408</v>
      </c>
      <c r="E1669">
        <v>3</v>
      </c>
      <c r="F1669">
        <v>186</v>
      </c>
      <c r="G1669">
        <v>0</v>
      </c>
      <c r="H1669">
        <v>0</v>
      </c>
      <c r="I1669">
        <v>3</v>
      </c>
      <c r="J1669">
        <v>186</v>
      </c>
      <c r="K1669">
        <v>432.520443</v>
      </c>
      <c r="L1669">
        <v>9.0268659999999805</v>
      </c>
      <c r="M1669">
        <v>0</v>
      </c>
      <c r="N1669">
        <v>164.84126384506001</v>
      </c>
      <c r="O1669" s="8" t="str">
        <f>formatIP(Table1[[#This Row],[Address A]])</f>
        <v>010.113.010.001</v>
      </c>
      <c r="P1669" s="8" t="str">
        <f>formatIP(Table1[[#This Row],[Address B]])</f>
        <v>010.012.000.190</v>
      </c>
      <c r="Q1669" s="8" t="e">
        <f>VLOOKUP(Table1[[#This Row],[Address A]],IP_Master[],4,FALSE)</f>
        <v>#N/A</v>
      </c>
      <c r="R1669" s="8" t="str">
        <f>VLOOKUP(Table1[[#This Row],[Address B]],IP_Master[],4,FALSE)</f>
        <v>PPPCRF10</v>
      </c>
      <c r="S1669" s="8" t="e">
        <f>VLOOKUP(Table1[[#This Row],[Address A]],IP_Master[],2,FALSE)</f>
        <v>#N/A</v>
      </c>
      <c r="T1669" s="8" t="str">
        <f>VLOOKUP(Table1[[#This Row],[Address B]],IP_Master[],2,FALSE)</f>
        <v>Refinery</v>
      </c>
      <c r="U1669" s="9" t="e">
        <f>VLOOKUP(Table1[[#This Row],[Address A]],IP_Master[],3,FALSE)</f>
        <v>#N/A</v>
      </c>
      <c r="V1669" s="9" t="str">
        <f>VLOOKUP(Table1[[#This Row],[Address B]],IP_Master[],3,FALSE)</f>
        <v>iFIX Nodes &amp; Ethernet Switches</v>
      </c>
      <c r="W1669" s="9" t="e">
        <f>VLOOKUP(Table1[[#This Row],[Port B]],traffic_types[],2,FALSE)</f>
        <v>#N/A</v>
      </c>
    </row>
    <row r="1670" spans="1:23" hidden="1" x14ac:dyDescent="0.6">
      <c r="A1670" t="s">
        <v>206</v>
      </c>
      <c r="B1670">
        <v>8081</v>
      </c>
      <c r="C1670" t="s">
        <v>51</v>
      </c>
      <c r="D1670">
        <v>1538</v>
      </c>
      <c r="E1670">
        <v>3</v>
      </c>
      <c r="F1670">
        <v>186</v>
      </c>
      <c r="G1670">
        <v>0</v>
      </c>
      <c r="H1670">
        <v>0</v>
      </c>
      <c r="I1670">
        <v>3</v>
      </c>
      <c r="J1670">
        <v>186</v>
      </c>
      <c r="K1670">
        <v>476.75989199999998</v>
      </c>
      <c r="L1670">
        <v>9.2625030000000397</v>
      </c>
      <c r="M1670">
        <v>0</v>
      </c>
      <c r="N1670">
        <v>160.64772124770101</v>
      </c>
      <c r="O1670" s="8" t="str">
        <f>formatIP(Table1[[#This Row],[Address A]])</f>
        <v>010.113.010.013</v>
      </c>
      <c r="P1670" s="8" t="str">
        <f>formatIP(Table1[[#This Row],[Address B]])</f>
        <v>010.012.000.252</v>
      </c>
      <c r="Q1670" s="8" t="e">
        <f>VLOOKUP(Table1[[#This Row],[Address A]],IP_Master[],4,FALSE)</f>
        <v>#N/A</v>
      </c>
      <c r="R1670" s="8" t="str">
        <f>VLOOKUP(Table1[[#This Row],[Address B]],IP_Master[],4,FALSE)</f>
        <v>PP_FIX3</v>
      </c>
      <c r="S1670" s="8" t="e">
        <f>VLOOKUP(Table1[[#This Row],[Address A]],IP_Master[],2,FALSE)</f>
        <v>#N/A</v>
      </c>
      <c r="T1670" s="8" t="str">
        <f>VLOOKUP(Table1[[#This Row],[Address B]],IP_Master[],2,FALSE)</f>
        <v>Other ProcN Devices</v>
      </c>
      <c r="U1670" s="9" t="e">
        <f>VLOOKUP(Table1[[#This Row],[Address A]],IP_Master[],3,FALSE)</f>
        <v>#N/A</v>
      </c>
      <c r="V1670" s="9" t="str">
        <f>VLOOKUP(Table1[[#This Row],[Address B]],IP_Master[],3,FALSE)</f>
        <v>iFIX Nodes &amp; Ethernet Switches</v>
      </c>
      <c r="W1670" s="9" t="e">
        <f>VLOOKUP(Table1[[#This Row],[Port B]],traffic_types[],2,FALSE)</f>
        <v>#N/A</v>
      </c>
    </row>
    <row r="1671" spans="1:23" hidden="1" x14ac:dyDescent="0.6">
      <c r="A1671" t="s">
        <v>207</v>
      </c>
      <c r="B1671">
        <v>8081</v>
      </c>
      <c r="C1671" t="s">
        <v>55</v>
      </c>
      <c r="D1671">
        <v>4235</v>
      </c>
      <c r="E1671">
        <v>3</v>
      </c>
      <c r="F1671">
        <v>186</v>
      </c>
      <c r="G1671">
        <v>0</v>
      </c>
      <c r="H1671">
        <v>0</v>
      </c>
      <c r="I1671">
        <v>3</v>
      </c>
      <c r="J1671">
        <v>186</v>
      </c>
      <c r="K1671">
        <v>232.33859200000001</v>
      </c>
      <c r="L1671">
        <v>8.9912410000000005</v>
      </c>
      <c r="M1671">
        <v>0</v>
      </c>
      <c r="N1671">
        <v>165.494396157327</v>
      </c>
      <c r="O1671" s="8" t="str">
        <f>formatIP(Table1[[#This Row],[Address A]])</f>
        <v>010.114.001.101</v>
      </c>
      <c r="P1671" s="8" t="str">
        <f>formatIP(Table1[[#This Row],[Address B]])</f>
        <v>010.012.000.064</v>
      </c>
      <c r="Q1671" s="8" t="e">
        <f>VLOOKUP(Table1[[#This Row],[Address A]],IP_Master[],4,FALSE)</f>
        <v>#N/A</v>
      </c>
      <c r="R1671" s="8" t="str">
        <f>VLOOKUP(Table1[[#This Row],[Address B]],IP_Master[],4,FALSE)</f>
        <v>PPPCPET4</v>
      </c>
      <c r="S1671" s="8" t="e">
        <f>VLOOKUP(Table1[[#This Row],[Address A]],IP_Master[],2,FALSE)</f>
        <v>#N/A</v>
      </c>
      <c r="T1671" s="8" t="str">
        <f>VLOOKUP(Table1[[#This Row],[Address B]],IP_Master[],2,FALSE)</f>
        <v>PETs Plant</v>
      </c>
      <c r="U1671" s="9" t="e">
        <f>VLOOKUP(Table1[[#This Row],[Address A]],IP_Master[],3,FALSE)</f>
        <v>#N/A</v>
      </c>
      <c r="V1671" s="9" t="str">
        <f>VLOOKUP(Table1[[#This Row],[Address B]],IP_Master[],3,FALSE)</f>
        <v>iFIX Nodes &amp; Ethernet Switches</v>
      </c>
      <c r="W1671" s="9" t="e">
        <f>VLOOKUP(Table1[[#This Row],[Port B]],traffic_types[],2,FALSE)</f>
        <v>#N/A</v>
      </c>
    </row>
    <row r="1672" spans="1:23" hidden="1" x14ac:dyDescent="0.6">
      <c r="A1672" t="s">
        <v>207</v>
      </c>
      <c r="B1672">
        <v>8081</v>
      </c>
      <c r="C1672" t="s">
        <v>51</v>
      </c>
      <c r="D1672">
        <v>1747</v>
      </c>
      <c r="E1672">
        <v>3</v>
      </c>
      <c r="F1672">
        <v>186</v>
      </c>
      <c r="G1672">
        <v>0</v>
      </c>
      <c r="H1672">
        <v>0</v>
      </c>
      <c r="I1672">
        <v>3</v>
      </c>
      <c r="J1672">
        <v>186</v>
      </c>
      <c r="K1672">
        <v>651.96502699999996</v>
      </c>
      <c r="L1672">
        <v>9.0593039999999991</v>
      </c>
      <c r="M1672">
        <v>0</v>
      </c>
      <c r="N1672">
        <v>164.251028555836</v>
      </c>
      <c r="O1672" s="8" t="str">
        <f>formatIP(Table1[[#This Row],[Address A]])</f>
        <v>010.114.001.101</v>
      </c>
      <c r="P1672" s="8" t="str">
        <f>formatIP(Table1[[#This Row],[Address B]])</f>
        <v>010.012.000.252</v>
      </c>
      <c r="Q1672" s="8" t="e">
        <f>VLOOKUP(Table1[[#This Row],[Address A]],IP_Master[],4,FALSE)</f>
        <v>#N/A</v>
      </c>
      <c r="R1672" s="8" t="str">
        <f>VLOOKUP(Table1[[#This Row],[Address B]],IP_Master[],4,FALSE)</f>
        <v>PP_FIX3</v>
      </c>
      <c r="S1672" s="8" t="e">
        <f>VLOOKUP(Table1[[#This Row],[Address A]],IP_Master[],2,FALSE)</f>
        <v>#N/A</v>
      </c>
      <c r="T1672" s="8" t="str">
        <f>VLOOKUP(Table1[[#This Row],[Address B]],IP_Master[],2,FALSE)</f>
        <v>Other ProcN Devices</v>
      </c>
      <c r="U1672" s="9" t="e">
        <f>VLOOKUP(Table1[[#This Row],[Address A]],IP_Master[],3,FALSE)</f>
        <v>#N/A</v>
      </c>
      <c r="V1672" s="9" t="str">
        <f>VLOOKUP(Table1[[#This Row],[Address B]],IP_Master[],3,FALSE)</f>
        <v>iFIX Nodes &amp; Ethernet Switches</v>
      </c>
      <c r="W1672" s="9" t="e">
        <f>VLOOKUP(Table1[[#This Row],[Port B]],traffic_types[],2,FALSE)</f>
        <v>#N/A</v>
      </c>
    </row>
    <row r="1673" spans="1:23" hidden="1" x14ac:dyDescent="0.6">
      <c r="A1673" t="s">
        <v>208</v>
      </c>
      <c r="B1673">
        <v>8081</v>
      </c>
      <c r="C1673" t="s">
        <v>53</v>
      </c>
      <c r="D1673">
        <v>2566</v>
      </c>
      <c r="E1673">
        <v>3</v>
      </c>
      <c r="F1673">
        <v>186</v>
      </c>
      <c r="G1673">
        <v>0</v>
      </c>
      <c r="H1673">
        <v>0</v>
      </c>
      <c r="I1673">
        <v>3</v>
      </c>
      <c r="J1673">
        <v>186</v>
      </c>
      <c r="K1673">
        <v>19.066935000000001</v>
      </c>
      <c r="L1673">
        <v>8.9729259999999993</v>
      </c>
      <c r="M1673">
        <v>0</v>
      </c>
      <c r="N1673">
        <v>165.83219342274799</v>
      </c>
      <c r="O1673" s="8" t="str">
        <f>formatIP(Table1[[#This Row],[Address A]])</f>
        <v>010.114.001.107</v>
      </c>
      <c r="P1673" s="8" t="str">
        <f>formatIP(Table1[[#This Row],[Address B]])</f>
        <v>010.012.000.001</v>
      </c>
      <c r="Q1673" s="8" t="e">
        <f>VLOOKUP(Table1[[#This Row],[Address A]],IP_Master[],4,FALSE)</f>
        <v>#N/A</v>
      </c>
      <c r="R1673" s="8" t="str">
        <f>VLOOKUP(Table1[[#This Row],[Address B]],IP_Master[],4,FALSE)</f>
        <v>PPPCFC1</v>
      </c>
      <c r="S1673" s="8" t="e">
        <f>VLOOKUP(Table1[[#This Row],[Address A]],IP_Master[],2,FALSE)</f>
        <v>#N/A</v>
      </c>
      <c r="T1673" s="8" t="str">
        <f>VLOOKUP(Table1[[#This Row],[Address B]],IP_Master[],2,FALSE)</f>
        <v>Fume Control</v>
      </c>
      <c r="U1673" s="9" t="e">
        <f>VLOOKUP(Table1[[#This Row],[Address A]],IP_Master[],3,FALSE)</f>
        <v>#N/A</v>
      </c>
      <c r="V1673" s="9" t="str">
        <f>VLOOKUP(Table1[[#This Row],[Address B]],IP_Master[],3,FALSE)</f>
        <v>iFIX Nodes &amp; Ethernet Switches</v>
      </c>
      <c r="W1673" s="9" t="e">
        <f>VLOOKUP(Table1[[#This Row],[Port B]],traffic_types[],2,FALSE)</f>
        <v>#N/A</v>
      </c>
    </row>
    <row r="1674" spans="1:23" hidden="1" x14ac:dyDescent="0.6">
      <c r="A1674" t="s">
        <v>208</v>
      </c>
      <c r="B1674">
        <v>8081</v>
      </c>
      <c r="C1674" t="s">
        <v>53</v>
      </c>
      <c r="D1674">
        <v>2585</v>
      </c>
      <c r="E1674">
        <v>3</v>
      </c>
      <c r="F1674">
        <v>186</v>
      </c>
      <c r="G1674">
        <v>0</v>
      </c>
      <c r="H1674">
        <v>0</v>
      </c>
      <c r="I1674">
        <v>3</v>
      </c>
      <c r="J1674">
        <v>186</v>
      </c>
      <c r="K1674">
        <v>40.012081999999999</v>
      </c>
      <c r="L1674">
        <v>9.2541039999999999</v>
      </c>
      <c r="M1674">
        <v>0</v>
      </c>
      <c r="N1674">
        <v>160.793524689154</v>
      </c>
      <c r="O1674" s="8" t="str">
        <f>formatIP(Table1[[#This Row],[Address A]])</f>
        <v>010.114.001.107</v>
      </c>
      <c r="P1674" s="8" t="str">
        <f>formatIP(Table1[[#This Row],[Address B]])</f>
        <v>010.012.000.001</v>
      </c>
      <c r="Q1674" s="8" t="e">
        <f>VLOOKUP(Table1[[#This Row],[Address A]],IP_Master[],4,FALSE)</f>
        <v>#N/A</v>
      </c>
      <c r="R1674" s="8" t="str">
        <f>VLOOKUP(Table1[[#This Row],[Address B]],IP_Master[],4,FALSE)</f>
        <v>PPPCFC1</v>
      </c>
      <c r="S1674" s="8" t="e">
        <f>VLOOKUP(Table1[[#This Row],[Address A]],IP_Master[],2,FALSE)</f>
        <v>#N/A</v>
      </c>
      <c r="T1674" s="8" t="str">
        <f>VLOOKUP(Table1[[#This Row],[Address B]],IP_Master[],2,FALSE)</f>
        <v>Fume Control</v>
      </c>
      <c r="U1674" s="9" t="e">
        <f>VLOOKUP(Table1[[#This Row],[Address A]],IP_Master[],3,FALSE)</f>
        <v>#N/A</v>
      </c>
      <c r="V1674" s="9" t="str">
        <f>VLOOKUP(Table1[[#This Row],[Address B]],IP_Master[],3,FALSE)</f>
        <v>iFIX Nodes &amp; Ethernet Switches</v>
      </c>
      <c r="W1674" s="9" t="e">
        <f>VLOOKUP(Table1[[#This Row],[Port B]],traffic_types[],2,FALSE)</f>
        <v>#N/A</v>
      </c>
    </row>
    <row r="1675" spans="1:23" hidden="1" x14ac:dyDescent="0.6">
      <c r="A1675" t="s">
        <v>208</v>
      </c>
      <c r="B1675">
        <v>8081</v>
      </c>
      <c r="C1675" t="s">
        <v>55</v>
      </c>
      <c r="D1675">
        <v>4236</v>
      </c>
      <c r="E1675">
        <v>3</v>
      </c>
      <c r="F1675">
        <v>186</v>
      </c>
      <c r="G1675">
        <v>0</v>
      </c>
      <c r="H1675">
        <v>0</v>
      </c>
      <c r="I1675">
        <v>3</v>
      </c>
      <c r="J1675">
        <v>186</v>
      </c>
      <c r="K1675">
        <v>270.61529899999999</v>
      </c>
      <c r="L1675">
        <v>9.2159240000000295</v>
      </c>
      <c r="M1675">
        <v>0</v>
      </c>
      <c r="N1675">
        <v>161.45966481494401</v>
      </c>
      <c r="O1675" s="8" t="str">
        <f>formatIP(Table1[[#This Row],[Address A]])</f>
        <v>010.114.001.107</v>
      </c>
      <c r="P1675" s="8" t="str">
        <f>formatIP(Table1[[#This Row],[Address B]])</f>
        <v>010.012.000.064</v>
      </c>
      <c r="Q1675" s="8" t="e">
        <f>VLOOKUP(Table1[[#This Row],[Address A]],IP_Master[],4,FALSE)</f>
        <v>#N/A</v>
      </c>
      <c r="R1675" s="8" t="str">
        <f>VLOOKUP(Table1[[#This Row],[Address B]],IP_Master[],4,FALSE)</f>
        <v>PPPCPET4</v>
      </c>
      <c r="S1675" s="8" t="e">
        <f>VLOOKUP(Table1[[#This Row],[Address A]],IP_Master[],2,FALSE)</f>
        <v>#N/A</v>
      </c>
      <c r="T1675" s="8" t="str">
        <f>VLOOKUP(Table1[[#This Row],[Address B]],IP_Master[],2,FALSE)</f>
        <v>PETs Plant</v>
      </c>
      <c r="U1675" s="9" t="e">
        <f>VLOOKUP(Table1[[#This Row],[Address A]],IP_Master[],3,FALSE)</f>
        <v>#N/A</v>
      </c>
      <c r="V1675" s="9" t="str">
        <f>VLOOKUP(Table1[[#This Row],[Address B]],IP_Master[],3,FALSE)</f>
        <v>iFIX Nodes &amp; Ethernet Switches</v>
      </c>
      <c r="W1675" s="9" t="e">
        <f>VLOOKUP(Table1[[#This Row],[Port B]],traffic_types[],2,FALSE)</f>
        <v>#N/A</v>
      </c>
    </row>
    <row r="1676" spans="1:23" hidden="1" x14ac:dyDescent="0.6">
      <c r="A1676" t="s">
        <v>209</v>
      </c>
      <c r="B1676">
        <v>8081</v>
      </c>
      <c r="C1676" t="s">
        <v>51</v>
      </c>
      <c r="D1676">
        <v>1767</v>
      </c>
      <c r="E1676">
        <v>3</v>
      </c>
      <c r="F1676">
        <v>186</v>
      </c>
      <c r="G1676">
        <v>0</v>
      </c>
      <c r="H1676">
        <v>0</v>
      </c>
      <c r="I1676">
        <v>3</v>
      </c>
      <c r="J1676">
        <v>186</v>
      </c>
      <c r="K1676">
        <v>752.02863200000002</v>
      </c>
      <c r="L1676">
        <v>9.1842749999999604</v>
      </c>
      <c r="M1676">
        <v>0</v>
      </c>
      <c r="N1676">
        <v>162.01605461509001</v>
      </c>
      <c r="O1676" s="8" t="str">
        <f>formatIP(Table1[[#This Row],[Address A]])</f>
        <v>010.115.001.003</v>
      </c>
      <c r="P1676" s="8" t="str">
        <f>formatIP(Table1[[#This Row],[Address B]])</f>
        <v>010.012.000.252</v>
      </c>
      <c r="Q1676" s="8" t="e">
        <f>VLOOKUP(Table1[[#This Row],[Address A]],IP_Master[],4,FALSE)</f>
        <v>#N/A</v>
      </c>
      <c r="R1676" s="8" t="str">
        <f>VLOOKUP(Table1[[#This Row],[Address B]],IP_Master[],4,FALSE)</f>
        <v>PP_FIX3</v>
      </c>
      <c r="S1676" s="8" t="e">
        <f>VLOOKUP(Table1[[#This Row],[Address A]],IP_Master[],2,FALSE)</f>
        <v>#N/A</v>
      </c>
      <c r="T1676" s="8" t="str">
        <f>VLOOKUP(Table1[[#This Row],[Address B]],IP_Master[],2,FALSE)</f>
        <v>Other ProcN Devices</v>
      </c>
      <c r="U1676" s="9" t="e">
        <f>VLOOKUP(Table1[[#This Row],[Address A]],IP_Master[],3,FALSE)</f>
        <v>#N/A</v>
      </c>
      <c r="V1676" s="9" t="str">
        <f>VLOOKUP(Table1[[#This Row],[Address B]],IP_Master[],3,FALSE)</f>
        <v>iFIX Nodes &amp; Ethernet Switches</v>
      </c>
      <c r="W1676" s="9" t="e">
        <f>VLOOKUP(Table1[[#This Row],[Port B]],traffic_types[],2,FALSE)</f>
        <v>#N/A</v>
      </c>
    </row>
    <row r="1677" spans="1:23" hidden="1" x14ac:dyDescent="0.6">
      <c r="A1677" t="s">
        <v>131</v>
      </c>
      <c r="B1677">
        <v>8083</v>
      </c>
      <c r="C1677" t="s">
        <v>51</v>
      </c>
      <c r="D1677">
        <v>1521</v>
      </c>
      <c r="E1677">
        <v>3</v>
      </c>
      <c r="F1677">
        <v>186</v>
      </c>
      <c r="G1677">
        <v>0</v>
      </c>
      <c r="H1677">
        <v>0</v>
      </c>
      <c r="I1677">
        <v>3</v>
      </c>
      <c r="J1677">
        <v>186</v>
      </c>
      <c r="K1677">
        <v>58.942875000000001</v>
      </c>
      <c r="L1677">
        <v>8.9342229999999994</v>
      </c>
      <c r="M1677">
        <v>0</v>
      </c>
      <c r="N1677">
        <v>166.550577481668</v>
      </c>
      <c r="O1677" s="8" t="str">
        <f>formatIP(Table1[[#This Row],[Address A]])</f>
        <v>010.115.001.006</v>
      </c>
      <c r="P1677" s="8" t="str">
        <f>formatIP(Table1[[#This Row],[Address B]])</f>
        <v>010.012.000.252</v>
      </c>
      <c r="Q1677" s="8" t="e">
        <f>VLOOKUP(Table1[[#This Row],[Address A]],IP_Master[],4,FALSE)</f>
        <v>#N/A</v>
      </c>
      <c r="R1677" s="8" t="str">
        <f>VLOOKUP(Table1[[#This Row],[Address B]],IP_Master[],4,FALSE)</f>
        <v>PP_FIX3</v>
      </c>
      <c r="S1677" s="8" t="e">
        <f>VLOOKUP(Table1[[#This Row],[Address A]],IP_Master[],2,FALSE)</f>
        <v>#N/A</v>
      </c>
      <c r="T1677" s="8" t="str">
        <f>VLOOKUP(Table1[[#This Row],[Address B]],IP_Master[],2,FALSE)</f>
        <v>Other ProcN Devices</v>
      </c>
      <c r="U1677" s="9" t="e">
        <f>VLOOKUP(Table1[[#This Row],[Address A]],IP_Master[],3,FALSE)</f>
        <v>#N/A</v>
      </c>
      <c r="V1677" s="9" t="str">
        <f>VLOOKUP(Table1[[#This Row],[Address B]],IP_Master[],3,FALSE)</f>
        <v>iFIX Nodes &amp; Ethernet Switches</v>
      </c>
      <c r="W1677" s="9" t="e">
        <f>VLOOKUP(Table1[[#This Row],[Port B]],traffic_types[],2,FALSE)</f>
        <v>#N/A</v>
      </c>
    </row>
    <row r="1678" spans="1:23" hidden="1" x14ac:dyDescent="0.6">
      <c r="A1678" t="s">
        <v>131</v>
      </c>
      <c r="B1678">
        <v>8083</v>
      </c>
      <c r="C1678" t="s">
        <v>51</v>
      </c>
      <c r="D1678">
        <v>1522</v>
      </c>
      <c r="E1678">
        <v>3</v>
      </c>
      <c r="F1678">
        <v>186</v>
      </c>
      <c r="G1678">
        <v>0</v>
      </c>
      <c r="H1678">
        <v>0</v>
      </c>
      <c r="I1678">
        <v>3</v>
      </c>
      <c r="J1678">
        <v>186</v>
      </c>
      <c r="K1678">
        <v>79.910685999999998</v>
      </c>
      <c r="L1678">
        <v>8.9667969999999997</v>
      </c>
      <c r="M1678">
        <v>0</v>
      </c>
      <c r="N1678">
        <v>165.94554331942601</v>
      </c>
      <c r="O1678" s="8" t="str">
        <f>formatIP(Table1[[#This Row],[Address A]])</f>
        <v>010.115.001.006</v>
      </c>
      <c r="P1678" s="8" t="str">
        <f>formatIP(Table1[[#This Row],[Address B]])</f>
        <v>010.012.000.252</v>
      </c>
      <c r="Q1678" s="8" t="e">
        <f>VLOOKUP(Table1[[#This Row],[Address A]],IP_Master[],4,FALSE)</f>
        <v>#N/A</v>
      </c>
      <c r="R1678" s="8" t="str">
        <f>VLOOKUP(Table1[[#This Row],[Address B]],IP_Master[],4,FALSE)</f>
        <v>PP_FIX3</v>
      </c>
      <c r="S1678" s="8" t="e">
        <f>VLOOKUP(Table1[[#This Row],[Address A]],IP_Master[],2,FALSE)</f>
        <v>#N/A</v>
      </c>
      <c r="T1678" s="8" t="str">
        <f>VLOOKUP(Table1[[#This Row],[Address B]],IP_Master[],2,FALSE)</f>
        <v>Other ProcN Devices</v>
      </c>
      <c r="U1678" s="9" t="e">
        <f>VLOOKUP(Table1[[#This Row],[Address A]],IP_Master[],3,FALSE)</f>
        <v>#N/A</v>
      </c>
      <c r="V1678" s="9" t="str">
        <f>VLOOKUP(Table1[[#This Row],[Address B]],IP_Master[],3,FALSE)</f>
        <v>iFIX Nodes &amp; Ethernet Switches</v>
      </c>
      <c r="W1678" s="9" t="e">
        <f>VLOOKUP(Table1[[#This Row],[Port B]],traffic_types[],2,FALSE)</f>
        <v>#N/A</v>
      </c>
    </row>
    <row r="1679" spans="1:23" hidden="1" x14ac:dyDescent="0.6">
      <c r="A1679" t="s">
        <v>210</v>
      </c>
      <c r="B1679">
        <v>8081</v>
      </c>
      <c r="C1679" t="s">
        <v>55</v>
      </c>
      <c r="D1679">
        <v>4242</v>
      </c>
      <c r="E1679">
        <v>3</v>
      </c>
      <c r="F1679">
        <v>186</v>
      </c>
      <c r="G1679">
        <v>0</v>
      </c>
      <c r="H1679">
        <v>0</v>
      </c>
      <c r="I1679">
        <v>3</v>
      </c>
      <c r="J1679">
        <v>186</v>
      </c>
      <c r="K1679">
        <v>501.401477</v>
      </c>
      <c r="L1679">
        <v>9.2122029999999899</v>
      </c>
      <c r="M1679">
        <v>0</v>
      </c>
      <c r="N1679">
        <v>161.52488172481699</v>
      </c>
      <c r="O1679" s="8" t="str">
        <f>formatIP(Table1[[#This Row],[Address A]])</f>
        <v>010.115.001.017</v>
      </c>
      <c r="P1679" s="8" t="str">
        <f>formatIP(Table1[[#This Row],[Address B]])</f>
        <v>010.012.000.064</v>
      </c>
      <c r="Q1679" s="8" t="e">
        <f>VLOOKUP(Table1[[#This Row],[Address A]],IP_Master[],4,FALSE)</f>
        <v>#N/A</v>
      </c>
      <c r="R1679" s="8" t="str">
        <f>VLOOKUP(Table1[[#This Row],[Address B]],IP_Master[],4,FALSE)</f>
        <v>PPPCPET4</v>
      </c>
      <c r="S1679" s="8" t="e">
        <f>VLOOKUP(Table1[[#This Row],[Address A]],IP_Master[],2,FALSE)</f>
        <v>#N/A</v>
      </c>
      <c r="T1679" s="8" t="str">
        <f>VLOOKUP(Table1[[#This Row],[Address B]],IP_Master[],2,FALSE)</f>
        <v>PETs Plant</v>
      </c>
      <c r="U1679" s="9" t="e">
        <f>VLOOKUP(Table1[[#This Row],[Address A]],IP_Master[],3,FALSE)</f>
        <v>#N/A</v>
      </c>
      <c r="V1679" s="9" t="str">
        <f>VLOOKUP(Table1[[#This Row],[Address B]],IP_Master[],3,FALSE)</f>
        <v>iFIX Nodes &amp; Ethernet Switches</v>
      </c>
      <c r="W1679" s="9" t="e">
        <f>VLOOKUP(Table1[[#This Row],[Port B]],traffic_types[],2,FALSE)</f>
        <v>#N/A</v>
      </c>
    </row>
    <row r="1680" spans="1:23" hidden="1" x14ac:dyDescent="0.6">
      <c r="A1680" t="s">
        <v>140</v>
      </c>
      <c r="B1680">
        <v>8083</v>
      </c>
      <c r="C1680" t="s">
        <v>49</v>
      </c>
      <c r="D1680">
        <v>4415</v>
      </c>
      <c r="E1680">
        <v>3</v>
      </c>
      <c r="F1680">
        <v>186</v>
      </c>
      <c r="G1680">
        <v>0</v>
      </c>
      <c r="H1680">
        <v>0</v>
      </c>
      <c r="I1680">
        <v>3</v>
      </c>
      <c r="J1680">
        <v>186</v>
      </c>
      <c r="K1680">
        <v>766.44744600000001</v>
      </c>
      <c r="L1680">
        <v>9.1363020000000006</v>
      </c>
      <c r="M1680">
        <v>0</v>
      </c>
      <c r="N1680">
        <v>162.86677038477899</v>
      </c>
      <c r="O1680" s="8" t="str">
        <f>formatIP(Table1[[#This Row],[Address A]])</f>
        <v>010.116.001.001</v>
      </c>
      <c r="P1680" s="8" t="str">
        <f>formatIP(Table1[[#This Row],[Address B]])</f>
        <v>010.012.000.190</v>
      </c>
      <c r="Q1680" s="8" t="e">
        <f>VLOOKUP(Table1[[#This Row],[Address A]],IP_Master[],4,FALSE)</f>
        <v>#N/A</v>
      </c>
      <c r="R1680" s="8" t="str">
        <f>VLOOKUP(Table1[[#This Row],[Address B]],IP_Master[],4,FALSE)</f>
        <v>PPPCRF10</v>
      </c>
      <c r="S1680" s="8" t="e">
        <f>VLOOKUP(Table1[[#This Row],[Address A]],IP_Master[],2,FALSE)</f>
        <v>#N/A</v>
      </c>
      <c r="T1680" s="8" t="str">
        <f>VLOOKUP(Table1[[#This Row],[Address B]],IP_Master[],2,FALSE)</f>
        <v>Refinery</v>
      </c>
      <c r="U1680" s="9" t="e">
        <f>VLOOKUP(Table1[[#This Row],[Address A]],IP_Master[],3,FALSE)</f>
        <v>#N/A</v>
      </c>
      <c r="V1680" s="9" t="str">
        <f>VLOOKUP(Table1[[#This Row],[Address B]],IP_Master[],3,FALSE)</f>
        <v>iFIX Nodes &amp; Ethernet Switches</v>
      </c>
      <c r="W1680" s="9" t="e">
        <f>VLOOKUP(Table1[[#This Row],[Port B]],traffic_types[],2,FALSE)</f>
        <v>#N/A</v>
      </c>
    </row>
    <row r="1681" spans="1:23" hidden="1" x14ac:dyDescent="0.6">
      <c r="A1681" t="s">
        <v>211</v>
      </c>
      <c r="B1681">
        <v>8081</v>
      </c>
      <c r="C1681" t="s">
        <v>51</v>
      </c>
      <c r="D1681">
        <v>1768</v>
      </c>
      <c r="E1681">
        <v>3</v>
      </c>
      <c r="F1681">
        <v>186</v>
      </c>
      <c r="G1681">
        <v>0</v>
      </c>
      <c r="H1681">
        <v>0</v>
      </c>
      <c r="I1681">
        <v>3</v>
      </c>
      <c r="J1681">
        <v>186</v>
      </c>
      <c r="K1681">
        <v>778.38830900000005</v>
      </c>
      <c r="L1681">
        <v>9.0749659999999004</v>
      </c>
      <c r="M1681">
        <v>0</v>
      </c>
      <c r="N1681">
        <v>163.967556462472</v>
      </c>
      <c r="O1681" s="8" t="str">
        <f>formatIP(Table1[[#This Row],[Address A]])</f>
        <v>010.116.001.003</v>
      </c>
      <c r="P1681" s="8" t="str">
        <f>formatIP(Table1[[#This Row],[Address B]])</f>
        <v>010.012.000.252</v>
      </c>
      <c r="Q1681" s="8" t="e">
        <f>VLOOKUP(Table1[[#This Row],[Address A]],IP_Master[],4,FALSE)</f>
        <v>#N/A</v>
      </c>
      <c r="R1681" s="8" t="str">
        <f>VLOOKUP(Table1[[#This Row],[Address B]],IP_Master[],4,FALSE)</f>
        <v>PP_FIX3</v>
      </c>
      <c r="S1681" s="8" t="e">
        <f>VLOOKUP(Table1[[#This Row],[Address A]],IP_Master[],2,FALSE)</f>
        <v>#N/A</v>
      </c>
      <c r="T1681" s="8" t="str">
        <f>VLOOKUP(Table1[[#This Row],[Address B]],IP_Master[],2,FALSE)</f>
        <v>Other ProcN Devices</v>
      </c>
      <c r="U1681" s="9" t="e">
        <f>VLOOKUP(Table1[[#This Row],[Address A]],IP_Master[],3,FALSE)</f>
        <v>#N/A</v>
      </c>
      <c r="V1681" s="9" t="str">
        <f>VLOOKUP(Table1[[#This Row],[Address B]],IP_Master[],3,FALSE)</f>
        <v>iFIX Nodes &amp; Ethernet Switches</v>
      </c>
      <c r="W1681" s="9" t="e">
        <f>VLOOKUP(Table1[[#This Row],[Port B]],traffic_types[],2,FALSE)</f>
        <v>#N/A</v>
      </c>
    </row>
    <row r="1682" spans="1:23" hidden="1" x14ac:dyDescent="0.6">
      <c r="A1682" t="s">
        <v>211</v>
      </c>
      <c r="B1682">
        <v>8081</v>
      </c>
      <c r="C1682" t="s">
        <v>51</v>
      </c>
      <c r="D1682">
        <v>1769</v>
      </c>
      <c r="E1682">
        <v>3</v>
      </c>
      <c r="F1682">
        <v>186</v>
      </c>
      <c r="G1682">
        <v>0</v>
      </c>
      <c r="H1682">
        <v>0</v>
      </c>
      <c r="I1682">
        <v>3</v>
      </c>
      <c r="J1682">
        <v>186</v>
      </c>
      <c r="K1682">
        <v>799.496757</v>
      </c>
      <c r="L1682">
        <v>9.0761240000000498</v>
      </c>
      <c r="M1682">
        <v>0</v>
      </c>
      <c r="N1682">
        <v>163.94663625133299</v>
      </c>
      <c r="O1682" s="8" t="str">
        <f>formatIP(Table1[[#This Row],[Address A]])</f>
        <v>010.116.001.003</v>
      </c>
      <c r="P1682" s="8" t="str">
        <f>formatIP(Table1[[#This Row],[Address B]])</f>
        <v>010.012.000.252</v>
      </c>
      <c r="Q1682" s="8" t="e">
        <f>VLOOKUP(Table1[[#This Row],[Address A]],IP_Master[],4,FALSE)</f>
        <v>#N/A</v>
      </c>
      <c r="R1682" s="8" t="str">
        <f>VLOOKUP(Table1[[#This Row],[Address B]],IP_Master[],4,FALSE)</f>
        <v>PP_FIX3</v>
      </c>
      <c r="S1682" s="8" t="e">
        <f>VLOOKUP(Table1[[#This Row],[Address A]],IP_Master[],2,FALSE)</f>
        <v>#N/A</v>
      </c>
      <c r="T1682" s="8" t="str">
        <f>VLOOKUP(Table1[[#This Row],[Address B]],IP_Master[],2,FALSE)</f>
        <v>Other ProcN Devices</v>
      </c>
      <c r="U1682" s="9" t="e">
        <f>VLOOKUP(Table1[[#This Row],[Address A]],IP_Master[],3,FALSE)</f>
        <v>#N/A</v>
      </c>
      <c r="V1682" s="9" t="str">
        <f>VLOOKUP(Table1[[#This Row],[Address B]],IP_Master[],3,FALSE)</f>
        <v>iFIX Nodes &amp; Ethernet Switches</v>
      </c>
      <c r="W1682" s="9" t="e">
        <f>VLOOKUP(Table1[[#This Row],[Port B]],traffic_types[],2,FALSE)</f>
        <v>#N/A</v>
      </c>
    </row>
    <row r="1683" spans="1:23" hidden="1" x14ac:dyDescent="0.6">
      <c r="A1683" t="s">
        <v>212</v>
      </c>
      <c r="B1683">
        <v>8081</v>
      </c>
      <c r="C1683" t="s">
        <v>98</v>
      </c>
      <c r="D1683">
        <v>2392</v>
      </c>
      <c r="E1683">
        <v>3</v>
      </c>
      <c r="F1683">
        <v>186</v>
      </c>
      <c r="G1683">
        <v>0</v>
      </c>
      <c r="H1683">
        <v>0</v>
      </c>
      <c r="I1683">
        <v>3</v>
      </c>
      <c r="J1683">
        <v>186</v>
      </c>
      <c r="K1683">
        <v>19.099907000000002</v>
      </c>
      <c r="L1683">
        <v>9.0243950000000002</v>
      </c>
      <c r="M1683">
        <v>0</v>
      </c>
      <c r="N1683">
        <v>164.88639958689799</v>
      </c>
      <c r="O1683" s="8" t="str">
        <f>formatIP(Table1[[#This Row],[Address A]])</f>
        <v>010.116.001.041</v>
      </c>
      <c r="P1683" s="8" t="str">
        <f>formatIP(Table1[[#This Row],[Address B]])</f>
        <v>010.012.000.007</v>
      </c>
      <c r="Q1683" s="8" t="e">
        <f>VLOOKUP(Table1[[#This Row],[Address A]],IP_Master[],4,FALSE)</f>
        <v>#N/A</v>
      </c>
      <c r="R1683" s="8" t="str">
        <f>VLOOKUP(Table1[[#This Row],[Address B]],IP_Master[],4,FALSE)</f>
        <v>PPPCFC7</v>
      </c>
      <c r="S1683" s="8" t="e">
        <f>VLOOKUP(Table1[[#This Row],[Address A]],IP_Master[],2,FALSE)</f>
        <v>#N/A</v>
      </c>
      <c r="T1683" s="8" t="str">
        <f>VLOOKUP(Table1[[#This Row],[Address B]],IP_Master[],2,FALSE)</f>
        <v>Fume Control</v>
      </c>
      <c r="U1683" s="9" t="e">
        <f>VLOOKUP(Table1[[#This Row],[Address A]],IP_Master[],3,FALSE)</f>
        <v>#N/A</v>
      </c>
      <c r="V1683" s="9" t="str">
        <f>VLOOKUP(Table1[[#This Row],[Address B]],IP_Master[],3,FALSE)</f>
        <v>iFIX Nodes &amp; Ethernet Switches</v>
      </c>
      <c r="W1683" s="9" t="e">
        <f>VLOOKUP(Table1[[#This Row],[Port B]],traffic_types[],2,FALSE)</f>
        <v>#N/A</v>
      </c>
    </row>
    <row r="1684" spans="1:23" hidden="1" x14ac:dyDescent="0.6">
      <c r="A1684" t="s">
        <v>212</v>
      </c>
      <c r="B1684">
        <v>8081</v>
      </c>
      <c r="C1684" t="s">
        <v>98</v>
      </c>
      <c r="D1684">
        <v>2393</v>
      </c>
      <c r="E1684">
        <v>3</v>
      </c>
      <c r="F1684">
        <v>186</v>
      </c>
      <c r="G1684">
        <v>0</v>
      </c>
      <c r="H1684">
        <v>0</v>
      </c>
      <c r="I1684">
        <v>3</v>
      </c>
      <c r="J1684">
        <v>186</v>
      </c>
      <c r="K1684">
        <v>40.157440000000001</v>
      </c>
      <c r="L1684">
        <v>8.967651</v>
      </c>
      <c r="M1684">
        <v>0</v>
      </c>
      <c r="N1684">
        <v>165.92974012927101</v>
      </c>
      <c r="O1684" s="8" t="str">
        <f>formatIP(Table1[[#This Row],[Address A]])</f>
        <v>010.116.001.041</v>
      </c>
      <c r="P1684" s="8" t="str">
        <f>formatIP(Table1[[#This Row],[Address B]])</f>
        <v>010.012.000.007</v>
      </c>
      <c r="Q1684" s="8" t="e">
        <f>VLOOKUP(Table1[[#This Row],[Address A]],IP_Master[],4,FALSE)</f>
        <v>#N/A</v>
      </c>
      <c r="R1684" s="8" t="str">
        <f>VLOOKUP(Table1[[#This Row],[Address B]],IP_Master[],4,FALSE)</f>
        <v>PPPCFC7</v>
      </c>
      <c r="S1684" s="8" t="e">
        <f>VLOOKUP(Table1[[#This Row],[Address A]],IP_Master[],2,FALSE)</f>
        <v>#N/A</v>
      </c>
      <c r="T1684" s="8" t="str">
        <f>VLOOKUP(Table1[[#This Row],[Address B]],IP_Master[],2,FALSE)</f>
        <v>Fume Control</v>
      </c>
      <c r="U1684" s="9" t="e">
        <f>VLOOKUP(Table1[[#This Row],[Address A]],IP_Master[],3,FALSE)</f>
        <v>#N/A</v>
      </c>
      <c r="V1684" s="9" t="str">
        <f>VLOOKUP(Table1[[#This Row],[Address B]],IP_Master[],3,FALSE)</f>
        <v>iFIX Nodes &amp; Ethernet Switches</v>
      </c>
      <c r="W1684" s="9" t="e">
        <f>VLOOKUP(Table1[[#This Row],[Port B]],traffic_types[],2,FALSE)</f>
        <v>#N/A</v>
      </c>
    </row>
    <row r="1685" spans="1:23" hidden="1" x14ac:dyDescent="0.6">
      <c r="A1685" t="s">
        <v>212</v>
      </c>
      <c r="B1685">
        <v>8081</v>
      </c>
      <c r="C1685" t="s">
        <v>55</v>
      </c>
      <c r="D1685">
        <v>4246</v>
      </c>
      <c r="E1685">
        <v>3</v>
      </c>
      <c r="F1685">
        <v>186</v>
      </c>
      <c r="G1685">
        <v>0</v>
      </c>
      <c r="H1685">
        <v>0</v>
      </c>
      <c r="I1685">
        <v>3</v>
      </c>
      <c r="J1685">
        <v>186</v>
      </c>
      <c r="K1685">
        <v>655.29266700000005</v>
      </c>
      <c r="L1685">
        <v>8.9945329999999295</v>
      </c>
      <c r="M1685">
        <v>0</v>
      </c>
      <c r="N1685">
        <v>165.43382519137</v>
      </c>
      <c r="O1685" s="8" t="str">
        <f>formatIP(Table1[[#This Row],[Address A]])</f>
        <v>010.116.001.041</v>
      </c>
      <c r="P1685" s="8" t="str">
        <f>formatIP(Table1[[#This Row],[Address B]])</f>
        <v>010.012.000.064</v>
      </c>
      <c r="Q1685" s="8" t="e">
        <f>VLOOKUP(Table1[[#This Row],[Address A]],IP_Master[],4,FALSE)</f>
        <v>#N/A</v>
      </c>
      <c r="R1685" s="8" t="str">
        <f>VLOOKUP(Table1[[#This Row],[Address B]],IP_Master[],4,FALSE)</f>
        <v>PPPCPET4</v>
      </c>
      <c r="S1685" s="8" t="e">
        <f>VLOOKUP(Table1[[#This Row],[Address A]],IP_Master[],2,FALSE)</f>
        <v>#N/A</v>
      </c>
      <c r="T1685" s="8" t="str">
        <f>VLOOKUP(Table1[[#This Row],[Address B]],IP_Master[],2,FALSE)</f>
        <v>PETs Plant</v>
      </c>
      <c r="U1685" s="9" t="e">
        <f>VLOOKUP(Table1[[#This Row],[Address A]],IP_Master[],3,FALSE)</f>
        <v>#N/A</v>
      </c>
      <c r="V1685" s="9" t="str">
        <f>VLOOKUP(Table1[[#This Row],[Address B]],IP_Master[],3,FALSE)</f>
        <v>iFIX Nodes &amp; Ethernet Switches</v>
      </c>
      <c r="W1685" s="9" t="e">
        <f>VLOOKUP(Table1[[#This Row],[Port B]],traffic_types[],2,FALSE)</f>
        <v>#N/A</v>
      </c>
    </row>
    <row r="1686" spans="1:23" hidden="1" x14ac:dyDescent="0.6">
      <c r="A1686" t="s">
        <v>213</v>
      </c>
      <c r="B1686">
        <v>8081</v>
      </c>
      <c r="C1686" t="s">
        <v>55</v>
      </c>
      <c r="D1686">
        <v>4244</v>
      </c>
      <c r="E1686">
        <v>3</v>
      </c>
      <c r="F1686">
        <v>186</v>
      </c>
      <c r="G1686">
        <v>0</v>
      </c>
      <c r="H1686">
        <v>0</v>
      </c>
      <c r="I1686">
        <v>3</v>
      </c>
      <c r="J1686">
        <v>186</v>
      </c>
      <c r="K1686">
        <v>578.51230299999997</v>
      </c>
      <c r="L1686">
        <v>9.1035400000000699</v>
      </c>
      <c r="M1686">
        <v>0</v>
      </c>
      <c r="N1686">
        <v>163.45289854276299</v>
      </c>
      <c r="O1686" s="8" t="str">
        <f>formatIP(Table1[[#This Row],[Address A]])</f>
        <v>010.119.001.002</v>
      </c>
      <c r="P1686" s="8" t="str">
        <f>formatIP(Table1[[#This Row],[Address B]])</f>
        <v>010.012.000.064</v>
      </c>
      <c r="Q1686" s="8" t="e">
        <f>VLOOKUP(Table1[[#This Row],[Address A]],IP_Master[],4,FALSE)</f>
        <v>#N/A</v>
      </c>
      <c r="R1686" s="8" t="str">
        <f>VLOOKUP(Table1[[#This Row],[Address B]],IP_Master[],4,FALSE)</f>
        <v>PPPCPET4</v>
      </c>
      <c r="S1686" s="8" t="e">
        <f>VLOOKUP(Table1[[#This Row],[Address A]],IP_Master[],2,FALSE)</f>
        <v>#N/A</v>
      </c>
      <c r="T1686" s="8" t="str">
        <f>VLOOKUP(Table1[[#This Row],[Address B]],IP_Master[],2,FALSE)</f>
        <v>PETs Plant</v>
      </c>
      <c r="U1686" s="9" t="e">
        <f>VLOOKUP(Table1[[#This Row],[Address A]],IP_Master[],3,FALSE)</f>
        <v>#N/A</v>
      </c>
      <c r="V1686" s="9" t="str">
        <f>VLOOKUP(Table1[[#This Row],[Address B]],IP_Master[],3,FALSE)</f>
        <v>iFIX Nodes &amp; Ethernet Switches</v>
      </c>
      <c r="W1686" s="9" t="e">
        <f>VLOOKUP(Table1[[#This Row],[Port B]],traffic_types[],2,FALSE)</f>
        <v>#N/A</v>
      </c>
    </row>
    <row r="1687" spans="1:23" hidden="1" x14ac:dyDescent="0.6">
      <c r="A1687" t="s">
        <v>213</v>
      </c>
      <c r="B1687">
        <v>8081</v>
      </c>
      <c r="C1687" t="s">
        <v>51</v>
      </c>
      <c r="D1687">
        <v>1770</v>
      </c>
      <c r="E1687">
        <v>3</v>
      </c>
      <c r="F1687">
        <v>186</v>
      </c>
      <c r="G1687">
        <v>0</v>
      </c>
      <c r="H1687">
        <v>0</v>
      </c>
      <c r="I1687">
        <v>3</v>
      </c>
      <c r="J1687">
        <v>186</v>
      </c>
      <c r="K1687">
        <v>825.607618</v>
      </c>
      <c r="L1687">
        <v>8.9968709999999401</v>
      </c>
      <c r="M1687">
        <v>0</v>
      </c>
      <c r="N1687">
        <v>165.39083421336301</v>
      </c>
      <c r="O1687" s="8" t="str">
        <f>formatIP(Table1[[#This Row],[Address A]])</f>
        <v>010.119.001.002</v>
      </c>
      <c r="P1687" s="8" t="str">
        <f>formatIP(Table1[[#This Row],[Address B]])</f>
        <v>010.012.000.252</v>
      </c>
      <c r="Q1687" s="8" t="e">
        <f>VLOOKUP(Table1[[#This Row],[Address A]],IP_Master[],4,FALSE)</f>
        <v>#N/A</v>
      </c>
      <c r="R1687" s="8" t="str">
        <f>VLOOKUP(Table1[[#This Row],[Address B]],IP_Master[],4,FALSE)</f>
        <v>PP_FIX3</v>
      </c>
      <c r="S1687" s="8" t="e">
        <f>VLOOKUP(Table1[[#This Row],[Address A]],IP_Master[],2,FALSE)</f>
        <v>#N/A</v>
      </c>
      <c r="T1687" s="8" t="str">
        <f>VLOOKUP(Table1[[#This Row],[Address B]],IP_Master[],2,FALSE)</f>
        <v>Other ProcN Devices</v>
      </c>
      <c r="U1687" s="9" t="e">
        <f>VLOOKUP(Table1[[#This Row],[Address A]],IP_Master[],3,FALSE)</f>
        <v>#N/A</v>
      </c>
      <c r="V1687" s="9" t="str">
        <f>VLOOKUP(Table1[[#This Row],[Address B]],IP_Master[],3,FALSE)</f>
        <v>iFIX Nodes &amp; Ethernet Switches</v>
      </c>
      <c r="W1687" s="9" t="e">
        <f>VLOOKUP(Table1[[#This Row],[Port B]],traffic_types[],2,FALSE)</f>
        <v>#N/A</v>
      </c>
    </row>
    <row r="1688" spans="1:23" hidden="1" x14ac:dyDescent="0.6">
      <c r="A1688" t="s">
        <v>213</v>
      </c>
      <c r="B1688">
        <v>8081</v>
      </c>
      <c r="C1688" t="s">
        <v>51</v>
      </c>
      <c r="D1688">
        <v>1771</v>
      </c>
      <c r="E1688">
        <v>3</v>
      </c>
      <c r="F1688">
        <v>186</v>
      </c>
      <c r="G1688">
        <v>0</v>
      </c>
      <c r="H1688">
        <v>0</v>
      </c>
      <c r="I1688">
        <v>3</v>
      </c>
      <c r="J1688">
        <v>186</v>
      </c>
      <c r="K1688">
        <v>846.63807799999995</v>
      </c>
      <c r="L1688">
        <v>9.0760350000000507</v>
      </c>
      <c r="M1688">
        <v>0</v>
      </c>
      <c r="N1688">
        <v>163.94824391928799</v>
      </c>
      <c r="O1688" s="8" t="str">
        <f>formatIP(Table1[[#This Row],[Address A]])</f>
        <v>010.119.001.002</v>
      </c>
      <c r="P1688" s="8" t="str">
        <f>formatIP(Table1[[#This Row],[Address B]])</f>
        <v>010.012.000.252</v>
      </c>
      <c r="Q1688" s="8" t="e">
        <f>VLOOKUP(Table1[[#This Row],[Address A]],IP_Master[],4,FALSE)</f>
        <v>#N/A</v>
      </c>
      <c r="R1688" s="8" t="str">
        <f>VLOOKUP(Table1[[#This Row],[Address B]],IP_Master[],4,FALSE)</f>
        <v>PP_FIX3</v>
      </c>
      <c r="S1688" s="8" t="e">
        <f>VLOOKUP(Table1[[#This Row],[Address A]],IP_Master[],2,FALSE)</f>
        <v>#N/A</v>
      </c>
      <c r="T1688" s="8" t="str">
        <f>VLOOKUP(Table1[[#This Row],[Address B]],IP_Master[],2,FALSE)</f>
        <v>Other ProcN Devices</v>
      </c>
      <c r="U1688" s="9" t="e">
        <f>VLOOKUP(Table1[[#This Row],[Address A]],IP_Master[],3,FALSE)</f>
        <v>#N/A</v>
      </c>
      <c r="V1688" s="9" t="str">
        <f>VLOOKUP(Table1[[#This Row],[Address B]],IP_Master[],3,FALSE)</f>
        <v>iFIX Nodes &amp; Ethernet Switches</v>
      </c>
      <c r="W1688" s="9" t="e">
        <f>VLOOKUP(Table1[[#This Row],[Port B]],traffic_types[],2,FALSE)</f>
        <v>#N/A</v>
      </c>
    </row>
    <row r="1689" spans="1:23" hidden="1" x14ac:dyDescent="0.6">
      <c r="A1689" t="s">
        <v>136</v>
      </c>
      <c r="B1689">
        <v>8083</v>
      </c>
      <c r="C1689" t="s">
        <v>49</v>
      </c>
      <c r="D1689">
        <v>4413</v>
      </c>
      <c r="E1689">
        <v>3</v>
      </c>
      <c r="F1689">
        <v>186</v>
      </c>
      <c r="G1689">
        <v>0</v>
      </c>
      <c r="H1689">
        <v>0</v>
      </c>
      <c r="I1689">
        <v>3</v>
      </c>
      <c r="J1689">
        <v>186</v>
      </c>
      <c r="K1689">
        <v>710.77462700000001</v>
      </c>
      <c r="L1689">
        <v>9.1362739999999594</v>
      </c>
      <c r="M1689">
        <v>0</v>
      </c>
      <c r="N1689">
        <v>162.86726952366001</v>
      </c>
      <c r="O1689" s="8" t="str">
        <f>formatIP(Table1[[#This Row],[Address A]])</f>
        <v>010.119.001.003</v>
      </c>
      <c r="P1689" s="8" t="str">
        <f>formatIP(Table1[[#This Row],[Address B]])</f>
        <v>010.012.000.190</v>
      </c>
      <c r="Q1689" s="8" t="e">
        <f>VLOOKUP(Table1[[#This Row],[Address A]],IP_Master[],4,FALSE)</f>
        <v>#N/A</v>
      </c>
      <c r="R1689" s="8" t="str">
        <f>VLOOKUP(Table1[[#This Row],[Address B]],IP_Master[],4,FALSE)</f>
        <v>PPPCRF10</v>
      </c>
      <c r="S1689" s="8" t="e">
        <f>VLOOKUP(Table1[[#This Row],[Address A]],IP_Master[],2,FALSE)</f>
        <v>#N/A</v>
      </c>
      <c r="T1689" s="8" t="str">
        <f>VLOOKUP(Table1[[#This Row],[Address B]],IP_Master[],2,FALSE)</f>
        <v>Refinery</v>
      </c>
      <c r="U1689" s="9" t="e">
        <f>VLOOKUP(Table1[[#This Row],[Address A]],IP_Master[],3,FALSE)</f>
        <v>#N/A</v>
      </c>
      <c r="V1689" s="9" t="str">
        <f>VLOOKUP(Table1[[#This Row],[Address B]],IP_Master[],3,FALSE)</f>
        <v>iFIX Nodes &amp; Ethernet Switches</v>
      </c>
      <c r="W1689" s="9" t="e">
        <f>VLOOKUP(Table1[[#This Row],[Port B]],traffic_types[],2,FALSE)</f>
        <v>#N/A</v>
      </c>
    </row>
    <row r="1690" spans="1:23" hidden="1" x14ac:dyDescent="0.6">
      <c r="A1690" t="s">
        <v>130</v>
      </c>
      <c r="B1690">
        <v>8083</v>
      </c>
      <c r="C1690" t="s">
        <v>49</v>
      </c>
      <c r="D1690">
        <v>4417</v>
      </c>
      <c r="E1690">
        <v>3</v>
      </c>
      <c r="F1690">
        <v>186</v>
      </c>
      <c r="G1690">
        <v>0</v>
      </c>
      <c r="H1690">
        <v>0</v>
      </c>
      <c r="I1690">
        <v>3</v>
      </c>
      <c r="J1690">
        <v>186</v>
      </c>
      <c r="K1690">
        <v>877.79284199999995</v>
      </c>
      <c r="L1690">
        <v>9.2455800000000199</v>
      </c>
      <c r="M1690">
        <v>0</v>
      </c>
      <c r="N1690">
        <v>160.94176893174901</v>
      </c>
      <c r="O1690" s="8" t="str">
        <f>formatIP(Table1[[#This Row],[Address A]])</f>
        <v>010.120.001.001</v>
      </c>
      <c r="P1690" s="8" t="str">
        <f>formatIP(Table1[[#This Row],[Address B]])</f>
        <v>010.012.000.190</v>
      </c>
      <c r="Q1690" s="8" t="e">
        <f>VLOOKUP(Table1[[#This Row],[Address A]],IP_Master[],4,FALSE)</f>
        <v>#N/A</v>
      </c>
      <c r="R1690" s="8" t="str">
        <f>VLOOKUP(Table1[[#This Row],[Address B]],IP_Master[],4,FALSE)</f>
        <v>PPPCRF10</v>
      </c>
      <c r="S1690" s="8" t="e">
        <f>VLOOKUP(Table1[[#This Row],[Address A]],IP_Master[],2,FALSE)</f>
        <v>#N/A</v>
      </c>
      <c r="T1690" s="8" t="str">
        <f>VLOOKUP(Table1[[#This Row],[Address B]],IP_Master[],2,FALSE)</f>
        <v>Refinery</v>
      </c>
      <c r="U1690" s="9" t="e">
        <f>VLOOKUP(Table1[[#This Row],[Address A]],IP_Master[],3,FALSE)</f>
        <v>#N/A</v>
      </c>
      <c r="V1690" s="9" t="str">
        <f>VLOOKUP(Table1[[#This Row],[Address B]],IP_Master[],3,FALSE)</f>
        <v>iFIX Nodes &amp; Ethernet Switches</v>
      </c>
      <c r="W1690" s="9" t="e">
        <f>VLOOKUP(Table1[[#This Row],[Port B]],traffic_types[],2,FALSE)</f>
        <v>#N/A</v>
      </c>
    </row>
    <row r="1691" spans="1:23" hidden="1" x14ac:dyDescent="0.6">
      <c r="A1691" t="s">
        <v>214</v>
      </c>
      <c r="B1691">
        <v>8081</v>
      </c>
      <c r="C1691" t="s">
        <v>55</v>
      </c>
      <c r="D1691">
        <v>4232</v>
      </c>
      <c r="E1691">
        <v>3</v>
      </c>
      <c r="F1691">
        <v>186</v>
      </c>
      <c r="G1691">
        <v>0</v>
      </c>
      <c r="H1691">
        <v>0</v>
      </c>
      <c r="I1691">
        <v>3</v>
      </c>
      <c r="J1691">
        <v>186</v>
      </c>
      <c r="K1691">
        <v>117.26998</v>
      </c>
      <c r="L1691">
        <v>9.1054949999999906</v>
      </c>
      <c r="M1691">
        <v>0</v>
      </c>
      <c r="N1691">
        <v>163.41780430388499</v>
      </c>
      <c r="O1691" s="8" t="str">
        <f>formatIP(Table1[[#This Row],[Address A]])</f>
        <v>010.120.001.005</v>
      </c>
      <c r="P1691" s="8" t="str">
        <f>formatIP(Table1[[#This Row],[Address B]])</f>
        <v>010.012.000.064</v>
      </c>
      <c r="Q1691" s="8" t="e">
        <f>VLOOKUP(Table1[[#This Row],[Address A]],IP_Master[],4,FALSE)</f>
        <v>#N/A</v>
      </c>
      <c r="R1691" s="8" t="str">
        <f>VLOOKUP(Table1[[#This Row],[Address B]],IP_Master[],4,FALSE)</f>
        <v>PPPCPET4</v>
      </c>
      <c r="S1691" s="8" t="e">
        <f>VLOOKUP(Table1[[#This Row],[Address A]],IP_Master[],2,FALSE)</f>
        <v>#N/A</v>
      </c>
      <c r="T1691" s="8" t="str">
        <f>VLOOKUP(Table1[[#This Row],[Address B]],IP_Master[],2,FALSE)</f>
        <v>PETs Plant</v>
      </c>
      <c r="U1691" s="9" t="e">
        <f>VLOOKUP(Table1[[#This Row],[Address A]],IP_Master[],3,FALSE)</f>
        <v>#N/A</v>
      </c>
      <c r="V1691" s="9" t="str">
        <f>VLOOKUP(Table1[[#This Row],[Address B]],IP_Master[],3,FALSE)</f>
        <v>iFIX Nodes &amp; Ethernet Switches</v>
      </c>
      <c r="W1691" s="9" t="e">
        <f>VLOOKUP(Table1[[#This Row],[Port B]],traffic_types[],2,FALSE)</f>
        <v>#N/A</v>
      </c>
    </row>
    <row r="1692" spans="1:23" hidden="1" x14ac:dyDescent="0.6">
      <c r="A1692" t="s">
        <v>214</v>
      </c>
      <c r="B1692">
        <v>8081</v>
      </c>
      <c r="C1692" t="s">
        <v>51</v>
      </c>
      <c r="D1692">
        <v>1748</v>
      </c>
      <c r="E1692">
        <v>3</v>
      </c>
      <c r="F1692">
        <v>186</v>
      </c>
      <c r="G1692">
        <v>0</v>
      </c>
      <c r="H1692">
        <v>0</v>
      </c>
      <c r="I1692">
        <v>3</v>
      </c>
      <c r="J1692">
        <v>186</v>
      </c>
      <c r="K1692">
        <v>678.30904999999996</v>
      </c>
      <c r="L1692">
        <v>9.1843130000000901</v>
      </c>
      <c r="M1692">
        <v>0</v>
      </c>
      <c r="N1692">
        <v>162.01538427533799</v>
      </c>
      <c r="O1692" s="8" t="str">
        <f>formatIP(Table1[[#This Row],[Address A]])</f>
        <v>010.120.001.005</v>
      </c>
      <c r="P1692" s="8" t="str">
        <f>formatIP(Table1[[#This Row],[Address B]])</f>
        <v>010.012.000.252</v>
      </c>
      <c r="Q1692" s="8" t="e">
        <f>VLOOKUP(Table1[[#This Row],[Address A]],IP_Master[],4,FALSE)</f>
        <v>#N/A</v>
      </c>
      <c r="R1692" s="8" t="str">
        <f>VLOOKUP(Table1[[#This Row],[Address B]],IP_Master[],4,FALSE)</f>
        <v>PP_FIX3</v>
      </c>
      <c r="S1692" s="8" t="e">
        <f>VLOOKUP(Table1[[#This Row],[Address A]],IP_Master[],2,FALSE)</f>
        <v>#N/A</v>
      </c>
      <c r="T1692" s="8" t="str">
        <f>VLOOKUP(Table1[[#This Row],[Address B]],IP_Master[],2,FALSE)</f>
        <v>Other ProcN Devices</v>
      </c>
      <c r="U1692" s="9" t="e">
        <f>VLOOKUP(Table1[[#This Row],[Address A]],IP_Master[],3,FALSE)</f>
        <v>#N/A</v>
      </c>
      <c r="V1692" s="9" t="str">
        <f>VLOOKUP(Table1[[#This Row],[Address B]],IP_Master[],3,FALSE)</f>
        <v>iFIX Nodes &amp; Ethernet Switches</v>
      </c>
      <c r="W1692" s="9" t="e">
        <f>VLOOKUP(Table1[[#This Row],[Port B]],traffic_types[],2,FALSE)</f>
        <v>#N/A</v>
      </c>
    </row>
    <row r="1693" spans="1:23" hidden="1" x14ac:dyDescent="0.6">
      <c r="A1693" t="s">
        <v>214</v>
      </c>
      <c r="B1693">
        <v>8081</v>
      </c>
      <c r="C1693" t="s">
        <v>51</v>
      </c>
      <c r="D1693">
        <v>1756</v>
      </c>
      <c r="E1693">
        <v>3</v>
      </c>
      <c r="F1693">
        <v>186</v>
      </c>
      <c r="G1693">
        <v>0</v>
      </c>
      <c r="H1693">
        <v>0</v>
      </c>
      <c r="I1693">
        <v>3</v>
      </c>
      <c r="J1693">
        <v>186</v>
      </c>
      <c r="K1693">
        <v>699.52697699999999</v>
      </c>
      <c r="L1693">
        <v>9.0760169999999807</v>
      </c>
      <c r="M1693">
        <v>0</v>
      </c>
      <c r="N1693">
        <v>163.94856906945</v>
      </c>
      <c r="O1693" s="8" t="str">
        <f>formatIP(Table1[[#This Row],[Address A]])</f>
        <v>010.120.001.005</v>
      </c>
      <c r="P1693" s="8" t="str">
        <f>formatIP(Table1[[#This Row],[Address B]])</f>
        <v>010.012.000.252</v>
      </c>
      <c r="Q1693" s="8" t="e">
        <f>VLOOKUP(Table1[[#This Row],[Address A]],IP_Master[],4,FALSE)</f>
        <v>#N/A</v>
      </c>
      <c r="R1693" s="8" t="str">
        <f>VLOOKUP(Table1[[#This Row],[Address B]],IP_Master[],4,FALSE)</f>
        <v>PP_FIX3</v>
      </c>
      <c r="S1693" s="8" t="e">
        <f>VLOOKUP(Table1[[#This Row],[Address A]],IP_Master[],2,FALSE)</f>
        <v>#N/A</v>
      </c>
      <c r="T1693" s="8" t="str">
        <f>VLOOKUP(Table1[[#This Row],[Address B]],IP_Master[],2,FALSE)</f>
        <v>Other ProcN Devices</v>
      </c>
      <c r="U1693" s="9" t="e">
        <f>VLOOKUP(Table1[[#This Row],[Address A]],IP_Master[],3,FALSE)</f>
        <v>#N/A</v>
      </c>
      <c r="V1693" s="9" t="str">
        <f>VLOOKUP(Table1[[#This Row],[Address B]],IP_Master[],3,FALSE)</f>
        <v>iFIX Nodes &amp; Ethernet Switches</v>
      </c>
      <c r="W1693" s="9" t="e">
        <f>VLOOKUP(Table1[[#This Row],[Port B]],traffic_types[],2,FALSE)</f>
        <v>#N/A</v>
      </c>
    </row>
    <row r="1694" spans="1:23" hidden="1" x14ac:dyDescent="0.6">
      <c r="A1694" t="s">
        <v>134</v>
      </c>
      <c r="B1694">
        <v>8083</v>
      </c>
      <c r="C1694" t="s">
        <v>51</v>
      </c>
      <c r="D1694">
        <v>1520</v>
      </c>
      <c r="E1694">
        <v>3</v>
      </c>
      <c r="F1694">
        <v>186</v>
      </c>
      <c r="G1694">
        <v>0</v>
      </c>
      <c r="H1694">
        <v>0</v>
      </c>
      <c r="I1694">
        <v>3</v>
      </c>
      <c r="J1694">
        <v>186</v>
      </c>
      <c r="K1694">
        <v>28.64556</v>
      </c>
      <c r="L1694">
        <v>8.9343590000000006</v>
      </c>
      <c r="M1694">
        <v>0</v>
      </c>
      <c r="N1694">
        <v>166.54804222664399</v>
      </c>
      <c r="O1694" s="8" t="str">
        <f>formatIP(Table1[[#This Row],[Address A]])</f>
        <v>010.121.001.005</v>
      </c>
      <c r="P1694" s="8" t="str">
        <f>formatIP(Table1[[#This Row],[Address B]])</f>
        <v>010.012.000.252</v>
      </c>
      <c r="Q1694" s="8" t="e">
        <f>VLOOKUP(Table1[[#This Row],[Address A]],IP_Master[],4,FALSE)</f>
        <v>#N/A</v>
      </c>
      <c r="R1694" s="8" t="str">
        <f>VLOOKUP(Table1[[#This Row],[Address B]],IP_Master[],4,FALSE)</f>
        <v>PP_FIX3</v>
      </c>
      <c r="S1694" s="8" t="e">
        <f>VLOOKUP(Table1[[#This Row],[Address A]],IP_Master[],2,FALSE)</f>
        <v>#N/A</v>
      </c>
      <c r="T1694" s="8" t="str">
        <f>VLOOKUP(Table1[[#This Row],[Address B]],IP_Master[],2,FALSE)</f>
        <v>Other ProcN Devices</v>
      </c>
      <c r="U1694" s="9" t="e">
        <f>VLOOKUP(Table1[[#This Row],[Address A]],IP_Master[],3,FALSE)</f>
        <v>#N/A</v>
      </c>
      <c r="V1694" s="9" t="str">
        <f>VLOOKUP(Table1[[#This Row],[Address B]],IP_Master[],3,FALSE)</f>
        <v>iFIX Nodes &amp; Ethernet Switches</v>
      </c>
      <c r="W1694" s="9" t="e">
        <f>VLOOKUP(Table1[[#This Row],[Port B]],traffic_types[],2,FALSE)</f>
        <v>#N/A</v>
      </c>
    </row>
    <row r="1695" spans="1:23" hidden="1" x14ac:dyDescent="0.6">
      <c r="A1695" t="s">
        <v>215</v>
      </c>
      <c r="B1695">
        <v>8081</v>
      </c>
      <c r="C1695" t="s">
        <v>55</v>
      </c>
      <c r="D1695">
        <v>4240</v>
      </c>
      <c r="E1695">
        <v>3</v>
      </c>
      <c r="F1695">
        <v>186</v>
      </c>
      <c r="G1695">
        <v>0</v>
      </c>
      <c r="H1695">
        <v>0</v>
      </c>
      <c r="I1695">
        <v>3</v>
      </c>
      <c r="J1695">
        <v>186</v>
      </c>
      <c r="K1695">
        <v>424.61673000000002</v>
      </c>
      <c r="L1695">
        <v>9.1064639999999599</v>
      </c>
      <c r="M1695">
        <v>0</v>
      </c>
      <c r="N1695">
        <v>163.400415353315</v>
      </c>
      <c r="O1695" s="8" t="str">
        <f>formatIP(Table1[[#This Row],[Address A]])</f>
        <v>010.121.001.014</v>
      </c>
      <c r="P1695" s="8" t="str">
        <f>formatIP(Table1[[#This Row],[Address B]])</f>
        <v>010.012.000.064</v>
      </c>
      <c r="Q1695" s="8" t="e">
        <f>VLOOKUP(Table1[[#This Row],[Address A]],IP_Master[],4,FALSE)</f>
        <v>#N/A</v>
      </c>
      <c r="R1695" s="8" t="str">
        <f>VLOOKUP(Table1[[#This Row],[Address B]],IP_Master[],4,FALSE)</f>
        <v>PPPCPET4</v>
      </c>
      <c r="S1695" s="8" t="e">
        <f>VLOOKUP(Table1[[#This Row],[Address A]],IP_Master[],2,FALSE)</f>
        <v>#N/A</v>
      </c>
      <c r="T1695" s="8" t="str">
        <f>VLOOKUP(Table1[[#This Row],[Address B]],IP_Master[],2,FALSE)</f>
        <v>PETs Plant</v>
      </c>
      <c r="U1695" s="9" t="e">
        <f>VLOOKUP(Table1[[#This Row],[Address A]],IP_Master[],3,FALSE)</f>
        <v>#N/A</v>
      </c>
      <c r="V1695" s="9" t="str">
        <f>VLOOKUP(Table1[[#This Row],[Address B]],IP_Master[],3,FALSE)</f>
        <v>iFIX Nodes &amp; Ethernet Switches</v>
      </c>
      <c r="W1695" s="9" t="e">
        <f>VLOOKUP(Table1[[#This Row],[Port B]],traffic_types[],2,FALSE)</f>
        <v>#N/A</v>
      </c>
    </row>
    <row r="1696" spans="1:23" hidden="1" x14ac:dyDescent="0.6">
      <c r="A1696" t="s">
        <v>215</v>
      </c>
      <c r="B1696">
        <v>8081</v>
      </c>
      <c r="C1696" t="s">
        <v>51</v>
      </c>
      <c r="D1696">
        <v>1541</v>
      </c>
      <c r="E1696">
        <v>3</v>
      </c>
      <c r="F1696">
        <v>186</v>
      </c>
      <c r="G1696">
        <v>0</v>
      </c>
      <c r="H1696">
        <v>0</v>
      </c>
      <c r="I1696">
        <v>3</v>
      </c>
      <c r="J1696">
        <v>186</v>
      </c>
      <c r="K1696">
        <v>551.88579100000004</v>
      </c>
      <c r="L1696">
        <v>9.0592540000000099</v>
      </c>
      <c r="M1696">
        <v>0</v>
      </c>
      <c r="N1696">
        <v>164.25193509311001</v>
      </c>
      <c r="O1696" s="8" t="str">
        <f>formatIP(Table1[[#This Row],[Address A]])</f>
        <v>010.121.001.014</v>
      </c>
      <c r="P1696" s="8" t="str">
        <f>formatIP(Table1[[#This Row],[Address B]])</f>
        <v>010.012.000.252</v>
      </c>
      <c r="Q1696" s="8" t="e">
        <f>VLOOKUP(Table1[[#This Row],[Address A]],IP_Master[],4,FALSE)</f>
        <v>#N/A</v>
      </c>
      <c r="R1696" s="8" t="str">
        <f>VLOOKUP(Table1[[#This Row],[Address B]],IP_Master[],4,FALSE)</f>
        <v>PP_FIX3</v>
      </c>
      <c r="S1696" s="8" t="e">
        <f>VLOOKUP(Table1[[#This Row],[Address A]],IP_Master[],2,FALSE)</f>
        <v>#N/A</v>
      </c>
      <c r="T1696" s="8" t="str">
        <f>VLOOKUP(Table1[[#This Row],[Address B]],IP_Master[],2,FALSE)</f>
        <v>Other ProcN Devices</v>
      </c>
      <c r="U1696" s="9" t="e">
        <f>VLOOKUP(Table1[[#This Row],[Address A]],IP_Master[],3,FALSE)</f>
        <v>#N/A</v>
      </c>
      <c r="V1696" s="9" t="str">
        <f>VLOOKUP(Table1[[#This Row],[Address B]],IP_Master[],3,FALSE)</f>
        <v>iFIX Nodes &amp; Ethernet Switches</v>
      </c>
      <c r="W1696" s="9" t="e">
        <f>VLOOKUP(Table1[[#This Row],[Port B]],traffic_types[],2,FALSE)</f>
        <v>#N/A</v>
      </c>
    </row>
    <row r="1697" spans="1:23" hidden="1" x14ac:dyDescent="0.6">
      <c r="A1697" t="s">
        <v>216</v>
      </c>
      <c r="B1697">
        <v>8081</v>
      </c>
      <c r="C1697" t="s">
        <v>55</v>
      </c>
      <c r="D1697">
        <v>4241</v>
      </c>
      <c r="E1697">
        <v>3</v>
      </c>
      <c r="F1697">
        <v>186</v>
      </c>
      <c r="G1697">
        <v>0</v>
      </c>
      <c r="H1697">
        <v>0</v>
      </c>
      <c r="I1697">
        <v>3</v>
      </c>
      <c r="J1697">
        <v>186</v>
      </c>
      <c r="K1697">
        <v>463.11842799999999</v>
      </c>
      <c r="L1697">
        <v>8.9949480000000204</v>
      </c>
      <c r="M1697">
        <v>0</v>
      </c>
      <c r="N1697">
        <v>165.42619256942899</v>
      </c>
      <c r="O1697" s="8" t="str">
        <f>formatIP(Table1[[#This Row],[Address A]])</f>
        <v>010.121.001.016</v>
      </c>
      <c r="P1697" s="8" t="str">
        <f>formatIP(Table1[[#This Row],[Address B]])</f>
        <v>010.012.000.064</v>
      </c>
      <c r="Q1697" s="8" t="e">
        <f>VLOOKUP(Table1[[#This Row],[Address A]],IP_Master[],4,FALSE)</f>
        <v>#N/A</v>
      </c>
      <c r="R1697" s="8" t="str">
        <f>VLOOKUP(Table1[[#This Row],[Address B]],IP_Master[],4,FALSE)</f>
        <v>PPPCPET4</v>
      </c>
      <c r="S1697" s="8" t="e">
        <f>VLOOKUP(Table1[[#This Row],[Address A]],IP_Master[],2,FALSE)</f>
        <v>#N/A</v>
      </c>
      <c r="T1697" s="8" t="str">
        <f>VLOOKUP(Table1[[#This Row],[Address B]],IP_Master[],2,FALSE)</f>
        <v>PETs Plant</v>
      </c>
      <c r="U1697" s="9" t="e">
        <f>VLOOKUP(Table1[[#This Row],[Address A]],IP_Master[],3,FALSE)</f>
        <v>#N/A</v>
      </c>
      <c r="V1697" s="9" t="str">
        <f>VLOOKUP(Table1[[#This Row],[Address B]],IP_Master[],3,FALSE)</f>
        <v>iFIX Nodes &amp; Ethernet Switches</v>
      </c>
      <c r="W1697" s="9" t="e">
        <f>VLOOKUP(Table1[[#This Row],[Port B]],traffic_types[],2,FALSE)</f>
        <v>#N/A</v>
      </c>
    </row>
    <row r="1698" spans="1:23" hidden="1" x14ac:dyDescent="0.6">
      <c r="A1698" t="s">
        <v>217</v>
      </c>
      <c r="B1698">
        <v>8081</v>
      </c>
      <c r="C1698" t="s">
        <v>55</v>
      </c>
      <c r="D1698">
        <v>4243</v>
      </c>
      <c r="E1698">
        <v>3</v>
      </c>
      <c r="F1698">
        <v>186</v>
      </c>
      <c r="G1698">
        <v>0</v>
      </c>
      <c r="H1698">
        <v>0</v>
      </c>
      <c r="I1698">
        <v>3</v>
      </c>
      <c r="J1698">
        <v>186</v>
      </c>
      <c r="K1698">
        <v>539.89980400000002</v>
      </c>
      <c r="L1698">
        <v>9.2143979999999601</v>
      </c>
      <c r="M1698">
        <v>0</v>
      </c>
      <c r="N1698">
        <v>161.48640421219099</v>
      </c>
      <c r="O1698" s="8" t="str">
        <f>formatIP(Table1[[#This Row],[Address A]])</f>
        <v>010.125.020.012</v>
      </c>
      <c r="P1698" s="8" t="str">
        <f>formatIP(Table1[[#This Row],[Address B]])</f>
        <v>010.012.000.064</v>
      </c>
      <c r="Q1698" s="8" t="e">
        <f>VLOOKUP(Table1[[#This Row],[Address A]],IP_Master[],4,FALSE)</f>
        <v>#N/A</v>
      </c>
      <c r="R1698" s="8" t="str">
        <f>VLOOKUP(Table1[[#This Row],[Address B]],IP_Master[],4,FALSE)</f>
        <v>PPPCPET4</v>
      </c>
      <c r="S1698" s="8" t="e">
        <f>VLOOKUP(Table1[[#This Row],[Address A]],IP_Master[],2,FALSE)</f>
        <v>#N/A</v>
      </c>
      <c r="T1698" s="8" t="str">
        <f>VLOOKUP(Table1[[#This Row],[Address B]],IP_Master[],2,FALSE)</f>
        <v>PETs Plant</v>
      </c>
      <c r="U1698" s="9" t="e">
        <f>VLOOKUP(Table1[[#This Row],[Address A]],IP_Master[],3,FALSE)</f>
        <v>#N/A</v>
      </c>
      <c r="V1698" s="9" t="str">
        <f>VLOOKUP(Table1[[#This Row],[Address B]],IP_Master[],3,FALSE)</f>
        <v>iFIX Nodes &amp; Ethernet Switches</v>
      </c>
      <c r="W1698" s="9" t="e">
        <f>VLOOKUP(Table1[[#This Row],[Port B]],traffic_types[],2,FALSE)</f>
        <v>#N/A</v>
      </c>
    </row>
    <row r="1699" spans="1:23" hidden="1" x14ac:dyDescent="0.6">
      <c r="A1699" t="s">
        <v>137</v>
      </c>
      <c r="B1699">
        <v>8083</v>
      </c>
      <c r="C1699" t="s">
        <v>201</v>
      </c>
      <c r="D1699">
        <v>3241</v>
      </c>
      <c r="E1699">
        <v>3</v>
      </c>
      <c r="F1699">
        <v>186</v>
      </c>
      <c r="G1699">
        <v>0</v>
      </c>
      <c r="H1699">
        <v>0</v>
      </c>
      <c r="I1699">
        <v>3</v>
      </c>
      <c r="J1699">
        <v>186</v>
      </c>
      <c r="K1699">
        <v>18.352454000000002</v>
      </c>
      <c r="L1699">
        <v>9.1514070000000007</v>
      </c>
      <c r="M1699">
        <v>0</v>
      </c>
      <c r="N1699">
        <v>162.59794805323401</v>
      </c>
      <c r="O1699" s="8" t="str">
        <f>formatIP(Table1[[#This Row],[Address A]])</f>
        <v>010.130.001.003</v>
      </c>
      <c r="P1699" s="8" t="str">
        <f>formatIP(Table1[[#This Row],[Address B]])</f>
        <v>010.012.000.186</v>
      </c>
      <c r="Q1699" s="8" t="e">
        <f>VLOOKUP(Table1[[#This Row],[Address A]],IP_Master[],4,FALSE)</f>
        <v>#N/A</v>
      </c>
      <c r="R1699" s="8" t="str">
        <f>VLOOKUP(Table1[[#This Row],[Address B]],IP_Master[],4,FALSE)</f>
        <v>PPPCRF6</v>
      </c>
      <c r="S1699" s="8" t="e">
        <f>VLOOKUP(Table1[[#This Row],[Address A]],IP_Master[],2,FALSE)</f>
        <v>#N/A</v>
      </c>
      <c r="T1699" s="8" t="str">
        <f>VLOOKUP(Table1[[#This Row],[Address B]],IP_Master[],2,FALSE)</f>
        <v>Refinery</v>
      </c>
      <c r="U1699" s="9" t="e">
        <f>VLOOKUP(Table1[[#This Row],[Address A]],IP_Master[],3,FALSE)</f>
        <v>#N/A</v>
      </c>
      <c r="V1699" s="9" t="str">
        <f>VLOOKUP(Table1[[#This Row],[Address B]],IP_Master[],3,FALSE)</f>
        <v>iFIX Nodes &amp; Ethernet Switches</v>
      </c>
      <c r="W1699" s="9" t="e">
        <f>VLOOKUP(Table1[[#This Row],[Port B]],traffic_types[],2,FALSE)</f>
        <v>#N/A</v>
      </c>
    </row>
    <row r="1700" spans="1:23" hidden="1" x14ac:dyDescent="0.6">
      <c r="A1700" t="s">
        <v>137</v>
      </c>
      <c r="B1700">
        <v>8083</v>
      </c>
      <c r="C1700" t="s">
        <v>49</v>
      </c>
      <c r="D1700">
        <v>4412</v>
      </c>
      <c r="E1700">
        <v>3</v>
      </c>
      <c r="F1700">
        <v>186</v>
      </c>
      <c r="G1700">
        <v>0</v>
      </c>
      <c r="H1700">
        <v>0</v>
      </c>
      <c r="I1700">
        <v>3</v>
      </c>
      <c r="J1700">
        <v>186</v>
      </c>
      <c r="K1700">
        <v>654.88319899999999</v>
      </c>
      <c r="L1700">
        <v>9.2456359999999904</v>
      </c>
      <c r="M1700">
        <v>0</v>
      </c>
      <c r="N1700">
        <v>160.94079412168099</v>
      </c>
      <c r="O1700" s="8" t="str">
        <f>formatIP(Table1[[#This Row],[Address A]])</f>
        <v>010.130.001.003</v>
      </c>
      <c r="P1700" s="8" t="str">
        <f>formatIP(Table1[[#This Row],[Address B]])</f>
        <v>010.012.000.190</v>
      </c>
      <c r="Q1700" s="8" t="e">
        <f>VLOOKUP(Table1[[#This Row],[Address A]],IP_Master[],4,FALSE)</f>
        <v>#N/A</v>
      </c>
      <c r="R1700" s="8" t="str">
        <f>VLOOKUP(Table1[[#This Row],[Address B]],IP_Master[],4,FALSE)</f>
        <v>PPPCRF10</v>
      </c>
      <c r="S1700" s="8" t="e">
        <f>VLOOKUP(Table1[[#This Row],[Address A]],IP_Master[],2,FALSE)</f>
        <v>#N/A</v>
      </c>
      <c r="T1700" s="8" t="str">
        <f>VLOOKUP(Table1[[#This Row],[Address B]],IP_Master[],2,FALSE)</f>
        <v>Refinery</v>
      </c>
      <c r="U1700" s="9" t="e">
        <f>VLOOKUP(Table1[[#This Row],[Address A]],IP_Master[],3,FALSE)</f>
        <v>#N/A</v>
      </c>
      <c r="V1700" s="9" t="str">
        <f>VLOOKUP(Table1[[#This Row],[Address B]],IP_Master[],3,FALSE)</f>
        <v>iFIX Nodes &amp; Ethernet Switches</v>
      </c>
      <c r="W1700" s="9" t="e">
        <f>VLOOKUP(Table1[[#This Row],[Port B]],traffic_types[],2,FALSE)</f>
        <v>#N/A</v>
      </c>
    </row>
    <row r="1701" spans="1:23" hidden="1" x14ac:dyDescent="0.6">
      <c r="A1701" t="s">
        <v>218</v>
      </c>
      <c r="B1701">
        <v>8081</v>
      </c>
      <c r="C1701" t="s">
        <v>55</v>
      </c>
      <c r="D1701">
        <v>4233</v>
      </c>
      <c r="E1701">
        <v>3</v>
      </c>
      <c r="F1701">
        <v>186</v>
      </c>
      <c r="G1701">
        <v>0</v>
      </c>
      <c r="H1701">
        <v>0</v>
      </c>
      <c r="I1701">
        <v>3</v>
      </c>
      <c r="J1701">
        <v>186</v>
      </c>
      <c r="K1701">
        <v>155.77017799999999</v>
      </c>
      <c r="L1701">
        <v>8.8869319999999998</v>
      </c>
      <c r="M1701">
        <v>0</v>
      </c>
      <c r="N1701">
        <v>167.43686122499901</v>
      </c>
      <c r="O1701" s="8" t="str">
        <f>formatIP(Table1[[#This Row],[Address A]])</f>
        <v>010.130.021.133</v>
      </c>
      <c r="P1701" s="8" t="str">
        <f>formatIP(Table1[[#This Row],[Address B]])</f>
        <v>010.012.000.064</v>
      </c>
      <c r="Q1701" s="8" t="e">
        <f>VLOOKUP(Table1[[#This Row],[Address A]],IP_Master[],4,FALSE)</f>
        <v>#N/A</v>
      </c>
      <c r="R1701" s="8" t="str">
        <f>VLOOKUP(Table1[[#This Row],[Address B]],IP_Master[],4,FALSE)</f>
        <v>PPPCPET4</v>
      </c>
      <c r="S1701" s="8" t="e">
        <f>VLOOKUP(Table1[[#This Row],[Address A]],IP_Master[],2,FALSE)</f>
        <v>#N/A</v>
      </c>
      <c r="T1701" s="8" t="str">
        <f>VLOOKUP(Table1[[#This Row],[Address B]],IP_Master[],2,FALSE)</f>
        <v>PETs Plant</v>
      </c>
      <c r="U1701" s="9" t="e">
        <f>VLOOKUP(Table1[[#This Row],[Address A]],IP_Master[],3,FALSE)</f>
        <v>#N/A</v>
      </c>
      <c r="V1701" s="9" t="str">
        <f>VLOOKUP(Table1[[#This Row],[Address B]],IP_Master[],3,FALSE)</f>
        <v>iFIX Nodes &amp; Ethernet Switches</v>
      </c>
      <c r="W1701" s="9" t="e">
        <f>VLOOKUP(Table1[[#This Row],[Port B]],traffic_types[],2,FALSE)</f>
        <v>#N/A</v>
      </c>
    </row>
    <row r="1702" spans="1:23" hidden="1" x14ac:dyDescent="0.6">
      <c r="A1702" t="s">
        <v>219</v>
      </c>
      <c r="B1702">
        <v>8081</v>
      </c>
      <c r="C1702" t="s">
        <v>55</v>
      </c>
      <c r="D1702">
        <v>4239</v>
      </c>
      <c r="E1702">
        <v>3</v>
      </c>
      <c r="F1702">
        <v>186</v>
      </c>
      <c r="G1702">
        <v>0</v>
      </c>
      <c r="H1702">
        <v>0</v>
      </c>
      <c r="I1702">
        <v>3</v>
      </c>
      <c r="J1702">
        <v>186</v>
      </c>
      <c r="K1702">
        <v>386.22596099999998</v>
      </c>
      <c r="L1702">
        <v>9.1063230000000299</v>
      </c>
      <c r="M1702">
        <v>0</v>
      </c>
      <c r="N1702">
        <v>163.402945403979</v>
      </c>
      <c r="O1702" s="8" t="str">
        <f>formatIP(Table1[[#This Row],[Address A]])</f>
        <v>010.134.001.007</v>
      </c>
      <c r="P1702" s="8" t="str">
        <f>formatIP(Table1[[#This Row],[Address B]])</f>
        <v>010.012.000.064</v>
      </c>
      <c r="Q1702" s="8" t="e">
        <f>VLOOKUP(Table1[[#This Row],[Address A]],IP_Master[],4,FALSE)</f>
        <v>#N/A</v>
      </c>
      <c r="R1702" s="8" t="str">
        <f>VLOOKUP(Table1[[#This Row],[Address B]],IP_Master[],4,FALSE)</f>
        <v>PPPCPET4</v>
      </c>
      <c r="S1702" s="8" t="e">
        <f>VLOOKUP(Table1[[#This Row],[Address A]],IP_Master[],2,FALSE)</f>
        <v>#N/A</v>
      </c>
      <c r="T1702" s="8" t="str">
        <f>VLOOKUP(Table1[[#This Row],[Address B]],IP_Master[],2,FALSE)</f>
        <v>PETs Plant</v>
      </c>
      <c r="U1702" s="9" t="e">
        <f>VLOOKUP(Table1[[#This Row],[Address A]],IP_Master[],3,FALSE)</f>
        <v>#N/A</v>
      </c>
      <c r="V1702" s="9" t="str">
        <f>VLOOKUP(Table1[[#This Row],[Address B]],IP_Master[],3,FALSE)</f>
        <v>iFIX Nodes &amp; Ethernet Switches</v>
      </c>
      <c r="W1702" s="9" t="e">
        <f>VLOOKUP(Table1[[#This Row],[Port B]],traffic_types[],2,FALSE)</f>
        <v>#N/A</v>
      </c>
    </row>
    <row r="1703" spans="1:23" hidden="1" x14ac:dyDescent="0.6">
      <c r="A1703" t="s">
        <v>220</v>
      </c>
      <c r="B1703">
        <v>8081</v>
      </c>
      <c r="C1703" t="s">
        <v>55</v>
      </c>
      <c r="D1703">
        <v>4234</v>
      </c>
      <c r="E1703">
        <v>3</v>
      </c>
      <c r="F1703">
        <v>186</v>
      </c>
      <c r="G1703">
        <v>0</v>
      </c>
      <c r="H1703">
        <v>0</v>
      </c>
      <c r="I1703">
        <v>3</v>
      </c>
      <c r="J1703">
        <v>186</v>
      </c>
      <c r="K1703">
        <v>193.942532</v>
      </c>
      <c r="L1703">
        <v>9.1056299999999908</v>
      </c>
      <c r="M1703">
        <v>0</v>
      </c>
      <c r="N1703">
        <v>163.41538147278101</v>
      </c>
      <c r="O1703" s="8" t="str">
        <f>formatIP(Table1[[#This Row],[Address A]])</f>
        <v>010.134.001.010</v>
      </c>
      <c r="P1703" s="8" t="str">
        <f>formatIP(Table1[[#This Row],[Address B]])</f>
        <v>010.012.000.064</v>
      </c>
      <c r="Q1703" s="8" t="e">
        <f>VLOOKUP(Table1[[#This Row],[Address A]],IP_Master[],4,FALSE)</f>
        <v>#N/A</v>
      </c>
      <c r="R1703" s="8" t="str">
        <f>VLOOKUP(Table1[[#This Row],[Address B]],IP_Master[],4,FALSE)</f>
        <v>PPPCPET4</v>
      </c>
      <c r="S1703" s="8" t="e">
        <f>VLOOKUP(Table1[[#This Row],[Address A]],IP_Master[],2,FALSE)</f>
        <v>#N/A</v>
      </c>
      <c r="T1703" s="8" t="str">
        <f>VLOOKUP(Table1[[#This Row],[Address B]],IP_Master[],2,FALSE)</f>
        <v>PETs Plant</v>
      </c>
      <c r="U1703" s="9" t="e">
        <f>VLOOKUP(Table1[[#This Row],[Address A]],IP_Master[],3,FALSE)</f>
        <v>#N/A</v>
      </c>
      <c r="V1703" s="9" t="str">
        <f>VLOOKUP(Table1[[#This Row],[Address B]],IP_Master[],3,FALSE)</f>
        <v>iFIX Nodes &amp; Ethernet Switches</v>
      </c>
      <c r="W1703" s="9" t="e">
        <f>VLOOKUP(Table1[[#This Row],[Port B]],traffic_types[],2,FALSE)</f>
        <v>#N/A</v>
      </c>
    </row>
    <row r="1704" spans="1:23" hidden="1" x14ac:dyDescent="0.6">
      <c r="A1704" t="s">
        <v>138</v>
      </c>
      <c r="B1704">
        <v>8083</v>
      </c>
      <c r="C1704" t="s">
        <v>201</v>
      </c>
      <c r="D1704">
        <v>3240</v>
      </c>
      <c r="E1704">
        <v>1</v>
      </c>
      <c r="F1704">
        <v>62</v>
      </c>
      <c r="G1704">
        <v>0</v>
      </c>
      <c r="H1704">
        <v>0</v>
      </c>
      <c r="I1704">
        <v>1</v>
      </c>
      <c r="J1704">
        <v>62</v>
      </c>
      <c r="K1704">
        <v>1.6912830000000001</v>
      </c>
      <c r="L1704">
        <v>0</v>
      </c>
      <c r="M1704">
        <v>0</v>
      </c>
      <c r="N1704">
        <v>0</v>
      </c>
      <c r="O1704" s="8" t="str">
        <f>formatIP(Table1[[#This Row],[Address A]])</f>
        <v>010.136.001.001</v>
      </c>
      <c r="P1704" s="8" t="str">
        <f>formatIP(Table1[[#This Row],[Address B]])</f>
        <v>010.012.000.186</v>
      </c>
      <c r="Q1704" s="8" t="e">
        <f>VLOOKUP(Table1[[#This Row],[Address A]],IP_Master[],4,FALSE)</f>
        <v>#N/A</v>
      </c>
      <c r="R1704" s="8" t="str">
        <f>VLOOKUP(Table1[[#This Row],[Address B]],IP_Master[],4,FALSE)</f>
        <v>PPPCRF6</v>
      </c>
      <c r="S1704" s="8" t="e">
        <f>VLOOKUP(Table1[[#This Row],[Address A]],IP_Master[],2,FALSE)</f>
        <v>#N/A</v>
      </c>
      <c r="T1704" s="8" t="str">
        <f>VLOOKUP(Table1[[#This Row],[Address B]],IP_Master[],2,FALSE)</f>
        <v>Refinery</v>
      </c>
      <c r="U1704" s="9" t="e">
        <f>VLOOKUP(Table1[[#This Row],[Address A]],IP_Master[],3,FALSE)</f>
        <v>#N/A</v>
      </c>
      <c r="V1704" s="9" t="str">
        <f>VLOOKUP(Table1[[#This Row],[Address B]],IP_Master[],3,FALSE)</f>
        <v>iFIX Nodes &amp; Ethernet Switches</v>
      </c>
      <c r="W1704" s="9" t="e">
        <f>VLOOKUP(Table1[[#This Row],[Port B]],traffic_types[],2,FALSE)</f>
        <v>#N/A</v>
      </c>
    </row>
    <row r="1705" spans="1:23" hidden="1" x14ac:dyDescent="0.6">
      <c r="A1705" t="s">
        <v>138</v>
      </c>
      <c r="B1705">
        <v>8083</v>
      </c>
      <c r="C1705" t="s">
        <v>51</v>
      </c>
      <c r="D1705">
        <v>1523</v>
      </c>
      <c r="E1705">
        <v>3</v>
      </c>
      <c r="F1705">
        <v>186</v>
      </c>
      <c r="G1705">
        <v>0</v>
      </c>
      <c r="H1705">
        <v>0</v>
      </c>
      <c r="I1705">
        <v>3</v>
      </c>
      <c r="J1705">
        <v>186</v>
      </c>
      <c r="K1705">
        <v>105.927725</v>
      </c>
      <c r="L1705">
        <v>8.9811200000000007</v>
      </c>
      <c r="M1705">
        <v>0</v>
      </c>
      <c r="N1705">
        <v>165.68089503313601</v>
      </c>
      <c r="O1705" s="8" t="str">
        <f>formatIP(Table1[[#This Row],[Address A]])</f>
        <v>010.136.001.001</v>
      </c>
      <c r="P1705" s="8" t="str">
        <f>formatIP(Table1[[#This Row],[Address B]])</f>
        <v>010.012.000.252</v>
      </c>
      <c r="Q1705" s="8" t="e">
        <f>VLOOKUP(Table1[[#This Row],[Address A]],IP_Master[],4,FALSE)</f>
        <v>#N/A</v>
      </c>
      <c r="R1705" s="8" t="str">
        <f>VLOOKUP(Table1[[#This Row],[Address B]],IP_Master[],4,FALSE)</f>
        <v>PP_FIX3</v>
      </c>
      <c r="S1705" s="8" t="e">
        <f>VLOOKUP(Table1[[#This Row],[Address A]],IP_Master[],2,FALSE)</f>
        <v>#N/A</v>
      </c>
      <c r="T1705" s="8" t="str">
        <f>VLOOKUP(Table1[[#This Row],[Address B]],IP_Master[],2,FALSE)</f>
        <v>Other ProcN Devices</v>
      </c>
      <c r="U1705" s="9" t="e">
        <f>VLOOKUP(Table1[[#This Row],[Address A]],IP_Master[],3,FALSE)</f>
        <v>#N/A</v>
      </c>
      <c r="V1705" s="9" t="str">
        <f>VLOOKUP(Table1[[#This Row],[Address B]],IP_Master[],3,FALSE)</f>
        <v>iFIX Nodes &amp; Ethernet Switches</v>
      </c>
      <c r="W1705" s="9" t="e">
        <f>VLOOKUP(Table1[[#This Row],[Port B]],traffic_types[],2,FALSE)</f>
        <v>#N/A</v>
      </c>
    </row>
    <row r="1706" spans="1:23" hidden="1" x14ac:dyDescent="0.6">
      <c r="A1706" t="s">
        <v>138</v>
      </c>
      <c r="B1706">
        <v>8083</v>
      </c>
      <c r="C1706" t="s">
        <v>51</v>
      </c>
      <c r="D1706">
        <v>1524</v>
      </c>
      <c r="E1706">
        <v>3</v>
      </c>
      <c r="F1706">
        <v>186</v>
      </c>
      <c r="G1706">
        <v>0</v>
      </c>
      <c r="H1706">
        <v>0</v>
      </c>
      <c r="I1706">
        <v>3</v>
      </c>
      <c r="J1706">
        <v>186</v>
      </c>
      <c r="K1706">
        <v>126.83315399999999</v>
      </c>
      <c r="L1706">
        <v>9.18544300000001</v>
      </c>
      <c r="M1706">
        <v>0</v>
      </c>
      <c r="N1706">
        <v>161.99545302278801</v>
      </c>
      <c r="O1706" s="8" t="str">
        <f>formatIP(Table1[[#This Row],[Address A]])</f>
        <v>010.136.001.001</v>
      </c>
      <c r="P1706" s="8" t="str">
        <f>formatIP(Table1[[#This Row],[Address B]])</f>
        <v>010.012.000.252</v>
      </c>
      <c r="Q1706" s="8" t="e">
        <f>VLOOKUP(Table1[[#This Row],[Address A]],IP_Master[],4,FALSE)</f>
        <v>#N/A</v>
      </c>
      <c r="R1706" s="8" t="str">
        <f>VLOOKUP(Table1[[#This Row],[Address B]],IP_Master[],4,FALSE)</f>
        <v>PP_FIX3</v>
      </c>
      <c r="S1706" s="8" t="e">
        <f>VLOOKUP(Table1[[#This Row],[Address A]],IP_Master[],2,FALSE)</f>
        <v>#N/A</v>
      </c>
      <c r="T1706" s="8" t="str">
        <f>VLOOKUP(Table1[[#This Row],[Address B]],IP_Master[],2,FALSE)</f>
        <v>Other ProcN Devices</v>
      </c>
      <c r="U1706" s="9" t="e">
        <f>VLOOKUP(Table1[[#This Row],[Address A]],IP_Master[],3,FALSE)</f>
        <v>#N/A</v>
      </c>
      <c r="V1706" s="9" t="str">
        <f>VLOOKUP(Table1[[#This Row],[Address B]],IP_Master[],3,FALSE)</f>
        <v>iFIX Nodes &amp; Ethernet Switches</v>
      </c>
      <c r="W1706" s="9" t="e">
        <f>VLOOKUP(Table1[[#This Row],[Port B]],traffic_types[],2,FALSE)</f>
        <v>#N/A</v>
      </c>
    </row>
    <row r="1707" spans="1:23" hidden="1" x14ac:dyDescent="0.6">
      <c r="A1707" t="s">
        <v>138</v>
      </c>
      <c r="B1707">
        <v>8083</v>
      </c>
      <c r="C1707" t="s">
        <v>49</v>
      </c>
      <c r="D1707">
        <v>4407</v>
      </c>
      <c r="E1707">
        <v>3</v>
      </c>
      <c r="F1707">
        <v>186</v>
      </c>
      <c r="G1707">
        <v>0</v>
      </c>
      <c r="H1707">
        <v>0</v>
      </c>
      <c r="I1707">
        <v>3</v>
      </c>
      <c r="J1707">
        <v>186</v>
      </c>
      <c r="K1707">
        <v>376.73832800000002</v>
      </c>
      <c r="L1707">
        <v>9.1361939999999908</v>
      </c>
      <c r="M1707">
        <v>0</v>
      </c>
      <c r="N1707">
        <v>162.86869565160299</v>
      </c>
      <c r="O1707" s="8" t="str">
        <f>formatIP(Table1[[#This Row],[Address A]])</f>
        <v>010.136.001.001</v>
      </c>
      <c r="P1707" s="8" t="str">
        <f>formatIP(Table1[[#This Row],[Address B]])</f>
        <v>010.012.000.190</v>
      </c>
      <c r="Q1707" s="8" t="e">
        <f>VLOOKUP(Table1[[#This Row],[Address A]],IP_Master[],4,FALSE)</f>
        <v>#N/A</v>
      </c>
      <c r="R1707" s="8" t="str">
        <f>VLOOKUP(Table1[[#This Row],[Address B]],IP_Master[],4,FALSE)</f>
        <v>PPPCRF10</v>
      </c>
      <c r="S1707" s="8" t="e">
        <f>VLOOKUP(Table1[[#This Row],[Address A]],IP_Master[],2,FALSE)</f>
        <v>#N/A</v>
      </c>
      <c r="T1707" s="8" t="str">
        <f>VLOOKUP(Table1[[#This Row],[Address B]],IP_Master[],2,FALSE)</f>
        <v>Refinery</v>
      </c>
      <c r="U1707" s="9" t="e">
        <f>VLOOKUP(Table1[[#This Row],[Address A]],IP_Master[],3,FALSE)</f>
        <v>#N/A</v>
      </c>
      <c r="V1707" s="9" t="str">
        <f>VLOOKUP(Table1[[#This Row],[Address B]],IP_Master[],3,FALSE)</f>
        <v>iFIX Nodes &amp; Ethernet Switches</v>
      </c>
      <c r="W1707" s="9" t="e">
        <f>VLOOKUP(Table1[[#This Row],[Port B]],traffic_types[],2,FALSE)</f>
        <v>#N/A</v>
      </c>
    </row>
    <row r="1708" spans="1:23" hidden="1" x14ac:dyDescent="0.6">
      <c r="A1708" t="s">
        <v>221</v>
      </c>
      <c r="B1708">
        <v>8081</v>
      </c>
      <c r="C1708" t="s">
        <v>55</v>
      </c>
      <c r="D1708">
        <v>4237</v>
      </c>
      <c r="E1708">
        <v>3</v>
      </c>
      <c r="F1708">
        <v>186</v>
      </c>
      <c r="G1708">
        <v>0</v>
      </c>
      <c r="H1708">
        <v>0</v>
      </c>
      <c r="I1708">
        <v>3</v>
      </c>
      <c r="J1708">
        <v>186</v>
      </c>
      <c r="K1708">
        <v>309.22553699999997</v>
      </c>
      <c r="L1708">
        <v>9.2155190000000307</v>
      </c>
      <c r="M1708">
        <v>0</v>
      </c>
      <c r="N1708">
        <v>161.466760580711</v>
      </c>
      <c r="O1708" s="8" t="str">
        <f>formatIP(Table1[[#This Row],[Address A]])</f>
        <v>010.136.001.003</v>
      </c>
      <c r="P1708" s="8" t="str">
        <f>formatIP(Table1[[#This Row],[Address B]])</f>
        <v>010.012.000.064</v>
      </c>
      <c r="Q1708" s="8" t="e">
        <f>VLOOKUP(Table1[[#This Row],[Address A]],IP_Master[],4,FALSE)</f>
        <v>#N/A</v>
      </c>
      <c r="R1708" s="8" t="str">
        <f>VLOOKUP(Table1[[#This Row],[Address B]],IP_Master[],4,FALSE)</f>
        <v>PPPCPET4</v>
      </c>
      <c r="S1708" s="8" t="e">
        <f>VLOOKUP(Table1[[#This Row],[Address A]],IP_Master[],2,FALSE)</f>
        <v>#N/A</v>
      </c>
      <c r="T1708" s="8" t="str">
        <f>VLOOKUP(Table1[[#This Row],[Address B]],IP_Master[],2,FALSE)</f>
        <v>PETs Plant</v>
      </c>
      <c r="U1708" s="9" t="e">
        <f>VLOOKUP(Table1[[#This Row],[Address A]],IP_Master[],3,FALSE)</f>
        <v>#N/A</v>
      </c>
      <c r="V1708" s="9" t="str">
        <f>VLOOKUP(Table1[[#This Row],[Address B]],IP_Master[],3,FALSE)</f>
        <v>iFIX Nodes &amp; Ethernet Switches</v>
      </c>
      <c r="W1708" s="9" t="e">
        <f>VLOOKUP(Table1[[#This Row],[Port B]],traffic_types[],2,FALSE)</f>
        <v>#N/A</v>
      </c>
    </row>
    <row r="1709" spans="1:23" hidden="1" x14ac:dyDescent="0.6">
      <c r="A1709" t="s">
        <v>221</v>
      </c>
      <c r="B1709">
        <v>8081</v>
      </c>
      <c r="C1709" t="s">
        <v>51</v>
      </c>
      <c r="D1709">
        <v>1539</v>
      </c>
      <c r="E1709">
        <v>3</v>
      </c>
      <c r="F1709">
        <v>186</v>
      </c>
      <c r="G1709">
        <v>0</v>
      </c>
      <c r="H1709">
        <v>0</v>
      </c>
      <c r="I1709">
        <v>3</v>
      </c>
      <c r="J1709">
        <v>186</v>
      </c>
      <c r="K1709">
        <v>504.76024799999999</v>
      </c>
      <c r="L1709">
        <v>9.0437589999999695</v>
      </c>
      <c r="M1709">
        <v>0</v>
      </c>
      <c r="N1709">
        <v>164.53335388526</v>
      </c>
      <c r="O1709" s="8" t="str">
        <f>formatIP(Table1[[#This Row],[Address A]])</f>
        <v>010.136.001.003</v>
      </c>
      <c r="P1709" s="8" t="str">
        <f>formatIP(Table1[[#This Row],[Address B]])</f>
        <v>010.012.000.252</v>
      </c>
      <c r="Q1709" s="8" t="e">
        <f>VLOOKUP(Table1[[#This Row],[Address A]],IP_Master[],4,FALSE)</f>
        <v>#N/A</v>
      </c>
      <c r="R1709" s="8" t="str">
        <f>VLOOKUP(Table1[[#This Row],[Address B]],IP_Master[],4,FALSE)</f>
        <v>PP_FIX3</v>
      </c>
      <c r="S1709" s="8" t="e">
        <f>VLOOKUP(Table1[[#This Row],[Address A]],IP_Master[],2,FALSE)</f>
        <v>#N/A</v>
      </c>
      <c r="T1709" s="8" t="str">
        <f>VLOOKUP(Table1[[#This Row],[Address B]],IP_Master[],2,FALSE)</f>
        <v>Other ProcN Devices</v>
      </c>
      <c r="U1709" s="9" t="e">
        <f>VLOOKUP(Table1[[#This Row],[Address A]],IP_Master[],3,FALSE)</f>
        <v>#N/A</v>
      </c>
      <c r="V1709" s="9" t="str">
        <f>VLOOKUP(Table1[[#This Row],[Address B]],IP_Master[],3,FALSE)</f>
        <v>iFIX Nodes &amp; Ethernet Switches</v>
      </c>
      <c r="W1709" s="9" t="e">
        <f>VLOOKUP(Table1[[#This Row],[Port B]],traffic_types[],2,FALSE)</f>
        <v>#N/A</v>
      </c>
    </row>
    <row r="1710" spans="1:23" hidden="1" x14ac:dyDescent="0.6">
      <c r="A1710" t="s">
        <v>222</v>
      </c>
      <c r="B1710">
        <v>8081</v>
      </c>
      <c r="C1710" t="s">
        <v>98</v>
      </c>
      <c r="D1710">
        <v>2394</v>
      </c>
      <c r="E1710">
        <v>3</v>
      </c>
      <c r="F1710">
        <v>186</v>
      </c>
      <c r="G1710">
        <v>0</v>
      </c>
      <c r="H1710">
        <v>0</v>
      </c>
      <c r="I1710">
        <v>3</v>
      </c>
      <c r="J1710">
        <v>186</v>
      </c>
      <c r="K1710">
        <v>95.663397000000003</v>
      </c>
      <c r="L1710">
        <v>9.0279170000000004</v>
      </c>
      <c r="M1710">
        <v>0</v>
      </c>
      <c r="N1710">
        <v>164.822073574668</v>
      </c>
      <c r="O1710" s="8" t="str">
        <f>formatIP(Table1[[#This Row],[Address A]])</f>
        <v>010.136.001.009</v>
      </c>
      <c r="P1710" s="8" t="str">
        <f>formatIP(Table1[[#This Row],[Address B]])</f>
        <v>010.012.000.007</v>
      </c>
      <c r="Q1710" s="8" t="e">
        <f>VLOOKUP(Table1[[#This Row],[Address A]],IP_Master[],4,FALSE)</f>
        <v>#N/A</v>
      </c>
      <c r="R1710" s="8" t="str">
        <f>VLOOKUP(Table1[[#This Row],[Address B]],IP_Master[],4,FALSE)</f>
        <v>PPPCFC7</v>
      </c>
      <c r="S1710" s="8" t="e">
        <f>VLOOKUP(Table1[[#This Row],[Address A]],IP_Master[],2,FALSE)</f>
        <v>#N/A</v>
      </c>
      <c r="T1710" s="8" t="str">
        <f>VLOOKUP(Table1[[#This Row],[Address B]],IP_Master[],2,FALSE)</f>
        <v>Fume Control</v>
      </c>
      <c r="U1710" s="9" t="e">
        <f>VLOOKUP(Table1[[#This Row],[Address A]],IP_Master[],3,FALSE)</f>
        <v>#N/A</v>
      </c>
      <c r="V1710" s="9" t="str">
        <f>VLOOKUP(Table1[[#This Row],[Address B]],IP_Master[],3,FALSE)</f>
        <v>iFIX Nodes &amp; Ethernet Switches</v>
      </c>
      <c r="W1710" s="9" t="e">
        <f>VLOOKUP(Table1[[#This Row],[Port B]],traffic_types[],2,FALSE)</f>
        <v>#N/A</v>
      </c>
    </row>
    <row r="1711" spans="1:23" hidden="1" x14ac:dyDescent="0.6">
      <c r="A1711" t="s">
        <v>222</v>
      </c>
      <c r="B1711">
        <v>8081</v>
      </c>
      <c r="C1711" t="s">
        <v>98</v>
      </c>
      <c r="D1711">
        <v>2395</v>
      </c>
      <c r="E1711">
        <v>3</v>
      </c>
      <c r="F1711">
        <v>186</v>
      </c>
      <c r="G1711">
        <v>0</v>
      </c>
      <c r="H1711">
        <v>0</v>
      </c>
      <c r="I1711">
        <v>3</v>
      </c>
      <c r="J1711">
        <v>186</v>
      </c>
      <c r="K1711">
        <v>116.722019</v>
      </c>
      <c r="L1711">
        <v>9.0775159999999993</v>
      </c>
      <c r="M1711">
        <v>0</v>
      </c>
      <c r="N1711">
        <v>163.92149570433099</v>
      </c>
      <c r="O1711" s="8" t="str">
        <f>formatIP(Table1[[#This Row],[Address A]])</f>
        <v>010.136.001.009</v>
      </c>
      <c r="P1711" s="8" t="str">
        <f>formatIP(Table1[[#This Row],[Address B]])</f>
        <v>010.012.000.007</v>
      </c>
      <c r="Q1711" s="8" t="e">
        <f>VLOOKUP(Table1[[#This Row],[Address A]],IP_Master[],4,FALSE)</f>
        <v>#N/A</v>
      </c>
      <c r="R1711" s="8" t="str">
        <f>VLOOKUP(Table1[[#This Row],[Address B]],IP_Master[],4,FALSE)</f>
        <v>PPPCFC7</v>
      </c>
      <c r="S1711" s="8" t="e">
        <f>VLOOKUP(Table1[[#This Row],[Address A]],IP_Master[],2,FALSE)</f>
        <v>#N/A</v>
      </c>
      <c r="T1711" s="8" t="str">
        <f>VLOOKUP(Table1[[#This Row],[Address B]],IP_Master[],2,FALSE)</f>
        <v>Fume Control</v>
      </c>
      <c r="U1711" s="9" t="e">
        <f>VLOOKUP(Table1[[#This Row],[Address A]],IP_Master[],3,FALSE)</f>
        <v>#N/A</v>
      </c>
      <c r="V1711" s="9" t="str">
        <f>VLOOKUP(Table1[[#This Row],[Address B]],IP_Master[],3,FALSE)</f>
        <v>iFIX Nodes &amp; Ethernet Switches</v>
      </c>
      <c r="W1711" s="9" t="e">
        <f>VLOOKUP(Table1[[#This Row],[Port B]],traffic_types[],2,FALSE)</f>
        <v>#N/A</v>
      </c>
    </row>
    <row r="1712" spans="1:23" hidden="1" x14ac:dyDescent="0.6">
      <c r="A1712" t="s">
        <v>223</v>
      </c>
      <c r="B1712">
        <v>8081</v>
      </c>
      <c r="C1712" t="s">
        <v>55</v>
      </c>
      <c r="D1712">
        <v>4238</v>
      </c>
      <c r="E1712">
        <v>3</v>
      </c>
      <c r="F1712">
        <v>186</v>
      </c>
      <c r="G1712">
        <v>0</v>
      </c>
      <c r="H1712">
        <v>0</v>
      </c>
      <c r="I1712">
        <v>3</v>
      </c>
      <c r="J1712">
        <v>186</v>
      </c>
      <c r="K1712">
        <v>347.83516600000002</v>
      </c>
      <c r="L1712">
        <v>9.1052599999999906</v>
      </c>
      <c r="M1712">
        <v>0</v>
      </c>
      <c r="N1712">
        <v>163.42202199607701</v>
      </c>
      <c r="O1712" s="8" t="str">
        <f>formatIP(Table1[[#This Row],[Address A]])</f>
        <v>010.136.001.011</v>
      </c>
      <c r="P1712" s="8" t="str">
        <f>formatIP(Table1[[#This Row],[Address B]])</f>
        <v>010.012.000.064</v>
      </c>
      <c r="Q1712" s="8" t="e">
        <f>VLOOKUP(Table1[[#This Row],[Address A]],IP_Master[],4,FALSE)</f>
        <v>#N/A</v>
      </c>
      <c r="R1712" s="8" t="str">
        <f>VLOOKUP(Table1[[#This Row],[Address B]],IP_Master[],4,FALSE)</f>
        <v>PPPCPET4</v>
      </c>
      <c r="S1712" s="8" t="e">
        <f>VLOOKUP(Table1[[#This Row],[Address A]],IP_Master[],2,FALSE)</f>
        <v>#N/A</v>
      </c>
      <c r="T1712" s="8" t="str">
        <f>VLOOKUP(Table1[[#This Row],[Address B]],IP_Master[],2,FALSE)</f>
        <v>PETs Plant</v>
      </c>
      <c r="U1712" s="9" t="e">
        <f>VLOOKUP(Table1[[#This Row],[Address A]],IP_Master[],3,FALSE)</f>
        <v>#N/A</v>
      </c>
      <c r="V1712" s="9" t="str">
        <f>VLOOKUP(Table1[[#This Row],[Address B]],IP_Master[],3,FALSE)</f>
        <v>iFIX Nodes &amp; Ethernet Switches</v>
      </c>
      <c r="W1712" s="9" t="e">
        <f>VLOOKUP(Table1[[#This Row],[Port B]],traffic_types[],2,FALSE)</f>
        <v>#N/A</v>
      </c>
    </row>
    <row r="1713" spans="1:23" hidden="1" x14ac:dyDescent="0.6">
      <c r="A1713" t="s">
        <v>223</v>
      </c>
      <c r="B1713">
        <v>8081</v>
      </c>
      <c r="C1713" t="s">
        <v>51</v>
      </c>
      <c r="D1713">
        <v>1540</v>
      </c>
      <c r="E1713">
        <v>3</v>
      </c>
      <c r="F1713">
        <v>186</v>
      </c>
      <c r="G1713">
        <v>0</v>
      </c>
      <c r="H1713">
        <v>0</v>
      </c>
      <c r="I1713">
        <v>3</v>
      </c>
      <c r="J1713">
        <v>186</v>
      </c>
      <c r="K1713">
        <v>525.83746900000006</v>
      </c>
      <c r="L1713">
        <v>9.0761349999999101</v>
      </c>
      <c r="M1713">
        <v>0</v>
      </c>
      <c r="N1713">
        <v>163.946437552991</v>
      </c>
      <c r="O1713" s="8" t="str">
        <f>formatIP(Table1[[#This Row],[Address A]])</f>
        <v>010.136.001.011</v>
      </c>
      <c r="P1713" s="8" t="str">
        <f>formatIP(Table1[[#This Row],[Address B]])</f>
        <v>010.012.000.252</v>
      </c>
      <c r="Q1713" s="8" t="e">
        <f>VLOOKUP(Table1[[#This Row],[Address A]],IP_Master[],4,FALSE)</f>
        <v>#N/A</v>
      </c>
      <c r="R1713" s="8" t="str">
        <f>VLOOKUP(Table1[[#This Row],[Address B]],IP_Master[],4,FALSE)</f>
        <v>PP_FIX3</v>
      </c>
      <c r="S1713" s="8" t="e">
        <f>VLOOKUP(Table1[[#This Row],[Address A]],IP_Master[],2,FALSE)</f>
        <v>#N/A</v>
      </c>
      <c r="T1713" s="8" t="str">
        <f>VLOOKUP(Table1[[#This Row],[Address B]],IP_Master[],2,FALSE)</f>
        <v>Other ProcN Devices</v>
      </c>
      <c r="U1713" s="9" t="e">
        <f>VLOOKUP(Table1[[#This Row],[Address A]],IP_Master[],3,FALSE)</f>
        <v>#N/A</v>
      </c>
      <c r="V1713" s="9" t="str">
        <f>VLOOKUP(Table1[[#This Row],[Address B]],IP_Master[],3,FALSE)</f>
        <v>iFIX Nodes &amp; Ethernet Switches</v>
      </c>
      <c r="W1713" s="9" t="e">
        <f>VLOOKUP(Table1[[#This Row],[Port B]],traffic_types[],2,FALSE)</f>
        <v>#N/A</v>
      </c>
    </row>
    <row r="1714" spans="1:23" hidden="1" x14ac:dyDescent="0.6">
      <c r="A1714" t="s">
        <v>125</v>
      </c>
      <c r="B1714">
        <v>8083</v>
      </c>
      <c r="C1714" t="s">
        <v>201</v>
      </c>
      <c r="D1714">
        <v>3242</v>
      </c>
      <c r="E1714">
        <v>3</v>
      </c>
      <c r="F1714">
        <v>186</v>
      </c>
      <c r="G1714">
        <v>0</v>
      </c>
      <c r="H1714">
        <v>0</v>
      </c>
      <c r="I1714">
        <v>3</v>
      </c>
      <c r="J1714">
        <v>186</v>
      </c>
      <c r="K1714">
        <v>44.165052000000003</v>
      </c>
      <c r="L1714">
        <v>8.9326059999999998</v>
      </c>
      <c r="M1714">
        <v>0</v>
      </c>
      <c r="N1714">
        <v>166.58072683380399</v>
      </c>
      <c r="O1714" s="8" t="str">
        <f>formatIP(Table1[[#This Row],[Address A]])</f>
        <v>010.238.101.079</v>
      </c>
      <c r="P1714" s="8" t="str">
        <f>formatIP(Table1[[#This Row],[Address B]])</f>
        <v>010.012.000.186</v>
      </c>
      <c r="Q1714" s="8" t="e">
        <f>VLOOKUP(Table1[[#This Row],[Address A]],IP_Master[],4,FALSE)</f>
        <v>#N/A</v>
      </c>
      <c r="R1714" s="8" t="str">
        <f>VLOOKUP(Table1[[#This Row],[Address B]],IP_Master[],4,FALSE)</f>
        <v>PPPCRF6</v>
      </c>
      <c r="S1714" s="8" t="e">
        <f>VLOOKUP(Table1[[#This Row],[Address A]],IP_Master[],2,FALSE)</f>
        <v>#N/A</v>
      </c>
      <c r="T1714" s="8" t="str">
        <f>VLOOKUP(Table1[[#This Row],[Address B]],IP_Master[],2,FALSE)</f>
        <v>Refinery</v>
      </c>
      <c r="U1714" s="9" t="e">
        <f>VLOOKUP(Table1[[#This Row],[Address A]],IP_Master[],3,FALSE)</f>
        <v>#N/A</v>
      </c>
      <c r="V1714" s="9" t="str">
        <f>VLOOKUP(Table1[[#This Row],[Address B]],IP_Master[],3,FALSE)</f>
        <v>iFIX Nodes &amp; Ethernet Switches</v>
      </c>
      <c r="W1714" s="9" t="e">
        <f>VLOOKUP(Table1[[#This Row],[Port B]],traffic_types[],2,FALSE)</f>
        <v>#N/A</v>
      </c>
    </row>
    <row r="1715" spans="1:23" x14ac:dyDescent="0.6">
      <c r="A1715" t="s">
        <v>224</v>
      </c>
      <c r="B1715">
        <v>59835</v>
      </c>
      <c r="C1715" t="s">
        <v>225</v>
      </c>
      <c r="D1715">
        <v>80</v>
      </c>
      <c r="E1715">
        <v>2</v>
      </c>
      <c r="F1715">
        <v>128</v>
      </c>
      <c r="G1715">
        <v>2</v>
      </c>
      <c r="H1715">
        <v>128</v>
      </c>
      <c r="I1715">
        <v>0</v>
      </c>
      <c r="J1715">
        <v>0</v>
      </c>
      <c r="K1715">
        <v>0.27232800000000001</v>
      </c>
      <c r="L1715">
        <v>5.9986899999999999</v>
      </c>
      <c r="M1715">
        <v>170.703937026251</v>
      </c>
      <c r="N1715">
        <v>0</v>
      </c>
      <c r="O1715" s="8" t="str">
        <f>formatIP(Table1[[#This Row],[Address A]])</f>
        <v>192.168.100.002</v>
      </c>
      <c r="P1715" s="8" t="str">
        <f>formatIP(Table1[[#This Row],[Address B]])</f>
        <v>111.221.077.162</v>
      </c>
      <c r="Q1715" s="8" t="e">
        <f>VLOOKUP(Table1[[#This Row],[Address A]],IP_Master[],4,FALSE)</f>
        <v>#N/A</v>
      </c>
      <c r="R1715" s="8" t="e">
        <f>VLOOKUP(Table1[[#This Row],[Address B]],IP_Master[],4,FALSE)</f>
        <v>#N/A</v>
      </c>
      <c r="S1715" s="8" t="e">
        <f>VLOOKUP(Table1[[#This Row],[Address A]],IP_Master[],2,FALSE)</f>
        <v>#N/A</v>
      </c>
      <c r="T1715" s="8" t="e">
        <f>VLOOKUP(Table1[[#This Row],[Address B]],IP_Master[],2,FALSE)</f>
        <v>#N/A</v>
      </c>
      <c r="U1715" s="9" t="e">
        <f>VLOOKUP(Table1[[#This Row],[Address A]],IP_Master[],3,FALSE)</f>
        <v>#N/A</v>
      </c>
      <c r="V1715" s="9" t="e">
        <f>VLOOKUP(Table1[[#This Row],[Address B]],IP_Master[],3,FALSE)</f>
        <v>#N/A</v>
      </c>
      <c r="W1715" s="9" t="str">
        <f>VLOOKUP(Table1[[#This Row],[Port B]],traffic_types[],2,FALSE)</f>
        <v>HTTP</v>
      </c>
    </row>
    <row r="1716" spans="1:23" x14ac:dyDescent="0.6">
      <c r="A1716" t="s">
        <v>224</v>
      </c>
      <c r="B1716">
        <v>59836</v>
      </c>
      <c r="C1716" t="s">
        <v>226</v>
      </c>
      <c r="D1716">
        <v>443</v>
      </c>
      <c r="E1716">
        <v>2</v>
      </c>
      <c r="F1716">
        <v>128</v>
      </c>
      <c r="G1716">
        <v>2</v>
      </c>
      <c r="H1716">
        <v>128</v>
      </c>
      <c r="I1716">
        <v>0</v>
      </c>
      <c r="J1716">
        <v>0</v>
      </c>
      <c r="K1716">
        <v>0.71109299999999998</v>
      </c>
      <c r="L1716">
        <v>6.0317299999999996</v>
      </c>
      <c r="M1716">
        <v>169.76887228042401</v>
      </c>
      <c r="N1716">
        <v>0</v>
      </c>
      <c r="O1716" s="8" t="str">
        <f>formatIP(Table1[[#This Row],[Address A]])</f>
        <v>192.168.100.002</v>
      </c>
      <c r="P1716" s="8" t="str">
        <f>formatIP(Table1[[#This Row],[Address B]])</f>
        <v>157.056.052.020</v>
      </c>
      <c r="Q1716" s="8" t="e">
        <f>VLOOKUP(Table1[[#This Row],[Address A]],IP_Master[],4,FALSE)</f>
        <v>#N/A</v>
      </c>
      <c r="R1716" s="8" t="e">
        <f>VLOOKUP(Table1[[#This Row],[Address B]],IP_Master[],4,FALSE)</f>
        <v>#N/A</v>
      </c>
      <c r="S1716" s="8" t="e">
        <f>VLOOKUP(Table1[[#This Row],[Address A]],IP_Master[],2,FALSE)</f>
        <v>#N/A</v>
      </c>
      <c r="T1716" s="8" t="e">
        <f>VLOOKUP(Table1[[#This Row],[Address B]],IP_Master[],2,FALSE)</f>
        <v>#N/A</v>
      </c>
      <c r="U1716" s="9" t="e">
        <f>VLOOKUP(Table1[[#This Row],[Address A]],IP_Master[],3,FALSE)</f>
        <v>#N/A</v>
      </c>
      <c r="V1716" s="9" t="e">
        <f>VLOOKUP(Table1[[#This Row],[Address B]],IP_Master[],3,FALSE)</f>
        <v>#N/A</v>
      </c>
      <c r="W1716" s="9" t="str">
        <f>VLOOKUP(Table1[[#This Row],[Port B]],traffic_types[],2,FALSE)</f>
        <v>HTTP/S</v>
      </c>
    </row>
    <row r="1717" spans="1:23" hidden="1" x14ac:dyDescent="0.6">
      <c r="A1717" t="s">
        <v>224</v>
      </c>
      <c r="B1717">
        <v>59837</v>
      </c>
      <c r="C1717" t="s">
        <v>227</v>
      </c>
      <c r="D1717">
        <v>40031</v>
      </c>
      <c r="E1717">
        <v>2</v>
      </c>
      <c r="F1717">
        <v>128</v>
      </c>
      <c r="G1717">
        <v>2</v>
      </c>
      <c r="H1717">
        <v>128</v>
      </c>
      <c r="I1717">
        <v>0</v>
      </c>
      <c r="J1717">
        <v>0</v>
      </c>
      <c r="K1717">
        <v>1.1708860000000001</v>
      </c>
      <c r="L1717">
        <v>6.0024119999999996</v>
      </c>
      <c r="M1717">
        <v>170.598086236</v>
      </c>
      <c r="N1717">
        <v>0</v>
      </c>
      <c r="O1717" s="8" t="str">
        <f>formatIP(Table1[[#This Row],[Address A]])</f>
        <v>192.168.100.002</v>
      </c>
      <c r="P1717" s="8" t="str">
        <f>formatIP(Table1[[#This Row],[Address B]])</f>
        <v>157.055.235.176</v>
      </c>
      <c r="Q1717" s="8" t="e">
        <f>VLOOKUP(Table1[[#This Row],[Address A]],IP_Master[],4,FALSE)</f>
        <v>#N/A</v>
      </c>
      <c r="R1717" s="8" t="e">
        <f>VLOOKUP(Table1[[#This Row],[Address B]],IP_Master[],4,FALSE)</f>
        <v>#N/A</v>
      </c>
      <c r="S1717" s="8" t="e">
        <f>VLOOKUP(Table1[[#This Row],[Address A]],IP_Master[],2,FALSE)</f>
        <v>#N/A</v>
      </c>
      <c r="T1717" s="8" t="e">
        <f>VLOOKUP(Table1[[#This Row],[Address B]],IP_Master[],2,FALSE)</f>
        <v>#N/A</v>
      </c>
      <c r="U1717" s="9" t="e">
        <f>VLOOKUP(Table1[[#This Row],[Address A]],IP_Master[],3,FALSE)</f>
        <v>#N/A</v>
      </c>
      <c r="V1717" s="9" t="e">
        <f>VLOOKUP(Table1[[#This Row],[Address B]],IP_Master[],3,FALSE)</f>
        <v>#N/A</v>
      </c>
      <c r="W1717" s="9" t="e">
        <f>VLOOKUP(Table1[[#This Row],[Port B]],traffic_types[],2,FALSE)</f>
        <v>#N/A</v>
      </c>
    </row>
    <row r="1718" spans="1:23" hidden="1" x14ac:dyDescent="0.6">
      <c r="A1718" t="s">
        <v>224</v>
      </c>
      <c r="B1718">
        <v>59841</v>
      </c>
      <c r="C1718" t="s">
        <v>228</v>
      </c>
      <c r="D1718">
        <v>40003</v>
      </c>
      <c r="E1718">
        <v>3</v>
      </c>
      <c r="F1718">
        <v>194</v>
      </c>
      <c r="G1718">
        <v>3</v>
      </c>
      <c r="H1718">
        <v>194</v>
      </c>
      <c r="I1718">
        <v>0</v>
      </c>
      <c r="J1718">
        <v>0</v>
      </c>
      <c r="K1718">
        <v>1.202245</v>
      </c>
      <c r="L1718">
        <v>9.0028410000000001</v>
      </c>
      <c r="M1718">
        <v>172.39002665936201</v>
      </c>
      <c r="N1718">
        <v>0</v>
      </c>
      <c r="O1718" s="8" t="str">
        <f>formatIP(Table1[[#This Row],[Address A]])</f>
        <v>192.168.100.002</v>
      </c>
      <c r="P1718" s="8" t="str">
        <f>formatIP(Table1[[#This Row],[Address B]])</f>
        <v>157.055.056.156</v>
      </c>
      <c r="Q1718" s="8" t="e">
        <f>VLOOKUP(Table1[[#This Row],[Address A]],IP_Master[],4,FALSE)</f>
        <v>#N/A</v>
      </c>
      <c r="R1718" s="8" t="e">
        <f>VLOOKUP(Table1[[#This Row],[Address B]],IP_Master[],4,FALSE)</f>
        <v>#N/A</v>
      </c>
      <c r="S1718" s="8" t="e">
        <f>VLOOKUP(Table1[[#This Row],[Address A]],IP_Master[],2,FALSE)</f>
        <v>#N/A</v>
      </c>
      <c r="T1718" s="8" t="e">
        <f>VLOOKUP(Table1[[#This Row],[Address B]],IP_Master[],2,FALSE)</f>
        <v>#N/A</v>
      </c>
      <c r="U1718" s="9" t="e">
        <f>VLOOKUP(Table1[[#This Row],[Address A]],IP_Master[],3,FALSE)</f>
        <v>#N/A</v>
      </c>
      <c r="V1718" s="9" t="e">
        <f>VLOOKUP(Table1[[#This Row],[Address B]],IP_Master[],3,FALSE)</f>
        <v>#N/A</v>
      </c>
      <c r="W1718" s="9" t="e">
        <f>VLOOKUP(Table1[[#This Row],[Port B]],traffic_types[],2,FALSE)</f>
        <v>#N/A</v>
      </c>
    </row>
    <row r="1719" spans="1:23" x14ac:dyDescent="0.6">
      <c r="A1719" t="s">
        <v>224</v>
      </c>
      <c r="B1719">
        <v>59838</v>
      </c>
      <c r="C1719" t="s">
        <v>229</v>
      </c>
      <c r="D1719">
        <v>80</v>
      </c>
      <c r="E1719">
        <v>2</v>
      </c>
      <c r="F1719">
        <v>128</v>
      </c>
      <c r="G1719">
        <v>2</v>
      </c>
      <c r="H1719">
        <v>128</v>
      </c>
      <c r="I1719">
        <v>0</v>
      </c>
      <c r="J1719">
        <v>0</v>
      </c>
      <c r="K1719">
        <v>1.3112649999999999</v>
      </c>
      <c r="L1719">
        <v>6.0018580000000004</v>
      </c>
      <c r="M1719">
        <v>170.613833249637</v>
      </c>
      <c r="N1719">
        <v>0</v>
      </c>
      <c r="O1719" s="8" t="str">
        <f>formatIP(Table1[[#This Row],[Address A]])</f>
        <v>192.168.100.002</v>
      </c>
      <c r="P1719" s="8" t="str">
        <f>formatIP(Table1[[#This Row],[Address B]])</f>
        <v>157.056.052.013</v>
      </c>
      <c r="Q1719" s="8" t="e">
        <f>VLOOKUP(Table1[[#This Row],[Address A]],IP_Master[],4,FALSE)</f>
        <v>#N/A</v>
      </c>
      <c r="R1719" s="8" t="e">
        <f>VLOOKUP(Table1[[#This Row],[Address B]],IP_Master[],4,FALSE)</f>
        <v>#N/A</v>
      </c>
      <c r="S1719" s="8" t="e">
        <f>VLOOKUP(Table1[[#This Row],[Address A]],IP_Master[],2,FALSE)</f>
        <v>#N/A</v>
      </c>
      <c r="T1719" s="8" t="e">
        <f>VLOOKUP(Table1[[#This Row],[Address B]],IP_Master[],2,FALSE)</f>
        <v>#N/A</v>
      </c>
      <c r="U1719" s="9" t="e">
        <f>VLOOKUP(Table1[[#This Row],[Address A]],IP_Master[],3,FALSE)</f>
        <v>#N/A</v>
      </c>
      <c r="V1719" s="9" t="e">
        <f>VLOOKUP(Table1[[#This Row],[Address B]],IP_Master[],3,FALSE)</f>
        <v>#N/A</v>
      </c>
      <c r="W1719" s="9" t="str">
        <f>VLOOKUP(Table1[[#This Row],[Port B]],traffic_types[],2,FALSE)</f>
        <v>HTTP</v>
      </c>
    </row>
    <row r="1720" spans="1:23" x14ac:dyDescent="0.6">
      <c r="A1720" t="s">
        <v>224</v>
      </c>
      <c r="B1720">
        <v>59842</v>
      </c>
      <c r="C1720" t="s">
        <v>227</v>
      </c>
      <c r="D1720">
        <v>80</v>
      </c>
      <c r="E1720">
        <v>3</v>
      </c>
      <c r="F1720">
        <v>194</v>
      </c>
      <c r="G1720">
        <v>3</v>
      </c>
      <c r="H1720">
        <v>194</v>
      </c>
      <c r="I1720">
        <v>0</v>
      </c>
      <c r="J1720">
        <v>0</v>
      </c>
      <c r="K1720">
        <v>1.37243</v>
      </c>
      <c r="L1720">
        <v>9.0006719999999998</v>
      </c>
      <c r="M1720">
        <v>172.431569553918</v>
      </c>
      <c r="N1720">
        <v>0</v>
      </c>
      <c r="O1720" s="8" t="str">
        <f>formatIP(Table1[[#This Row],[Address A]])</f>
        <v>192.168.100.002</v>
      </c>
      <c r="P1720" s="8" t="str">
        <f>formatIP(Table1[[#This Row],[Address B]])</f>
        <v>157.055.235.176</v>
      </c>
      <c r="Q1720" s="8" t="e">
        <f>VLOOKUP(Table1[[#This Row],[Address A]],IP_Master[],4,FALSE)</f>
        <v>#N/A</v>
      </c>
      <c r="R1720" s="8" t="e">
        <f>VLOOKUP(Table1[[#This Row],[Address B]],IP_Master[],4,FALSE)</f>
        <v>#N/A</v>
      </c>
      <c r="S1720" s="8" t="e">
        <f>VLOOKUP(Table1[[#This Row],[Address A]],IP_Master[],2,FALSE)</f>
        <v>#N/A</v>
      </c>
      <c r="T1720" s="8" t="e">
        <f>VLOOKUP(Table1[[#This Row],[Address B]],IP_Master[],2,FALSE)</f>
        <v>#N/A</v>
      </c>
      <c r="U1720" s="9" t="e">
        <f>VLOOKUP(Table1[[#This Row],[Address A]],IP_Master[],3,FALSE)</f>
        <v>#N/A</v>
      </c>
      <c r="V1720" s="9" t="e">
        <f>VLOOKUP(Table1[[#This Row],[Address B]],IP_Master[],3,FALSE)</f>
        <v>#N/A</v>
      </c>
      <c r="W1720" s="9" t="str">
        <f>VLOOKUP(Table1[[#This Row],[Port B]],traffic_types[],2,FALSE)</f>
        <v>HTTP</v>
      </c>
    </row>
    <row r="1721" spans="1:23" x14ac:dyDescent="0.6">
      <c r="A1721" t="s">
        <v>224</v>
      </c>
      <c r="B1721">
        <v>59839</v>
      </c>
      <c r="C1721" t="s">
        <v>226</v>
      </c>
      <c r="D1721">
        <v>80</v>
      </c>
      <c r="E1721">
        <v>2</v>
      </c>
      <c r="F1721">
        <v>128</v>
      </c>
      <c r="G1721">
        <v>2</v>
      </c>
      <c r="H1721">
        <v>128</v>
      </c>
      <c r="I1721">
        <v>0</v>
      </c>
      <c r="J1721">
        <v>0</v>
      </c>
      <c r="K1721">
        <v>2.3209330000000001</v>
      </c>
      <c r="L1721">
        <v>6.0320359999999997</v>
      </c>
      <c r="M1721">
        <v>169.76026005149799</v>
      </c>
      <c r="N1721">
        <v>0</v>
      </c>
      <c r="O1721" s="8" t="str">
        <f>formatIP(Table1[[#This Row],[Address A]])</f>
        <v>192.168.100.002</v>
      </c>
      <c r="P1721" s="8" t="str">
        <f>formatIP(Table1[[#This Row],[Address B]])</f>
        <v>157.056.052.020</v>
      </c>
      <c r="Q1721" s="8" t="e">
        <f>VLOOKUP(Table1[[#This Row],[Address A]],IP_Master[],4,FALSE)</f>
        <v>#N/A</v>
      </c>
      <c r="R1721" s="8" t="e">
        <f>VLOOKUP(Table1[[#This Row],[Address B]],IP_Master[],4,FALSE)</f>
        <v>#N/A</v>
      </c>
      <c r="S1721" s="8" t="e">
        <f>VLOOKUP(Table1[[#This Row],[Address A]],IP_Master[],2,FALSE)</f>
        <v>#N/A</v>
      </c>
      <c r="T1721" s="8" t="e">
        <f>VLOOKUP(Table1[[#This Row],[Address B]],IP_Master[],2,FALSE)</f>
        <v>#N/A</v>
      </c>
      <c r="U1721" s="9" t="e">
        <f>VLOOKUP(Table1[[#This Row],[Address A]],IP_Master[],3,FALSE)</f>
        <v>#N/A</v>
      </c>
      <c r="V1721" s="9" t="e">
        <f>VLOOKUP(Table1[[#This Row],[Address B]],IP_Master[],3,FALSE)</f>
        <v>#N/A</v>
      </c>
      <c r="W1721" s="9" t="str">
        <f>VLOOKUP(Table1[[#This Row],[Port B]],traffic_types[],2,FALSE)</f>
        <v>HTTP</v>
      </c>
    </row>
    <row r="1722" spans="1:23" x14ac:dyDescent="0.6">
      <c r="A1722" t="s">
        <v>224</v>
      </c>
      <c r="B1722">
        <v>59840</v>
      </c>
      <c r="C1722" t="s">
        <v>227</v>
      </c>
      <c r="D1722">
        <v>443</v>
      </c>
      <c r="E1722">
        <v>2</v>
      </c>
      <c r="F1722">
        <v>128</v>
      </c>
      <c r="G1722">
        <v>2</v>
      </c>
      <c r="H1722">
        <v>128</v>
      </c>
      <c r="I1722">
        <v>0</v>
      </c>
      <c r="J1722">
        <v>0</v>
      </c>
      <c r="K1722">
        <v>2.7620010000000002</v>
      </c>
      <c r="L1722">
        <v>6.0010279999999998</v>
      </c>
      <c r="M1722">
        <v>170.637430786859</v>
      </c>
      <c r="N1722">
        <v>0</v>
      </c>
      <c r="O1722" s="8" t="str">
        <f>formatIP(Table1[[#This Row],[Address A]])</f>
        <v>192.168.100.002</v>
      </c>
      <c r="P1722" s="8" t="str">
        <f>formatIP(Table1[[#This Row],[Address B]])</f>
        <v>157.055.235.176</v>
      </c>
      <c r="Q1722" s="8" t="e">
        <f>VLOOKUP(Table1[[#This Row],[Address A]],IP_Master[],4,FALSE)</f>
        <v>#N/A</v>
      </c>
      <c r="R1722" s="8" t="e">
        <f>VLOOKUP(Table1[[#This Row],[Address B]],IP_Master[],4,FALSE)</f>
        <v>#N/A</v>
      </c>
      <c r="S1722" s="8" t="e">
        <f>VLOOKUP(Table1[[#This Row],[Address A]],IP_Master[],2,FALSE)</f>
        <v>#N/A</v>
      </c>
      <c r="T1722" s="8" t="e">
        <f>VLOOKUP(Table1[[#This Row],[Address B]],IP_Master[],2,FALSE)</f>
        <v>#N/A</v>
      </c>
      <c r="U1722" s="9" t="e">
        <f>VLOOKUP(Table1[[#This Row],[Address A]],IP_Master[],3,FALSE)</f>
        <v>#N/A</v>
      </c>
      <c r="V1722" s="9" t="e">
        <f>VLOOKUP(Table1[[#This Row],[Address B]],IP_Master[],3,FALSE)</f>
        <v>#N/A</v>
      </c>
      <c r="W1722" s="9" t="str">
        <f>VLOOKUP(Table1[[#This Row],[Port B]],traffic_types[],2,FALSE)</f>
        <v>HTTP/S</v>
      </c>
    </row>
    <row r="1723" spans="1:23" x14ac:dyDescent="0.6">
      <c r="A1723" t="s">
        <v>224</v>
      </c>
      <c r="B1723">
        <v>59843</v>
      </c>
      <c r="C1723" t="s">
        <v>228</v>
      </c>
      <c r="D1723">
        <v>443</v>
      </c>
      <c r="E1723">
        <v>3</v>
      </c>
      <c r="F1723">
        <v>194</v>
      </c>
      <c r="G1723">
        <v>3</v>
      </c>
      <c r="H1723">
        <v>194</v>
      </c>
      <c r="I1723">
        <v>0</v>
      </c>
      <c r="J1723">
        <v>0</v>
      </c>
      <c r="K1723">
        <v>2.8215590000000002</v>
      </c>
      <c r="L1723">
        <v>9.0015769999999993</v>
      </c>
      <c r="M1723">
        <v>172.414233639283</v>
      </c>
      <c r="N1723">
        <v>0</v>
      </c>
      <c r="O1723" s="8" t="str">
        <f>formatIP(Table1[[#This Row],[Address A]])</f>
        <v>192.168.100.002</v>
      </c>
      <c r="P1723" s="8" t="str">
        <f>formatIP(Table1[[#This Row],[Address B]])</f>
        <v>157.055.056.156</v>
      </c>
      <c r="Q1723" s="8" t="e">
        <f>VLOOKUP(Table1[[#This Row],[Address A]],IP_Master[],4,FALSE)</f>
        <v>#N/A</v>
      </c>
      <c r="R1723" s="8" t="e">
        <f>VLOOKUP(Table1[[#This Row],[Address B]],IP_Master[],4,FALSE)</f>
        <v>#N/A</v>
      </c>
      <c r="S1723" s="8" t="e">
        <f>VLOOKUP(Table1[[#This Row],[Address A]],IP_Master[],2,FALSE)</f>
        <v>#N/A</v>
      </c>
      <c r="T1723" s="8" t="e">
        <f>VLOOKUP(Table1[[#This Row],[Address B]],IP_Master[],2,FALSE)</f>
        <v>#N/A</v>
      </c>
      <c r="U1723" s="9" t="e">
        <f>VLOOKUP(Table1[[#This Row],[Address A]],IP_Master[],3,FALSE)</f>
        <v>#N/A</v>
      </c>
      <c r="V1723" s="9" t="e">
        <f>VLOOKUP(Table1[[#This Row],[Address B]],IP_Master[],3,FALSE)</f>
        <v>#N/A</v>
      </c>
      <c r="W1723" s="9" t="str">
        <f>VLOOKUP(Table1[[#This Row],[Port B]],traffic_types[],2,FALSE)</f>
        <v>HTTP/S</v>
      </c>
    </row>
    <row r="1724" spans="1:23" hidden="1" x14ac:dyDescent="0.6">
      <c r="A1724" t="s">
        <v>224</v>
      </c>
      <c r="B1724">
        <v>59830</v>
      </c>
      <c r="C1724" t="s">
        <v>225</v>
      </c>
      <c r="D1724">
        <v>40022</v>
      </c>
      <c r="E1724">
        <v>1</v>
      </c>
      <c r="F1724">
        <v>62</v>
      </c>
      <c r="G1724">
        <v>1</v>
      </c>
      <c r="H1724">
        <v>62</v>
      </c>
      <c r="I1724">
        <v>0</v>
      </c>
      <c r="J1724">
        <v>0</v>
      </c>
      <c r="K1724">
        <v>3.040988</v>
      </c>
      <c r="L1724">
        <v>0</v>
      </c>
      <c r="M1724">
        <v>0</v>
      </c>
      <c r="N1724">
        <v>0</v>
      </c>
      <c r="O1724" s="8" t="str">
        <f>formatIP(Table1[[#This Row],[Address A]])</f>
        <v>192.168.100.002</v>
      </c>
      <c r="P1724" s="8" t="str">
        <f>formatIP(Table1[[#This Row],[Address B]])</f>
        <v>111.221.077.162</v>
      </c>
      <c r="Q1724" s="8" t="e">
        <f>VLOOKUP(Table1[[#This Row],[Address A]],IP_Master[],4,FALSE)</f>
        <v>#N/A</v>
      </c>
      <c r="R1724" s="8" t="e">
        <f>VLOOKUP(Table1[[#This Row],[Address B]],IP_Master[],4,FALSE)</f>
        <v>#N/A</v>
      </c>
      <c r="S1724" s="8" t="e">
        <f>VLOOKUP(Table1[[#This Row],[Address A]],IP_Master[],2,FALSE)</f>
        <v>#N/A</v>
      </c>
      <c r="T1724" s="8" t="e">
        <f>VLOOKUP(Table1[[#This Row],[Address B]],IP_Master[],2,FALSE)</f>
        <v>#N/A</v>
      </c>
      <c r="U1724" s="9" t="e">
        <f>VLOOKUP(Table1[[#This Row],[Address A]],IP_Master[],3,FALSE)</f>
        <v>#N/A</v>
      </c>
      <c r="V1724" s="9" t="e">
        <f>VLOOKUP(Table1[[#This Row],[Address B]],IP_Master[],3,FALSE)</f>
        <v>#N/A</v>
      </c>
      <c r="W1724" s="9" t="e">
        <f>VLOOKUP(Table1[[#This Row],[Port B]],traffic_types[],2,FALSE)</f>
        <v>#N/A</v>
      </c>
    </row>
    <row r="1725" spans="1:23" hidden="1" x14ac:dyDescent="0.6">
      <c r="A1725" t="s">
        <v>224</v>
      </c>
      <c r="B1725">
        <v>59844</v>
      </c>
      <c r="C1725" t="s">
        <v>230</v>
      </c>
      <c r="D1725">
        <v>40031</v>
      </c>
      <c r="E1725">
        <v>3</v>
      </c>
      <c r="F1725">
        <v>194</v>
      </c>
      <c r="G1725">
        <v>3</v>
      </c>
      <c r="H1725">
        <v>194</v>
      </c>
      <c r="I1725">
        <v>0</v>
      </c>
      <c r="J1725">
        <v>0</v>
      </c>
      <c r="K1725">
        <v>3.2324950000000001</v>
      </c>
      <c r="L1725">
        <v>9.0005869999999994</v>
      </c>
      <c r="M1725">
        <v>172.433197968088</v>
      </c>
      <c r="N1725">
        <v>0</v>
      </c>
      <c r="O1725" s="8" t="str">
        <f>formatIP(Table1[[#This Row],[Address A]])</f>
        <v>192.168.100.002</v>
      </c>
      <c r="P1725" s="8" t="str">
        <f>formatIP(Table1[[#This Row],[Address B]])</f>
        <v>157.055.130.169</v>
      </c>
      <c r="Q1725" s="8" t="e">
        <f>VLOOKUP(Table1[[#This Row],[Address A]],IP_Master[],4,FALSE)</f>
        <v>#N/A</v>
      </c>
      <c r="R1725" s="8" t="e">
        <f>VLOOKUP(Table1[[#This Row],[Address B]],IP_Master[],4,FALSE)</f>
        <v>#N/A</v>
      </c>
      <c r="S1725" s="8" t="e">
        <f>VLOOKUP(Table1[[#This Row],[Address A]],IP_Master[],2,FALSE)</f>
        <v>#N/A</v>
      </c>
      <c r="T1725" s="8" t="e">
        <f>VLOOKUP(Table1[[#This Row],[Address B]],IP_Master[],2,FALSE)</f>
        <v>#N/A</v>
      </c>
      <c r="U1725" s="9" t="e">
        <f>VLOOKUP(Table1[[#This Row],[Address A]],IP_Master[],3,FALSE)</f>
        <v>#N/A</v>
      </c>
      <c r="V1725" s="9" t="e">
        <f>VLOOKUP(Table1[[#This Row],[Address B]],IP_Master[],3,FALSE)</f>
        <v>#N/A</v>
      </c>
      <c r="W1725" s="9" t="e">
        <f>VLOOKUP(Table1[[#This Row],[Port B]],traffic_types[],2,FALSE)</f>
        <v>#N/A</v>
      </c>
    </row>
    <row r="1726" spans="1:23" hidden="1" x14ac:dyDescent="0.6">
      <c r="A1726" t="s">
        <v>224</v>
      </c>
      <c r="B1726">
        <v>59831</v>
      </c>
      <c r="C1726" t="s">
        <v>229</v>
      </c>
      <c r="D1726">
        <v>40010</v>
      </c>
      <c r="E1726">
        <v>1</v>
      </c>
      <c r="F1726">
        <v>62</v>
      </c>
      <c r="G1726">
        <v>1</v>
      </c>
      <c r="H1726">
        <v>62</v>
      </c>
      <c r="I1726">
        <v>0</v>
      </c>
      <c r="J1726">
        <v>0</v>
      </c>
      <c r="K1726">
        <v>4.0821290000000001</v>
      </c>
      <c r="L1726">
        <v>0</v>
      </c>
      <c r="M1726">
        <v>0</v>
      </c>
      <c r="N1726">
        <v>0</v>
      </c>
      <c r="O1726" s="8" t="str">
        <f>formatIP(Table1[[#This Row],[Address A]])</f>
        <v>192.168.100.002</v>
      </c>
      <c r="P1726" s="8" t="str">
        <f>formatIP(Table1[[#This Row],[Address B]])</f>
        <v>157.056.052.013</v>
      </c>
      <c r="Q1726" s="8" t="e">
        <f>VLOOKUP(Table1[[#This Row],[Address A]],IP_Master[],4,FALSE)</f>
        <v>#N/A</v>
      </c>
      <c r="R1726" s="8" t="e">
        <f>VLOOKUP(Table1[[#This Row],[Address B]],IP_Master[],4,FALSE)</f>
        <v>#N/A</v>
      </c>
      <c r="S1726" s="8" t="e">
        <f>VLOOKUP(Table1[[#This Row],[Address A]],IP_Master[],2,FALSE)</f>
        <v>#N/A</v>
      </c>
      <c r="T1726" s="8" t="e">
        <f>VLOOKUP(Table1[[#This Row],[Address B]],IP_Master[],2,FALSE)</f>
        <v>#N/A</v>
      </c>
      <c r="U1726" s="9" t="e">
        <f>VLOOKUP(Table1[[#This Row],[Address A]],IP_Master[],3,FALSE)</f>
        <v>#N/A</v>
      </c>
      <c r="V1726" s="9" t="e">
        <f>VLOOKUP(Table1[[#This Row],[Address B]],IP_Master[],3,FALSE)</f>
        <v>#N/A</v>
      </c>
      <c r="W1726" s="9" t="e">
        <f>VLOOKUP(Table1[[#This Row],[Port B]],traffic_types[],2,FALSE)</f>
        <v>#N/A</v>
      </c>
    </row>
    <row r="1727" spans="1:23" hidden="1" x14ac:dyDescent="0.6">
      <c r="A1727" t="s">
        <v>224</v>
      </c>
      <c r="B1727">
        <v>59845</v>
      </c>
      <c r="C1727" t="s">
        <v>231</v>
      </c>
      <c r="D1727">
        <v>40035</v>
      </c>
      <c r="E1727">
        <v>3</v>
      </c>
      <c r="F1727">
        <v>194</v>
      </c>
      <c r="G1727">
        <v>3</v>
      </c>
      <c r="H1727">
        <v>194</v>
      </c>
      <c r="I1727">
        <v>0</v>
      </c>
      <c r="J1727">
        <v>0</v>
      </c>
      <c r="K1727">
        <v>4.2432410000000003</v>
      </c>
      <c r="L1727">
        <v>8.9998140000000006</v>
      </c>
      <c r="M1727">
        <v>172.448008369951</v>
      </c>
      <c r="N1727">
        <v>0</v>
      </c>
      <c r="O1727" s="8" t="str">
        <f>formatIP(Table1[[#This Row],[Address A]])</f>
        <v>192.168.100.002</v>
      </c>
      <c r="P1727" s="8" t="str">
        <f>formatIP(Table1[[#This Row],[Address B]])</f>
        <v>111.221.077.145</v>
      </c>
      <c r="Q1727" s="8" t="e">
        <f>VLOOKUP(Table1[[#This Row],[Address A]],IP_Master[],4,FALSE)</f>
        <v>#N/A</v>
      </c>
      <c r="R1727" s="8" t="e">
        <f>VLOOKUP(Table1[[#This Row],[Address B]],IP_Master[],4,FALSE)</f>
        <v>#N/A</v>
      </c>
      <c r="S1727" s="8" t="e">
        <f>VLOOKUP(Table1[[#This Row],[Address A]],IP_Master[],2,FALSE)</f>
        <v>#N/A</v>
      </c>
      <c r="T1727" s="8" t="e">
        <f>VLOOKUP(Table1[[#This Row],[Address B]],IP_Master[],2,FALSE)</f>
        <v>#N/A</v>
      </c>
      <c r="U1727" s="9" t="e">
        <f>VLOOKUP(Table1[[#This Row],[Address A]],IP_Master[],3,FALSE)</f>
        <v>#N/A</v>
      </c>
      <c r="V1727" s="9" t="e">
        <f>VLOOKUP(Table1[[#This Row],[Address B]],IP_Master[],3,FALSE)</f>
        <v>#N/A</v>
      </c>
      <c r="W1727" s="9" t="e">
        <f>VLOOKUP(Table1[[#This Row],[Port B]],traffic_types[],2,FALSE)</f>
        <v>#N/A</v>
      </c>
    </row>
    <row r="1728" spans="1:23" x14ac:dyDescent="0.6">
      <c r="A1728" t="s">
        <v>224</v>
      </c>
      <c r="B1728">
        <v>59846</v>
      </c>
      <c r="C1728" t="s">
        <v>228</v>
      </c>
      <c r="D1728">
        <v>80</v>
      </c>
      <c r="E1728">
        <v>3</v>
      </c>
      <c r="F1728">
        <v>194</v>
      </c>
      <c r="G1728">
        <v>3</v>
      </c>
      <c r="H1728">
        <v>194</v>
      </c>
      <c r="I1728">
        <v>0</v>
      </c>
      <c r="J1728">
        <v>0</v>
      </c>
      <c r="K1728">
        <v>4.4327199999999998</v>
      </c>
      <c r="L1728">
        <v>9.0004059999999999</v>
      </c>
      <c r="M1728">
        <v>172.43666563486099</v>
      </c>
      <c r="N1728">
        <v>0</v>
      </c>
      <c r="O1728" s="8" t="str">
        <f>formatIP(Table1[[#This Row],[Address A]])</f>
        <v>192.168.100.002</v>
      </c>
      <c r="P1728" s="8" t="str">
        <f>formatIP(Table1[[#This Row],[Address B]])</f>
        <v>157.055.056.156</v>
      </c>
      <c r="Q1728" s="8" t="e">
        <f>VLOOKUP(Table1[[#This Row],[Address A]],IP_Master[],4,FALSE)</f>
        <v>#N/A</v>
      </c>
      <c r="R1728" s="8" t="e">
        <f>VLOOKUP(Table1[[#This Row],[Address B]],IP_Master[],4,FALSE)</f>
        <v>#N/A</v>
      </c>
      <c r="S1728" s="8" t="e">
        <f>VLOOKUP(Table1[[#This Row],[Address A]],IP_Master[],2,FALSE)</f>
        <v>#N/A</v>
      </c>
      <c r="T1728" s="8" t="e">
        <f>VLOOKUP(Table1[[#This Row],[Address B]],IP_Master[],2,FALSE)</f>
        <v>#N/A</v>
      </c>
      <c r="U1728" s="9" t="e">
        <f>VLOOKUP(Table1[[#This Row],[Address A]],IP_Master[],3,FALSE)</f>
        <v>#N/A</v>
      </c>
      <c r="V1728" s="9" t="e">
        <f>VLOOKUP(Table1[[#This Row],[Address B]],IP_Master[],3,FALSE)</f>
        <v>#N/A</v>
      </c>
      <c r="W1728" s="9" t="str">
        <f>VLOOKUP(Table1[[#This Row],[Port B]],traffic_types[],2,FALSE)</f>
        <v>HTTP</v>
      </c>
    </row>
    <row r="1729" spans="1:23" x14ac:dyDescent="0.6">
      <c r="A1729" t="s">
        <v>224</v>
      </c>
      <c r="B1729">
        <v>59832</v>
      </c>
      <c r="C1729" t="s">
        <v>225</v>
      </c>
      <c r="D1729">
        <v>443</v>
      </c>
      <c r="E1729">
        <v>1</v>
      </c>
      <c r="F1729">
        <v>62</v>
      </c>
      <c r="G1729">
        <v>1</v>
      </c>
      <c r="H1729">
        <v>62</v>
      </c>
      <c r="I1729">
        <v>0</v>
      </c>
      <c r="J1729">
        <v>0</v>
      </c>
      <c r="K1729">
        <v>4.6621449999999998</v>
      </c>
      <c r="L1729">
        <v>0</v>
      </c>
      <c r="M1729">
        <v>0</v>
      </c>
      <c r="N1729">
        <v>0</v>
      </c>
      <c r="O1729" s="8" t="str">
        <f>formatIP(Table1[[#This Row],[Address A]])</f>
        <v>192.168.100.002</v>
      </c>
      <c r="P1729" s="8" t="str">
        <f>formatIP(Table1[[#This Row],[Address B]])</f>
        <v>111.221.077.162</v>
      </c>
      <c r="Q1729" s="8" t="e">
        <f>VLOOKUP(Table1[[#This Row],[Address A]],IP_Master[],4,FALSE)</f>
        <v>#N/A</v>
      </c>
      <c r="R1729" s="8" t="e">
        <f>VLOOKUP(Table1[[#This Row],[Address B]],IP_Master[],4,FALSE)</f>
        <v>#N/A</v>
      </c>
      <c r="S1729" s="8" t="e">
        <f>VLOOKUP(Table1[[#This Row],[Address A]],IP_Master[],2,FALSE)</f>
        <v>#N/A</v>
      </c>
      <c r="T1729" s="8" t="e">
        <f>VLOOKUP(Table1[[#This Row],[Address B]],IP_Master[],2,FALSE)</f>
        <v>#N/A</v>
      </c>
      <c r="U1729" s="9" t="e">
        <f>VLOOKUP(Table1[[#This Row],[Address A]],IP_Master[],3,FALSE)</f>
        <v>#N/A</v>
      </c>
      <c r="V1729" s="9" t="e">
        <f>VLOOKUP(Table1[[#This Row],[Address B]],IP_Master[],3,FALSE)</f>
        <v>#N/A</v>
      </c>
      <c r="W1729" s="9" t="str">
        <f>VLOOKUP(Table1[[#This Row],[Port B]],traffic_types[],2,FALSE)</f>
        <v>HTTP/S</v>
      </c>
    </row>
    <row r="1730" spans="1:23" x14ac:dyDescent="0.6">
      <c r="A1730" t="s">
        <v>224</v>
      </c>
      <c r="B1730">
        <v>59847</v>
      </c>
      <c r="C1730" t="s">
        <v>230</v>
      </c>
      <c r="D1730">
        <v>443</v>
      </c>
      <c r="E1730">
        <v>3</v>
      </c>
      <c r="F1730">
        <v>194</v>
      </c>
      <c r="G1730">
        <v>3</v>
      </c>
      <c r="H1730">
        <v>194</v>
      </c>
      <c r="I1730">
        <v>0</v>
      </c>
      <c r="J1730">
        <v>0</v>
      </c>
      <c r="K1730">
        <v>4.8524510000000003</v>
      </c>
      <c r="L1730">
        <v>8.9996690000000008</v>
      </c>
      <c r="M1730">
        <v>172.45078680115901</v>
      </c>
      <c r="N1730">
        <v>0</v>
      </c>
      <c r="O1730" s="8" t="str">
        <f>formatIP(Table1[[#This Row],[Address A]])</f>
        <v>192.168.100.002</v>
      </c>
      <c r="P1730" s="8" t="str">
        <f>formatIP(Table1[[#This Row],[Address B]])</f>
        <v>157.055.130.169</v>
      </c>
      <c r="Q1730" s="8" t="e">
        <f>VLOOKUP(Table1[[#This Row],[Address A]],IP_Master[],4,FALSE)</f>
        <v>#N/A</v>
      </c>
      <c r="R1730" s="8" t="e">
        <f>VLOOKUP(Table1[[#This Row],[Address B]],IP_Master[],4,FALSE)</f>
        <v>#N/A</v>
      </c>
      <c r="S1730" s="8" t="e">
        <f>VLOOKUP(Table1[[#This Row],[Address A]],IP_Master[],2,FALSE)</f>
        <v>#N/A</v>
      </c>
      <c r="T1730" s="8" t="e">
        <f>VLOOKUP(Table1[[#This Row],[Address B]],IP_Master[],2,FALSE)</f>
        <v>#N/A</v>
      </c>
      <c r="U1730" s="9" t="e">
        <f>VLOOKUP(Table1[[#This Row],[Address A]],IP_Master[],3,FALSE)</f>
        <v>#N/A</v>
      </c>
      <c r="V1730" s="9" t="e">
        <f>VLOOKUP(Table1[[#This Row],[Address B]],IP_Master[],3,FALSE)</f>
        <v>#N/A</v>
      </c>
      <c r="W1730" s="9" t="str">
        <f>VLOOKUP(Table1[[#This Row],[Port B]],traffic_types[],2,FALSE)</f>
        <v>HTTP/S</v>
      </c>
    </row>
    <row r="1731" spans="1:23" hidden="1" x14ac:dyDescent="0.6">
      <c r="A1731" t="s">
        <v>224</v>
      </c>
      <c r="B1731">
        <v>59833</v>
      </c>
      <c r="C1731" t="s">
        <v>226</v>
      </c>
      <c r="D1731">
        <v>40008</v>
      </c>
      <c r="E1731">
        <v>1</v>
      </c>
      <c r="F1731">
        <v>62</v>
      </c>
      <c r="G1731">
        <v>1</v>
      </c>
      <c r="H1731">
        <v>62</v>
      </c>
      <c r="I1731">
        <v>0</v>
      </c>
      <c r="J1731">
        <v>0</v>
      </c>
      <c r="K1731">
        <v>5.0920839999999998</v>
      </c>
      <c r="L1731">
        <v>0</v>
      </c>
      <c r="M1731">
        <v>0</v>
      </c>
      <c r="N1731">
        <v>0</v>
      </c>
      <c r="O1731" s="8" t="str">
        <f>formatIP(Table1[[#This Row],[Address A]])</f>
        <v>192.168.100.002</v>
      </c>
      <c r="P1731" s="8" t="str">
        <f>formatIP(Table1[[#This Row],[Address B]])</f>
        <v>157.056.052.020</v>
      </c>
      <c r="Q1731" s="8" t="e">
        <f>VLOOKUP(Table1[[#This Row],[Address A]],IP_Master[],4,FALSE)</f>
        <v>#N/A</v>
      </c>
      <c r="R1731" s="8" t="e">
        <f>VLOOKUP(Table1[[#This Row],[Address B]],IP_Master[],4,FALSE)</f>
        <v>#N/A</v>
      </c>
      <c r="S1731" s="8" t="e">
        <f>VLOOKUP(Table1[[#This Row],[Address A]],IP_Master[],2,FALSE)</f>
        <v>#N/A</v>
      </c>
      <c r="T1731" s="8" t="e">
        <f>VLOOKUP(Table1[[#This Row],[Address B]],IP_Master[],2,FALSE)</f>
        <v>#N/A</v>
      </c>
      <c r="U1731" s="9" t="e">
        <f>VLOOKUP(Table1[[#This Row],[Address A]],IP_Master[],3,FALSE)</f>
        <v>#N/A</v>
      </c>
      <c r="V1731" s="9" t="e">
        <f>VLOOKUP(Table1[[#This Row],[Address B]],IP_Master[],3,FALSE)</f>
        <v>#N/A</v>
      </c>
      <c r="W1731" s="9" t="e">
        <f>VLOOKUP(Table1[[#This Row],[Port B]],traffic_types[],2,FALSE)</f>
        <v>#N/A</v>
      </c>
    </row>
    <row r="1732" spans="1:23" x14ac:dyDescent="0.6">
      <c r="A1732" t="s">
        <v>224</v>
      </c>
      <c r="B1732">
        <v>59834</v>
      </c>
      <c r="C1732" t="s">
        <v>229</v>
      </c>
      <c r="D1732">
        <v>443</v>
      </c>
      <c r="E1732">
        <v>1</v>
      </c>
      <c r="F1732">
        <v>62</v>
      </c>
      <c r="G1732">
        <v>1</v>
      </c>
      <c r="H1732">
        <v>62</v>
      </c>
      <c r="I1732">
        <v>0</v>
      </c>
      <c r="J1732">
        <v>0</v>
      </c>
      <c r="K1732">
        <v>5.7019089999999997</v>
      </c>
      <c r="L1732">
        <v>0</v>
      </c>
      <c r="M1732">
        <v>0</v>
      </c>
      <c r="N1732">
        <v>0</v>
      </c>
      <c r="O1732" s="8" t="str">
        <f>formatIP(Table1[[#This Row],[Address A]])</f>
        <v>192.168.100.002</v>
      </c>
      <c r="P1732" s="8" t="str">
        <f>formatIP(Table1[[#This Row],[Address B]])</f>
        <v>157.056.052.013</v>
      </c>
      <c r="Q1732" s="8" t="e">
        <f>VLOOKUP(Table1[[#This Row],[Address A]],IP_Master[],4,FALSE)</f>
        <v>#N/A</v>
      </c>
      <c r="R1732" s="8" t="e">
        <f>VLOOKUP(Table1[[#This Row],[Address B]],IP_Master[],4,FALSE)</f>
        <v>#N/A</v>
      </c>
      <c r="S1732" s="8" t="e">
        <f>VLOOKUP(Table1[[#This Row],[Address A]],IP_Master[],2,FALSE)</f>
        <v>#N/A</v>
      </c>
      <c r="T1732" s="8" t="e">
        <f>VLOOKUP(Table1[[#This Row],[Address B]],IP_Master[],2,FALSE)</f>
        <v>#N/A</v>
      </c>
      <c r="U1732" s="9" t="e">
        <f>VLOOKUP(Table1[[#This Row],[Address A]],IP_Master[],3,FALSE)</f>
        <v>#N/A</v>
      </c>
      <c r="V1732" s="9" t="e">
        <f>VLOOKUP(Table1[[#This Row],[Address B]],IP_Master[],3,FALSE)</f>
        <v>#N/A</v>
      </c>
      <c r="W1732" s="9" t="str">
        <f>VLOOKUP(Table1[[#This Row],[Port B]],traffic_types[],2,FALSE)</f>
        <v>HTTP/S</v>
      </c>
    </row>
    <row r="1733" spans="1:23" x14ac:dyDescent="0.6">
      <c r="A1733" t="s">
        <v>224</v>
      </c>
      <c r="B1733">
        <v>59848</v>
      </c>
      <c r="C1733" t="s">
        <v>231</v>
      </c>
      <c r="D1733">
        <v>443</v>
      </c>
      <c r="E1733">
        <v>3</v>
      </c>
      <c r="F1733">
        <v>194</v>
      </c>
      <c r="G1733">
        <v>3</v>
      </c>
      <c r="H1733">
        <v>194</v>
      </c>
      <c r="I1733">
        <v>0</v>
      </c>
      <c r="J1733">
        <v>0</v>
      </c>
      <c r="K1733">
        <v>5.8628239999999998</v>
      </c>
      <c r="L1733">
        <v>9.0002329999999997</v>
      </c>
      <c r="M1733">
        <v>172.439980164958</v>
      </c>
      <c r="N1733">
        <v>0</v>
      </c>
      <c r="O1733" s="8" t="str">
        <f>formatIP(Table1[[#This Row],[Address A]])</f>
        <v>192.168.100.002</v>
      </c>
      <c r="P1733" s="8" t="str">
        <f>formatIP(Table1[[#This Row],[Address B]])</f>
        <v>111.221.077.145</v>
      </c>
      <c r="Q1733" s="8" t="e">
        <f>VLOOKUP(Table1[[#This Row],[Address A]],IP_Master[],4,FALSE)</f>
        <v>#N/A</v>
      </c>
      <c r="R1733" s="8" t="e">
        <f>VLOOKUP(Table1[[#This Row],[Address B]],IP_Master[],4,FALSE)</f>
        <v>#N/A</v>
      </c>
      <c r="S1733" s="8" t="e">
        <f>VLOOKUP(Table1[[#This Row],[Address A]],IP_Master[],2,FALSE)</f>
        <v>#N/A</v>
      </c>
      <c r="T1733" s="8" t="e">
        <f>VLOOKUP(Table1[[#This Row],[Address B]],IP_Master[],2,FALSE)</f>
        <v>#N/A</v>
      </c>
      <c r="U1733" s="9" t="e">
        <f>VLOOKUP(Table1[[#This Row],[Address A]],IP_Master[],3,FALSE)</f>
        <v>#N/A</v>
      </c>
      <c r="V1733" s="9" t="e">
        <f>VLOOKUP(Table1[[#This Row],[Address B]],IP_Master[],3,FALSE)</f>
        <v>#N/A</v>
      </c>
      <c r="W1733" s="9" t="str">
        <f>VLOOKUP(Table1[[#This Row],[Port B]],traffic_types[],2,FALSE)</f>
        <v>HTTP/S</v>
      </c>
    </row>
    <row r="1734" spans="1:23" x14ac:dyDescent="0.6">
      <c r="A1734" t="s">
        <v>224</v>
      </c>
      <c r="B1734">
        <v>59849</v>
      </c>
      <c r="C1734" t="s">
        <v>230</v>
      </c>
      <c r="D1734">
        <v>80</v>
      </c>
      <c r="E1734">
        <v>3</v>
      </c>
      <c r="F1734">
        <v>194</v>
      </c>
      <c r="G1734">
        <v>3</v>
      </c>
      <c r="H1734">
        <v>194</v>
      </c>
      <c r="I1734">
        <v>0</v>
      </c>
      <c r="J1734">
        <v>0</v>
      </c>
      <c r="K1734">
        <v>6.4725279999999996</v>
      </c>
      <c r="L1734">
        <v>9.0004969999999993</v>
      </c>
      <c r="M1734">
        <v>172.434922204852</v>
      </c>
      <c r="N1734">
        <v>0</v>
      </c>
      <c r="O1734" s="8" t="str">
        <f>formatIP(Table1[[#This Row],[Address A]])</f>
        <v>192.168.100.002</v>
      </c>
      <c r="P1734" s="8" t="str">
        <f>formatIP(Table1[[#This Row],[Address B]])</f>
        <v>157.055.130.169</v>
      </c>
      <c r="Q1734" s="8" t="e">
        <f>VLOOKUP(Table1[[#This Row],[Address A]],IP_Master[],4,FALSE)</f>
        <v>#N/A</v>
      </c>
      <c r="R1734" s="8" t="e">
        <f>VLOOKUP(Table1[[#This Row],[Address B]],IP_Master[],4,FALSE)</f>
        <v>#N/A</v>
      </c>
      <c r="S1734" s="8" t="e">
        <f>VLOOKUP(Table1[[#This Row],[Address A]],IP_Master[],2,FALSE)</f>
        <v>#N/A</v>
      </c>
      <c r="T1734" s="8" t="e">
        <f>VLOOKUP(Table1[[#This Row],[Address B]],IP_Master[],2,FALSE)</f>
        <v>#N/A</v>
      </c>
      <c r="U1734" s="9" t="e">
        <f>VLOOKUP(Table1[[#This Row],[Address A]],IP_Master[],3,FALSE)</f>
        <v>#N/A</v>
      </c>
      <c r="V1734" s="9" t="e">
        <f>VLOOKUP(Table1[[#This Row],[Address B]],IP_Master[],3,FALSE)</f>
        <v>#N/A</v>
      </c>
      <c r="W1734" s="9" t="str">
        <f>VLOOKUP(Table1[[#This Row],[Port B]],traffic_types[],2,FALSE)</f>
        <v>HTTP</v>
      </c>
    </row>
    <row r="1735" spans="1:23" x14ac:dyDescent="0.6">
      <c r="A1735" t="s">
        <v>224</v>
      </c>
      <c r="B1735">
        <v>59850</v>
      </c>
      <c r="C1735" t="s">
        <v>231</v>
      </c>
      <c r="D1735">
        <v>80</v>
      </c>
      <c r="E1735">
        <v>3</v>
      </c>
      <c r="F1735">
        <v>194</v>
      </c>
      <c r="G1735">
        <v>3</v>
      </c>
      <c r="H1735">
        <v>194</v>
      </c>
      <c r="I1735">
        <v>0</v>
      </c>
      <c r="J1735">
        <v>0</v>
      </c>
      <c r="K1735">
        <v>7.4734259999999999</v>
      </c>
      <c r="L1735">
        <v>8.9996179999999999</v>
      </c>
      <c r="M1735">
        <v>172.45176406376399</v>
      </c>
      <c r="N1735">
        <v>0</v>
      </c>
      <c r="O1735" s="8" t="str">
        <f>formatIP(Table1[[#This Row],[Address A]])</f>
        <v>192.168.100.002</v>
      </c>
      <c r="P1735" s="8" t="str">
        <f>formatIP(Table1[[#This Row],[Address B]])</f>
        <v>111.221.077.145</v>
      </c>
      <c r="Q1735" s="8" t="e">
        <f>VLOOKUP(Table1[[#This Row],[Address A]],IP_Master[],4,FALSE)</f>
        <v>#N/A</v>
      </c>
      <c r="R1735" s="8" t="e">
        <f>VLOOKUP(Table1[[#This Row],[Address B]],IP_Master[],4,FALSE)</f>
        <v>#N/A</v>
      </c>
      <c r="S1735" s="8" t="e">
        <f>VLOOKUP(Table1[[#This Row],[Address A]],IP_Master[],2,FALSE)</f>
        <v>#N/A</v>
      </c>
      <c r="T1735" s="8" t="e">
        <f>VLOOKUP(Table1[[#This Row],[Address B]],IP_Master[],2,FALSE)</f>
        <v>#N/A</v>
      </c>
      <c r="U1735" s="9" t="e">
        <f>VLOOKUP(Table1[[#This Row],[Address A]],IP_Master[],3,FALSE)</f>
        <v>#N/A</v>
      </c>
      <c r="V1735" s="9" t="e">
        <f>VLOOKUP(Table1[[#This Row],[Address B]],IP_Master[],3,FALSE)</f>
        <v>#N/A</v>
      </c>
      <c r="W1735" s="9" t="str">
        <f>VLOOKUP(Table1[[#This Row],[Port B]],traffic_types[],2,FALSE)</f>
        <v>HTTP</v>
      </c>
    </row>
    <row r="1736" spans="1:23" x14ac:dyDescent="0.6">
      <c r="A1736" t="s">
        <v>224</v>
      </c>
      <c r="B1736">
        <v>59851</v>
      </c>
      <c r="C1736" t="s">
        <v>232</v>
      </c>
      <c r="D1736">
        <v>443</v>
      </c>
      <c r="E1736">
        <v>3</v>
      </c>
      <c r="F1736">
        <v>194</v>
      </c>
      <c r="G1736">
        <v>3</v>
      </c>
      <c r="H1736">
        <v>194</v>
      </c>
      <c r="I1736">
        <v>0</v>
      </c>
      <c r="J1736">
        <v>0</v>
      </c>
      <c r="K1736">
        <v>13.444213</v>
      </c>
      <c r="L1736">
        <v>9.0292200000000005</v>
      </c>
      <c r="M1736">
        <v>171.88638664247901</v>
      </c>
      <c r="N1736">
        <v>0</v>
      </c>
      <c r="O1736" s="8" t="str">
        <f>formatIP(Table1[[#This Row],[Address A]])</f>
        <v>192.168.100.002</v>
      </c>
      <c r="P1736" s="8" t="str">
        <f>formatIP(Table1[[#This Row],[Address B]])</f>
        <v>103.043.075.140</v>
      </c>
      <c r="Q1736" s="8" t="e">
        <f>VLOOKUP(Table1[[#This Row],[Address A]],IP_Master[],4,FALSE)</f>
        <v>#N/A</v>
      </c>
      <c r="R1736" s="8" t="e">
        <f>VLOOKUP(Table1[[#This Row],[Address B]],IP_Master[],4,FALSE)</f>
        <v>#N/A</v>
      </c>
      <c r="S1736" s="8" t="e">
        <f>VLOOKUP(Table1[[#This Row],[Address A]],IP_Master[],2,FALSE)</f>
        <v>#N/A</v>
      </c>
      <c r="T1736" s="8" t="e">
        <f>VLOOKUP(Table1[[#This Row],[Address B]],IP_Master[],2,FALSE)</f>
        <v>#N/A</v>
      </c>
      <c r="U1736" s="9" t="e">
        <f>VLOOKUP(Table1[[#This Row],[Address A]],IP_Master[],3,FALSE)</f>
        <v>#N/A</v>
      </c>
      <c r="V1736" s="9" t="e">
        <f>VLOOKUP(Table1[[#This Row],[Address B]],IP_Master[],3,FALSE)</f>
        <v>#N/A</v>
      </c>
      <c r="W1736" s="9" t="str">
        <f>VLOOKUP(Table1[[#This Row],[Port B]],traffic_types[],2,FALSE)</f>
        <v>HTTP/S</v>
      </c>
    </row>
    <row r="1737" spans="1:23" hidden="1" x14ac:dyDescent="0.6">
      <c r="A1737" t="s">
        <v>224</v>
      </c>
      <c r="B1737">
        <v>59852</v>
      </c>
      <c r="C1737" t="s">
        <v>233</v>
      </c>
      <c r="D1737">
        <v>12350</v>
      </c>
      <c r="E1737">
        <v>3</v>
      </c>
      <c r="F1737">
        <v>194</v>
      </c>
      <c r="G1737">
        <v>3</v>
      </c>
      <c r="H1737">
        <v>194</v>
      </c>
      <c r="I1737">
        <v>0</v>
      </c>
      <c r="J1737">
        <v>0</v>
      </c>
      <c r="K1737">
        <v>14.694046</v>
      </c>
      <c r="L1737">
        <v>9.0000319999999991</v>
      </c>
      <c r="M1737">
        <v>172.44383131082199</v>
      </c>
      <c r="N1737">
        <v>0</v>
      </c>
      <c r="O1737" s="8" t="str">
        <f>formatIP(Table1[[#This Row],[Address A]])</f>
        <v>192.168.100.002</v>
      </c>
      <c r="P1737" s="8" t="str">
        <f>formatIP(Table1[[#This Row],[Address B]])</f>
        <v>091.190.218.052</v>
      </c>
      <c r="Q1737" s="8" t="e">
        <f>VLOOKUP(Table1[[#This Row],[Address A]],IP_Master[],4,FALSE)</f>
        <v>#N/A</v>
      </c>
      <c r="R1737" s="8" t="e">
        <f>VLOOKUP(Table1[[#This Row],[Address B]],IP_Master[],4,FALSE)</f>
        <v>#N/A</v>
      </c>
      <c r="S1737" s="8" t="e">
        <f>VLOOKUP(Table1[[#This Row],[Address A]],IP_Master[],2,FALSE)</f>
        <v>#N/A</v>
      </c>
      <c r="T1737" s="8" t="e">
        <f>VLOOKUP(Table1[[#This Row],[Address B]],IP_Master[],2,FALSE)</f>
        <v>#N/A</v>
      </c>
      <c r="U1737" s="9" t="e">
        <f>VLOOKUP(Table1[[#This Row],[Address A]],IP_Master[],3,FALSE)</f>
        <v>#N/A</v>
      </c>
      <c r="V1737" s="9" t="e">
        <f>VLOOKUP(Table1[[#This Row],[Address B]],IP_Master[],3,FALSE)</f>
        <v>#N/A</v>
      </c>
      <c r="W1737" s="9" t="e">
        <f>VLOOKUP(Table1[[#This Row],[Port B]],traffic_types[],2,FALSE)</f>
        <v>#N/A</v>
      </c>
    </row>
    <row r="1738" spans="1:23" x14ac:dyDescent="0.6">
      <c r="A1738" t="s">
        <v>224</v>
      </c>
      <c r="B1738">
        <v>59853</v>
      </c>
      <c r="C1738" t="s">
        <v>232</v>
      </c>
      <c r="D1738">
        <v>80</v>
      </c>
      <c r="E1738">
        <v>3</v>
      </c>
      <c r="F1738">
        <v>194</v>
      </c>
      <c r="G1738">
        <v>3</v>
      </c>
      <c r="H1738">
        <v>194</v>
      </c>
      <c r="I1738">
        <v>0</v>
      </c>
      <c r="J1738">
        <v>0</v>
      </c>
      <c r="K1738">
        <v>15.444246</v>
      </c>
      <c r="L1738">
        <v>8.9996200000000002</v>
      </c>
      <c r="M1738">
        <v>172.45172573953101</v>
      </c>
      <c r="N1738">
        <v>0</v>
      </c>
      <c r="O1738" s="8" t="str">
        <f>formatIP(Table1[[#This Row],[Address A]])</f>
        <v>192.168.100.002</v>
      </c>
      <c r="P1738" s="8" t="str">
        <f>formatIP(Table1[[#This Row],[Address B]])</f>
        <v>103.043.075.140</v>
      </c>
      <c r="Q1738" s="8" t="e">
        <f>VLOOKUP(Table1[[#This Row],[Address A]],IP_Master[],4,FALSE)</f>
        <v>#N/A</v>
      </c>
      <c r="R1738" s="8" t="e">
        <f>VLOOKUP(Table1[[#This Row],[Address B]],IP_Master[],4,FALSE)</f>
        <v>#N/A</v>
      </c>
      <c r="S1738" s="8" t="e">
        <f>VLOOKUP(Table1[[#This Row],[Address A]],IP_Master[],2,FALSE)</f>
        <v>#N/A</v>
      </c>
      <c r="T1738" s="8" t="e">
        <f>VLOOKUP(Table1[[#This Row],[Address B]],IP_Master[],2,FALSE)</f>
        <v>#N/A</v>
      </c>
      <c r="U1738" s="9" t="e">
        <f>VLOOKUP(Table1[[#This Row],[Address A]],IP_Master[],3,FALSE)</f>
        <v>#N/A</v>
      </c>
      <c r="V1738" s="9" t="e">
        <f>VLOOKUP(Table1[[#This Row],[Address B]],IP_Master[],3,FALSE)</f>
        <v>#N/A</v>
      </c>
      <c r="W1738" s="9" t="str">
        <f>VLOOKUP(Table1[[#This Row],[Port B]],traffic_types[],2,FALSE)</f>
        <v>HTTP</v>
      </c>
    </row>
    <row r="1739" spans="1:23" x14ac:dyDescent="0.6">
      <c r="A1739" t="s">
        <v>224</v>
      </c>
      <c r="B1739">
        <v>59854</v>
      </c>
      <c r="C1739" t="s">
        <v>233</v>
      </c>
      <c r="D1739">
        <v>443</v>
      </c>
      <c r="E1739">
        <v>3</v>
      </c>
      <c r="F1739">
        <v>194</v>
      </c>
      <c r="G1739">
        <v>3</v>
      </c>
      <c r="H1739">
        <v>194</v>
      </c>
      <c r="I1739">
        <v>0</v>
      </c>
      <c r="J1739">
        <v>0</v>
      </c>
      <c r="K1739">
        <v>16.313528000000002</v>
      </c>
      <c r="L1739">
        <v>9.0005539999999993</v>
      </c>
      <c r="M1739">
        <v>172.433830184231</v>
      </c>
      <c r="N1739">
        <v>0</v>
      </c>
      <c r="O1739" s="8" t="str">
        <f>formatIP(Table1[[#This Row],[Address A]])</f>
        <v>192.168.100.002</v>
      </c>
      <c r="P1739" s="8" t="str">
        <f>formatIP(Table1[[#This Row],[Address B]])</f>
        <v>091.190.218.052</v>
      </c>
      <c r="Q1739" s="8" t="e">
        <f>VLOOKUP(Table1[[#This Row],[Address A]],IP_Master[],4,FALSE)</f>
        <v>#N/A</v>
      </c>
      <c r="R1739" s="8" t="e">
        <f>VLOOKUP(Table1[[#This Row],[Address B]],IP_Master[],4,FALSE)</f>
        <v>#N/A</v>
      </c>
      <c r="S1739" s="8" t="e">
        <f>VLOOKUP(Table1[[#This Row],[Address A]],IP_Master[],2,FALSE)</f>
        <v>#N/A</v>
      </c>
      <c r="T1739" s="8" t="e">
        <f>VLOOKUP(Table1[[#This Row],[Address B]],IP_Master[],2,FALSE)</f>
        <v>#N/A</v>
      </c>
      <c r="U1739" s="9" t="e">
        <f>VLOOKUP(Table1[[#This Row],[Address A]],IP_Master[],3,FALSE)</f>
        <v>#N/A</v>
      </c>
      <c r="V1739" s="9" t="e">
        <f>VLOOKUP(Table1[[#This Row],[Address B]],IP_Master[],3,FALSE)</f>
        <v>#N/A</v>
      </c>
      <c r="W1739" s="9" t="str">
        <f>VLOOKUP(Table1[[#This Row],[Port B]],traffic_types[],2,FALSE)</f>
        <v>HTTP/S</v>
      </c>
    </row>
    <row r="1740" spans="1:23" x14ac:dyDescent="0.6">
      <c r="A1740" t="s">
        <v>224</v>
      </c>
      <c r="B1740">
        <v>59855</v>
      </c>
      <c r="C1740" t="s">
        <v>233</v>
      </c>
      <c r="D1740">
        <v>80</v>
      </c>
      <c r="E1740">
        <v>3</v>
      </c>
      <c r="F1740">
        <v>194</v>
      </c>
      <c r="G1740">
        <v>3</v>
      </c>
      <c r="H1740">
        <v>194</v>
      </c>
      <c r="I1740">
        <v>0</v>
      </c>
      <c r="J1740">
        <v>0</v>
      </c>
      <c r="K1740">
        <v>17.933402999999998</v>
      </c>
      <c r="L1740">
        <v>8.9996109999999998</v>
      </c>
      <c r="M1740">
        <v>172.45189819871101</v>
      </c>
      <c r="N1740">
        <v>0</v>
      </c>
      <c r="O1740" s="8" t="str">
        <f>formatIP(Table1[[#This Row],[Address A]])</f>
        <v>192.168.100.002</v>
      </c>
      <c r="P1740" s="8" t="str">
        <f>formatIP(Table1[[#This Row],[Address B]])</f>
        <v>091.190.218.052</v>
      </c>
      <c r="Q1740" s="8" t="e">
        <f>VLOOKUP(Table1[[#This Row],[Address A]],IP_Master[],4,FALSE)</f>
        <v>#N/A</v>
      </c>
      <c r="R1740" s="8" t="e">
        <f>VLOOKUP(Table1[[#This Row],[Address B]],IP_Master[],4,FALSE)</f>
        <v>#N/A</v>
      </c>
      <c r="S1740" s="8" t="e">
        <f>VLOOKUP(Table1[[#This Row],[Address A]],IP_Master[],2,FALSE)</f>
        <v>#N/A</v>
      </c>
      <c r="T1740" s="8" t="e">
        <f>VLOOKUP(Table1[[#This Row],[Address B]],IP_Master[],2,FALSE)</f>
        <v>#N/A</v>
      </c>
      <c r="U1740" s="9" t="e">
        <f>VLOOKUP(Table1[[#This Row],[Address A]],IP_Master[],3,FALSE)</f>
        <v>#N/A</v>
      </c>
      <c r="V1740" s="9" t="e">
        <f>VLOOKUP(Table1[[#This Row],[Address B]],IP_Master[],3,FALSE)</f>
        <v>#N/A</v>
      </c>
      <c r="W1740" s="9" t="str">
        <f>VLOOKUP(Table1[[#This Row],[Port B]],traffic_types[],2,FALSE)</f>
        <v>HTTP</v>
      </c>
    </row>
    <row r="1741" spans="1:23" hidden="1" x14ac:dyDescent="0.6">
      <c r="A1741" t="s">
        <v>224</v>
      </c>
      <c r="B1741">
        <v>59856</v>
      </c>
      <c r="C1741" t="s">
        <v>234</v>
      </c>
      <c r="D1741">
        <v>40020</v>
      </c>
      <c r="E1741">
        <v>3</v>
      </c>
      <c r="F1741">
        <v>194</v>
      </c>
      <c r="G1741">
        <v>3</v>
      </c>
      <c r="H1741">
        <v>194</v>
      </c>
      <c r="I1741">
        <v>0</v>
      </c>
      <c r="J1741">
        <v>0</v>
      </c>
      <c r="K1741">
        <v>18.524483</v>
      </c>
      <c r="L1741">
        <v>8.9994689999999995</v>
      </c>
      <c r="M1741">
        <v>172.45461926698101</v>
      </c>
      <c r="N1741">
        <v>0</v>
      </c>
      <c r="O1741" s="8" t="str">
        <f>formatIP(Table1[[#This Row],[Address A]])</f>
        <v>192.168.100.002</v>
      </c>
      <c r="P1741" s="8" t="str">
        <f>formatIP(Table1[[#This Row],[Address B]])</f>
        <v>157.055.056.161</v>
      </c>
      <c r="Q1741" s="8" t="e">
        <f>VLOOKUP(Table1[[#This Row],[Address A]],IP_Master[],4,FALSE)</f>
        <v>#N/A</v>
      </c>
      <c r="R1741" s="8" t="e">
        <f>VLOOKUP(Table1[[#This Row],[Address B]],IP_Master[],4,FALSE)</f>
        <v>#N/A</v>
      </c>
      <c r="S1741" s="8" t="e">
        <f>VLOOKUP(Table1[[#This Row],[Address A]],IP_Master[],2,FALSE)</f>
        <v>#N/A</v>
      </c>
      <c r="T1741" s="8" t="e">
        <f>VLOOKUP(Table1[[#This Row],[Address B]],IP_Master[],2,FALSE)</f>
        <v>#N/A</v>
      </c>
      <c r="U1741" s="9" t="e">
        <f>VLOOKUP(Table1[[#This Row],[Address A]],IP_Master[],3,FALSE)</f>
        <v>#N/A</v>
      </c>
      <c r="V1741" s="9" t="e">
        <f>VLOOKUP(Table1[[#This Row],[Address B]],IP_Master[],3,FALSE)</f>
        <v>#N/A</v>
      </c>
      <c r="W1741" s="9" t="e">
        <f>VLOOKUP(Table1[[#This Row],[Port B]],traffic_types[],2,FALSE)</f>
        <v>#N/A</v>
      </c>
    </row>
    <row r="1742" spans="1:23" hidden="1" x14ac:dyDescent="0.6">
      <c r="A1742" t="s">
        <v>224</v>
      </c>
      <c r="B1742">
        <v>59857</v>
      </c>
      <c r="C1742" t="s">
        <v>235</v>
      </c>
      <c r="D1742">
        <v>40015</v>
      </c>
      <c r="E1742">
        <v>3</v>
      </c>
      <c r="F1742">
        <v>194</v>
      </c>
      <c r="G1742">
        <v>3</v>
      </c>
      <c r="H1742">
        <v>194</v>
      </c>
      <c r="I1742">
        <v>0</v>
      </c>
      <c r="J1742">
        <v>0</v>
      </c>
      <c r="K1742">
        <v>19.549379999999999</v>
      </c>
      <c r="L1742">
        <v>9.0046370000000007</v>
      </c>
      <c r="M1742">
        <v>172.35564298705199</v>
      </c>
      <c r="N1742">
        <v>0</v>
      </c>
      <c r="O1742" s="8" t="str">
        <f>formatIP(Table1[[#This Row],[Address A]])</f>
        <v>192.168.100.002</v>
      </c>
      <c r="P1742" s="8" t="str">
        <f>formatIP(Table1[[#This Row],[Address B]])</f>
        <v>157.055.235.153</v>
      </c>
      <c r="Q1742" s="8" t="e">
        <f>VLOOKUP(Table1[[#This Row],[Address A]],IP_Master[],4,FALSE)</f>
        <v>#N/A</v>
      </c>
      <c r="R1742" s="8" t="e">
        <f>VLOOKUP(Table1[[#This Row],[Address B]],IP_Master[],4,FALSE)</f>
        <v>#N/A</v>
      </c>
      <c r="S1742" s="8" t="e">
        <f>VLOOKUP(Table1[[#This Row],[Address A]],IP_Master[],2,FALSE)</f>
        <v>#N/A</v>
      </c>
      <c r="T1742" s="8" t="e">
        <f>VLOOKUP(Table1[[#This Row],[Address B]],IP_Master[],2,FALSE)</f>
        <v>#N/A</v>
      </c>
      <c r="U1742" s="9" t="e">
        <f>VLOOKUP(Table1[[#This Row],[Address A]],IP_Master[],3,FALSE)</f>
        <v>#N/A</v>
      </c>
      <c r="V1742" s="9" t="e">
        <f>VLOOKUP(Table1[[#This Row],[Address B]],IP_Master[],3,FALSE)</f>
        <v>#N/A</v>
      </c>
      <c r="W1742" s="9" t="e">
        <f>VLOOKUP(Table1[[#This Row],[Port B]],traffic_types[],2,FALSE)</f>
        <v>#N/A</v>
      </c>
    </row>
    <row r="1743" spans="1:23" x14ac:dyDescent="0.6">
      <c r="A1743" t="s">
        <v>224</v>
      </c>
      <c r="B1743">
        <v>59858</v>
      </c>
      <c r="C1743" t="s">
        <v>234</v>
      </c>
      <c r="D1743">
        <v>443</v>
      </c>
      <c r="E1743">
        <v>3</v>
      </c>
      <c r="F1743">
        <v>194</v>
      </c>
      <c r="G1743">
        <v>3</v>
      </c>
      <c r="H1743">
        <v>194</v>
      </c>
      <c r="I1743">
        <v>0</v>
      </c>
      <c r="J1743">
        <v>0</v>
      </c>
      <c r="K1743">
        <v>20.144504000000001</v>
      </c>
      <c r="L1743">
        <v>8.9994379999999996</v>
      </c>
      <c r="M1743">
        <v>172.45521331443101</v>
      </c>
      <c r="N1743">
        <v>0</v>
      </c>
      <c r="O1743" s="8" t="str">
        <f>formatIP(Table1[[#This Row],[Address A]])</f>
        <v>192.168.100.002</v>
      </c>
      <c r="P1743" s="8" t="str">
        <f>formatIP(Table1[[#This Row],[Address B]])</f>
        <v>157.055.056.161</v>
      </c>
      <c r="Q1743" s="8" t="e">
        <f>VLOOKUP(Table1[[#This Row],[Address A]],IP_Master[],4,FALSE)</f>
        <v>#N/A</v>
      </c>
      <c r="R1743" s="8" t="e">
        <f>VLOOKUP(Table1[[#This Row],[Address B]],IP_Master[],4,FALSE)</f>
        <v>#N/A</v>
      </c>
      <c r="S1743" s="8" t="e">
        <f>VLOOKUP(Table1[[#This Row],[Address A]],IP_Master[],2,FALSE)</f>
        <v>#N/A</v>
      </c>
      <c r="T1743" s="8" t="e">
        <f>VLOOKUP(Table1[[#This Row],[Address B]],IP_Master[],2,FALSE)</f>
        <v>#N/A</v>
      </c>
      <c r="U1743" s="9" t="e">
        <f>VLOOKUP(Table1[[#This Row],[Address A]],IP_Master[],3,FALSE)</f>
        <v>#N/A</v>
      </c>
      <c r="V1743" s="9" t="e">
        <f>VLOOKUP(Table1[[#This Row],[Address B]],IP_Master[],3,FALSE)</f>
        <v>#N/A</v>
      </c>
      <c r="W1743" s="9" t="str">
        <f>VLOOKUP(Table1[[#This Row],[Port B]],traffic_types[],2,FALSE)</f>
        <v>HTTP/S</v>
      </c>
    </row>
    <row r="1744" spans="1:23" hidden="1" x14ac:dyDescent="0.6">
      <c r="A1744" t="s">
        <v>224</v>
      </c>
      <c r="B1744">
        <v>59859</v>
      </c>
      <c r="C1744" t="s">
        <v>236</v>
      </c>
      <c r="D1744">
        <v>33033</v>
      </c>
      <c r="E1744">
        <v>3</v>
      </c>
      <c r="F1744">
        <v>194</v>
      </c>
      <c r="G1744">
        <v>3</v>
      </c>
      <c r="H1744">
        <v>194</v>
      </c>
      <c r="I1744">
        <v>0</v>
      </c>
      <c r="J1744">
        <v>0</v>
      </c>
      <c r="K1744">
        <v>20.575256</v>
      </c>
      <c r="L1744">
        <v>9.0087890000000002</v>
      </c>
      <c r="M1744">
        <v>172.27620715725499</v>
      </c>
      <c r="N1744">
        <v>0</v>
      </c>
      <c r="O1744" s="8" t="str">
        <f>formatIP(Table1[[#This Row],[Address A]])</f>
        <v>192.168.100.002</v>
      </c>
      <c r="P1744" s="8" t="str">
        <f>formatIP(Table1[[#This Row],[Address B]])</f>
        <v>157.055.056.146</v>
      </c>
      <c r="Q1744" s="8" t="e">
        <f>VLOOKUP(Table1[[#This Row],[Address A]],IP_Master[],4,FALSE)</f>
        <v>#N/A</v>
      </c>
      <c r="R1744" s="8" t="e">
        <f>VLOOKUP(Table1[[#This Row],[Address B]],IP_Master[],4,FALSE)</f>
        <v>#N/A</v>
      </c>
      <c r="S1744" s="8" t="e">
        <f>VLOOKUP(Table1[[#This Row],[Address A]],IP_Master[],2,FALSE)</f>
        <v>#N/A</v>
      </c>
      <c r="T1744" s="8" t="e">
        <f>VLOOKUP(Table1[[#This Row],[Address B]],IP_Master[],2,FALSE)</f>
        <v>#N/A</v>
      </c>
      <c r="U1744" s="9" t="e">
        <f>VLOOKUP(Table1[[#This Row],[Address A]],IP_Master[],3,FALSE)</f>
        <v>#N/A</v>
      </c>
      <c r="V1744" s="9" t="e">
        <f>VLOOKUP(Table1[[#This Row],[Address B]],IP_Master[],3,FALSE)</f>
        <v>#N/A</v>
      </c>
      <c r="W1744" s="9" t="e">
        <f>VLOOKUP(Table1[[#This Row],[Port B]],traffic_types[],2,FALSE)</f>
        <v>#N/A</v>
      </c>
    </row>
    <row r="1745" spans="1:23" x14ac:dyDescent="0.6">
      <c r="A1745" t="s">
        <v>224</v>
      </c>
      <c r="B1745">
        <v>59860</v>
      </c>
      <c r="C1745" t="s">
        <v>235</v>
      </c>
      <c r="D1745">
        <v>443</v>
      </c>
      <c r="E1745">
        <v>3</v>
      </c>
      <c r="F1745">
        <v>194</v>
      </c>
      <c r="G1745">
        <v>3</v>
      </c>
      <c r="H1745">
        <v>194</v>
      </c>
      <c r="I1745">
        <v>0</v>
      </c>
      <c r="J1745">
        <v>0</v>
      </c>
      <c r="K1745">
        <v>21.194322</v>
      </c>
      <c r="L1745">
        <v>8.9697779999999998</v>
      </c>
      <c r="M1745">
        <v>173.02546395239699</v>
      </c>
      <c r="N1745">
        <v>0</v>
      </c>
      <c r="O1745" s="8" t="str">
        <f>formatIP(Table1[[#This Row],[Address A]])</f>
        <v>192.168.100.002</v>
      </c>
      <c r="P1745" s="8" t="str">
        <f>formatIP(Table1[[#This Row],[Address B]])</f>
        <v>157.055.235.153</v>
      </c>
      <c r="Q1745" s="8" t="e">
        <f>VLOOKUP(Table1[[#This Row],[Address A]],IP_Master[],4,FALSE)</f>
        <v>#N/A</v>
      </c>
      <c r="R1745" s="8" t="e">
        <f>VLOOKUP(Table1[[#This Row],[Address B]],IP_Master[],4,FALSE)</f>
        <v>#N/A</v>
      </c>
      <c r="S1745" s="8" t="e">
        <f>VLOOKUP(Table1[[#This Row],[Address A]],IP_Master[],2,FALSE)</f>
        <v>#N/A</v>
      </c>
      <c r="T1745" s="8" t="e">
        <f>VLOOKUP(Table1[[#This Row],[Address B]],IP_Master[],2,FALSE)</f>
        <v>#N/A</v>
      </c>
      <c r="U1745" s="9" t="e">
        <f>VLOOKUP(Table1[[#This Row],[Address A]],IP_Master[],3,FALSE)</f>
        <v>#N/A</v>
      </c>
      <c r="V1745" s="9" t="e">
        <f>VLOOKUP(Table1[[#This Row],[Address B]],IP_Master[],3,FALSE)</f>
        <v>#N/A</v>
      </c>
      <c r="W1745" s="9" t="str">
        <f>VLOOKUP(Table1[[#This Row],[Port B]],traffic_types[],2,FALSE)</f>
        <v>HTTP/S</v>
      </c>
    </row>
    <row r="1746" spans="1:23" x14ac:dyDescent="0.6">
      <c r="A1746" t="s">
        <v>224</v>
      </c>
      <c r="B1746">
        <v>59861</v>
      </c>
      <c r="C1746" t="s">
        <v>234</v>
      </c>
      <c r="D1746">
        <v>80</v>
      </c>
      <c r="E1746">
        <v>3</v>
      </c>
      <c r="F1746">
        <v>194</v>
      </c>
      <c r="G1746">
        <v>3</v>
      </c>
      <c r="H1746">
        <v>194</v>
      </c>
      <c r="I1746">
        <v>0</v>
      </c>
      <c r="J1746">
        <v>0</v>
      </c>
      <c r="K1746">
        <v>21.764154999999999</v>
      </c>
      <c r="L1746">
        <v>8.9978719999999992</v>
      </c>
      <c r="M1746">
        <v>172.48522761826399</v>
      </c>
      <c r="N1746">
        <v>0</v>
      </c>
      <c r="O1746" s="8" t="str">
        <f>formatIP(Table1[[#This Row],[Address A]])</f>
        <v>192.168.100.002</v>
      </c>
      <c r="P1746" s="8" t="str">
        <f>formatIP(Table1[[#This Row],[Address B]])</f>
        <v>157.055.056.161</v>
      </c>
      <c r="Q1746" s="8" t="e">
        <f>VLOOKUP(Table1[[#This Row],[Address A]],IP_Master[],4,FALSE)</f>
        <v>#N/A</v>
      </c>
      <c r="R1746" s="8" t="e">
        <f>VLOOKUP(Table1[[#This Row],[Address B]],IP_Master[],4,FALSE)</f>
        <v>#N/A</v>
      </c>
      <c r="S1746" s="8" t="e">
        <f>VLOOKUP(Table1[[#This Row],[Address A]],IP_Master[],2,FALSE)</f>
        <v>#N/A</v>
      </c>
      <c r="T1746" s="8" t="e">
        <f>VLOOKUP(Table1[[#This Row],[Address B]],IP_Master[],2,FALSE)</f>
        <v>#N/A</v>
      </c>
      <c r="U1746" s="9" t="e">
        <f>VLOOKUP(Table1[[#This Row],[Address A]],IP_Master[],3,FALSE)</f>
        <v>#N/A</v>
      </c>
      <c r="V1746" s="9" t="e">
        <f>VLOOKUP(Table1[[#This Row],[Address B]],IP_Master[],3,FALSE)</f>
        <v>#N/A</v>
      </c>
      <c r="W1746" s="9" t="str">
        <f>VLOOKUP(Table1[[#This Row],[Port B]],traffic_types[],2,FALSE)</f>
        <v>HTTP</v>
      </c>
    </row>
    <row r="1747" spans="1:23" x14ac:dyDescent="0.6">
      <c r="A1747" t="s">
        <v>224</v>
      </c>
      <c r="B1747">
        <v>59862</v>
      </c>
      <c r="C1747" t="s">
        <v>236</v>
      </c>
      <c r="D1747">
        <v>443</v>
      </c>
      <c r="E1747">
        <v>3</v>
      </c>
      <c r="F1747">
        <v>194</v>
      </c>
      <c r="G1747">
        <v>3</v>
      </c>
      <c r="H1747">
        <v>194</v>
      </c>
      <c r="I1747">
        <v>0</v>
      </c>
      <c r="J1747">
        <v>0</v>
      </c>
      <c r="K1747">
        <v>22.194369999999999</v>
      </c>
      <c r="L1747">
        <v>9.0021819999999995</v>
      </c>
      <c r="M1747">
        <v>172.402646380622</v>
      </c>
      <c r="N1747">
        <v>0</v>
      </c>
      <c r="O1747" s="8" t="str">
        <f>formatIP(Table1[[#This Row],[Address A]])</f>
        <v>192.168.100.002</v>
      </c>
      <c r="P1747" s="8" t="str">
        <f>formatIP(Table1[[#This Row],[Address B]])</f>
        <v>157.055.056.146</v>
      </c>
      <c r="Q1747" s="8" t="e">
        <f>VLOOKUP(Table1[[#This Row],[Address A]],IP_Master[],4,FALSE)</f>
        <v>#N/A</v>
      </c>
      <c r="R1747" s="8" t="e">
        <f>VLOOKUP(Table1[[#This Row],[Address B]],IP_Master[],4,FALSE)</f>
        <v>#N/A</v>
      </c>
      <c r="S1747" s="8" t="e">
        <f>VLOOKUP(Table1[[#This Row],[Address A]],IP_Master[],2,FALSE)</f>
        <v>#N/A</v>
      </c>
      <c r="T1747" s="8" t="e">
        <f>VLOOKUP(Table1[[#This Row],[Address B]],IP_Master[],2,FALSE)</f>
        <v>#N/A</v>
      </c>
      <c r="U1747" s="9" t="e">
        <f>VLOOKUP(Table1[[#This Row],[Address A]],IP_Master[],3,FALSE)</f>
        <v>#N/A</v>
      </c>
      <c r="V1747" s="9" t="e">
        <f>VLOOKUP(Table1[[#This Row],[Address B]],IP_Master[],3,FALSE)</f>
        <v>#N/A</v>
      </c>
      <c r="W1747" s="9" t="str">
        <f>VLOOKUP(Table1[[#This Row],[Port B]],traffic_types[],2,FALSE)</f>
        <v>HTTP/S</v>
      </c>
    </row>
    <row r="1748" spans="1:23" hidden="1" x14ac:dyDescent="0.6">
      <c r="A1748" t="s">
        <v>224</v>
      </c>
      <c r="B1748">
        <v>59863</v>
      </c>
      <c r="C1748" t="s">
        <v>237</v>
      </c>
      <c r="D1748">
        <v>40030</v>
      </c>
      <c r="E1748">
        <v>3</v>
      </c>
      <c r="F1748">
        <v>194</v>
      </c>
      <c r="G1748">
        <v>3</v>
      </c>
      <c r="H1748">
        <v>194</v>
      </c>
      <c r="I1748">
        <v>0</v>
      </c>
      <c r="J1748">
        <v>0</v>
      </c>
      <c r="K1748">
        <v>22.625219999999999</v>
      </c>
      <c r="L1748">
        <v>9.0099599999999995</v>
      </c>
      <c r="M1748">
        <v>172.25381688708899</v>
      </c>
      <c r="N1748">
        <v>0</v>
      </c>
      <c r="O1748" s="8" t="str">
        <f>formatIP(Table1[[#This Row],[Address A]])</f>
        <v>192.168.100.002</v>
      </c>
      <c r="P1748" s="8" t="str">
        <f>formatIP(Table1[[#This Row],[Address B]])</f>
        <v>157.056.052.048</v>
      </c>
      <c r="Q1748" s="8" t="e">
        <f>VLOOKUP(Table1[[#This Row],[Address A]],IP_Master[],4,FALSE)</f>
        <v>#N/A</v>
      </c>
      <c r="R1748" s="8" t="e">
        <f>VLOOKUP(Table1[[#This Row],[Address B]],IP_Master[],4,FALSE)</f>
        <v>#N/A</v>
      </c>
      <c r="S1748" s="8" t="e">
        <f>VLOOKUP(Table1[[#This Row],[Address A]],IP_Master[],2,FALSE)</f>
        <v>#N/A</v>
      </c>
      <c r="T1748" s="8" t="e">
        <f>VLOOKUP(Table1[[#This Row],[Address B]],IP_Master[],2,FALSE)</f>
        <v>#N/A</v>
      </c>
      <c r="U1748" s="9" t="e">
        <f>VLOOKUP(Table1[[#This Row],[Address A]],IP_Master[],3,FALSE)</f>
        <v>#N/A</v>
      </c>
      <c r="V1748" s="9" t="e">
        <f>VLOOKUP(Table1[[#This Row],[Address B]],IP_Master[],3,FALSE)</f>
        <v>#N/A</v>
      </c>
      <c r="W1748" s="9" t="e">
        <f>VLOOKUP(Table1[[#This Row],[Port B]],traffic_types[],2,FALSE)</f>
        <v>#N/A</v>
      </c>
    </row>
    <row r="1749" spans="1:23" x14ac:dyDescent="0.6">
      <c r="A1749" t="s">
        <v>224</v>
      </c>
      <c r="B1749">
        <v>59864</v>
      </c>
      <c r="C1749" t="s">
        <v>235</v>
      </c>
      <c r="D1749">
        <v>80</v>
      </c>
      <c r="E1749">
        <v>3</v>
      </c>
      <c r="F1749">
        <v>194</v>
      </c>
      <c r="G1749">
        <v>3</v>
      </c>
      <c r="H1749">
        <v>194</v>
      </c>
      <c r="I1749">
        <v>0</v>
      </c>
      <c r="J1749">
        <v>0</v>
      </c>
      <c r="K1749">
        <v>22.784393000000001</v>
      </c>
      <c r="L1749">
        <v>8.989528</v>
      </c>
      <c r="M1749">
        <v>172.64532687366901</v>
      </c>
      <c r="N1749">
        <v>0</v>
      </c>
      <c r="O1749" s="8" t="str">
        <f>formatIP(Table1[[#This Row],[Address A]])</f>
        <v>192.168.100.002</v>
      </c>
      <c r="P1749" s="8" t="str">
        <f>formatIP(Table1[[#This Row],[Address B]])</f>
        <v>157.055.235.153</v>
      </c>
      <c r="Q1749" s="8" t="e">
        <f>VLOOKUP(Table1[[#This Row],[Address A]],IP_Master[],4,FALSE)</f>
        <v>#N/A</v>
      </c>
      <c r="R1749" s="8" t="e">
        <f>VLOOKUP(Table1[[#This Row],[Address B]],IP_Master[],4,FALSE)</f>
        <v>#N/A</v>
      </c>
      <c r="S1749" s="8" t="e">
        <f>VLOOKUP(Table1[[#This Row],[Address A]],IP_Master[],2,FALSE)</f>
        <v>#N/A</v>
      </c>
      <c r="T1749" s="8" t="e">
        <f>VLOOKUP(Table1[[#This Row],[Address B]],IP_Master[],2,FALSE)</f>
        <v>#N/A</v>
      </c>
      <c r="U1749" s="9" t="e">
        <f>VLOOKUP(Table1[[#This Row],[Address A]],IP_Master[],3,FALSE)</f>
        <v>#N/A</v>
      </c>
      <c r="V1749" s="9" t="e">
        <f>VLOOKUP(Table1[[#This Row],[Address B]],IP_Master[],3,FALSE)</f>
        <v>#N/A</v>
      </c>
      <c r="W1749" s="9" t="str">
        <f>VLOOKUP(Table1[[#This Row],[Port B]],traffic_types[],2,FALSE)</f>
        <v>HTTP</v>
      </c>
    </row>
    <row r="1750" spans="1:23" x14ac:dyDescent="0.6">
      <c r="A1750" t="s">
        <v>224</v>
      </c>
      <c r="B1750">
        <v>59865</v>
      </c>
      <c r="C1750" t="s">
        <v>236</v>
      </c>
      <c r="D1750">
        <v>80</v>
      </c>
      <c r="E1750">
        <v>3</v>
      </c>
      <c r="F1750">
        <v>194</v>
      </c>
      <c r="G1750">
        <v>3</v>
      </c>
      <c r="H1750">
        <v>194</v>
      </c>
      <c r="I1750">
        <v>0</v>
      </c>
      <c r="J1750">
        <v>0</v>
      </c>
      <c r="K1750">
        <v>23.814364999999999</v>
      </c>
      <c r="L1750">
        <v>9.0004770000000001</v>
      </c>
      <c r="M1750">
        <v>172.43530537326001</v>
      </c>
      <c r="N1750">
        <v>0</v>
      </c>
      <c r="O1750" s="8" t="str">
        <f>formatIP(Table1[[#This Row],[Address A]])</f>
        <v>192.168.100.002</v>
      </c>
      <c r="P1750" s="8" t="str">
        <f>formatIP(Table1[[#This Row],[Address B]])</f>
        <v>157.055.056.146</v>
      </c>
      <c r="Q1750" s="8" t="e">
        <f>VLOOKUP(Table1[[#This Row],[Address A]],IP_Master[],4,FALSE)</f>
        <v>#N/A</v>
      </c>
      <c r="R1750" s="8" t="e">
        <f>VLOOKUP(Table1[[#This Row],[Address B]],IP_Master[],4,FALSE)</f>
        <v>#N/A</v>
      </c>
      <c r="S1750" s="8" t="e">
        <f>VLOOKUP(Table1[[#This Row],[Address A]],IP_Master[],2,FALSE)</f>
        <v>#N/A</v>
      </c>
      <c r="T1750" s="8" t="e">
        <f>VLOOKUP(Table1[[#This Row],[Address B]],IP_Master[],2,FALSE)</f>
        <v>#N/A</v>
      </c>
      <c r="U1750" s="9" t="e">
        <f>VLOOKUP(Table1[[#This Row],[Address A]],IP_Master[],3,FALSE)</f>
        <v>#N/A</v>
      </c>
      <c r="V1750" s="9" t="e">
        <f>VLOOKUP(Table1[[#This Row],[Address B]],IP_Master[],3,FALSE)</f>
        <v>#N/A</v>
      </c>
      <c r="W1750" s="9" t="str">
        <f>VLOOKUP(Table1[[#This Row],[Port B]],traffic_types[],2,FALSE)</f>
        <v>HTTP</v>
      </c>
    </row>
    <row r="1751" spans="1:23" x14ac:dyDescent="0.6">
      <c r="A1751" t="s">
        <v>224</v>
      </c>
      <c r="B1751">
        <v>59866</v>
      </c>
      <c r="C1751" t="s">
        <v>237</v>
      </c>
      <c r="D1751">
        <v>443</v>
      </c>
      <c r="E1751">
        <v>3</v>
      </c>
      <c r="F1751">
        <v>194</v>
      </c>
      <c r="G1751">
        <v>3</v>
      </c>
      <c r="H1751">
        <v>194</v>
      </c>
      <c r="I1751">
        <v>0</v>
      </c>
      <c r="J1751">
        <v>0</v>
      </c>
      <c r="K1751">
        <v>24.234452999999998</v>
      </c>
      <c r="L1751">
        <v>9.0005629999999996</v>
      </c>
      <c r="M1751">
        <v>172.43365776118699</v>
      </c>
      <c r="N1751">
        <v>0</v>
      </c>
      <c r="O1751" s="8" t="str">
        <f>formatIP(Table1[[#This Row],[Address A]])</f>
        <v>192.168.100.002</v>
      </c>
      <c r="P1751" s="8" t="str">
        <f>formatIP(Table1[[#This Row],[Address B]])</f>
        <v>157.056.052.048</v>
      </c>
      <c r="Q1751" s="8" t="e">
        <f>VLOOKUP(Table1[[#This Row],[Address A]],IP_Master[],4,FALSE)</f>
        <v>#N/A</v>
      </c>
      <c r="R1751" s="8" t="e">
        <f>VLOOKUP(Table1[[#This Row],[Address B]],IP_Master[],4,FALSE)</f>
        <v>#N/A</v>
      </c>
      <c r="S1751" s="8" t="e">
        <f>VLOOKUP(Table1[[#This Row],[Address A]],IP_Master[],2,FALSE)</f>
        <v>#N/A</v>
      </c>
      <c r="T1751" s="8" t="e">
        <f>VLOOKUP(Table1[[#This Row],[Address B]],IP_Master[],2,FALSE)</f>
        <v>#N/A</v>
      </c>
      <c r="U1751" s="9" t="e">
        <f>VLOOKUP(Table1[[#This Row],[Address A]],IP_Master[],3,FALSE)</f>
        <v>#N/A</v>
      </c>
      <c r="V1751" s="9" t="e">
        <f>VLOOKUP(Table1[[#This Row],[Address B]],IP_Master[],3,FALSE)</f>
        <v>#N/A</v>
      </c>
      <c r="W1751" s="9" t="str">
        <f>VLOOKUP(Table1[[#This Row],[Port B]],traffic_types[],2,FALSE)</f>
        <v>HTTP/S</v>
      </c>
    </row>
    <row r="1752" spans="1:23" hidden="1" x14ac:dyDescent="0.6">
      <c r="A1752" t="s">
        <v>224</v>
      </c>
      <c r="B1752">
        <v>59867</v>
      </c>
      <c r="C1752" t="s">
        <v>238</v>
      </c>
      <c r="D1752">
        <v>40020</v>
      </c>
      <c r="E1752">
        <v>3</v>
      </c>
      <c r="F1752">
        <v>194</v>
      </c>
      <c r="G1752">
        <v>3</v>
      </c>
      <c r="H1752">
        <v>194</v>
      </c>
      <c r="I1752">
        <v>0</v>
      </c>
      <c r="J1752">
        <v>0</v>
      </c>
      <c r="K1752">
        <v>25.685192000000001</v>
      </c>
      <c r="L1752">
        <v>9.0385209999999994</v>
      </c>
      <c r="M1752">
        <v>171.70950866850899</v>
      </c>
      <c r="N1752">
        <v>0</v>
      </c>
      <c r="O1752" s="8" t="str">
        <f>formatIP(Table1[[#This Row],[Address A]])</f>
        <v>192.168.100.002</v>
      </c>
      <c r="P1752" s="8" t="str">
        <f>formatIP(Table1[[#This Row],[Address B]])</f>
        <v>065.055.223.034</v>
      </c>
      <c r="Q1752" s="8" t="e">
        <f>VLOOKUP(Table1[[#This Row],[Address A]],IP_Master[],4,FALSE)</f>
        <v>#N/A</v>
      </c>
      <c r="R1752" s="8" t="e">
        <f>VLOOKUP(Table1[[#This Row],[Address B]],IP_Master[],4,FALSE)</f>
        <v>#N/A</v>
      </c>
      <c r="S1752" s="8" t="e">
        <f>VLOOKUP(Table1[[#This Row],[Address A]],IP_Master[],2,FALSE)</f>
        <v>#N/A</v>
      </c>
      <c r="T1752" s="8" t="e">
        <f>VLOOKUP(Table1[[#This Row],[Address B]],IP_Master[],2,FALSE)</f>
        <v>#N/A</v>
      </c>
      <c r="U1752" s="9" t="e">
        <f>VLOOKUP(Table1[[#This Row],[Address A]],IP_Master[],3,FALSE)</f>
        <v>#N/A</v>
      </c>
      <c r="V1752" s="9" t="e">
        <f>VLOOKUP(Table1[[#This Row],[Address B]],IP_Master[],3,FALSE)</f>
        <v>#N/A</v>
      </c>
      <c r="W1752" s="9" t="e">
        <f>VLOOKUP(Table1[[#This Row],[Port B]],traffic_types[],2,FALSE)</f>
        <v>#N/A</v>
      </c>
    </row>
    <row r="1753" spans="1:23" x14ac:dyDescent="0.6">
      <c r="A1753" t="s">
        <v>224</v>
      </c>
      <c r="B1753">
        <v>59868</v>
      </c>
      <c r="C1753" t="s">
        <v>237</v>
      </c>
      <c r="D1753">
        <v>80</v>
      </c>
      <c r="E1753">
        <v>3</v>
      </c>
      <c r="F1753">
        <v>194</v>
      </c>
      <c r="G1753">
        <v>3</v>
      </c>
      <c r="H1753">
        <v>194</v>
      </c>
      <c r="I1753">
        <v>0</v>
      </c>
      <c r="J1753">
        <v>0</v>
      </c>
      <c r="K1753">
        <v>25.854196999999999</v>
      </c>
      <c r="L1753">
        <v>9.0007870000000008</v>
      </c>
      <c r="M1753">
        <v>172.42936645428901</v>
      </c>
      <c r="N1753">
        <v>0</v>
      </c>
      <c r="O1753" s="8" t="str">
        <f>formatIP(Table1[[#This Row],[Address A]])</f>
        <v>192.168.100.002</v>
      </c>
      <c r="P1753" s="8" t="str">
        <f>formatIP(Table1[[#This Row],[Address B]])</f>
        <v>157.056.052.048</v>
      </c>
      <c r="Q1753" s="8" t="e">
        <f>VLOOKUP(Table1[[#This Row],[Address A]],IP_Master[],4,FALSE)</f>
        <v>#N/A</v>
      </c>
      <c r="R1753" s="8" t="e">
        <f>VLOOKUP(Table1[[#This Row],[Address B]],IP_Master[],4,FALSE)</f>
        <v>#N/A</v>
      </c>
      <c r="S1753" s="8" t="e">
        <f>VLOOKUP(Table1[[#This Row],[Address A]],IP_Master[],2,FALSE)</f>
        <v>#N/A</v>
      </c>
      <c r="T1753" s="8" t="e">
        <f>VLOOKUP(Table1[[#This Row],[Address B]],IP_Master[],2,FALSE)</f>
        <v>#N/A</v>
      </c>
      <c r="U1753" s="9" t="e">
        <f>VLOOKUP(Table1[[#This Row],[Address A]],IP_Master[],3,FALSE)</f>
        <v>#N/A</v>
      </c>
      <c r="V1753" s="9" t="e">
        <f>VLOOKUP(Table1[[#This Row],[Address B]],IP_Master[],3,FALSE)</f>
        <v>#N/A</v>
      </c>
      <c r="W1753" s="9" t="str">
        <f>VLOOKUP(Table1[[#This Row],[Port B]],traffic_types[],2,FALSE)</f>
        <v>HTTP</v>
      </c>
    </row>
    <row r="1754" spans="1:23" x14ac:dyDescent="0.6">
      <c r="A1754" t="s">
        <v>224</v>
      </c>
      <c r="B1754">
        <v>59869</v>
      </c>
      <c r="C1754" t="s">
        <v>238</v>
      </c>
      <c r="D1754">
        <v>443</v>
      </c>
      <c r="E1754">
        <v>3</v>
      </c>
      <c r="F1754">
        <v>194</v>
      </c>
      <c r="G1754">
        <v>3</v>
      </c>
      <c r="H1754">
        <v>194</v>
      </c>
      <c r="I1754">
        <v>0</v>
      </c>
      <c r="J1754">
        <v>0</v>
      </c>
      <c r="K1754">
        <v>27.305568000000001</v>
      </c>
      <c r="L1754">
        <v>9.0292499999999993</v>
      </c>
      <c r="M1754">
        <v>171.88581554392701</v>
      </c>
      <c r="N1754">
        <v>0</v>
      </c>
      <c r="O1754" s="8" t="str">
        <f>formatIP(Table1[[#This Row],[Address A]])</f>
        <v>192.168.100.002</v>
      </c>
      <c r="P1754" s="8" t="str">
        <f>formatIP(Table1[[#This Row],[Address B]])</f>
        <v>065.055.223.034</v>
      </c>
      <c r="Q1754" s="8" t="e">
        <f>VLOOKUP(Table1[[#This Row],[Address A]],IP_Master[],4,FALSE)</f>
        <v>#N/A</v>
      </c>
      <c r="R1754" s="8" t="e">
        <f>VLOOKUP(Table1[[#This Row],[Address B]],IP_Master[],4,FALSE)</f>
        <v>#N/A</v>
      </c>
      <c r="S1754" s="8" t="e">
        <f>VLOOKUP(Table1[[#This Row],[Address A]],IP_Master[],2,FALSE)</f>
        <v>#N/A</v>
      </c>
      <c r="T1754" s="8" t="e">
        <f>VLOOKUP(Table1[[#This Row],[Address B]],IP_Master[],2,FALSE)</f>
        <v>#N/A</v>
      </c>
      <c r="U1754" s="9" t="e">
        <f>VLOOKUP(Table1[[#This Row],[Address A]],IP_Master[],3,FALSE)</f>
        <v>#N/A</v>
      </c>
      <c r="V1754" s="9" t="e">
        <f>VLOOKUP(Table1[[#This Row],[Address B]],IP_Master[],3,FALSE)</f>
        <v>#N/A</v>
      </c>
      <c r="W1754" s="9" t="str">
        <f>VLOOKUP(Table1[[#This Row],[Port B]],traffic_types[],2,FALSE)</f>
        <v>HTTP/S</v>
      </c>
    </row>
    <row r="1755" spans="1:23" hidden="1" x14ac:dyDescent="0.6">
      <c r="A1755" t="s">
        <v>224</v>
      </c>
      <c r="B1755">
        <v>59870</v>
      </c>
      <c r="C1755" t="s">
        <v>239</v>
      </c>
      <c r="D1755">
        <v>40012</v>
      </c>
      <c r="E1755">
        <v>3</v>
      </c>
      <c r="F1755">
        <v>194</v>
      </c>
      <c r="G1755">
        <v>3</v>
      </c>
      <c r="H1755">
        <v>194</v>
      </c>
      <c r="I1755">
        <v>0</v>
      </c>
      <c r="J1755">
        <v>0</v>
      </c>
      <c r="K1755">
        <v>27.725069999999999</v>
      </c>
      <c r="L1755">
        <v>9.0245339999999992</v>
      </c>
      <c r="M1755">
        <v>171.97563885293101</v>
      </c>
      <c r="N1755">
        <v>0</v>
      </c>
      <c r="O1755" s="8" t="str">
        <f>formatIP(Table1[[#This Row],[Address A]])</f>
        <v>192.168.100.002</v>
      </c>
      <c r="P1755" s="8" t="str">
        <f>formatIP(Table1[[#This Row],[Address B]])</f>
        <v>157.055.056.159</v>
      </c>
      <c r="Q1755" s="8" t="e">
        <f>VLOOKUP(Table1[[#This Row],[Address A]],IP_Master[],4,FALSE)</f>
        <v>#N/A</v>
      </c>
      <c r="R1755" s="8" t="e">
        <f>VLOOKUP(Table1[[#This Row],[Address B]],IP_Master[],4,FALSE)</f>
        <v>#N/A</v>
      </c>
      <c r="S1755" s="8" t="e">
        <f>VLOOKUP(Table1[[#This Row],[Address A]],IP_Master[],2,FALSE)</f>
        <v>#N/A</v>
      </c>
      <c r="T1755" s="8" t="e">
        <f>VLOOKUP(Table1[[#This Row],[Address B]],IP_Master[],2,FALSE)</f>
        <v>#N/A</v>
      </c>
      <c r="U1755" s="9" t="e">
        <f>VLOOKUP(Table1[[#This Row],[Address A]],IP_Master[],3,FALSE)</f>
        <v>#N/A</v>
      </c>
      <c r="V1755" s="9" t="e">
        <f>VLOOKUP(Table1[[#This Row],[Address B]],IP_Master[],3,FALSE)</f>
        <v>#N/A</v>
      </c>
      <c r="W1755" s="9" t="e">
        <f>VLOOKUP(Table1[[#This Row],[Port B]],traffic_types[],2,FALSE)</f>
        <v>#N/A</v>
      </c>
    </row>
    <row r="1756" spans="1:23" hidden="1" x14ac:dyDescent="0.6">
      <c r="A1756" t="s">
        <v>224</v>
      </c>
      <c r="B1756">
        <v>59871</v>
      </c>
      <c r="C1756" t="s">
        <v>240</v>
      </c>
      <c r="D1756">
        <v>40016</v>
      </c>
      <c r="E1756">
        <v>3</v>
      </c>
      <c r="F1756">
        <v>194</v>
      </c>
      <c r="G1756">
        <v>3</v>
      </c>
      <c r="H1756">
        <v>194</v>
      </c>
      <c r="I1756">
        <v>0</v>
      </c>
      <c r="J1756">
        <v>0</v>
      </c>
      <c r="K1756">
        <v>28.775093999999999</v>
      </c>
      <c r="L1756">
        <v>9.0100020000000001</v>
      </c>
      <c r="M1756">
        <v>172.253013928299</v>
      </c>
      <c r="N1756">
        <v>0</v>
      </c>
      <c r="O1756" s="8" t="str">
        <f>formatIP(Table1[[#This Row],[Address A]])</f>
        <v>192.168.100.002</v>
      </c>
      <c r="P1756" s="8" t="str">
        <f>formatIP(Table1[[#This Row],[Address B]])</f>
        <v>157.055.056.141</v>
      </c>
      <c r="Q1756" s="8" t="e">
        <f>VLOOKUP(Table1[[#This Row],[Address A]],IP_Master[],4,FALSE)</f>
        <v>#N/A</v>
      </c>
      <c r="R1756" s="8" t="e">
        <f>VLOOKUP(Table1[[#This Row],[Address B]],IP_Master[],4,FALSE)</f>
        <v>#N/A</v>
      </c>
      <c r="S1756" s="8" t="e">
        <f>VLOOKUP(Table1[[#This Row],[Address A]],IP_Master[],2,FALSE)</f>
        <v>#N/A</v>
      </c>
      <c r="T1756" s="8" t="e">
        <f>VLOOKUP(Table1[[#This Row],[Address B]],IP_Master[],2,FALSE)</f>
        <v>#N/A</v>
      </c>
      <c r="U1756" s="9" t="e">
        <f>VLOOKUP(Table1[[#This Row],[Address A]],IP_Master[],3,FALSE)</f>
        <v>#N/A</v>
      </c>
      <c r="V1756" s="9" t="e">
        <f>VLOOKUP(Table1[[#This Row],[Address B]],IP_Master[],3,FALSE)</f>
        <v>#N/A</v>
      </c>
      <c r="W1756" s="9" t="e">
        <f>VLOOKUP(Table1[[#This Row],[Port B]],traffic_types[],2,FALSE)</f>
        <v>#N/A</v>
      </c>
    </row>
    <row r="1757" spans="1:23" x14ac:dyDescent="0.6">
      <c r="A1757" t="s">
        <v>224</v>
      </c>
      <c r="B1757">
        <v>59872</v>
      </c>
      <c r="C1757" t="s">
        <v>238</v>
      </c>
      <c r="D1757">
        <v>80</v>
      </c>
      <c r="E1757">
        <v>3</v>
      </c>
      <c r="F1757">
        <v>194</v>
      </c>
      <c r="G1757">
        <v>3</v>
      </c>
      <c r="H1757">
        <v>194</v>
      </c>
      <c r="I1757">
        <v>0</v>
      </c>
      <c r="J1757">
        <v>0</v>
      </c>
      <c r="K1757">
        <v>28.954305999999999</v>
      </c>
      <c r="L1757">
        <v>8.9806650000000001</v>
      </c>
      <c r="M1757">
        <v>172.81571019518</v>
      </c>
      <c r="N1757">
        <v>0</v>
      </c>
      <c r="O1757" s="8" t="str">
        <f>formatIP(Table1[[#This Row],[Address A]])</f>
        <v>192.168.100.002</v>
      </c>
      <c r="P1757" s="8" t="str">
        <f>formatIP(Table1[[#This Row],[Address B]])</f>
        <v>065.055.223.034</v>
      </c>
      <c r="Q1757" s="8" t="e">
        <f>VLOOKUP(Table1[[#This Row],[Address A]],IP_Master[],4,FALSE)</f>
        <v>#N/A</v>
      </c>
      <c r="R1757" s="8" t="e">
        <f>VLOOKUP(Table1[[#This Row],[Address B]],IP_Master[],4,FALSE)</f>
        <v>#N/A</v>
      </c>
      <c r="S1757" s="8" t="e">
        <f>VLOOKUP(Table1[[#This Row],[Address A]],IP_Master[],2,FALSE)</f>
        <v>#N/A</v>
      </c>
      <c r="T1757" s="8" t="e">
        <f>VLOOKUP(Table1[[#This Row],[Address B]],IP_Master[],2,FALSE)</f>
        <v>#N/A</v>
      </c>
      <c r="U1757" s="9" t="e">
        <f>VLOOKUP(Table1[[#This Row],[Address A]],IP_Master[],3,FALSE)</f>
        <v>#N/A</v>
      </c>
      <c r="V1757" s="9" t="e">
        <f>VLOOKUP(Table1[[#This Row],[Address B]],IP_Master[],3,FALSE)</f>
        <v>#N/A</v>
      </c>
      <c r="W1757" s="9" t="str">
        <f>VLOOKUP(Table1[[#This Row],[Port B]],traffic_types[],2,FALSE)</f>
        <v>HTTP</v>
      </c>
    </row>
    <row r="1758" spans="1:23" x14ac:dyDescent="0.6">
      <c r="A1758" t="s">
        <v>224</v>
      </c>
      <c r="B1758">
        <v>59873</v>
      </c>
      <c r="C1758" t="s">
        <v>239</v>
      </c>
      <c r="D1758">
        <v>443</v>
      </c>
      <c r="E1758">
        <v>3</v>
      </c>
      <c r="F1758">
        <v>194</v>
      </c>
      <c r="G1758">
        <v>3</v>
      </c>
      <c r="H1758">
        <v>194</v>
      </c>
      <c r="I1758">
        <v>0</v>
      </c>
      <c r="J1758">
        <v>0</v>
      </c>
      <c r="K1758">
        <v>29.349672999999999</v>
      </c>
      <c r="L1758">
        <v>8.9951349999999994</v>
      </c>
      <c r="M1758">
        <v>172.53771066248601</v>
      </c>
      <c r="N1758">
        <v>0</v>
      </c>
      <c r="O1758" s="8" t="str">
        <f>formatIP(Table1[[#This Row],[Address A]])</f>
        <v>192.168.100.002</v>
      </c>
      <c r="P1758" s="8" t="str">
        <f>formatIP(Table1[[#This Row],[Address B]])</f>
        <v>157.055.056.159</v>
      </c>
      <c r="Q1758" s="8" t="e">
        <f>VLOOKUP(Table1[[#This Row],[Address A]],IP_Master[],4,FALSE)</f>
        <v>#N/A</v>
      </c>
      <c r="R1758" s="8" t="e">
        <f>VLOOKUP(Table1[[#This Row],[Address B]],IP_Master[],4,FALSE)</f>
        <v>#N/A</v>
      </c>
      <c r="S1758" s="8" t="e">
        <f>VLOOKUP(Table1[[#This Row],[Address A]],IP_Master[],2,FALSE)</f>
        <v>#N/A</v>
      </c>
      <c r="T1758" s="8" t="e">
        <f>VLOOKUP(Table1[[#This Row],[Address B]],IP_Master[],2,FALSE)</f>
        <v>#N/A</v>
      </c>
      <c r="U1758" s="9" t="e">
        <f>VLOOKUP(Table1[[#This Row],[Address A]],IP_Master[],3,FALSE)</f>
        <v>#N/A</v>
      </c>
      <c r="V1758" s="9" t="e">
        <f>VLOOKUP(Table1[[#This Row],[Address B]],IP_Master[],3,FALSE)</f>
        <v>#N/A</v>
      </c>
      <c r="W1758" s="9" t="str">
        <f>VLOOKUP(Table1[[#This Row],[Port B]],traffic_types[],2,FALSE)</f>
        <v>HTTP/S</v>
      </c>
    </row>
    <row r="1759" spans="1:23" x14ac:dyDescent="0.6">
      <c r="A1759" t="s">
        <v>224</v>
      </c>
      <c r="B1759">
        <v>59874</v>
      </c>
      <c r="C1759" t="s">
        <v>241</v>
      </c>
      <c r="D1759">
        <v>443</v>
      </c>
      <c r="E1759">
        <v>3</v>
      </c>
      <c r="F1759">
        <v>194</v>
      </c>
      <c r="G1759">
        <v>3</v>
      </c>
      <c r="H1759">
        <v>194</v>
      </c>
      <c r="I1759">
        <v>0</v>
      </c>
      <c r="J1759">
        <v>0</v>
      </c>
      <c r="K1759">
        <v>29.445087000000001</v>
      </c>
      <c r="L1759">
        <v>9.0098409999999998</v>
      </c>
      <c r="M1759">
        <v>172.25609197764999</v>
      </c>
      <c r="N1759">
        <v>0</v>
      </c>
      <c r="O1759" s="8" t="str">
        <f>formatIP(Table1[[#This Row],[Address A]])</f>
        <v>192.168.100.002</v>
      </c>
      <c r="P1759" s="8" t="str">
        <f>formatIP(Table1[[#This Row],[Address B]])</f>
        <v>078.046.049.023</v>
      </c>
      <c r="Q1759" s="8" t="e">
        <f>VLOOKUP(Table1[[#This Row],[Address A]],IP_Master[],4,FALSE)</f>
        <v>#N/A</v>
      </c>
      <c r="R1759" s="8" t="e">
        <f>VLOOKUP(Table1[[#This Row],[Address B]],IP_Master[],4,FALSE)</f>
        <v>#N/A</v>
      </c>
      <c r="S1759" s="8" t="e">
        <f>VLOOKUP(Table1[[#This Row],[Address A]],IP_Master[],2,FALSE)</f>
        <v>#N/A</v>
      </c>
      <c r="T1759" s="8" t="e">
        <f>VLOOKUP(Table1[[#This Row],[Address B]],IP_Master[],2,FALSE)</f>
        <v>#N/A</v>
      </c>
      <c r="U1759" s="9" t="e">
        <f>VLOOKUP(Table1[[#This Row],[Address A]],IP_Master[],3,FALSE)</f>
        <v>#N/A</v>
      </c>
      <c r="V1759" s="9" t="e">
        <f>VLOOKUP(Table1[[#This Row],[Address B]],IP_Master[],3,FALSE)</f>
        <v>#N/A</v>
      </c>
      <c r="W1759" s="9" t="str">
        <f>VLOOKUP(Table1[[#This Row],[Port B]],traffic_types[],2,FALSE)</f>
        <v>HTTP/S</v>
      </c>
    </row>
    <row r="1760" spans="1:23" x14ac:dyDescent="0.6">
      <c r="A1760" t="s">
        <v>224</v>
      </c>
      <c r="B1760">
        <v>59875</v>
      </c>
      <c r="C1760" t="s">
        <v>240</v>
      </c>
      <c r="D1760">
        <v>443</v>
      </c>
      <c r="E1760">
        <v>3</v>
      </c>
      <c r="F1760">
        <v>194</v>
      </c>
      <c r="G1760">
        <v>3</v>
      </c>
      <c r="H1760">
        <v>194</v>
      </c>
      <c r="I1760">
        <v>0</v>
      </c>
      <c r="J1760">
        <v>0</v>
      </c>
      <c r="K1760">
        <v>30.423878999999999</v>
      </c>
      <c r="L1760">
        <v>8.97119</v>
      </c>
      <c r="M1760">
        <v>172.99823100391399</v>
      </c>
      <c r="N1760">
        <v>0</v>
      </c>
      <c r="O1760" s="8" t="str">
        <f>formatIP(Table1[[#This Row],[Address A]])</f>
        <v>192.168.100.002</v>
      </c>
      <c r="P1760" s="8" t="str">
        <f>formatIP(Table1[[#This Row],[Address B]])</f>
        <v>157.055.056.141</v>
      </c>
      <c r="Q1760" s="8" t="e">
        <f>VLOOKUP(Table1[[#This Row],[Address A]],IP_Master[],4,FALSE)</f>
        <v>#N/A</v>
      </c>
      <c r="R1760" s="8" t="e">
        <f>VLOOKUP(Table1[[#This Row],[Address B]],IP_Master[],4,FALSE)</f>
        <v>#N/A</v>
      </c>
      <c r="S1760" s="8" t="e">
        <f>VLOOKUP(Table1[[#This Row],[Address A]],IP_Master[],2,FALSE)</f>
        <v>#N/A</v>
      </c>
      <c r="T1760" s="8" t="e">
        <f>VLOOKUP(Table1[[#This Row],[Address B]],IP_Master[],2,FALSE)</f>
        <v>#N/A</v>
      </c>
      <c r="U1760" s="9" t="e">
        <f>VLOOKUP(Table1[[#This Row],[Address A]],IP_Master[],3,FALSE)</f>
        <v>#N/A</v>
      </c>
      <c r="V1760" s="9" t="e">
        <f>VLOOKUP(Table1[[#This Row],[Address B]],IP_Master[],3,FALSE)</f>
        <v>#N/A</v>
      </c>
      <c r="W1760" s="9" t="str">
        <f>VLOOKUP(Table1[[#This Row],[Port B]],traffic_types[],2,FALSE)</f>
        <v>HTTP/S</v>
      </c>
    </row>
    <row r="1761" spans="1:23" x14ac:dyDescent="0.6">
      <c r="A1761" t="s">
        <v>224</v>
      </c>
      <c r="B1761">
        <v>59876</v>
      </c>
      <c r="C1761" t="s">
        <v>239</v>
      </c>
      <c r="D1761">
        <v>80</v>
      </c>
      <c r="E1761">
        <v>3</v>
      </c>
      <c r="F1761">
        <v>194</v>
      </c>
      <c r="G1761">
        <v>3</v>
      </c>
      <c r="H1761">
        <v>194</v>
      </c>
      <c r="I1761">
        <v>0</v>
      </c>
      <c r="J1761">
        <v>0</v>
      </c>
      <c r="K1761">
        <v>30.955348999999998</v>
      </c>
      <c r="L1761">
        <v>9.0096450000000008</v>
      </c>
      <c r="M1761">
        <v>172.259839316643</v>
      </c>
      <c r="N1761">
        <v>0</v>
      </c>
      <c r="O1761" s="8" t="str">
        <f>formatIP(Table1[[#This Row],[Address A]])</f>
        <v>192.168.100.002</v>
      </c>
      <c r="P1761" s="8" t="str">
        <f>formatIP(Table1[[#This Row],[Address B]])</f>
        <v>157.055.056.159</v>
      </c>
      <c r="Q1761" s="8" t="e">
        <f>VLOOKUP(Table1[[#This Row],[Address A]],IP_Master[],4,FALSE)</f>
        <v>#N/A</v>
      </c>
      <c r="R1761" s="8" t="e">
        <f>VLOOKUP(Table1[[#This Row],[Address B]],IP_Master[],4,FALSE)</f>
        <v>#N/A</v>
      </c>
      <c r="S1761" s="8" t="e">
        <f>VLOOKUP(Table1[[#This Row],[Address A]],IP_Master[],2,FALSE)</f>
        <v>#N/A</v>
      </c>
      <c r="T1761" s="8" t="e">
        <f>VLOOKUP(Table1[[#This Row],[Address B]],IP_Master[],2,FALSE)</f>
        <v>#N/A</v>
      </c>
      <c r="U1761" s="9" t="e">
        <f>VLOOKUP(Table1[[#This Row],[Address A]],IP_Master[],3,FALSE)</f>
        <v>#N/A</v>
      </c>
      <c r="V1761" s="9" t="e">
        <f>VLOOKUP(Table1[[#This Row],[Address B]],IP_Master[],3,FALSE)</f>
        <v>#N/A</v>
      </c>
      <c r="W1761" s="9" t="str">
        <f>VLOOKUP(Table1[[#This Row],[Port B]],traffic_types[],2,FALSE)</f>
        <v>HTTP</v>
      </c>
    </row>
    <row r="1762" spans="1:23" x14ac:dyDescent="0.6">
      <c r="A1762" t="s">
        <v>224</v>
      </c>
      <c r="B1762">
        <v>59877</v>
      </c>
      <c r="C1762" t="s">
        <v>241</v>
      </c>
      <c r="D1762">
        <v>80</v>
      </c>
      <c r="E1762">
        <v>3</v>
      </c>
      <c r="F1762">
        <v>194</v>
      </c>
      <c r="G1762">
        <v>3</v>
      </c>
      <c r="H1762">
        <v>194</v>
      </c>
      <c r="I1762">
        <v>0</v>
      </c>
      <c r="J1762">
        <v>0</v>
      </c>
      <c r="K1762">
        <v>31.446209</v>
      </c>
      <c r="L1762">
        <v>9.0085809999999995</v>
      </c>
      <c r="M1762">
        <v>172.28018485930201</v>
      </c>
      <c r="N1762">
        <v>0</v>
      </c>
      <c r="O1762" s="8" t="str">
        <f>formatIP(Table1[[#This Row],[Address A]])</f>
        <v>192.168.100.002</v>
      </c>
      <c r="P1762" s="8" t="str">
        <f>formatIP(Table1[[#This Row],[Address B]])</f>
        <v>078.046.049.023</v>
      </c>
      <c r="Q1762" s="8" t="e">
        <f>VLOOKUP(Table1[[#This Row],[Address A]],IP_Master[],4,FALSE)</f>
        <v>#N/A</v>
      </c>
      <c r="R1762" s="8" t="e">
        <f>VLOOKUP(Table1[[#This Row],[Address B]],IP_Master[],4,FALSE)</f>
        <v>#N/A</v>
      </c>
      <c r="S1762" s="8" t="e">
        <f>VLOOKUP(Table1[[#This Row],[Address A]],IP_Master[],2,FALSE)</f>
        <v>#N/A</v>
      </c>
      <c r="T1762" s="8" t="e">
        <f>VLOOKUP(Table1[[#This Row],[Address B]],IP_Master[],2,FALSE)</f>
        <v>#N/A</v>
      </c>
      <c r="U1762" s="9" t="e">
        <f>VLOOKUP(Table1[[#This Row],[Address A]],IP_Master[],3,FALSE)</f>
        <v>#N/A</v>
      </c>
      <c r="V1762" s="9" t="e">
        <f>VLOOKUP(Table1[[#This Row],[Address B]],IP_Master[],3,FALSE)</f>
        <v>#N/A</v>
      </c>
      <c r="W1762" s="9" t="str">
        <f>VLOOKUP(Table1[[#This Row],[Port B]],traffic_types[],2,FALSE)</f>
        <v>HTTP</v>
      </c>
    </row>
    <row r="1763" spans="1:23" x14ac:dyDescent="0.6">
      <c r="A1763" t="s">
        <v>224</v>
      </c>
      <c r="B1763">
        <v>59878</v>
      </c>
      <c r="C1763" t="s">
        <v>240</v>
      </c>
      <c r="D1763">
        <v>80</v>
      </c>
      <c r="E1763">
        <v>3</v>
      </c>
      <c r="F1763">
        <v>194</v>
      </c>
      <c r="G1763">
        <v>3</v>
      </c>
      <c r="H1763">
        <v>194</v>
      </c>
      <c r="I1763">
        <v>0</v>
      </c>
      <c r="J1763">
        <v>0</v>
      </c>
      <c r="K1763">
        <v>32.005329000000003</v>
      </c>
      <c r="L1763">
        <v>9.0096030000000003</v>
      </c>
      <c r="M1763">
        <v>172.26064233906899</v>
      </c>
      <c r="N1763">
        <v>0</v>
      </c>
      <c r="O1763" s="8" t="str">
        <f>formatIP(Table1[[#This Row],[Address A]])</f>
        <v>192.168.100.002</v>
      </c>
      <c r="P1763" s="8" t="str">
        <f>formatIP(Table1[[#This Row],[Address B]])</f>
        <v>157.055.056.141</v>
      </c>
      <c r="Q1763" s="8" t="e">
        <f>VLOOKUP(Table1[[#This Row],[Address A]],IP_Master[],4,FALSE)</f>
        <v>#N/A</v>
      </c>
      <c r="R1763" s="8" t="e">
        <f>VLOOKUP(Table1[[#This Row],[Address B]],IP_Master[],4,FALSE)</f>
        <v>#N/A</v>
      </c>
      <c r="S1763" s="8" t="e">
        <f>VLOOKUP(Table1[[#This Row],[Address A]],IP_Master[],2,FALSE)</f>
        <v>#N/A</v>
      </c>
      <c r="T1763" s="8" t="e">
        <f>VLOOKUP(Table1[[#This Row],[Address B]],IP_Master[],2,FALSE)</f>
        <v>#N/A</v>
      </c>
      <c r="U1763" s="9" t="e">
        <f>VLOOKUP(Table1[[#This Row],[Address A]],IP_Master[],3,FALSE)</f>
        <v>#N/A</v>
      </c>
      <c r="V1763" s="9" t="e">
        <f>VLOOKUP(Table1[[#This Row],[Address B]],IP_Master[],3,FALSE)</f>
        <v>#N/A</v>
      </c>
      <c r="W1763" s="9" t="str">
        <f>VLOOKUP(Table1[[#This Row],[Port B]],traffic_types[],2,FALSE)</f>
        <v>HTTP</v>
      </c>
    </row>
    <row r="1764" spans="1:23" hidden="1" x14ac:dyDescent="0.6">
      <c r="A1764" t="s">
        <v>224</v>
      </c>
      <c r="B1764">
        <v>59879</v>
      </c>
      <c r="C1764" t="s">
        <v>242</v>
      </c>
      <c r="D1764">
        <v>40029</v>
      </c>
      <c r="E1764">
        <v>3</v>
      </c>
      <c r="F1764">
        <v>194</v>
      </c>
      <c r="G1764">
        <v>3</v>
      </c>
      <c r="H1764">
        <v>194</v>
      </c>
      <c r="I1764">
        <v>0</v>
      </c>
      <c r="J1764">
        <v>0</v>
      </c>
      <c r="K1764">
        <v>42.967154000000001</v>
      </c>
      <c r="L1764">
        <v>8.9997019999999992</v>
      </c>
      <c r="M1764">
        <v>172.45015446067001</v>
      </c>
      <c r="N1764">
        <v>0</v>
      </c>
      <c r="O1764" s="8" t="str">
        <f>formatIP(Table1[[#This Row],[Address A]])</f>
        <v>192.168.100.002</v>
      </c>
      <c r="P1764" s="8" t="str">
        <f>formatIP(Table1[[#This Row],[Address B]])</f>
        <v>157.056.052.017</v>
      </c>
      <c r="Q1764" s="8" t="e">
        <f>VLOOKUP(Table1[[#This Row],[Address A]],IP_Master[],4,FALSE)</f>
        <v>#N/A</v>
      </c>
      <c r="R1764" s="8" t="e">
        <f>VLOOKUP(Table1[[#This Row],[Address B]],IP_Master[],4,FALSE)</f>
        <v>#N/A</v>
      </c>
      <c r="S1764" s="8" t="e">
        <f>VLOOKUP(Table1[[#This Row],[Address A]],IP_Master[],2,FALSE)</f>
        <v>#N/A</v>
      </c>
      <c r="T1764" s="8" t="e">
        <f>VLOOKUP(Table1[[#This Row],[Address B]],IP_Master[],2,FALSE)</f>
        <v>#N/A</v>
      </c>
      <c r="U1764" s="9" t="e">
        <f>VLOOKUP(Table1[[#This Row],[Address A]],IP_Master[],3,FALSE)</f>
        <v>#N/A</v>
      </c>
      <c r="V1764" s="9" t="e">
        <f>VLOOKUP(Table1[[#This Row],[Address B]],IP_Master[],3,FALSE)</f>
        <v>#N/A</v>
      </c>
      <c r="W1764" s="9" t="e">
        <f>VLOOKUP(Table1[[#This Row],[Port B]],traffic_types[],2,FALSE)</f>
        <v>#N/A</v>
      </c>
    </row>
    <row r="1765" spans="1:23" hidden="1" x14ac:dyDescent="0.6">
      <c r="A1765" t="s">
        <v>224</v>
      </c>
      <c r="B1765">
        <v>59880</v>
      </c>
      <c r="C1765" t="s">
        <v>243</v>
      </c>
      <c r="D1765">
        <v>40002</v>
      </c>
      <c r="E1765">
        <v>3</v>
      </c>
      <c r="F1765">
        <v>194</v>
      </c>
      <c r="G1765">
        <v>3</v>
      </c>
      <c r="H1765">
        <v>194</v>
      </c>
      <c r="I1765">
        <v>0</v>
      </c>
      <c r="J1765">
        <v>0</v>
      </c>
      <c r="K1765">
        <v>43.977204</v>
      </c>
      <c r="L1765">
        <v>8.9997240000000005</v>
      </c>
      <c r="M1765">
        <v>172.44973290292</v>
      </c>
      <c r="N1765">
        <v>0</v>
      </c>
      <c r="O1765" s="8" t="str">
        <f>formatIP(Table1[[#This Row],[Address A]])</f>
        <v>192.168.100.002</v>
      </c>
      <c r="P1765" s="8" t="str">
        <f>formatIP(Table1[[#This Row],[Address B]])</f>
        <v>157.056.052.022</v>
      </c>
      <c r="Q1765" s="8" t="e">
        <f>VLOOKUP(Table1[[#This Row],[Address A]],IP_Master[],4,FALSE)</f>
        <v>#N/A</v>
      </c>
      <c r="R1765" s="8" t="e">
        <f>VLOOKUP(Table1[[#This Row],[Address B]],IP_Master[],4,FALSE)</f>
        <v>#N/A</v>
      </c>
      <c r="S1765" s="8" t="e">
        <f>VLOOKUP(Table1[[#This Row],[Address A]],IP_Master[],2,FALSE)</f>
        <v>#N/A</v>
      </c>
      <c r="T1765" s="8" t="e">
        <f>VLOOKUP(Table1[[#This Row],[Address B]],IP_Master[],2,FALSE)</f>
        <v>#N/A</v>
      </c>
      <c r="U1765" s="9" t="e">
        <f>VLOOKUP(Table1[[#This Row],[Address A]],IP_Master[],3,FALSE)</f>
        <v>#N/A</v>
      </c>
      <c r="V1765" s="9" t="e">
        <f>VLOOKUP(Table1[[#This Row],[Address B]],IP_Master[],3,FALSE)</f>
        <v>#N/A</v>
      </c>
      <c r="W1765" s="9" t="e">
        <f>VLOOKUP(Table1[[#This Row],[Port B]],traffic_types[],2,FALSE)</f>
        <v>#N/A</v>
      </c>
    </row>
    <row r="1766" spans="1:23" x14ac:dyDescent="0.6">
      <c r="A1766" t="s">
        <v>224</v>
      </c>
      <c r="B1766">
        <v>59881</v>
      </c>
      <c r="C1766" t="s">
        <v>242</v>
      </c>
      <c r="D1766">
        <v>443</v>
      </c>
      <c r="E1766">
        <v>3</v>
      </c>
      <c r="F1766">
        <v>194</v>
      </c>
      <c r="G1766">
        <v>3</v>
      </c>
      <c r="H1766">
        <v>194</v>
      </c>
      <c r="I1766">
        <v>0</v>
      </c>
      <c r="J1766">
        <v>0</v>
      </c>
      <c r="K1766">
        <v>44.586475</v>
      </c>
      <c r="L1766">
        <v>9.0004100000000005</v>
      </c>
      <c r="M1766">
        <v>172.43658899983399</v>
      </c>
      <c r="N1766">
        <v>0</v>
      </c>
      <c r="O1766" s="8" t="str">
        <f>formatIP(Table1[[#This Row],[Address A]])</f>
        <v>192.168.100.002</v>
      </c>
      <c r="P1766" s="8" t="str">
        <f>formatIP(Table1[[#This Row],[Address B]])</f>
        <v>157.056.052.017</v>
      </c>
      <c r="Q1766" s="8" t="e">
        <f>VLOOKUP(Table1[[#This Row],[Address A]],IP_Master[],4,FALSE)</f>
        <v>#N/A</v>
      </c>
      <c r="R1766" s="8" t="e">
        <f>VLOOKUP(Table1[[#This Row],[Address B]],IP_Master[],4,FALSE)</f>
        <v>#N/A</v>
      </c>
      <c r="S1766" s="8" t="e">
        <f>VLOOKUP(Table1[[#This Row],[Address A]],IP_Master[],2,FALSE)</f>
        <v>#N/A</v>
      </c>
      <c r="T1766" s="8" t="e">
        <f>VLOOKUP(Table1[[#This Row],[Address B]],IP_Master[],2,FALSE)</f>
        <v>#N/A</v>
      </c>
      <c r="U1766" s="9" t="e">
        <f>VLOOKUP(Table1[[#This Row],[Address A]],IP_Master[],3,FALSE)</f>
        <v>#N/A</v>
      </c>
      <c r="V1766" s="9" t="e">
        <f>VLOOKUP(Table1[[#This Row],[Address B]],IP_Master[],3,FALSE)</f>
        <v>#N/A</v>
      </c>
      <c r="W1766" s="9" t="str">
        <f>VLOOKUP(Table1[[#This Row],[Port B]],traffic_types[],2,FALSE)</f>
        <v>HTTP/S</v>
      </c>
    </row>
    <row r="1767" spans="1:23" hidden="1" x14ac:dyDescent="0.6">
      <c r="A1767" t="s">
        <v>224</v>
      </c>
      <c r="B1767">
        <v>59882</v>
      </c>
      <c r="C1767" t="s">
        <v>244</v>
      </c>
      <c r="D1767">
        <v>40003</v>
      </c>
      <c r="E1767">
        <v>3</v>
      </c>
      <c r="F1767">
        <v>194</v>
      </c>
      <c r="G1767">
        <v>3</v>
      </c>
      <c r="H1767">
        <v>194</v>
      </c>
      <c r="I1767">
        <v>0</v>
      </c>
      <c r="J1767">
        <v>0</v>
      </c>
      <c r="K1767">
        <v>45.007173999999999</v>
      </c>
      <c r="L1767">
        <v>8.9986619999999995</v>
      </c>
      <c r="M1767">
        <v>172.47008499708099</v>
      </c>
      <c r="N1767">
        <v>0</v>
      </c>
      <c r="O1767" s="8" t="str">
        <f>formatIP(Table1[[#This Row],[Address A]])</f>
        <v>192.168.100.002</v>
      </c>
      <c r="P1767" s="8" t="str">
        <f>formatIP(Table1[[#This Row],[Address B]])</f>
        <v>064.004.023.153</v>
      </c>
      <c r="Q1767" s="8" t="e">
        <f>VLOOKUP(Table1[[#This Row],[Address A]],IP_Master[],4,FALSE)</f>
        <v>#N/A</v>
      </c>
      <c r="R1767" s="8" t="e">
        <f>VLOOKUP(Table1[[#This Row],[Address B]],IP_Master[],4,FALSE)</f>
        <v>#N/A</v>
      </c>
      <c r="S1767" s="8" t="e">
        <f>VLOOKUP(Table1[[#This Row],[Address A]],IP_Master[],2,FALSE)</f>
        <v>#N/A</v>
      </c>
      <c r="T1767" s="8" t="e">
        <f>VLOOKUP(Table1[[#This Row],[Address B]],IP_Master[],2,FALSE)</f>
        <v>#N/A</v>
      </c>
      <c r="U1767" s="9" t="e">
        <f>VLOOKUP(Table1[[#This Row],[Address A]],IP_Master[],3,FALSE)</f>
        <v>#N/A</v>
      </c>
      <c r="V1767" s="9" t="e">
        <f>VLOOKUP(Table1[[#This Row],[Address B]],IP_Master[],3,FALSE)</f>
        <v>#N/A</v>
      </c>
      <c r="W1767" s="9" t="e">
        <f>VLOOKUP(Table1[[#This Row],[Port B]],traffic_types[],2,FALSE)</f>
        <v>#N/A</v>
      </c>
    </row>
    <row r="1768" spans="1:23" x14ac:dyDescent="0.6">
      <c r="A1768" t="s">
        <v>224</v>
      </c>
      <c r="B1768">
        <v>59883</v>
      </c>
      <c r="C1768" t="s">
        <v>245</v>
      </c>
      <c r="D1768">
        <v>443</v>
      </c>
      <c r="E1768">
        <v>3</v>
      </c>
      <c r="F1768">
        <v>194</v>
      </c>
      <c r="G1768">
        <v>3</v>
      </c>
      <c r="H1768">
        <v>194</v>
      </c>
      <c r="I1768">
        <v>0</v>
      </c>
      <c r="J1768">
        <v>0</v>
      </c>
      <c r="K1768">
        <v>45.467343999999997</v>
      </c>
      <c r="L1768">
        <v>8.9994949999999996</v>
      </c>
      <c r="M1768">
        <v>172.45412103679101</v>
      </c>
      <c r="N1768">
        <v>0</v>
      </c>
      <c r="O1768" s="8" t="str">
        <f>formatIP(Table1[[#This Row],[Address A]])</f>
        <v>192.168.100.002</v>
      </c>
      <c r="P1768" s="8" t="str">
        <f>formatIP(Table1[[#This Row],[Address B]])</f>
        <v>085.025.103.030</v>
      </c>
      <c r="Q1768" s="8" t="e">
        <f>VLOOKUP(Table1[[#This Row],[Address A]],IP_Master[],4,FALSE)</f>
        <v>#N/A</v>
      </c>
      <c r="R1768" s="8" t="e">
        <f>VLOOKUP(Table1[[#This Row],[Address B]],IP_Master[],4,FALSE)</f>
        <v>#N/A</v>
      </c>
      <c r="S1768" s="8" t="e">
        <f>VLOOKUP(Table1[[#This Row],[Address A]],IP_Master[],2,FALSE)</f>
        <v>#N/A</v>
      </c>
      <c r="T1768" s="8" t="e">
        <f>VLOOKUP(Table1[[#This Row],[Address B]],IP_Master[],2,FALSE)</f>
        <v>#N/A</v>
      </c>
      <c r="U1768" s="9" t="e">
        <f>VLOOKUP(Table1[[#This Row],[Address A]],IP_Master[],3,FALSE)</f>
        <v>#N/A</v>
      </c>
      <c r="V1768" s="9" t="e">
        <f>VLOOKUP(Table1[[#This Row],[Address B]],IP_Master[],3,FALSE)</f>
        <v>#N/A</v>
      </c>
      <c r="W1768" s="9" t="str">
        <f>VLOOKUP(Table1[[#This Row],[Port B]],traffic_types[],2,FALSE)</f>
        <v>HTTP/S</v>
      </c>
    </row>
    <row r="1769" spans="1:23" x14ac:dyDescent="0.6">
      <c r="A1769" t="s">
        <v>224</v>
      </c>
      <c r="B1769">
        <v>59884</v>
      </c>
      <c r="C1769" t="s">
        <v>243</v>
      </c>
      <c r="D1769">
        <v>443</v>
      </c>
      <c r="E1769">
        <v>3</v>
      </c>
      <c r="F1769">
        <v>194</v>
      </c>
      <c r="G1769">
        <v>3</v>
      </c>
      <c r="H1769">
        <v>194</v>
      </c>
      <c r="I1769">
        <v>0</v>
      </c>
      <c r="J1769">
        <v>0</v>
      </c>
      <c r="K1769">
        <v>45.597025000000002</v>
      </c>
      <c r="L1769">
        <v>8.9999210000000005</v>
      </c>
      <c r="M1769">
        <v>172.445958136744</v>
      </c>
      <c r="N1769">
        <v>0</v>
      </c>
      <c r="O1769" s="8" t="str">
        <f>formatIP(Table1[[#This Row],[Address A]])</f>
        <v>192.168.100.002</v>
      </c>
      <c r="P1769" s="8" t="str">
        <f>formatIP(Table1[[#This Row],[Address B]])</f>
        <v>157.056.052.022</v>
      </c>
      <c r="Q1769" s="8" t="e">
        <f>VLOOKUP(Table1[[#This Row],[Address A]],IP_Master[],4,FALSE)</f>
        <v>#N/A</v>
      </c>
      <c r="R1769" s="8" t="e">
        <f>VLOOKUP(Table1[[#This Row],[Address B]],IP_Master[],4,FALSE)</f>
        <v>#N/A</v>
      </c>
      <c r="S1769" s="8" t="e">
        <f>VLOOKUP(Table1[[#This Row],[Address A]],IP_Master[],2,FALSE)</f>
        <v>#N/A</v>
      </c>
      <c r="T1769" s="8" t="e">
        <f>VLOOKUP(Table1[[#This Row],[Address B]],IP_Master[],2,FALSE)</f>
        <v>#N/A</v>
      </c>
      <c r="U1769" s="9" t="e">
        <f>VLOOKUP(Table1[[#This Row],[Address A]],IP_Master[],3,FALSE)</f>
        <v>#N/A</v>
      </c>
      <c r="V1769" s="9" t="e">
        <f>VLOOKUP(Table1[[#This Row],[Address B]],IP_Master[],3,FALSE)</f>
        <v>#N/A</v>
      </c>
      <c r="W1769" s="9" t="str">
        <f>VLOOKUP(Table1[[#This Row],[Port B]],traffic_types[],2,FALSE)</f>
        <v>HTTP/S</v>
      </c>
    </row>
    <row r="1770" spans="1:23" x14ac:dyDescent="0.6">
      <c r="A1770" t="s">
        <v>224</v>
      </c>
      <c r="B1770">
        <v>59885</v>
      </c>
      <c r="C1770" t="s">
        <v>242</v>
      </c>
      <c r="D1770">
        <v>80</v>
      </c>
      <c r="E1770">
        <v>3</v>
      </c>
      <c r="F1770">
        <v>194</v>
      </c>
      <c r="G1770">
        <v>3</v>
      </c>
      <c r="H1770">
        <v>194</v>
      </c>
      <c r="I1770">
        <v>0</v>
      </c>
      <c r="J1770">
        <v>0</v>
      </c>
      <c r="K1770">
        <v>46.206206000000002</v>
      </c>
      <c r="L1770">
        <v>9.0004819999999999</v>
      </c>
      <c r="M1770">
        <v>172.43520958099799</v>
      </c>
      <c r="N1770">
        <v>0</v>
      </c>
      <c r="O1770" s="8" t="str">
        <f>formatIP(Table1[[#This Row],[Address A]])</f>
        <v>192.168.100.002</v>
      </c>
      <c r="P1770" s="8" t="str">
        <f>formatIP(Table1[[#This Row],[Address B]])</f>
        <v>157.056.052.017</v>
      </c>
      <c r="Q1770" s="8" t="e">
        <f>VLOOKUP(Table1[[#This Row],[Address A]],IP_Master[],4,FALSE)</f>
        <v>#N/A</v>
      </c>
      <c r="R1770" s="8" t="e">
        <f>VLOOKUP(Table1[[#This Row],[Address B]],IP_Master[],4,FALSE)</f>
        <v>#N/A</v>
      </c>
      <c r="S1770" s="8" t="e">
        <f>VLOOKUP(Table1[[#This Row],[Address A]],IP_Master[],2,FALSE)</f>
        <v>#N/A</v>
      </c>
      <c r="T1770" s="8" t="e">
        <f>VLOOKUP(Table1[[#This Row],[Address B]],IP_Master[],2,FALSE)</f>
        <v>#N/A</v>
      </c>
      <c r="U1770" s="9" t="e">
        <f>VLOOKUP(Table1[[#This Row],[Address A]],IP_Master[],3,FALSE)</f>
        <v>#N/A</v>
      </c>
      <c r="V1770" s="9" t="e">
        <f>VLOOKUP(Table1[[#This Row],[Address B]],IP_Master[],3,FALSE)</f>
        <v>#N/A</v>
      </c>
      <c r="W1770" s="9" t="str">
        <f>VLOOKUP(Table1[[#This Row],[Port B]],traffic_types[],2,FALSE)</f>
        <v>HTTP</v>
      </c>
    </row>
    <row r="1771" spans="1:23" x14ac:dyDescent="0.6">
      <c r="A1771" t="s">
        <v>224</v>
      </c>
      <c r="B1771">
        <v>59886</v>
      </c>
      <c r="C1771" t="s">
        <v>244</v>
      </c>
      <c r="D1771">
        <v>443</v>
      </c>
      <c r="E1771">
        <v>3</v>
      </c>
      <c r="F1771">
        <v>194</v>
      </c>
      <c r="G1771">
        <v>3</v>
      </c>
      <c r="H1771">
        <v>194</v>
      </c>
      <c r="I1771">
        <v>0</v>
      </c>
      <c r="J1771">
        <v>0</v>
      </c>
      <c r="K1771">
        <v>46.626309999999997</v>
      </c>
      <c r="L1771">
        <v>9.0005590000000009</v>
      </c>
      <c r="M1771">
        <v>172.43373439360801</v>
      </c>
      <c r="N1771">
        <v>0</v>
      </c>
      <c r="O1771" s="8" t="str">
        <f>formatIP(Table1[[#This Row],[Address A]])</f>
        <v>192.168.100.002</v>
      </c>
      <c r="P1771" s="8" t="str">
        <f>formatIP(Table1[[#This Row],[Address B]])</f>
        <v>064.004.023.153</v>
      </c>
      <c r="Q1771" s="8" t="e">
        <f>VLOOKUP(Table1[[#This Row],[Address A]],IP_Master[],4,FALSE)</f>
        <v>#N/A</v>
      </c>
      <c r="R1771" s="8" t="e">
        <f>VLOOKUP(Table1[[#This Row],[Address B]],IP_Master[],4,FALSE)</f>
        <v>#N/A</v>
      </c>
      <c r="S1771" s="8" t="e">
        <f>VLOOKUP(Table1[[#This Row],[Address A]],IP_Master[],2,FALSE)</f>
        <v>#N/A</v>
      </c>
      <c r="T1771" s="8" t="e">
        <f>VLOOKUP(Table1[[#This Row],[Address B]],IP_Master[],2,FALSE)</f>
        <v>#N/A</v>
      </c>
      <c r="U1771" s="9" t="e">
        <f>VLOOKUP(Table1[[#This Row],[Address A]],IP_Master[],3,FALSE)</f>
        <v>#N/A</v>
      </c>
      <c r="V1771" s="9" t="e">
        <f>VLOOKUP(Table1[[#This Row],[Address B]],IP_Master[],3,FALSE)</f>
        <v>#N/A</v>
      </c>
      <c r="W1771" s="9" t="str">
        <f>VLOOKUP(Table1[[#This Row],[Port B]],traffic_types[],2,FALSE)</f>
        <v>HTTP/S</v>
      </c>
    </row>
    <row r="1772" spans="1:23" hidden="1" x14ac:dyDescent="0.6">
      <c r="A1772" t="s">
        <v>224</v>
      </c>
      <c r="B1772">
        <v>59887</v>
      </c>
      <c r="C1772" t="s">
        <v>246</v>
      </c>
      <c r="D1772">
        <v>40026</v>
      </c>
      <c r="E1772">
        <v>3</v>
      </c>
      <c r="F1772">
        <v>194</v>
      </c>
      <c r="G1772">
        <v>3</v>
      </c>
      <c r="H1772">
        <v>194</v>
      </c>
      <c r="I1772">
        <v>0</v>
      </c>
      <c r="J1772">
        <v>0</v>
      </c>
      <c r="K1772">
        <v>47.046911999999999</v>
      </c>
      <c r="L1772">
        <v>8.9999009999999995</v>
      </c>
      <c r="M1772">
        <v>172.44634135419901</v>
      </c>
      <c r="N1772">
        <v>0</v>
      </c>
      <c r="O1772" s="8" t="str">
        <f>formatIP(Table1[[#This Row],[Address A]])</f>
        <v>192.168.100.002</v>
      </c>
      <c r="P1772" s="8" t="str">
        <f>formatIP(Table1[[#This Row],[Address B]])</f>
        <v>157.055.130.168</v>
      </c>
      <c r="Q1772" s="8" t="e">
        <f>VLOOKUP(Table1[[#This Row],[Address A]],IP_Master[],4,FALSE)</f>
        <v>#N/A</v>
      </c>
      <c r="R1772" s="8" t="e">
        <f>VLOOKUP(Table1[[#This Row],[Address B]],IP_Master[],4,FALSE)</f>
        <v>#N/A</v>
      </c>
      <c r="S1772" s="8" t="e">
        <f>VLOOKUP(Table1[[#This Row],[Address A]],IP_Master[],2,FALSE)</f>
        <v>#N/A</v>
      </c>
      <c r="T1772" s="8" t="e">
        <f>VLOOKUP(Table1[[#This Row],[Address B]],IP_Master[],2,FALSE)</f>
        <v>#N/A</v>
      </c>
      <c r="U1772" s="9" t="e">
        <f>VLOOKUP(Table1[[#This Row],[Address A]],IP_Master[],3,FALSE)</f>
        <v>#N/A</v>
      </c>
      <c r="V1772" s="9" t="e">
        <f>VLOOKUP(Table1[[#This Row],[Address B]],IP_Master[],3,FALSE)</f>
        <v>#N/A</v>
      </c>
      <c r="W1772" s="9" t="e">
        <f>VLOOKUP(Table1[[#This Row],[Port B]],traffic_types[],2,FALSE)</f>
        <v>#N/A</v>
      </c>
    </row>
    <row r="1773" spans="1:23" x14ac:dyDescent="0.6">
      <c r="A1773" t="s">
        <v>224</v>
      </c>
      <c r="B1773">
        <v>59888</v>
      </c>
      <c r="C1773" t="s">
        <v>243</v>
      </c>
      <c r="D1773">
        <v>80</v>
      </c>
      <c r="E1773">
        <v>3</v>
      </c>
      <c r="F1773">
        <v>194</v>
      </c>
      <c r="G1773">
        <v>3</v>
      </c>
      <c r="H1773">
        <v>194</v>
      </c>
      <c r="I1773">
        <v>0</v>
      </c>
      <c r="J1773">
        <v>0</v>
      </c>
      <c r="K1773">
        <v>47.245843000000001</v>
      </c>
      <c r="L1773">
        <v>8.9710429999999999</v>
      </c>
      <c r="M1773">
        <v>173.00106576236499</v>
      </c>
      <c r="N1773">
        <v>0</v>
      </c>
      <c r="O1773" s="8" t="str">
        <f>formatIP(Table1[[#This Row],[Address A]])</f>
        <v>192.168.100.002</v>
      </c>
      <c r="P1773" s="8" t="str">
        <f>formatIP(Table1[[#This Row],[Address B]])</f>
        <v>157.056.052.022</v>
      </c>
      <c r="Q1773" s="8" t="e">
        <f>VLOOKUP(Table1[[#This Row],[Address A]],IP_Master[],4,FALSE)</f>
        <v>#N/A</v>
      </c>
      <c r="R1773" s="8" t="e">
        <f>VLOOKUP(Table1[[#This Row],[Address B]],IP_Master[],4,FALSE)</f>
        <v>#N/A</v>
      </c>
      <c r="S1773" s="8" t="e">
        <f>VLOOKUP(Table1[[#This Row],[Address A]],IP_Master[],2,FALSE)</f>
        <v>#N/A</v>
      </c>
      <c r="T1773" s="8" t="e">
        <f>VLOOKUP(Table1[[#This Row],[Address B]],IP_Master[],2,FALSE)</f>
        <v>#N/A</v>
      </c>
      <c r="U1773" s="9" t="e">
        <f>VLOOKUP(Table1[[#This Row],[Address A]],IP_Master[],3,FALSE)</f>
        <v>#N/A</v>
      </c>
      <c r="V1773" s="9" t="e">
        <f>VLOOKUP(Table1[[#This Row],[Address B]],IP_Master[],3,FALSE)</f>
        <v>#N/A</v>
      </c>
      <c r="W1773" s="9" t="str">
        <f>VLOOKUP(Table1[[#This Row],[Port B]],traffic_types[],2,FALSE)</f>
        <v>HTTP</v>
      </c>
    </row>
    <row r="1774" spans="1:23" x14ac:dyDescent="0.6">
      <c r="A1774" t="s">
        <v>224</v>
      </c>
      <c r="B1774">
        <v>59889</v>
      </c>
      <c r="C1774" t="s">
        <v>245</v>
      </c>
      <c r="D1774">
        <v>80</v>
      </c>
      <c r="E1774">
        <v>3</v>
      </c>
      <c r="F1774">
        <v>194</v>
      </c>
      <c r="G1774">
        <v>3</v>
      </c>
      <c r="H1774">
        <v>194</v>
      </c>
      <c r="I1774">
        <v>0</v>
      </c>
      <c r="J1774">
        <v>0</v>
      </c>
      <c r="K1774">
        <v>47.485714999999999</v>
      </c>
      <c r="L1774">
        <v>8.9911300000000001</v>
      </c>
      <c r="M1774">
        <v>172.614565688629</v>
      </c>
      <c r="N1774">
        <v>0</v>
      </c>
      <c r="O1774" s="8" t="str">
        <f>formatIP(Table1[[#This Row],[Address A]])</f>
        <v>192.168.100.002</v>
      </c>
      <c r="P1774" s="8" t="str">
        <f>formatIP(Table1[[#This Row],[Address B]])</f>
        <v>085.025.103.030</v>
      </c>
      <c r="Q1774" s="8" t="e">
        <f>VLOOKUP(Table1[[#This Row],[Address A]],IP_Master[],4,FALSE)</f>
        <v>#N/A</v>
      </c>
      <c r="R1774" s="8" t="e">
        <f>VLOOKUP(Table1[[#This Row],[Address B]],IP_Master[],4,FALSE)</f>
        <v>#N/A</v>
      </c>
      <c r="S1774" s="8" t="e">
        <f>VLOOKUP(Table1[[#This Row],[Address A]],IP_Master[],2,FALSE)</f>
        <v>#N/A</v>
      </c>
      <c r="T1774" s="8" t="e">
        <f>VLOOKUP(Table1[[#This Row],[Address B]],IP_Master[],2,FALSE)</f>
        <v>#N/A</v>
      </c>
      <c r="U1774" s="9" t="e">
        <f>VLOOKUP(Table1[[#This Row],[Address A]],IP_Master[],3,FALSE)</f>
        <v>#N/A</v>
      </c>
      <c r="V1774" s="9" t="e">
        <f>VLOOKUP(Table1[[#This Row],[Address B]],IP_Master[],3,FALSE)</f>
        <v>#N/A</v>
      </c>
      <c r="W1774" s="9" t="str">
        <f>VLOOKUP(Table1[[#This Row],[Port B]],traffic_types[],2,FALSE)</f>
        <v>HTTP</v>
      </c>
    </row>
    <row r="1775" spans="1:23" x14ac:dyDescent="0.6">
      <c r="A1775" t="s">
        <v>224</v>
      </c>
      <c r="B1775">
        <v>59890</v>
      </c>
      <c r="C1775" t="s">
        <v>244</v>
      </c>
      <c r="D1775">
        <v>80</v>
      </c>
      <c r="E1775">
        <v>3</v>
      </c>
      <c r="F1775">
        <v>194</v>
      </c>
      <c r="G1775">
        <v>3</v>
      </c>
      <c r="H1775">
        <v>194</v>
      </c>
      <c r="I1775">
        <v>0</v>
      </c>
      <c r="J1775">
        <v>0</v>
      </c>
      <c r="K1775">
        <v>48.246347</v>
      </c>
      <c r="L1775">
        <v>9.0298069999999999</v>
      </c>
      <c r="M1775">
        <v>171.87521283677501</v>
      </c>
      <c r="N1775">
        <v>0</v>
      </c>
      <c r="O1775" s="8" t="str">
        <f>formatIP(Table1[[#This Row],[Address A]])</f>
        <v>192.168.100.002</v>
      </c>
      <c r="P1775" s="8" t="str">
        <f>formatIP(Table1[[#This Row],[Address B]])</f>
        <v>064.004.023.153</v>
      </c>
      <c r="Q1775" s="8" t="e">
        <f>VLOOKUP(Table1[[#This Row],[Address A]],IP_Master[],4,FALSE)</f>
        <v>#N/A</v>
      </c>
      <c r="R1775" s="8" t="e">
        <f>VLOOKUP(Table1[[#This Row],[Address B]],IP_Master[],4,FALSE)</f>
        <v>#N/A</v>
      </c>
      <c r="S1775" s="8" t="e">
        <f>VLOOKUP(Table1[[#This Row],[Address A]],IP_Master[],2,FALSE)</f>
        <v>#N/A</v>
      </c>
      <c r="T1775" s="8" t="e">
        <f>VLOOKUP(Table1[[#This Row],[Address B]],IP_Master[],2,FALSE)</f>
        <v>#N/A</v>
      </c>
      <c r="U1775" s="9" t="e">
        <f>VLOOKUP(Table1[[#This Row],[Address A]],IP_Master[],3,FALSE)</f>
        <v>#N/A</v>
      </c>
      <c r="V1775" s="9" t="e">
        <f>VLOOKUP(Table1[[#This Row],[Address B]],IP_Master[],3,FALSE)</f>
        <v>#N/A</v>
      </c>
      <c r="W1775" s="9" t="str">
        <f>VLOOKUP(Table1[[#This Row],[Port B]],traffic_types[],2,FALSE)</f>
        <v>HTTP</v>
      </c>
    </row>
    <row r="1776" spans="1:23" x14ac:dyDescent="0.6">
      <c r="A1776" t="s">
        <v>224</v>
      </c>
      <c r="B1776">
        <v>59891</v>
      </c>
      <c r="C1776" t="s">
        <v>246</v>
      </c>
      <c r="D1776">
        <v>443</v>
      </c>
      <c r="E1776">
        <v>3</v>
      </c>
      <c r="F1776">
        <v>194</v>
      </c>
      <c r="G1776">
        <v>3</v>
      </c>
      <c r="H1776">
        <v>194</v>
      </c>
      <c r="I1776">
        <v>0</v>
      </c>
      <c r="J1776">
        <v>0</v>
      </c>
      <c r="K1776">
        <v>48.667392999999997</v>
      </c>
      <c r="L1776">
        <v>8.9995200000000004</v>
      </c>
      <c r="M1776">
        <v>172.45364197201599</v>
      </c>
      <c r="N1776">
        <v>0</v>
      </c>
      <c r="O1776" s="8" t="str">
        <f>formatIP(Table1[[#This Row],[Address A]])</f>
        <v>192.168.100.002</v>
      </c>
      <c r="P1776" s="8" t="str">
        <f>formatIP(Table1[[#This Row],[Address B]])</f>
        <v>157.055.130.168</v>
      </c>
      <c r="Q1776" s="8" t="e">
        <f>VLOOKUP(Table1[[#This Row],[Address A]],IP_Master[],4,FALSE)</f>
        <v>#N/A</v>
      </c>
      <c r="R1776" s="8" t="e">
        <f>VLOOKUP(Table1[[#This Row],[Address B]],IP_Master[],4,FALSE)</f>
        <v>#N/A</v>
      </c>
      <c r="S1776" s="8" t="e">
        <f>VLOOKUP(Table1[[#This Row],[Address A]],IP_Master[],2,FALSE)</f>
        <v>#N/A</v>
      </c>
      <c r="T1776" s="8" t="e">
        <f>VLOOKUP(Table1[[#This Row],[Address B]],IP_Master[],2,FALSE)</f>
        <v>#N/A</v>
      </c>
      <c r="U1776" s="9" t="e">
        <f>VLOOKUP(Table1[[#This Row],[Address A]],IP_Master[],3,FALSE)</f>
        <v>#N/A</v>
      </c>
      <c r="V1776" s="9" t="e">
        <f>VLOOKUP(Table1[[#This Row],[Address B]],IP_Master[],3,FALSE)</f>
        <v>#N/A</v>
      </c>
      <c r="W1776" s="9" t="str">
        <f>VLOOKUP(Table1[[#This Row],[Port B]],traffic_types[],2,FALSE)</f>
        <v>HTTP/S</v>
      </c>
    </row>
    <row r="1777" spans="1:23" hidden="1" x14ac:dyDescent="0.6">
      <c r="A1777" t="s">
        <v>224</v>
      </c>
      <c r="B1777">
        <v>59892</v>
      </c>
      <c r="C1777" t="s">
        <v>247</v>
      </c>
      <c r="D1777">
        <v>40011</v>
      </c>
      <c r="E1777">
        <v>3</v>
      </c>
      <c r="F1777">
        <v>194</v>
      </c>
      <c r="G1777">
        <v>3</v>
      </c>
      <c r="H1777">
        <v>194</v>
      </c>
      <c r="I1777">
        <v>0</v>
      </c>
      <c r="J1777">
        <v>0</v>
      </c>
      <c r="K1777">
        <v>50.078082999999999</v>
      </c>
      <c r="L1777">
        <v>8.9988600000000005</v>
      </c>
      <c r="M1777">
        <v>172.46629017453299</v>
      </c>
      <c r="N1777">
        <v>0</v>
      </c>
      <c r="O1777" s="8" t="str">
        <f>formatIP(Table1[[#This Row],[Address A]])</f>
        <v>192.168.100.002</v>
      </c>
      <c r="P1777" s="8" t="str">
        <f>formatIP(Table1[[#This Row],[Address B]])</f>
        <v>065.055.223.039</v>
      </c>
      <c r="Q1777" s="8" t="e">
        <f>VLOOKUP(Table1[[#This Row],[Address A]],IP_Master[],4,FALSE)</f>
        <v>#N/A</v>
      </c>
      <c r="R1777" s="8" t="e">
        <f>VLOOKUP(Table1[[#This Row],[Address B]],IP_Master[],4,FALSE)</f>
        <v>#N/A</v>
      </c>
      <c r="S1777" s="8" t="e">
        <f>VLOOKUP(Table1[[#This Row],[Address A]],IP_Master[],2,FALSE)</f>
        <v>#N/A</v>
      </c>
      <c r="T1777" s="8" t="e">
        <f>VLOOKUP(Table1[[#This Row],[Address B]],IP_Master[],2,FALSE)</f>
        <v>#N/A</v>
      </c>
      <c r="U1777" s="9" t="e">
        <f>VLOOKUP(Table1[[#This Row],[Address A]],IP_Master[],3,FALSE)</f>
        <v>#N/A</v>
      </c>
      <c r="V1777" s="9" t="e">
        <f>VLOOKUP(Table1[[#This Row],[Address B]],IP_Master[],3,FALSE)</f>
        <v>#N/A</v>
      </c>
      <c r="W1777" s="9" t="e">
        <f>VLOOKUP(Table1[[#This Row],[Port B]],traffic_types[],2,FALSE)</f>
        <v>#N/A</v>
      </c>
    </row>
    <row r="1778" spans="1:23" x14ac:dyDescent="0.6">
      <c r="A1778" t="s">
        <v>224</v>
      </c>
      <c r="B1778">
        <v>59893</v>
      </c>
      <c r="C1778" t="s">
        <v>246</v>
      </c>
      <c r="D1778">
        <v>80</v>
      </c>
      <c r="E1778">
        <v>3</v>
      </c>
      <c r="F1778">
        <v>194</v>
      </c>
      <c r="G1778">
        <v>3</v>
      </c>
      <c r="H1778">
        <v>194</v>
      </c>
      <c r="I1778">
        <v>0</v>
      </c>
      <c r="J1778">
        <v>0</v>
      </c>
      <c r="K1778">
        <v>50.287225999999997</v>
      </c>
      <c r="L1778">
        <v>8.9995820000000002</v>
      </c>
      <c r="M1778">
        <v>172.45245390285899</v>
      </c>
      <c r="N1778">
        <v>0</v>
      </c>
      <c r="O1778" s="8" t="str">
        <f>formatIP(Table1[[#This Row],[Address A]])</f>
        <v>192.168.100.002</v>
      </c>
      <c r="P1778" s="8" t="str">
        <f>formatIP(Table1[[#This Row],[Address B]])</f>
        <v>157.055.130.168</v>
      </c>
      <c r="Q1778" s="8" t="e">
        <f>VLOOKUP(Table1[[#This Row],[Address A]],IP_Master[],4,FALSE)</f>
        <v>#N/A</v>
      </c>
      <c r="R1778" s="8" t="e">
        <f>VLOOKUP(Table1[[#This Row],[Address B]],IP_Master[],4,FALSE)</f>
        <v>#N/A</v>
      </c>
      <c r="S1778" s="8" t="e">
        <f>VLOOKUP(Table1[[#This Row],[Address A]],IP_Master[],2,FALSE)</f>
        <v>#N/A</v>
      </c>
      <c r="T1778" s="8" t="e">
        <f>VLOOKUP(Table1[[#This Row],[Address B]],IP_Master[],2,FALSE)</f>
        <v>#N/A</v>
      </c>
      <c r="U1778" s="9" t="e">
        <f>VLOOKUP(Table1[[#This Row],[Address A]],IP_Master[],3,FALSE)</f>
        <v>#N/A</v>
      </c>
      <c r="V1778" s="9" t="e">
        <f>VLOOKUP(Table1[[#This Row],[Address B]],IP_Master[],3,FALSE)</f>
        <v>#N/A</v>
      </c>
      <c r="W1778" s="9" t="str">
        <f>VLOOKUP(Table1[[#This Row],[Port B]],traffic_types[],2,FALSE)</f>
        <v>HTTP</v>
      </c>
    </row>
    <row r="1779" spans="1:23" x14ac:dyDescent="0.6">
      <c r="A1779" t="s">
        <v>224</v>
      </c>
      <c r="B1779">
        <v>59894</v>
      </c>
      <c r="C1779" t="s">
        <v>247</v>
      </c>
      <c r="D1779">
        <v>443</v>
      </c>
      <c r="E1779">
        <v>3</v>
      </c>
      <c r="F1779">
        <v>194</v>
      </c>
      <c r="G1779">
        <v>3</v>
      </c>
      <c r="H1779">
        <v>194</v>
      </c>
      <c r="I1779">
        <v>0</v>
      </c>
      <c r="J1779">
        <v>0</v>
      </c>
      <c r="K1779">
        <v>51.697338999999999</v>
      </c>
      <c r="L1779">
        <v>9.0004749999999998</v>
      </c>
      <c r="M1779">
        <v>172.435343690194</v>
      </c>
      <c r="N1779">
        <v>0</v>
      </c>
      <c r="O1779" s="8" t="str">
        <f>formatIP(Table1[[#This Row],[Address A]])</f>
        <v>192.168.100.002</v>
      </c>
      <c r="P1779" s="8" t="str">
        <f>formatIP(Table1[[#This Row],[Address B]])</f>
        <v>065.055.223.039</v>
      </c>
      <c r="Q1779" s="8" t="e">
        <f>VLOOKUP(Table1[[#This Row],[Address A]],IP_Master[],4,FALSE)</f>
        <v>#N/A</v>
      </c>
      <c r="R1779" s="8" t="e">
        <f>VLOOKUP(Table1[[#This Row],[Address B]],IP_Master[],4,FALSE)</f>
        <v>#N/A</v>
      </c>
      <c r="S1779" s="8" t="e">
        <f>VLOOKUP(Table1[[#This Row],[Address A]],IP_Master[],2,FALSE)</f>
        <v>#N/A</v>
      </c>
      <c r="T1779" s="8" t="e">
        <f>VLOOKUP(Table1[[#This Row],[Address B]],IP_Master[],2,FALSE)</f>
        <v>#N/A</v>
      </c>
      <c r="U1779" s="9" t="e">
        <f>VLOOKUP(Table1[[#This Row],[Address A]],IP_Master[],3,FALSE)</f>
        <v>#N/A</v>
      </c>
      <c r="V1779" s="9" t="e">
        <f>VLOOKUP(Table1[[#This Row],[Address B]],IP_Master[],3,FALSE)</f>
        <v>#N/A</v>
      </c>
      <c r="W1779" s="9" t="str">
        <f>VLOOKUP(Table1[[#This Row],[Port B]],traffic_types[],2,FALSE)</f>
        <v>HTTP/S</v>
      </c>
    </row>
    <row r="1780" spans="1:23" hidden="1" x14ac:dyDescent="0.6">
      <c r="A1780" t="s">
        <v>224</v>
      </c>
      <c r="B1780">
        <v>59895</v>
      </c>
      <c r="C1780" t="s">
        <v>248</v>
      </c>
      <c r="D1780">
        <v>40009</v>
      </c>
      <c r="E1780">
        <v>3</v>
      </c>
      <c r="F1780">
        <v>194</v>
      </c>
      <c r="G1780">
        <v>3</v>
      </c>
      <c r="H1780">
        <v>194</v>
      </c>
      <c r="I1780">
        <v>0</v>
      </c>
      <c r="J1780">
        <v>0</v>
      </c>
      <c r="K1780">
        <v>52.107909999999997</v>
      </c>
      <c r="L1780">
        <v>9.0295200000000104</v>
      </c>
      <c r="M1780">
        <v>171.88067582772899</v>
      </c>
      <c r="N1780">
        <v>0</v>
      </c>
      <c r="O1780" s="8" t="str">
        <f>formatIP(Table1[[#This Row],[Address A]])</f>
        <v>192.168.100.002</v>
      </c>
      <c r="P1780" s="8" t="str">
        <f>formatIP(Table1[[#This Row],[Address B]])</f>
        <v>157.056.052.019</v>
      </c>
      <c r="Q1780" s="8" t="e">
        <f>VLOOKUP(Table1[[#This Row],[Address A]],IP_Master[],4,FALSE)</f>
        <v>#N/A</v>
      </c>
      <c r="R1780" s="8" t="e">
        <f>VLOOKUP(Table1[[#This Row],[Address B]],IP_Master[],4,FALSE)</f>
        <v>#N/A</v>
      </c>
      <c r="S1780" s="8" t="e">
        <f>VLOOKUP(Table1[[#This Row],[Address A]],IP_Master[],2,FALSE)</f>
        <v>#N/A</v>
      </c>
      <c r="T1780" s="8" t="e">
        <f>VLOOKUP(Table1[[#This Row],[Address B]],IP_Master[],2,FALSE)</f>
        <v>#N/A</v>
      </c>
      <c r="U1780" s="9" t="e">
        <f>VLOOKUP(Table1[[#This Row],[Address A]],IP_Master[],3,FALSE)</f>
        <v>#N/A</v>
      </c>
      <c r="V1780" s="9" t="e">
        <f>VLOOKUP(Table1[[#This Row],[Address B]],IP_Master[],3,FALSE)</f>
        <v>#N/A</v>
      </c>
      <c r="W1780" s="9" t="e">
        <f>VLOOKUP(Table1[[#This Row],[Port B]],traffic_types[],2,FALSE)</f>
        <v>#N/A</v>
      </c>
    </row>
    <row r="1781" spans="1:23" hidden="1" x14ac:dyDescent="0.6">
      <c r="A1781" t="s">
        <v>224</v>
      </c>
      <c r="B1781">
        <v>59896</v>
      </c>
      <c r="C1781" t="s">
        <v>249</v>
      </c>
      <c r="D1781">
        <v>40022</v>
      </c>
      <c r="E1781">
        <v>3</v>
      </c>
      <c r="F1781">
        <v>194</v>
      </c>
      <c r="G1781">
        <v>3</v>
      </c>
      <c r="H1781">
        <v>194</v>
      </c>
      <c r="I1781">
        <v>0</v>
      </c>
      <c r="J1781">
        <v>0</v>
      </c>
      <c r="K1781">
        <v>53.15804</v>
      </c>
      <c r="L1781">
        <v>8.9998989999999992</v>
      </c>
      <c r="M1781">
        <v>172.44637967603899</v>
      </c>
      <c r="N1781">
        <v>0</v>
      </c>
      <c r="O1781" s="8" t="str">
        <f>formatIP(Table1[[#This Row],[Address A]])</f>
        <v>192.168.100.002</v>
      </c>
      <c r="P1781" s="8" t="str">
        <f>formatIP(Table1[[#This Row],[Address B]])</f>
        <v>157.056.052.023</v>
      </c>
      <c r="Q1781" s="8" t="e">
        <f>VLOOKUP(Table1[[#This Row],[Address A]],IP_Master[],4,FALSE)</f>
        <v>#N/A</v>
      </c>
      <c r="R1781" s="8" t="e">
        <f>VLOOKUP(Table1[[#This Row],[Address B]],IP_Master[],4,FALSE)</f>
        <v>#N/A</v>
      </c>
      <c r="S1781" s="8" t="e">
        <f>VLOOKUP(Table1[[#This Row],[Address A]],IP_Master[],2,FALSE)</f>
        <v>#N/A</v>
      </c>
      <c r="T1781" s="8" t="e">
        <f>VLOOKUP(Table1[[#This Row],[Address B]],IP_Master[],2,FALSE)</f>
        <v>#N/A</v>
      </c>
      <c r="U1781" s="9" t="e">
        <f>VLOOKUP(Table1[[#This Row],[Address A]],IP_Master[],3,FALSE)</f>
        <v>#N/A</v>
      </c>
      <c r="V1781" s="9" t="e">
        <f>VLOOKUP(Table1[[#This Row],[Address B]],IP_Master[],3,FALSE)</f>
        <v>#N/A</v>
      </c>
      <c r="W1781" s="9" t="e">
        <f>VLOOKUP(Table1[[#This Row],[Port B]],traffic_types[],2,FALSE)</f>
        <v>#N/A</v>
      </c>
    </row>
    <row r="1782" spans="1:23" x14ac:dyDescent="0.6">
      <c r="A1782" t="s">
        <v>224</v>
      </c>
      <c r="B1782">
        <v>59897</v>
      </c>
      <c r="C1782" t="s">
        <v>247</v>
      </c>
      <c r="D1782">
        <v>80</v>
      </c>
      <c r="E1782">
        <v>3</v>
      </c>
      <c r="F1782">
        <v>194</v>
      </c>
      <c r="G1782">
        <v>3</v>
      </c>
      <c r="H1782">
        <v>194</v>
      </c>
      <c r="I1782">
        <v>0</v>
      </c>
      <c r="J1782">
        <v>0</v>
      </c>
      <c r="K1782">
        <v>53.317003999999997</v>
      </c>
      <c r="L1782">
        <v>9.0008499999999998</v>
      </c>
      <c r="M1782">
        <v>172.428159562708</v>
      </c>
      <c r="N1782">
        <v>0</v>
      </c>
      <c r="O1782" s="8" t="str">
        <f>formatIP(Table1[[#This Row],[Address A]])</f>
        <v>192.168.100.002</v>
      </c>
      <c r="P1782" s="8" t="str">
        <f>formatIP(Table1[[#This Row],[Address B]])</f>
        <v>065.055.223.039</v>
      </c>
      <c r="Q1782" s="8" t="e">
        <f>VLOOKUP(Table1[[#This Row],[Address A]],IP_Master[],4,FALSE)</f>
        <v>#N/A</v>
      </c>
      <c r="R1782" s="8" t="e">
        <f>VLOOKUP(Table1[[#This Row],[Address B]],IP_Master[],4,FALSE)</f>
        <v>#N/A</v>
      </c>
      <c r="S1782" s="8" t="e">
        <f>VLOOKUP(Table1[[#This Row],[Address A]],IP_Master[],2,FALSE)</f>
        <v>#N/A</v>
      </c>
      <c r="T1782" s="8" t="e">
        <f>VLOOKUP(Table1[[#This Row],[Address B]],IP_Master[],2,FALSE)</f>
        <v>#N/A</v>
      </c>
      <c r="U1782" s="9" t="e">
        <f>VLOOKUP(Table1[[#This Row],[Address A]],IP_Master[],3,FALSE)</f>
        <v>#N/A</v>
      </c>
      <c r="V1782" s="9" t="e">
        <f>VLOOKUP(Table1[[#This Row],[Address B]],IP_Master[],3,FALSE)</f>
        <v>#N/A</v>
      </c>
      <c r="W1782" s="9" t="str">
        <f>VLOOKUP(Table1[[#This Row],[Port B]],traffic_types[],2,FALSE)</f>
        <v>HTTP</v>
      </c>
    </row>
    <row r="1783" spans="1:23" x14ac:dyDescent="0.6">
      <c r="A1783" t="s">
        <v>224</v>
      </c>
      <c r="B1783">
        <v>59898</v>
      </c>
      <c r="C1783" t="s">
        <v>248</v>
      </c>
      <c r="D1783">
        <v>443</v>
      </c>
      <c r="E1783">
        <v>3</v>
      </c>
      <c r="F1783">
        <v>194</v>
      </c>
      <c r="G1783">
        <v>3</v>
      </c>
      <c r="H1783">
        <v>194</v>
      </c>
      <c r="I1783">
        <v>0</v>
      </c>
      <c r="J1783">
        <v>0</v>
      </c>
      <c r="K1783">
        <v>53.727020000000003</v>
      </c>
      <c r="L1783">
        <v>9.0306159999999895</v>
      </c>
      <c r="M1783">
        <v>171.859815543037</v>
      </c>
      <c r="N1783">
        <v>0</v>
      </c>
      <c r="O1783" s="8" t="str">
        <f>formatIP(Table1[[#This Row],[Address A]])</f>
        <v>192.168.100.002</v>
      </c>
      <c r="P1783" s="8" t="str">
        <f>formatIP(Table1[[#This Row],[Address B]])</f>
        <v>157.056.052.019</v>
      </c>
      <c r="Q1783" s="8" t="e">
        <f>VLOOKUP(Table1[[#This Row],[Address A]],IP_Master[],4,FALSE)</f>
        <v>#N/A</v>
      </c>
      <c r="R1783" s="8" t="e">
        <f>VLOOKUP(Table1[[#This Row],[Address B]],IP_Master[],4,FALSE)</f>
        <v>#N/A</v>
      </c>
      <c r="S1783" s="8" t="e">
        <f>VLOOKUP(Table1[[#This Row],[Address A]],IP_Master[],2,FALSE)</f>
        <v>#N/A</v>
      </c>
      <c r="T1783" s="8" t="e">
        <f>VLOOKUP(Table1[[#This Row],[Address B]],IP_Master[],2,FALSE)</f>
        <v>#N/A</v>
      </c>
      <c r="U1783" s="9" t="e">
        <f>VLOOKUP(Table1[[#This Row],[Address A]],IP_Master[],3,FALSE)</f>
        <v>#N/A</v>
      </c>
      <c r="V1783" s="9" t="e">
        <f>VLOOKUP(Table1[[#This Row],[Address B]],IP_Master[],3,FALSE)</f>
        <v>#N/A</v>
      </c>
      <c r="W1783" s="9" t="str">
        <f>VLOOKUP(Table1[[#This Row],[Port B]],traffic_types[],2,FALSE)</f>
        <v>HTTP/S</v>
      </c>
    </row>
    <row r="1784" spans="1:23" x14ac:dyDescent="0.6">
      <c r="A1784" t="s">
        <v>224</v>
      </c>
      <c r="B1784">
        <v>59899</v>
      </c>
      <c r="C1784" t="s">
        <v>249</v>
      </c>
      <c r="D1784">
        <v>443</v>
      </c>
      <c r="E1784">
        <v>3</v>
      </c>
      <c r="F1784">
        <v>194</v>
      </c>
      <c r="G1784">
        <v>3</v>
      </c>
      <c r="H1784">
        <v>194</v>
      </c>
      <c r="I1784">
        <v>0</v>
      </c>
      <c r="J1784">
        <v>0</v>
      </c>
      <c r="K1784">
        <v>54.777413000000003</v>
      </c>
      <c r="L1784">
        <v>9.0003250000000001</v>
      </c>
      <c r="M1784">
        <v>172.43821750881199</v>
      </c>
      <c r="N1784">
        <v>0</v>
      </c>
      <c r="O1784" s="8" t="str">
        <f>formatIP(Table1[[#This Row],[Address A]])</f>
        <v>192.168.100.002</v>
      </c>
      <c r="P1784" s="8" t="str">
        <f>formatIP(Table1[[#This Row],[Address B]])</f>
        <v>157.056.052.023</v>
      </c>
      <c r="Q1784" s="8" t="e">
        <f>VLOOKUP(Table1[[#This Row],[Address A]],IP_Master[],4,FALSE)</f>
        <v>#N/A</v>
      </c>
      <c r="R1784" s="8" t="e">
        <f>VLOOKUP(Table1[[#This Row],[Address B]],IP_Master[],4,FALSE)</f>
        <v>#N/A</v>
      </c>
      <c r="S1784" s="8" t="e">
        <f>VLOOKUP(Table1[[#This Row],[Address A]],IP_Master[],2,FALSE)</f>
        <v>#N/A</v>
      </c>
      <c r="T1784" s="8" t="e">
        <f>VLOOKUP(Table1[[#This Row],[Address B]],IP_Master[],2,FALSE)</f>
        <v>#N/A</v>
      </c>
      <c r="U1784" s="9" t="e">
        <f>VLOOKUP(Table1[[#This Row],[Address A]],IP_Master[],3,FALSE)</f>
        <v>#N/A</v>
      </c>
      <c r="V1784" s="9" t="e">
        <f>VLOOKUP(Table1[[#This Row],[Address B]],IP_Master[],3,FALSE)</f>
        <v>#N/A</v>
      </c>
      <c r="W1784" s="9" t="str">
        <f>VLOOKUP(Table1[[#This Row],[Port B]],traffic_types[],2,FALSE)</f>
        <v>HTTP/S</v>
      </c>
    </row>
    <row r="1785" spans="1:23" x14ac:dyDescent="0.6">
      <c r="A1785" t="s">
        <v>224</v>
      </c>
      <c r="B1785">
        <v>59900</v>
      </c>
      <c r="C1785" t="s">
        <v>248</v>
      </c>
      <c r="D1785">
        <v>80</v>
      </c>
      <c r="E1785">
        <v>3</v>
      </c>
      <c r="F1785">
        <v>194</v>
      </c>
      <c r="G1785">
        <v>3</v>
      </c>
      <c r="H1785">
        <v>194</v>
      </c>
      <c r="I1785">
        <v>0</v>
      </c>
      <c r="J1785">
        <v>0</v>
      </c>
      <c r="K1785">
        <v>55.349488999999998</v>
      </c>
      <c r="L1785">
        <v>8.9983210000000007</v>
      </c>
      <c r="M1785">
        <v>172.47662091628001</v>
      </c>
      <c r="N1785">
        <v>0</v>
      </c>
      <c r="O1785" s="8" t="str">
        <f>formatIP(Table1[[#This Row],[Address A]])</f>
        <v>192.168.100.002</v>
      </c>
      <c r="P1785" s="8" t="str">
        <f>formatIP(Table1[[#This Row],[Address B]])</f>
        <v>157.056.052.019</v>
      </c>
      <c r="Q1785" s="8" t="e">
        <f>VLOOKUP(Table1[[#This Row],[Address A]],IP_Master[],4,FALSE)</f>
        <v>#N/A</v>
      </c>
      <c r="R1785" s="8" t="e">
        <f>VLOOKUP(Table1[[#This Row],[Address B]],IP_Master[],4,FALSE)</f>
        <v>#N/A</v>
      </c>
      <c r="S1785" s="8" t="e">
        <f>VLOOKUP(Table1[[#This Row],[Address A]],IP_Master[],2,FALSE)</f>
        <v>#N/A</v>
      </c>
      <c r="T1785" s="8" t="e">
        <f>VLOOKUP(Table1[[#This Row],[Address B]],IP_Master[],2,FALSE)</f>
        <v>#N/A</v>
      </c>
      <c r="U1785" s="9" t="e">
        <f>VLOOKUP(Table1[[#This Row],[Address A]],IP_Master[],3,FALSE)</f>
        <v>#N/A</v>
      </c>
      <c r="V1785" s="9" t="e">
        <f>VLOOKUP(Table1[[#This Row],[Address B]],IP_Master[],3,FALSE)</f>
        <v>#N/A</v>
      </c>
      <c r="W1785" s="9" t="str">
        <f>VLOOKUP(Table1[[#This Row],[Port B]],traffic_types[],2,FALSE)</f>
        <v>HTTP</v>
      </c>
    </row>
    <row r="1786" spans="1:23" x14ac:dyDescent="0.6">
      <c r="A1786" t="s">
        <v>224</v>
      </c>
      <c r="B1786">
        <v>59901</v>
      </c>
      <c r="C1786" t="s">
        <v>249</v>
      </c>
      <c r="D1786">
        <v>80</v>
      </c>
      <c r="E1786">
        <v>3</v>
      </c>
      <c r="F1786">
        <v>194</v>
      </c>
      <c r="G1786">
        <v>3</v>
      </c>
      <c r="H1786">
        <v>194</v>
      </c>
      <c r="I1786">
        <v>0</v>
      </c>
      <c r="J1786">
        <v>0</v>
      </c>
      <c r="K1786">
        <v>56.397213999999998</v>
      </c>
      <c r="L1786">
        <v>9.0004639999999991</v>
      </c>
      <c r="M1786">
        <v>172.435554433638</v>
      </c>
      <c r="N1786">
        <v>0</v>
      </c>
      <c r="O1786" s="8" t="str">
        <f>formatIP(Table1[[#This Row],[Address A]])</f>
        <v>192.168.100.002</v>
      </c>
      <c r="P1786" s="8" t="str">
        <f>formatIP(Table1[[#This Row],[Address B]])</f>
        <v>157.056.052.023</v>
      </c>
      <c r="Q1786" s="8" t="e">
        <f>VLOOKUP(Table1[[#This Row],[Address A]],IP_Master[],4,FALSE)</f>
        <v>#N/A</v>
      </c>
      <c r="R1786" s="8" t="e">
        <f>VLOOKUP(Table1[[#This Row],[Address B]],IP_Master[],4,FALSE)</f>
        <v>#N/A</v>
      </c>
      <c r="S1786" s="8" t="e">
        <f>VLOOKUP(Table1[[#This Row],[Address A]],IP_Master[],2,FALSE)</f>
        <v>#N/A</v>
      </c>
      <c r="T1786" s="8" t="e">
        <f>VLOOKUP(Table1[[#This Row],[Address B]],IP_Master[],2,FALSE)</f>
        <v>#N/A</v>
      </c>
      <c r="U1786" s="9" t="e">
        <f>VLOOKUP(Table1[[#This Row],[Address A]],IP_Master[],3,FALSE)</f>
        <v>#N/A</v>
      </c>
      <c r="V1786" s="9" t="e">
        <f>VLOOKUP(Table1[[#This Row],[Address B]],IP_Master[],3,FALSE)</f>
        <v>#N/A</v>
      </c>
      <c r="W1786" s="9" t="str">
        <f>VLOOKUP(Table1[[#This Row],[Port B]],traffic_types[],2,FALSE)</f>
        <v>HTTP</v>
      </c>
    </row>
    <row r="1787" spans="1:23" hidden="1" x14ac:dyDescent="0.6">
      <c r="A1787" t="s">
        <v>224</v>
      </c>
      <c r="B1787">
        <v>59902</v>
      </c>
      <c r="C1787" t="s">
        <v>250</v>
      </c>
      <c r="D1787">
        <v>40003</v>
      </c>
      <c r="E1787">
        <v>3</v>
      </c>
      <c r="F1787">
        <v>194</v>
      </c>
      <c r="G1787">
        <v>3</v>
      </c>
      <c r="H1787">
        <v>194</v>
      </c>
      <c r="I1787">
        <v>0</v>
      </c>
      <c r="J1787">
        <v>0</v>
      </c>
      <c r="K1787">
        <v>67.289292000000003</v>
      </c>
      <c r="L1787">
        <v>8.9693379999999898</v>
      </c>
      <c r="M1787">
        <v>173.033951892548</v>
      </c>
      <c r="N1787">
        <v>0</v>
      </c>
      <c r="O1787" s="8" t="str">
        <f>formatIP(Table1[[#This Row],[Address A]])</f>
        <v>192.168.100.002</v>
      </c>
      <c r="P1787" s="8" t="str">
        <f>formatIP(Table1[[#This Row],[Address B]])</f>
        <v>064.004.023.156</v>
      </c>
      <c r="Q1787" s="8" t="e">
        <f>VLOOKUP(Table1[[#This Row],[Address A]],IP_Master[],4,FALSE)</f>
        <v>#N/A</v>
      </c>
      <c r="R1787" s="8" t="e">
        <f>VLOOKUP(Table1[[#This Row],[Address B]],IP_Master[],4,FALSE)</f>
        <v>#N/A</v>
      </c>
      <c r="S1787" s="8" t="e">
        <f>VLOOKUP(Table1[[#This Row],[Address A]],IP_Master[],2,FALSE)</f>
        <v>#N/A</v>
      </c>
      <c r="T1787" s="8" t="e">
        <f>VLOOKUP(Table1[[#This Row],[Address B]],IP_Master[],2,FALSE)</f>
        <v>#N/A</v>
      </c>
      <c r="U1787" s="9" t="e">
        <f>VLOOKUP(Table1[[#This Row],[Address A]],IP_Master[],3,FALSE)</f>
        <v>#N/A</v>
      </c>
      <c r="V1787" s="9" t="e">
        <f>VLOOKUP(Table1[[#This Row],[Address B]],IP_Master[],3,FALSE)</f>
        <v>#N/A</v>
      </c>
      <c r="W1787" s="9" t="e">
        <f>VLOOKUP(Table1[[#This Row],[Port B]],traffic_types[],2,FALSE)</f>
        <v>#N/A</v>
      </c>
    </row>
    <row r="1788" spans="1:23" hidden="1" x14ac:dyDescent="0.6">
      <c r="A1788" t="s">
        <v>224</v>
      </c>
      <c r="B1788">
        <v>59903</v>
      </c>
      <c r="C1788" t="s">
        <v>251</v>
      </c>
      <c r="D1788">
        <v>40035</v>
      </c>
      <c r="E1788">
        <v>3</v>
      </c>
      <c r="F1788">
        <v>194</v>
      </c>
      <c r="G1788">
        <v>3</v>
      </c>
      <c r="H1788">
        <v>194</v>
      </c>
      <c r="I1788">
        <v>0</v>
      </c>
      <c r="J1788">
        <v>0</v>
      </c>
      <c r="K1788">
        <v>68.269750000000002</v>
      </c>
      <c r="L1788">
        <v>9.0286880000000007</v>
      </c>
      <c r="M1788">
        <v>171.89651475386</v>
      </c>
      <c r="N1788">
        <v>0</v>
      </c>
      <c r="O1788" s="8" t="str">
        <f>formatIP(Table1[[#This Row],[Address A]])</f>
        <v>192.168.100.002</v>
      </c>
      <c r="P1788" s="8" t="str">
        <f>formatIP(Table1[[#This Row],[Address B]])</f>
        <v>157.056.052.026</v>
      </c>
      <c r="Q1788" s="8" t="e">
        <f>VLOOKUP(Table1[[#This Row],[Address A]],IP_Master[],4,FALSE)</f>
        <v>#N/A</v>
      </c>
      <c r="R1788" s="8" t="e">
        <f>VLOOKUP(Table1[[#This Row],[Address B]],IP_Master[],4,FALSE)</f>
        <v>#N/A</v>
      </c>
      <c r="S1788" s="8" t="e">
        <f>VLOOKUP(Table1[[#This Row],[Address A]],IP_Master[],2,FALSE)</f>
        <v>#N/A</v>
      </c>
      <c r="T1788" s="8" t="e">
        <f>VLOOKUP(Table1[[#This Row],[Address B]],IP_Master[],2,FALSE)</f>
        <v>#N/A</v>
      </c>
      <c r="U1788" s="9" t="e">
        <f>VLOOKUP(Table1[[#This Row],[Address A]],IP_Master[],3,FALSE)</f>
        <v>#N/A</v>
      </c>
      <c r="V1788" s="9" t="e">
        <f>VLOOKUP(Table1[[#This Row],[Address B]],IP_Master[],3,FALSE)</f>
        <v>#N/A</v>
      </c>
      <c r="W1788" s="9" t="e">
        <f>VLOOKUP(Table1[[#This Row],[Port B]],traffic_types[],2,FALSE)</f>
        <v>#N/A</v>
      </c>
    </row>
    <row r="1789" spans="1:23" x14ac:dyDescent="0.6">
      <c r="A1789" t="s">
        <v>224</v>
      </c>
      <c r="B1789">
        <v>59904</v>
      </c>
      <c r="C1789" t="s">
        <v>250</v>
      </c>
      <c r="D1789">
        <v>443</v>
      </c>
      <c r="E1789">
        <v>3</v>
      </c>
      <c r="F1789">
        <v>194</v>
      </c>
      <c r="G1789">
        <v>3</v>
      </c>
      <c r="H1789">
        <v>194</v>
      </c>
      <c r="I1789">
        <v>0</v>
      </c>
      <c r="J1789">
        <v>0</v>
      </c>
      <c r="K1789">
        <v>68.879334999999998</v>
      </c>
      <c r="L1789">
        <v>9.0290549999999996</v>
      </c>
      <c r="M1789">
        <v>171.889527752351</v>
      </c>
      <c r="N1789">
        <v>0</v>
      </c>
      <c r="O1789" s="8" t="str">
        <f>formatIP(Table1[[#This Row],[Address A]])</f>
        <v>192.168.100.002</v>
      </c>
      <c r="P1789" s="8" t="str">
        <f>formatIP(Table1[[#This Row],[Address B]])</f>
        <v>064.004.023.156</v>
      </c>
      <c r="Q1789" s="8" t="e">
        <f>VLOOKUP(Table1[[#This Row],[Address A]],IP_Master[],4,FALSE)</f>
        <v>#N/A</v>
      </c>
      <c r="R1789" s="8" t="e">
        <f>VLOOKUP(Table1[[#This Row],[Address B]],IP_Master[],4,FALSE)</f>
        <v>#N/A</v>
      </c>
      <c r="S1789" s="8" t="e">
        <f>VLOOKUP(Table1[[#This Row],[Address A]],IP_Master[],2,FALSE)</f>
        <v>#N/A</v>
      </c>
      <c r="T1789" s="8" t="e">
        <f>VLOOKUP(Table1[[#This Row],[Address B]],IP_Master[],2,FALSE)</f>
        <v>#N/A</v>
      </c>
      <c r="U1789" s="9" t="e">
        <f>VLOOKUP(Table1[[#This Row],[Address A]],IP_Master[],3,FALSE)</f>
        <v>#N/A</v>
      </c>
      <c r="V1789" s="9" t="e">
        <f>VLOOKUP(Table1[[#This Row],[Address B]],IP_Master[],3,FALSE)</f>
        <v>#N/A</v>
      </c>
      <c r="W1789" s="9" t="str">
        <f>VLOOKUP(Table1[[#This Row],[Port B]],traffic_types[],2,FALSE)</f>
        <v>HTTP/S</v>
      </c>
    </row>
    <row r="1790" spans="1:23" hidden="1" x14ac:dyDescent="0.6">
      <c r="A1790" t="s">
        <v>224</v>
      </c>
      <c r="B1790">
        <v>59905</v>
      </c>
      <c r="C1790" t="s">
        <v>252</v>
      </c>
      <c r="D1790">
        <v>40024</v>
      </c>
      <c r="E1790">
        <v>3</v>
      </c>
      <c r="F1790">
        <v>194</v>
      </c>
      <c r="G1790">
        <v>3</v>
      </c>
      <c r="H1790">
        <v>194</v>
      </c>
      <c r="I1790">
        <v>0</v>
      </c>
      <c r="J1790">
        <v>0</v>
      </c>
      <c r="K1790">
        <v>69.300242999999995</v>
      </c>
      <c r="L1790">
        <v>8.9994840000000096</v>
      </c>
      <c r="M1790">
        <v>172.45433182613601</v>
      </c>
      <c r="N1790">
        <v>0</v>
      </c>
      <c r="O1790" s="8" t="str">
        <f>formatIP(Table1[[#This Row],[Address A]])</f>
        <v>192.168.100.002</v>
      </c>
      <c r="P1790" s="8" t="str">
        <f>formatIP(Table1[[#This Row],[Address B]])</f>
        <v>064.004.023.160</v>
      </c>
      <c r="Q1790" s="8" t="e">
        <f>VLOOKUP(Table1[[#This Row],[Address A]],IP_Master[],4,FALSE)</f>
        <v>#N/A</v>
      </c>
      <c r="R1790" s="8" t="e">
        <f>VLOOKUP(Table1[[#This Row],[Address B]],IP_Master[],4,FALSE)</f>
        <v>#N/A</v>
      </c>
      <c r="S1790" s="8" t="e">
        <f>VLOOKUP(Table1[[#This Row],[Address A]],IP_Master[],2,FALSE)</f>
        <v>#N/A</v>
      </c>
      <c r="T1790" s="8" t="e">
        <f>VLOOKUP(Table1[[#This Row],[Address B]],IP_Master[],2,FALSE)</f>
        <v>#N/A</v>
      </c>
      <c r="U1790" s="9" t="e">
        <f>VLOOKUP(Table1[[#This Row],[Address A]],IP_Master[],3,FALSE)</f>
        <v>#N/A</v>
      </c>
      <c r="V1790" s="9" t="e">
        <f>VLOOKUP(Table1[[#This Row],[Address B]],IP_Master[],3,FALSE)</f>
        <v>#N/A</v>
      </c>
      <c r="W1790" s="9" t="e">
        <f>VLOOKUP(Table1[[#This Row],[Port B]],traffic_types[],2,FALSE)</f>
        <v>#N/A</v>
      </c>
    </row>
    <row r="1791" spans="1:23" x14ac:dyDescent="0.6">
      <c r="A1791" t="s">
        <v>224</v>
      </c>
      <c r="B1791">
        <v>59906</v>
      </c>
      <c r="C1791" t="s">
        <v>251</v>
      </c>
      <c r="D1791">
        <v>443</v>
      </c>
      <c r="E1791">
        <v>3</v>
      </c>
      <c r="F1791">
        <v>194</v>
      </c>
      <c r="G1791">
        <v>3</v>
      </c>
      <c r="H1791">
        <v>194</v>
      </c>
      <c r="I1791">
        <v>0</v>
      </c>
      <c r="J1791">
        <v>0</v>
      </c>
      <c r="K1791">
        <v>69.889161000000001</v>
      </c>
      <c r="L1791">
        <v>9.0005520000000008</v>
      </c>
      <c r="M1791">
        <v>172.43386850050999</v>
      </c>
      <c r="N1791">
        <v>0</v>
      </c>
      <c r="O1791" s="8" t="str">
        <f>formatIP(Table1[[#This Row],[Address A]])</f>
        <v>192.168.100.002</v>
      </c>
      <c r="P1791" s="8" t="str">
        <f>formatIP(Table1[[#This Row],[Address B]])</f>
        <v>157.056.052.026</v>
      </c>
      <c r="Q1791" s="8" t="e">
        <f>VLOOKUP(Table1[[#This Row],[Address A]],IP_Master[],4,FALSE)</f>
        <v>#N/A</v>
      </c>
      <c r="R1791" s="8" t="e">
        <f>VLOOKUP(Table1[[#This Row],[Address B]],IP_Master[],4,FALSE)</f>
        <v>#N/A</v>
      </c>
      <c r="S1791" s="8" t="e">
        <f>VLOOKUP(Table1[[#This Row],[Address A]],IP_Master[],2,FALSE)</f>
        <v>#N/A</v>
      </c>
      <c r="T1791" s="8" t="e">
        <f>VLOOKUP(Table1[[#This Row],[Address B]],IP_Master[],2,FALSE)</f>
        <v>#N/A</v>
      </c>
      <c r="U1791" s="9" t="e">
        <f>VLOOKUP(Table1[[#This Row],[Address A]],IP_Master[],3,FALSE)</f>
        <v>#N/A</v>
      </c>
      <c r="V1791" s="9" t="e">
        <f>VLOOKUP(Table1[[#This Row],[Address B]],IP_Master[],3,FALSE)</f>
        <v>#N/A</v>
      </c>
      <c r="W1791" s="9" t="str">
        <f>VLOOKUP(Table1[[#This Row],[Port B]],traffic_types[],2,FALSE)</f>
        <v>HTTP/S</v>
      </c>
    </row>
    <row r="1792" spans="1:23" x14ac:dyDescent="0.6">
      <c r="A1792" t="s">
        <v>224</v>
      </c>
      <c r="B1792">
        <v>59907</v>
      </c>
      <c r="C1792" t="s">
        <v>250</v>
      </c>
      <c r="D1792">
        <v>80</v>
      </c>
      <c r="E1792">
        <v>3</v>
      </c>
      <c r="F1792">
        <v>194</v>
      </c>
      <c r="G1792">
        <v>3</v>
      </c>
      <c r="H1792">
        <v>194</v>
      </c>
      <c r="I1792">
        <v>0</v>
      </c>
      <c r="J1792">
        <v>0</v>
      </c>
      <c r="K1792">
        <v>70.499275999999995</v>
      </c>
      <c r="L1792">
        <v>8.9994230000000108</v>
      </c>
      <c r="M1792">
        <v>172.45550075821501</v>
      </c>
      <c r="N1792">
        <v>0</v>
      </c>
      <c r="O1792" s="8" t="str">
        <f>formatIP(Table1[[#This Row],[Address A]])</f>
        <v>192.168.100.002</v>
      </c>
      <c r="P1792" s="8" t="str">
        <f>formatIP(Table1[[#This Row],[Address B]])</f>
        <v>064.004.023.156</v>
      </c>
      <c r="Q1792" s="8" t="e">
        <f>VLOOKUP(Table1[[#This Row],[Address A]],IP_Master[],4,FALSE)</f>
        <v>#N/A</v>
      </c>
      <c r="R1792" s="8" t="e">
        <f>VLOOKUP(Table1[[#This Row],[Address B]],IP_Master[],4,FALSE)</f>
        <v>#N/A</v>
      </c>
      <c r="S1792" s="8" t="e">
        <f>VLOOKUP(Table1[[#This Row],[Address A]],IP_Master[],2,FALSE)</f>
        <v>#N/A</v>
      </c>
      <c r="T1792" s="8" t="e">
        <f>VLOOKUP(Table1[[#This Row],[Address B]],IP_Master[],2,FALSE)</f>
        <v>#N/A</v>
      </c>
      <c r="U1792" s="9" t="e">
        <f>VLOOKUP(Table1[[#This Row],[Address A]],IP_Master[],3,FALSE)</f>
        <v>#N/A</v>
      </c>
      <c r="V1792" s="9" t="e">
        <f>VLOOKUP(Table1[[#This Row],[Address B]],IP_Master[],3,FALSE)</f>
        <v>#N/A</v>
      </c>
      <c r="W1792" s="9" t="str">
        <f>VLOOKUP(Table1[[#This Row],[Port B]],traffic_types[],2,FALSE)</f>
        <v>HTTP</v>
      </c>
    </row>
    <row r="1793" spans="1:23" x14ac:dyDescent="0.6">
      <c r="A1793" t="s">
        <v>224</v>
      </c>
      <c r="B1793">
        <v>59908</v>
      </c>
      <c r="C1793" t="s">
        <v>252</v>
      </c>
      <c r="D1793">
        <v>443</v>
      </c>
      <c r="E1793">
        <v>3</v>
      </c>
      <c r="F1793">
        <v>194</v>
      </c>
      <c r="G1793">
        <v>3</v>
      </c>
      <c r="H1793">
        <v>194</v>
      </c>
      <c r="I1793">
        <v>0</v>
      </c>
      <c r="J1793">
        <v>0</v>
      </c>
      <c r="K1793">
        <v>70.919089</v>
      </c>
      <c r="L1793">
        <v>9.0007099999999998</v>
      </c>
      <c r="M1793">
        <v>172.430841566943</v>
      </c>
      <c r="N1793">
        <v>0</v>
      </c>
      <c r="O1793" s="8" t="str">
        <f>formatIP(Table1[[#This Row],[Address A]])</f>
        <v>192.168.100.002</v>
      </c>
      <c r="P1793" s="8" t="str">
        <f>formatIP(Table1[[#This Row],[Address B]])</f>
        <v>064.004.023.160</v>
      </c>
      <c r="Q1793" s="8" t="e">
        <f>VLOOKUP(Table1[[#This Row],[Address A]],IP_Master[],4,FALSE)</f>
        <v>#N/A</v>
      </c>
      <c r="R1793" s="8" t="e">
        <f>VLOOKUP(Table1[[#This Row],[Address B]],IP_Master[],4,FALSE)</f>
        <v>#N/A</v>
      </c>
      <c r="S1793" s="8" t="e">
        <f>VLOOKUP(Table1[[#This Row],[Address A]],IP_Master[],2,FALSE)</f>
        <v>#N/A</v>
      </c>
      <c r="T1793" s="8" t="e">
        <f>VLOOKUP(Table1[[#This Row],[Address B]],IP_Master[],2,FALSE)</f>
        <v>#N/A</v>
      </c>
      <c r="U1793" s="9" t="e">
        <f>VLOOKUP(Table1[[#This Row],[Address A]],IP_Master[],3,FALSE)</f>
        <v>#N/A</v>
      </c>
      <c r="V1793" s="9" t="e">
        <f>VLOOKUP(Table1[[#This Row],[Address B]],IP_Master[],3,FALSE)</f>
        <v>#N/A</v>
      </c>
      <c r="W1793" s="9" t="str">
        <f>VLOOKUP(Table1[[#This Row],[Port B]],traffic_types[],2,FALSE)</f>
        <v>HTTP/S</v>
      </c>
    </row>
    <row r="1794" spans="1:23" hidden="1" x14ac:dyDescent="0.6">
      <c r="A1794" t="s">
        <v>224</v>
      </c>
      <c r="B1794">
        <v>59909</v>
      </c>
      <c r="C1794" t="s">
        <v>253</v>
      </c>
      <c r="D1794">
        <v>40008</v>
      </c>
      <c r="E1794">
        <v>3</v>
      </c>
      <c r="F1794">
        <v>194</v>
      </c>
      <c r="G1794">
        <v>3</v>
      </c>
      <c r="H1794">
        <v>194</v>
      </c>
      <c r="I1794">
        <v>0</v>
      </c>
      <c r="J1794">
        <v>0</v>
      </c>
      <c r="K1794">
        <v>71.390112000000002</v>
      </c>
      <c r="L1794">
        <v>8.9996349999999996</v>
      </c>
      <c r="M1794">
        <v>172.45143830833101</v>
      </c>
      <c r="N1794">
        <v>0</v>
      </c>
      <c r="O1794" s="8" t="str">
        <f>formatIP(Table1[[#This Row],[Address A]])</f>
        <v>192.168.100.002</v>
      </c>
      <c r="P1794" s="8" t="str">
        <f>formatIP(Table1[[#This Row],[Address B]])</f>
        <v>157.055.130.149</v>
      </c>
      <c r="Q1794" s="8" t="e">
        <f>VLOOKUP(Table1[[#This Row],[Address A]],IP_Master[],4,FALSE)</f>
        <v>#N/A</v>
      </c>
      <c r="R1794" s="8" t="e">
        <f>VLOOKUP(Table1[[#This Row],[Address B]],IP_Master[],4,FALSE)</f>
        <v>#N/A</v>
      </c>
      <c r="S1794" s="8" t="e">
        <f>VLOOKUP(Table1[[#This Row],[Address A]],IP_Master[],2,FALSE)</f>
        <v>#N/A</v>
      </c>
      <c r="T1794" s="8" t="e">
        <f>VLOOKUP(Table1[[#This Row],[Address B]],IP_Master[],2,FALSE)</f>
        <v>#N/A</v>
      </c>
      <c r="U1794" s="9" t="e">
        <f>VLOOKUP(Table1[[#This Row],[Address A]],IP_Master[],3,FALSE)</f>
        <v>#N/A</v>
      </c>
      <c r="V1794" s="9" t="e">
        <f>VLOOKUP(Table1[[#This Row],[Address B]],IP_Master[],3,FALSE)</f>
        <v>#N/A</v>
      </c>
      <c r="W1794" s="9" t="e">
        <f>VLOOKUP(Table1[[#This Row],[Port B]],traffic_types[],2,FALSE)</f>
        <v>#N/A</v>
      </c>
    </row>
    <row r="1795" spans="1:23" x14ac:dyDescent="0.6">
      <c r="A1795" t="s">
        <v>224</v>
      </c>
      <c r="B1795">
        <v>59910</v>
      </c>
      <c r="C1795" t="s">
        <v>251</v>
      </c>
      <c r="D1795">
        <v>80</v>
      </c>
      <c r="E1795">
        <v>3</v>
      </c>
      <c r="F1795">
        <v>194</v>
      </c>
      <c r="G1795">
        <v>3</v>
      </c>
      <c r="H1795">
        <v>194</v>
      </c>
      <c r="I1795">
        <v>0</v>
      </c>
      <c r="J1795">
        <v>0</v>
      </c>
      <c r="K1795">
        <v>71.509169999999997</v>
      </c>
      <c r="L1795">
        <v>9.0005950000000006</v>
      </c>
      <c r="M1795">
        <v>172.43304470426699</v>
      </c>
      <c r="N1795">
        <v>0</v>
      </c>
      <c r="O1795" s="8" t="str">
        <f>formatIP(Table1[[#This Row],[Address A]])</f>
        <v>192.168.100.002</v>
      </c>
      <c r="P1795" s="8" t="str">
        <f>formatIP(Table1[[#This Row],[Address B]])</f>
        <v>157.056.052.026</v>
      </c>
      <c r="Q1795" s="8" t="e">
        <f>VLOOKUP(Table1[[#This Row],[Address A]],IP_Master[],4,FALSE)</f>
        <v>#N/A</v>
      </c>
      <c r="R1795" s="8" t="e">
        <f>VLOOKUP(Table1[[#This Row],[Address B]],IP_Master[],4,FALSE)</f>
        <v>#N/A</v>
      </c>
      <c r="S1795" s="8" t="e">
        <f>VLOOKUP(Table1[[#This Row],[Address A]],IP_Master[],2,FALSE)</f>
        <v>#N/A</v>
      </c>
      <c r="T1795" s="8" t="e">
        <f>VLOOKUP(Table1[[#This Row],[Address B]],IP_Master[],2,FALSE)</f>
        <v>#N/A</v>
      </c>
      <c r="U1795" s="9" t="e">
        <f>VLOOKUP(Table1[[#This Row],[Address A]],IP_Master[],3,FALSE)</f>
        <v>#N/A</v>
      </c>
      <c r="V1795" s="9" t="e">
        <f>VLOOKUP(Table1[[#This Row],[Address B]],IP_Master[],3,FALSE)</f>
        <v>#N/A</v>
      </c>
      <c r="W1795" s="9" t="str">
        <f>VLOOKUP(Table1[[#This Row],[Port B]],traffic_types[],2,FALSE)</f>
        <v>HTTP</v>
      </c>
    </row>
    <row r="1796" spans="1:23" x14ac:dyDescent="0.6">
      <c r="A1796" t="s">
        <v>224</v>
      </c>
      <c r="B1796">
        <v>59911</v>
      </c>
      <c r="C1796" t="s">
        <v>252</v>
      </c>
      <c r="D1796">
        <v>80</v>
      </c>
      <c r="E1796">
        <v>3</v>
      </c>
      <c r="F1796">
        <v>194</v>
      </c>
      <c r="G1796">
        <v>3</v>
      </c>
      <c r="H1796">
        <v>194</v>
      </c>
      <c r="I1796">
        <v>0</v>
      </c>
      <c r="J1796">
        <v>0</v>
      </c>
      <c r="K1796">
        <v>72.539314000000005</v>
      </c>
      <c r="L1796">
        <v>9.0102569999999993</v>
      </c>
      <c r="M1796">
        <v>172.24813898205099</v>
      </c>
      <c r="N1796">
        <v>0</v>
      </c>
      <c r="O1796" s="8" t="str">
        <f>formatIP(Table1[[#This Row],[Address A]])</f>
        <v>192.168.100.002</v>
      </c>
      <c r="P1796" s="8" t="str">
        <f>formatIP(Table1[[#This Row],[Address B]])</f>
        <v>064.004.023.160</v>
      </c>
      <c r="Q1796" s="8" t="e">
        <f>VLOOKUP(Table1[[#This Row],[Address A]],IP_Master[],4,FALSE)</f>
        <v>#N/A</v>
      </c>
      <c r="R1796" s="8" t="e">
        <f>VLOOKUP(Table1[[#This Row],[Address B]],IP_Master[],4,FALSE)</f>
        <v>#N/A</v>
      </c>
      <c r="S1796" s="8" t="e">
        <f>VLOOKUP(Table1[[#This Row],[Address A]],IP_Master[],2,FALSE)</f>
        <v>#N/A</v>
      </c>
      <c r="T1796" s="8" t="e">
        <f>VLOOKUP(Table1[[#This Row],[Address B]],IP_Master[],2,FALSE)</f>
        <v>#N/A</v>
      </c>
      <c r="U1796" s="9" t="e">
        <f>VLOOKUP(Table1[[#This Row],[Address A]],IP_Master[],3,FALSE)</f>
        <v>#N/A</v>
      </c>
      <c r="V1796" s="9" t="e">
        <f>VLOOKUP(Table1[[#This Row],[Address B]],IP_Master[],3,FALSE)</f>
        <v>#N/A</v>
      </c>
      <c r="W1796" s="9" t="str">
        <f>VLOOKUP(Table1[[#This Row],[Port B]],traffic_types[],2,FALSE)</f>
        <v>HTTP</v>
      </c>
    </row>
    <row r="1797" spans="1:23" hidden="1" x14ac:dyDescent="0.6">
      <c r="A1797" t="s">
        <v>224</v>
      </c>
      <c r="B1797">
        <v>59912</v>
      </c>
      <c r="C1797" t="s">
        <v>254</v>
      </c>
      <c r="D1797">
        <v>12350</v>
      </c>
      <c r="E1797">
        <v>3</v>
      </c>
      <c r="F1797">
        <v>194</v>
      </c>
      <c r="G1797">
        <v>3</v>
      </c>
      <c r="H1797">
        <v>194</v>
      </c>
      <c r="I1797">
        <v>0</v>
      </c>
      <c r="J1797">
        <v>0</v>
      </c>
      <c r="K1797">
        <v>72.700132999999994</v>
      </c>
      <c r="L1797">
        <v>8.9996779999999994</v>
      </c>
      <c r="M1797">
        <v>172.45061434420199</v>
      </c>
      <c r="N1797">
        <v>0</v>
      </c>
      <c r="O1797" s="8" t="str">
        <f>formatIP(Table1[[#This Row],[Address A]])</f>
        <v>192.168.100.002</v>
      </c>
      <c r="P1797" s="8" t="str">
        <f>formatIP(Table1[[#This Row],[Address B]])</f>
        <v>091.190.218.057</v>
      </c>
      <c r="Q1797" s="8" t="e">
        <f>VLOOKUP(Table1[[#This Row],[Address A]],IP_Master[],4,FALSE)</f>
        <v>#N/A</v>
      </c>
      <c r="R1797" s="8" t="e">
        <f>VLOOKUP(Table1[[#This Row],[Address B]],IP_Master[],4,FALSE)</f>
        <v>#N/A</v>
      </c>
      <c r="S1797" s="8" t="e">
        <f>VLOOKUP(Table1[[#This Row],[Address A]],IP_Master[],2,FALSE)</f>
        <v>#N/A</v>
      </c>
      <c r="T1797" s="8" t="e">
        <f>VLOOKUP(Table1[[#This Row],[Address B]],IP_Master[],2,FALSE)</f>
        <v>#N/A</v>
      </c>
      <c r="U1797" s="9" t="e">
        <f>VLOOKUP(Table1[[#This Row],[Address A]],IP_Master[],3,FALSE)</f>
        <v>#N/A</v>
      </c>
      <c r="V1797" s="9" t="e">
        <f>VLOOKUP(Table1[[#This Row],[Address B]],IP_Master[],3,FALSE)</f>
        <v>#N/A</v>
      </c>
      <c r="W1797" s="9" t="e">
        <f>VLOOKUP(Table1[[#This Row],[Port B]],traffic_types[],2,FALSE)</f>
        <v>#N/A</v>
      </c>
    </row>
    <row r="1798" spans="1:23" x14ac:dyDescent="0.6">
      <c r="A1798" t="s">
        <v>224</v>
      </c>
      <c r="B1798">
        <v>59913</v>
      </c>
      <c r="C1798" t="s">
        <v>253</v>
      </c>
      <c r="D1798">
        <v>443</v>
      </c>
      <c r="E1798">
        <v>3</v>
      </c>
      <c r="F1798">
        <v>194</v>
      </c>
      <c r="G1798">
        <v>3</v>
      </c>
      <c r="H1798">
        <v>194</v>
      </c>
      <c r="I1798">
        <v>0</v>
      </c>
      <c r="J1798">
        <v>0</v>
      </c>
      <c r="K1798">
        <v>73.009309000000002</v>
      </c>
      <c r="L1798">
        <v>9.0004449999999991</v>
      </c>
      <c r="M1798">
        <v>172.43591844625499</v>
      </c>
      <c r="N1798">
        <v>0</v>
      </c>
      <c r="O1798" s="8" t="str">
        <f>formatIP(Table1[[#This Row],[Address A]])</f>
        <v>192.168.100.002</v>
      </c>
      <c r="P1798" s="8" t="str">
        <f>formatIP(Table1[[#This Row],[Address B]])</f>
        <v>157.055.130.149</v>
      </c>
      <c r="Q1798" s="8" t="e">
        <f>VLOOKUP(Table1[[#This Row],[Address A]],IP_Master[],4,FALSE)</f>
        <v>#N/A</v>
      </c>
      <c r="R1798" s="8" t="e">
        <f>VLOOKUP(Table1[[#This Row],[Address B]],IP_Master[],4,FALSE)</f>
        <v>#N/A</v>
      </c>
      <c r="S1798" s="8" t="e">
        <f>VLOOKUP(Table1[[#This Row],[Address A]],IP_Master[],2,FALSE)</f>
        <v>#N/A</v>
      </c>
      <c r="T1798" s="8" t="e">
        <f>VLOOKUP(Table1[[#This Row],[Address B]],IP_Master[],2,FALSE)</f>
        <v>#N/A</v>
      </c>
      <c r="U1798" s="9" t="e">
        <f>VLOOKUP(Table1[[#This Row],[Address A]],IP_Master[],3,FALSE)</f>
        <v>#N/A</v>
      </c>
      <c r="V1798" s="9" t="e">
        <f>VLOOKUP(Table1[[#This Row],[Address B]],IP_Master[],3,FALSE)</f>
        <v>#N/A</v>
      </c>
      <c r="W1798" s="9" t="str">
        <f>VLOOKUP(Table1[[#This Row],[Port B]],traffic_types[],2,FALSE)</f>
        <v>HTTP/S</v>
      </c>
    </row>
    <row r="1799" spans="1:23" x14ac:dyDescent="0.6">
      <c r="A1799" t="s">
        <v>224</v>
      </c>
      <c r="B1799">
        <v>59914</v>
      </c>
      <c r="C1799" t="s">
        <v>254</v>
      </c>
      <c r="D1799">
        <v>443</v>
      </c>
      <c r="E1799">
        <v>3</v>
      </c>
      <c r="F1799">
        <v>194</v>
      </c>
      <c r="G1799">
        <v>3</v>
      </c>
      <c r="H1799">
        <v>194</v>
      </c>
      <c r="I1799">
        <v>0</v>
      </c>
      <c r="J1799">
        <v>0</v>
      </c>
      <c r="K1799">
        <v>74.319500000000005</v>
      </c>
      <c r="L1799">
        <v>9.02937399999999</v>
      </c>
      <c r="M1799">
        <v>171.88345504350599</v>
      </c>
      <c r="N1799">
        <v>0</v>
      </c>
      <c r="O1799" s="8" t="str">
        <f>formatIP(Table1[[#This Row],[Address A]])</f>
        <v>192.168.100.002</v>
      </c>
      <c r="P1799" s="8" t="str">
        <f>formatIP(Table1[[#This Row],[Address B]])</f>
        <v>091.190.218.057</v>
      </c>
      <c r="Q1799" s="8" t="e">
        <f>VLOOKUP(Table1[[#This Row],[Address A]],IP_Master[],4,FALSE)</f>
        <v>#N/A</v>
      </c>
      <c r="R1799" s="8" t="e">
        <f>VLOOKUP(Table1[[#This Row],[Address B]],IP_Master[],4,FALSE)</f>
        <v>#N/A</v>
      </c>
      <c r="S1799" s="8" t="e">
        <f>VLOOKUP(Table1[[#This Row],[Address A]],IP_Master[],2,FALSE)</f>
        <v>#N/A</v>
      </c>
      <c r="T1799" s="8" t="e">
        <f>VLOOKUP(Table1[[#This Row],[Address B]],IP_Master[],2,FALSE)</f>
        <v>#N/A</v>
      </c>
      <c r="U1799" s="9" t="e">
        <f>VLOOKUP(Table1[[#This Row],[Address A]],IP_Master[],3,FALSE)</f>
        <v>#N/A</v>
      </c>
      <c r="V1799" s="9" t="e">
        <f>VLOOKUP(Table1[[#This Row],[Address B]],IP_Master[],3,FALSE)</f>
        <v>#N/A</v>
      </c>
      <c r="W1799" s="9" t="str">
        <f>VLOOKUP(Table1[[#This Row],[Port B]],traffic_types[],2,FALSE)</f>
        <v>HTTP/S</v>
      </c>
    </row>
    <row r="1800" spans="1:23" hidden="1" x14ac:dyDescent="0.6">
      <c r="A1800" t="s">
        <v>224</v>
      </c>
      <c r="B1800">
        <v>59915</v>
      </c>
      <c r="C1800" t="s">
        <v>255</v>
      </c>
      <c r="D1800">
        <v>40018</v>
      </c>
      <c r="E1800">
        <v>3</v>
      </c>
      <c r="F1800">
        <v>194</v>
      </c>
      <c r="G1800">
        <v>3</v>
      </c>
      <c r="H1800">
        <v>194</v>
      </c>
      <c r="I1800">
        <v>0</v>
      </c>
      <c r="J1800">
        <v>0</v>
      </c>
      <c r="K1800">
        <v>74.469958000000005</v>
      </c>
      <c r="L1800">
        <v>8.9996899999999993</v>
      </c>
      <c r="M1800">
        <v>172.450384402129</v>
      </c>
      <c r="N1800">
        <v>0</v>
      </c>
      <c r="O1800" s="8" t="str">
        <f>formatIP(Table1[[#This Row],[Address A]])</f>
        <v>192.168.100.002</v>
      </c>
      <c r="P1800" s="8" t="str">
        <f>formatIP(Table1[[#This Row],[Address B]])</f>
        <v>111.221.077.171</v>
      </c>
      <c r="Q1800" s="8" t="e">
        <f>VLOOKUP(Table1[[#This Row],[Address A]],IP_Master[],4,FALSE)</f>
        <v>#N/A</v>
      </c>
      <c r="R1800" s="8" t="e">
        <f>VLOOKUP(Table1[[#This Row],[Address B]],IP_Master[],4,FALSE)</f>
        <v>#N/A</v>
      </c>
      <c r="S1800" s="8" t="e">
        <f>VLOOKUP(Table1[[#This Row],[Address A]],IP_Master[],2,FALSE)</f>
        <v>#N/A</v>
      </c>
      <c r="T1800" s="8" t="e">
        <f>VLOOKUP(Table1[[#This Row],[Address B]],IP_Master[],2,FALSE)</f>
        <v>#N/A</v>
      </c>
      <c r="U1800" s="9" t="e">
        <f>VLOOKUP(Table1[[#This Row],[Address A]],IP_Master[],3,FALSE)</f>
        <v>#N/A</v>
      </c>
      <c r="V1800" s="9" t="e">
        <f>VLOOKUP(Table1[[#This Row],[Address B]],IP_Master[],3,FALSE)</f>
        <v>#N/A</v>
      </c>
      <c r="W1800" s="9" t="e">
        <f>VLOOKUP(Table1[[#This Row],[Port B]],traffic_types[],2,FALSE)</f>
        <v>#N/A</v>
      </c>
    </row>
    <row r="1801" spans="1:23" x14ac:dyDescent="0.6">
      <c r="A1801" t="s">
        <v>224</v>
      </c>
      <c r="B1801">
        <v>59916</v>
      </c>
      <c r="C1801" t="s">
        <v>253</v>
      </c>
      <c r="D1801">
        <v>80</v>
      </c>
      <c r="E1801">
        <v>3</v>
      </c>
      <c r="F1801">
        <v>194</v>
      </c>
      <c r="G1801">
        <v>3</v>
      </c>
      <c r="H1801">
        <v>194</v>
      </c>
      <c r="I1801">
        <v>0</v>
      </c>
      <c r="J1801">
        <v>0</v>
      </c>
      <c r="K1801">
        <v>74.629171999999997</v>
      </c>
      <c r="L1801">
        <v>9.0004849999999994</v>
      </c>
      <c r="M1801">
        <v>172.435152105692</v>
      </c>
      <c r="N1801">
        <v>0</v>
      </c>
      <c r="O1801" s="8" t="str">
        <f>formatIP(Table1[[#This Row],[Address A]])</f>
        <v>192.168.100.002</v>
      </c>
      <c r="P1801" s="8" t="str">
        <f>formatIP(Table1[[#This Row],[Address B]])</f>
        <v>157.055.130.149</v>
      </c>
      <c r="Q1801" s="8" t="e">
        <f>VLOOKUP(Table1[[#This Row],[Address A]],IP_Master[],4,FALSE)</f>
        <v>#N/A</v>
      </c>
      <c r="R1801" s="8" t="e">
        <f>VLOOKUP(Table1[[#This Row],[Address B]],IP_Master[],4,FALSE)</f>
        <v>#N/A</v>
      </c>
      <c r="S1801" s="8" t="e">
        <f>VLOOKUP(Table1[[#This Row],[Address A]],IP_Master[],2,FALSE)</f>
        <v>#N/A</v>
      </c>
      <c r="T1801" s="8" t="e">
        <f>VLOOKUP(Table1[[#This Row],[Address B]],IP_Master[],2,FALSE)</f>
        <v>#N/A</v>
      </c>
      <c r="U1801" s="9" t="e">
        <f>VLOOKUP(Table1[[#This Row],[Address A]],IP_Master[],3,FALSE)</f>
        <v>#N/A</v>
      </c>
      <c r="V1801" s="9" t="e">
        <f>VLOOKUP(Table1[[#This Row],[Address B]],IP_Master[],3,FALSE)</f>
        <v>#N/A</v>
      </c>
      <c r="W1801" s="9" t="str">
        <f>VLOOKUP(Table1[[#This Row],[Port B]],traffic_types[],2,FALSE)</f>
        <v>HTTP</v>
      </c>
    </row>
    <row r="1802" spans="1:23" x14ac:dyDescent="0.6">
      <c r="A1802" t="s">
        <v>224</v>
      </c>
      <c r="B1802">
        <v>59917</v>
      </c>
      <c r="C1802" t="s">
        <v>254</v>
      </c>
      <c r="D1802">
        <v>80</v>
      </c>
      <c r="E1802">
        <v>3</v>
      </c>
      <c r="F1802">
        <v>194</v>
      </c>
      <c r="G1802">
        <v>3</v>
      </c>
      <c r="H1802">
        <v>194</v>
      </c>
      <c r="I1802">
        <v>0</v>
      </c>
      <c r="J1802">
        <v>0</v>
      </c>
      <c r="K1802">
        <v>75.939064999999999</v>
      </c>
      <c r="L1802">
        <v>9.0006170000000107</v>
      </c>
      <c r="M1802">
        <v>172.43262323016299</v>
      </c>
      <c r="N1802">
        <v>0</v>
      </c>
      <c r="O1802" s="8" t="str">
        <f>formatIP(Table1[[#This Row],[Address A]])</f>
        <v>192.168.100.002</v>
      </c>
      <c r="P1802" s="8" t="str">
        <f>formatIP(Table1[[#This Row],[Address B]])</f>
        <v>091.190.218.057</v>
      </c>
      <c r="Q1802" s="8" t="e">
        <f>VLOOKUP(Table1[[#This Row],[Address A]],IP_Master[],4,FALSE)</f>
        <v>#N/A</v>
      </c>
      <c r="R1802" s="8" t="e">
        <f>VLOOKUP(Table1[[#This Row],[Address B]],IP_Master[],4,FALSE)</f>
        <v>#N/A</v>
      </c>
      <c r="S1802" s="8" t="e">
        <f>VLOOKUP(Table1[[#This Row],[Address A]],IP_Master[],2,FALSE)</f>
        <v>#N/A</v>
      </c>
      <c r="T1802" s="8" t="e">
        <f>VLOOKUP(Table1[[#This Row],[Address B]],IP_Master[],2,FALSE)</f>
        <v>#N/A</v>
      </c>
      <c r="U1802" s="9" t="e">
        <f>VLOOKUP(Table1[[#This Row],[Address A]],IP_Master[],3,FALSE)</f>
        <v>#N/A</v>
      </c>
      <c r="V1802" s="9" t="e">
        <f>VLOOKUP(Table1[[#This Row],[Address B]],IP_Master[],3,FALSE)</f>
        <v>#N/A</v>
      </c>
      <c r="W1802" s="9" t="str">
        <f>VLOOKUP(Table1[[#This Row],[Port B]],traffic_types[],2,FALSE)</f>
        <v>HTTP</v>
      </c>
    </row>
    <row r="1803" spans="1:23" x14ac:dyDescent="0.6">
      <c r="A1803" t="s">
        <v>224</v>
      </c>
      <c r="B1803">
        <v>59918</v>
      </c>
      <c r="C1803" t="s">
        <v>255</v>
      </c>
      <c r="D1803">
        <v>443</v>
      </c>
      <c r="E1803">
        <v>3</v>
      </c>
      <c r="F1803">
        <v>194</v>
      </c>
      <c r="G1803">
        <v>3</v>
      </c>
      <c r="H1803">
        <v>194</v>
      </c>
      <c r="I1803">
        <v>0</v>
      </c>
      <c r="J1803">
        <v>0</v>
      </c>
      <c r="K1803">
        <v>76.089108999999993</v>
      </c>
      <c r="L1803">
        <v>9.0007190000000001</v>
      </c>
      <c r="M1803">
        <v>172.430669149876</v>
      </c>
      <c r="N1803">
        <v>0</v>
      </c>
      <c r="O1803" s="8" t="str">
        <f>formatIP(Table1[[#This Row],[Address A]])</f>
        <v>192.168.100.002</v>
      </c>
      <c r="P1803" s="8" t="str">
        <f>formatIP(Table1[[#This Row],[Address B]])</f>
        <v>111.221.077.171</v>
      </c>
      <c r="Q1803" s="8" t="e">
        <f>VLOOKUP(Table1[[#This Row],[Address A]],IP_Master[],4,FALSE)</f>
        <v>#N/A</v>
      </c>
      <c r="R1803" s="8" t="e">
        <f>VLOOKUP(Table1[[#This Row],[Address B]],IP_Master[],4,FALSE)</f>
        <v>#N/A</v>
      </c>
      <c r="S1803" s="8" t="e">
        <f>VLOOKUP(Table1[[#This Row],[Address A]],IP_Master[],2,FALSE)</f>
        <v>#N/A</v>
      </c>
      <c r="T1803" s="8" t="e">
        <f>VLOOKUP(Table1[[#This Row],[Address B]],IP_Master[],2,FALSE)</f>
        <v>#N/A</v>
      </c>
      <c r="U1803" s="9" t="e">
        <f>VLOOKUP(Table1[[#This Row],[Address A]],IP_Master[],3,FALSE)</f>
        <v>#N/A</v>
      </c>
      <c r="V1803" s="9" t="e">
        <f>VLOOKUP(Table1[[#This Row],[Address B]],IP_Master[],3,FALSE)</f>
        <v>#N/A</v>
      </c>
      <c r="W1803" s="9" t="str">
        <f>VLOOKUP(Table1[[#This Row],[Port B]],traffic_types[],2,FALSE)</f>
        <v>HTTP/S</v>
      </c>
    </row>
    <row r="1804" spans="1:23" hidden="1" x14ac:dyDescent="0.6">
      <c r="A1804" t="s">
        <v>224</v>
      </c>
      <c r="B1804">
        <v>59919</v>
      </c>
      <c r="C1804" t="s">
        <v>256</v>
      </c>
      <c r="D1804">
        <v>40002</v>
      </c>
      <c r="E1804">
        <v>3</v>
      </c>
      <c r="F1804">
        <v>194</v>
      </c>
      <c r="G1804">
        <v>3</v>
      </c>
      <c r="H1804">
        <v>194</v>
      </c>
      <c r="I1804">
        <v>0</v>
      </c>
      <c r="J1804">
        <v>0</v>
      </c>
      <c r="K1804">
        <v>76.529966000000002</v>
      </c>
      <c r="L1804">
        <v>8.9696689999999997</v>
      </c>
      <c r="M1804">
        <v>173.02756656906701</v>
      </c>
      <c r="N1804">
        <v>0</v>
      </c>
      <c r="O1804" s="8" t="str">
        <f>formatIP(Table1[[#This Row],[Address A]])</f>
        <v>192.168.100.002</v>
      </c>
      <c r="P1804" s="8" t="str">
        <f>formatIP(Table1[[#This Row],[Address B]])</f>
        <v>157.055.056.174</v>
      </c>
      <c r="Q1804" s="8" t="e">
        <f>VLOOKUP(Table1[[#This Row],[Address A]],IP_Master[],4,FALSE)</f>
        <v>#N/A</v>
      </c>
      <c r="R1804" s="8" t="e">
        <f>VLOOKUP(Table1[[#This Row],[Address B]],IP_Master[],4,FALSE)</f>
        <v>#N/A</v>
      </c>
      <c r="S1804" s="8" t="e">
        <f>VLOOKUP(Table1[[#This Row],[Address A]],IP_Master[],2,FALSE)</f>
        <v>#N/A</v>
      </c>
      <c r="T1804" s="8" t="e">
        <f>VLOOKUP(Table1[[#This Row],[Address B]],IP_Master[],2,FALSE)</f>
        <v>#N/A</v>
      </c>
      <c r="U1804" s="9" t="e">
        <f>VLOOKUP(Table1[[#This Row],[Address A]],IP_Master[],3,FALSE)</f>
        <v>#N/A</v>
      </c>
      <c r="V1804" s="9" t="e">
        <f>VLOOKUP(Table1[[#This Row],[Address B]],IP_Master[],3,FALSE)</f>
        <v>#N/A</v>
      </c>
      <c r="W1804" s="9" t="e">
        <f>VLOOKUP(Table1[[#This Row],[Port B]],traffic_types[],2,FALSE)</f>
        <v>#N/A</v>
      </c>
    </row>
    <row r="1805" spans="1:23" hidden="1" x14ac:dyDescent="0.6">
      <c r="A1805" t="s">
        <v>224</v>
      </c>
      <c r="B1805">
        <v>59920</v>
      </c>
      <c r="C1805" t="s">
        <v>257</v>
      </c>
      <c r="D1805">
        <v>40022</v>
      </c>
      <c r="E1805">
        <v>3</v>
      </c>
      <c r="F1805">
        <v>194</v>
      </c>
      <c r="G1805">
        <v>3</v>
      </c>
      <c r="H1805">
        <v>194</v>
      </c>
      <c r="I1805">
        <v>0</v>
      </c>
      <c r="J1805">
        <v>0</v>
      </c>
      <c r="K1805">
        <v>77.550019000000006</v>
      </c>
      <c r="L1805">
        <v>8.9995619999999992</v>
      </c>
      <c r="M1805">
        <v>172.452837149186</v>
      </c>
      <c r="N1805">
        <v>0</v>
      </c>
      <c r="O1805" s="8" t="str">
        <f>formatIP(Table1[[#This Row],[Address A]])</f>
        <v>192.168.100.002</v>
      </c>
      <c r="P1805" s="8" t="str">
        <f>formatIP(Table1[[#This Row],[Address B]])</f>
        <v>111.221.077.140</v>
      </c>
      <c r="Q1805" s="8" t="e">
        <f>VLOOKUP(Table1[[#This Row],[Address A]],IP_Master[],4,FALSE)</f>
        <v>#N/A</v>
      </c>
      <c r="R1805" s="8" t="e">
        <f>VLOOKUP(Table1[[#This Row],[Address B]],IP_Master[],4,FALSE)</f>
        <v>#N/A</v>
      </c>
      <c r="S1805" s="8" t="e">
        <f>VLOOKUP(Table1[[#This Row],[Address A]],IP_Master[],2,FALSE)</f>
        <v>#N/A</v>
      </c>
      <c r="T1805" s="8" t="e">
        <f>VLOOKUP(Table1[[#This Row],[Address B]],IP_Master[],2,FALSE)</f>
        <v>#N/A</v>
      </c>
      <c r="U1805" s="9" t="e">
        <f>VLOOKUP(Table1[[#This Row],[Address A]],IP_Master[],3,FALSE)</f>
        <v>#N/A</v>
      </c>
      <c r="V1805" s="9" t="e">
        <f>VLOOKUP(Table1[[#This Row],[Address B]],IP_Master[],3,FALSE)</f>
        <v>#N/A</v>
      </c>
      <c r="W1805" s="9" t="e">
        <f>VLOOKUP(Table1[[#This Row],[Port B]],traffic_types[],2,FALSE)</f>
        <v>#N/A</v>
      </c>
    </row>
    <row r="1806" spans="1:23" x14ac:dyDescent="0.6">
      <c r="A1806" t="s">
        <v>224</v>
      </c>
      <c r="B1806">
        <v>59921</v>
      </c>
      <c r="C1806" t="s">
        <v>255</v>
      </c>
      <c r="D1806">
        <v>80</v>
      </c>
      <c r="E1806">
        <v>3</v>
      </c>
      <c r="F1806">
        <v>194</v>
      </c>
      <c r="G1806">
        <v>3</v>
      </c>
      <c r="H1806">
        <v>194</v>
      </c>
      <c r="I1806">
        <v>0</v>
      </c>
      <c r="J1806">
        <v>0</v>
      </c>
      <c r="K1806">
        <v>77.709244999999996</v>
      </c>
      <c r="L1806">
        <v>9.0005760000000095</v>
      </c>
      <c r="M1806">
        <v>172.433408706287</v>
      </c>
      <c r="N1806">
        <v>0</v>
      </c>
      <c r="O1806" s="8" t="str">
        <f>formatIP(Table1[[#This Row],[Address A]])</f>
        <v>192.168.100.002</v>
      </c>
      <c r="P1806" s="8" t="str">
        <f>formatIP(Table1[[#This Row],[Address B]])</f>
        <v>111.221.077.171</v>
      </c>
      <c r="Q1806" s="8" t="e">
        <f>VLOOKUP(Table1[[#This Row],[Address A]],IP_Master[],4,FALSE)</f>
        <v>#N/A</v>
      </c>
      <c r="R1806" s="8" t="e">
        <f>VLOOKUP(Table1[[#This Row],[Address B]],IP_Master[],4,FALSE)</f>
        <v>#N/A</v>
      </c>
      <c r="S1806" s="8" t="e">
        <f>VLOOKUP(Table1[[#This Row],[Address A]],IP_Master[],2,FALSE)</f>
        <v>#N/A</v>
      </c>
      <c r="T1806" s="8" t="e">
        <f>VLOOKUP(Table1[[#This Row],[Address B]],IP_Master[],2,FALSE)</f>
        <v>#N/A</v>
      </c>
      <c r="U1806" s="9" t="e">
        <f>VLOOKUP(Table1[[#This Row],[Address A]],IP_Master[],3,FALSE)</f>
        <v>#N/A</v>
      </c>
      <c r="V1806" s="9" t="e">
        <f>VLOOKUP(Table1[[#This Row],[Address B]],IP_Master[],3,FALSE)</f>
        <v>#N/A</v>
      </c>
      <c r="W1806" s="9" t="str">
        <f>VLOOKUP(Table1[[#This Row],[Port B]],traffic_types[],2,FALSE)</f>
        <v>HTTP</v>
      </c>
    </row>
    <row r="1807" spans="1:23" x14ac:dyDescent="0.6">
      <c r="A1807" t="s">
        <v>224</v>
      </c>
      <c r="B1807">
        <v>59922</v>
      </c>
      <c r="C1807" t="s">
        <v>256</v>
      </c>
      <c r="D1807">
        <v>443</v>
      </c>
      <c r="E1807">
        <v>3</v>
      </c>
      <c r="F1807">
        <v>194</v>
      </c>
      <c r="G1807">
        <v>3</v>
      </c>
      <c r="H1807">
        <v>194</v>
      </c>
      <c r="I1807">
        <v>0</v>
      </c>
      <c r="J1807">
        <v>0</v>
      </c>
      <c r="K1807">
        <v>78.119206000000005</v>
      </c>
      <c r="L1807">
        <v>9.0005339999999894</v>
      </c>
      <c r="M1807">
        <v>172.434213347786</v>
      </c>
      <c r="N1807">
        <v>0</v>
      </c>
      <c r="O1807" s="8" t="str">
        <f>formatIP(Table1[[#This Row],[Address A]])</f>
        <v>192.168.100.002</v>
      </c>
      <c r="P1807" s="8" t="str">
        <f>formatIP(Table1[[#This Row],[Address B]])</f>
        <v>157.055.056.174</v>
      </c>
      <c r="Q1807" s="8" t="e">
        <f>VLOOKUP(Table1[[#This Row],[Address A]],IP_Master[],4,FALSE)</f>
        <v>#N/A</v>
      </c>
      <c r="R1807" s="8" t="e">
        <f>VLOOKUP(Table1[[#This Row],[Address B]],IP_Master[],4,FALSE)</f>
        <v>#N/A</v>
      </c>
      <c r="S1807" s="8" t="e">
        <f>VLOOKUP(Table1[[#This Row],[Address A]],IP_Master[],2,FALSE)</f>
        <v>#N/A</v>
      </c>
      <c r="T1807" s="8" t="e">
        <f>VLOOKUP(Table1[[#This Row],[Address B]],IP_Master[],2,FALSE)</f>
        <v>#N/A</v>
      </c>
      <c r="U1807" s="9" t="e">
        <f>VLOOKUP(Table1[[#This Row],[Address A]],IP_Master[],3,FALSE)</f>
        <v>#N/A</v>
      </c>
      <c r="V1807" s="9" t="e">
        <f>VLOOKUP(Table1[[#This Row],[Address B]],IP_Master[],3,FALSE)</f>
        <v>#N/A</v>
      </c>
      <c r="W1807" s="9" t="str">
        <f>VLOOKUP(Table1[[#This Row],[Port B]],traffic_types[],2,FALSE)</f>
        <v>HTTP/S</v>
      </c>
    </row>
    <row r="1808" spans="1:23" x14ac:dyDescent="0.6">
      <c r="A1808" t="s">
        <v>224</v>
      </c>
      <c r="B1808">
        <v>59923</v>
      </c>
      <c r="C1808" t="s">
        <v>257</v>
      </c>
      <c r="D1808">
        <v>443</v>
      </c>
      <c r="E1808">
        <v>3</v>
      </c>
      <c r="F1808">
        <v>194</v>
      </c>
      <c r="G1808">
        <v>3</v>
      </c>
      <c r="H1808">
        <v>194</v>
      </c>
      <c r="I1808">
        <v>0</v>
      </c>
      <c r="J1808">
        <v>0</v>
      </c>
      <c r="K1808">
        <v>79.169920000000005</v>
      </c>
      <c r="L1808">
        <v>8.9998159999999991</v>
      </c>
      <c r="M1808">
        <v>172.447970047388</v>
      </c>
      <c r="N1808">
        <v>0</v>
      </c>
      <c r="O1808" s="8" t="str">
        <f>formatIP(Table1[[#This Row],[Address A]])</f>
        <v>192.168.100.002</v>
      </c>
      <c r="P1808" s="8" t="str">
        <f>formatIP(Table1[[#This Row],[Address B]])</f>
        <v>111.221.077.140</v>
      </c>
      <c r="Q1808" s="8" t="e">
        <f>VLOOKUP(Table1[[#This Row],[Address A]],IP_Master[],4,FALSE)</f>
        <v>#N/A</v>
      </c>
      <c r="R1808" s="8" t="e">
        <f>VLOOKUP(Table1[[#This Row],[Address B]],IP_Master[],4,FALSE)</f>
        <v>#N/A</v>
      </c>
      <c r="S1808" s="8" t="e">
        <f>VLOOKUP(Table1[[#This Row],[Address A]],IP_Master[],2,FALSE)</f>
        <v>#N/A</v>
      </c>
      <c r="T1808" s="8" t="e">
        <f>VLOOKUP(Table1[[#This Row],[Address B]],IP_Master[],2,FALSE)</f>
        <v>#N/A</v>
      </c>
      <c r="U1808" s="9" t="e">
        <f>VLOOKUP(Table1[[#This Row],[Address A]],IP_Master[],3,FALSE)</f>
        <v>#N/A</v>
      </c>
      <c r="V1808" s="9" t="e">
        <f>VLOOKUP(Table1[[#This Row],[Address B]],IP_Master[],3,FALSE)</f>
        <v>#N/A</v>
      </c>
      <c r="W1808" s="9" t="str">
        <f>VLOOKUP(Table1[[#This Row],[Port B]],traffic_types[],2,FALSE)</f>
        <v>HTTP/S</v>
      </c>
    </row>
    <row r="1809" spans="1:23" x14ac:dyDescent="0.6">
      <c r="A1809" t="s">
        <v>224</v>
      </c>
      <c r="B1809">
        <v>59924</v>
      </c>
      <c r="C1809" t="s">
        <v>256</v>
      </c>
      <c r="D1809">
        <v>80</v>
      </c>
      <c r="E1809">
        <v>3</v>
      </c>
      <c r="F1809">
        <v>194</v>
      </c>
      <c r="G1809">
        <v>3</v>
      </c>
      <c r="H1809">
        <v>194</v>
      </c>
      <c r="I1809">
        <v>0</v>
      </c>
      <c r="J1809">
        <v>0</v>
      </c>
      <c r="K1809">
        <v>79.730035999999998</v>
      </c>
      <c r="L1809">
        <v>8.9996130000000001</v>
      </c>
      <c r="M1809">
        <v>172.451859874419</v>
      </c>
      <c r="N1809">
        <v>0</v>
      </c>
      <c r="O1809" s="8" t="str">
        <f>formatIP(Table1[[#This Row],[Address A]])</f>
        <v>192.168.100.002</v>
      </c>
      <c r="P1809" s="8" t="str">
        <f>formatIP(Table1[[#This Row],[Address B]])</f>
        <v>157.055.056.174</v>
      </c>
      <c r="Q1809" s="8" t="e">
        <f>VLOOKUP(Table1[[#This Row],[Address A]],IP_Master[],4,FALSE)</f>
        <v>#N/A</v>
      </c>
      <c r="R1809" s="8" t="e">
        <f>VLOOKUP(Table1[[#This Row],[Address B]],IP_Master[],4,FALSE)</f>
        <v>#N/A</v>
      </c>
      <c r="S1809" s="8" t="e">
        <f>VLOOKUP(Table1[[#This Row],[Address A]],IP_Master[],2,FALSE)</f>
        <v>#N/A</v>
      </c>
      <c r="T1809" s="8" t="e">
        <f>VLOOKUP(Table1[[#This Row],[Address B]],IP_Master[],2,FALSE)</f>
        <v>#N/A</v>
      </c>
      <c r="U1809" s="9" t="e">
        <f>VLOOKUP(Table1[[#This Row],[Address A]],IP_Master[],3,FALSE)</f>
        <v>#N/A</v>
      </c>
      <c r="V1809" s="9" t="e">
        <f>VLOOKUP(Table1[[#This Row],[Address B]],IP_Master[],3,FALSE)</f>
        <v>#N/A</v>
      </c>
      <c r="W1809" s="9" t="str">
        <f>VLOOKUP(Table1[[#This Row],[Port B]],traffic_types[],2,FALSE)</f>
        <v>HTTP</v>
      </c>
    </row>
    <row r="1810" spans="1:23" x14ac:dyDescent="0.6">
      <c r="A1810" t="s">
        <v>224</v>
      </c>
      <c r="B1810">
        <v>59925</v>
      </c>
      <c r="C1810" t="s">
        <v>257</v>
      </c>
      <c r="D1810">
        <v>80</v>
      </c>
      <c r="E1810">
        <v>3</v>
      </c>
      <c r="F1810">
        <v>194</v>
      </c>
      <c r="G1810">
        <v>3</v>
      </c>
      <c r="H1810">
        <v>194</v>
      </c>
      <c r="I1810">
        <v>0</v>
      </c>
      <c r="J1810">
        <v>0</v>
      </c>
      <c r="K1810">
        <v>80.790166999999997</v>
      </c>
      <c r="L1810">
        <v>8.9996010000000002</v>
      </c>
      <c r="M1810">
        <v>172.45208982042701</v>
      </c>
      <c r="N1810">
        <v>0</v>
      </c>
      <c r="O1810" s="8" t="str">
        <f>formatIP(Table1[[#This Row],[Address A]])</f>
        <v>192.168.100.002</v>
      </c>
      <c r="P1810" s="8" t="str">
        <f>formatIP(Table1[[#This Row],[Address B]])</f>
        <v>111.221.077.140</v>
      </c>
      <c r="Q1810" s="8" t="e">
        <f>VLOOKUP(Table1[[#This Row],[Address A]],IP_Master[],4,FALSE)</f>
        <v>#N/A</v>
      </c>
      <c r="R1810" s="8" t="e">
        <f>VLOOKUP(Table1[[#This Row],[Address B]],IP_Master[],4,FALSE)</f>
        <v>#N/A</v>
      </c>
      <c r="S1810" s="8" t="e">
        <f>VLOOKUP(Table1[[#This Row],[Address A]],IP_Master[],2,FALSE)</f>
        <v>#N/A</v>
      </c>
      <c r="T1810" s="8" t="e">
        <f>VLOOKUP(Table1[[#This Row],[Address B]],IP_Master[],2,FALSE)</f>
        <v>#N/A</v>
      </c>
      <c r="U1810" s="9" t="e">
        <f>VLOOKUP(Table1[[#This Row],[Address A]],IP_Master[],3,FALSE)</f>
        <v>#N/A</v>
      </c>
      <c r="V1810" s="9" t="e">
        <f>VLOOKUP(Table1[[#This Row],[Address B]],IP_Master[],3,FALSE)</f>
        <v>#N/A</v>
      </c>
      <c r="W1810" s="9" t="str">
        <f>VLOOKUP(Table1[[#This Row],[Port B]],traffic_types[],2,FALSE)</f>
        <v>HTTP</v>
      </c>
    </row>
    <row r="1811" spans="1:23" hidden="1" x14ac:dyDescent="0.6">
      <c r="A1811" t="s">
        <v>224</v>
      </c>
      <c r="B1811">
        <v>59926</v>
      </c>
      <c r="C1811" t="s">
        <v>258</v>
      </c>
      <c r="D1811">
        <v>40020</v>
      </c>
      <c r="E1811">
        <v>3</v>
      </c>
      <c r="F1811">
        <v>194</v>
      </c>
      <c r="G1811">
        <v>3</v>
      </c>
      <c r="H1811">
        <v>194</v>
      </c>
      <c r="I1811">
        <v>0</v>
      </c>
      <c r="J1811">
        <v>0</v>
      </c>
      <c r="K1811">
        <v>91.702235000000002</v>
      </c>
      <c r="L1811">
        <v>8.9993949999999892</v>
      </c>
      <c r="M1811">
        <v>172.45603732250899</v>
      </c>
      <c r="N1811">
        <v>0</v>
      </c>
      <c r="O1811" s="8" t="str">
        <f>formatIP(Table1[[#This Row],[Address A]])</f>
        <v>192.168.100.002</v>
      </c>
      <c r="P1811" s="8" t="str">
        <f>formatIP(Table1[[#This Row],[Address B]])</f>
        <v>157.055.235.162</v>
      </c>
      <c r="Q1811" s="8" t="e">
        <f>VLOOKUP(Table1[[#This Row],[Address A]],IP_Master[],4,FALSE)</f>
        <v>#N/A</v>
      </c>
      <c r="R1811" s="8" t="e">
        <f>VLOOKUP(Table1[[#This Row],[Address B]],IP_Master[],4,FALSE)</f>
        <v>#N/A</v>
      </c>
      <c r="S1811" s="8" t="e">
        <f>VLOOKUP(Table1[[#This Row],[Address A]],IP_Master[],2,FALSE)</f>
        <v>#N/A</v>
      </c>
      <c r="T1811" s="8" t="e">
        <f>VLOOKUP(Table1[[#This Row],[Address B]],IP_Master[],2,FALSE)</f>
        <v>#N/A</v>
      </c>
      <c r="U1811" s="9" t="e">
        <f>VLOOKUP(Table1[[#This Row],[Address A]],IP_Master[],3,FALSE)</f>
        <v>#N/A</v>
      </c>
      <c r="V1811" s="9" t="e">
        <f>VLOOKUP(Table1[[#This Row],[Address B]],IP_Master[],3,FALSE)</f>
        <v>#N/A</v>
      </c>
      <c r="W1811" s="9" t="e">
        <f>VLOOKUP(Table1[[#This Row],[Port B]],traffic_types[],2,FALSE)</f>
        <v>#N/A</v>
      </c>
    </row>
    <row r="1812" spans="1:23" hidden="1" x14ac:dyDescent="0.6">
      <c r="A1812" t="s">
        <v>224</v>
      </c>
      <c r="B1812">
        <v>59927</v>
      </c>
      <c r="C1812" t="s">
        <v>259</v>
      </c>
      <c r="D1812">
        <v>33033</v>
      </c>
      <c r="E1812">
        <v>3</v>
      </c>
      <c r="F1812">
        <v>194</v>
      </c>
      <c r="G1812">
        <v>3</v>
      </c>
      <c r="H1812">
        <v>194</v>
      </c>
      <c r="I1812">
        <v>0</v>
      </c>
      <c r="J1812">
        <v>0</v>
      </c>
      <c r="K1812">
        <v>92.711808000000005</v>
      </c>
      <c r="L1812">
        <v>8.999746</v>
      </c>
      <c r="M1812">
        <v>172.449311347231</v>
      </c>
      <c r="N1812">
        <v>0</v>
      </c>
      <c r="O1812" s="8" t="str">
        <f>formatIP(Table1[[#This Row],[Address A]])</f>
        <v>192.168.100.002</v>
      </c>
      <c r="P1812" s="8" t="str">
        <f>formatIP(Table1[[#This Row],[Address B]])</f>
        <v>065.055.223.018</v>
      </c>
      <c r="Q1812" s="8" t="e">
        <f>VLOOKUP(Table1[[#This Row],[Address A]],IP_Master[],4,FALSE)</f>
        <v>#N/A</v>
      </c>
      <c r="R1812" s="8" t="e">
        <f>VLOOKUP(Table1[[#This Row],[Address B]],IP_Master[],4,FALSE)</f>
        <v>#N/A</v>
      </c>
      <c r="S1812" s="8" t="e">
        <f>VLOOKUP(Table1[[#This Row],[Address A]],IP_Master[],2,FALSE)</f>
        <v>#N/A</v>
      </c>
      <c r="T1812" s="8" t="e">
        <f>VLOOKUP(Table1[[#This Row],[Address B]],IP_Master[],2,FALSE)</f>
        <v>#N/A</v>
      </c>
      <c r="U1812" s="9" t="e">
        <f>VLOOKUP(Table1[[#This Row],[Address A]],IP_Master[],3,FALSE)</f>
        <v>#N/A</v>
      </c>
      <c r="V1812" s="9" t="e">
        <f>VLOOKUP(Table1[[#This Row],[Address B]],IP_Master[],3,FALSE)</f>
        <v>#N/A</v>
      </c>
      <c r="W1812" s="9" t="e">
        <f>VLOOKUP(Table1[[#This Row],[Port B]],traffic_types[],2,FALSE)</f>
        <v>#N/A</v>
      </c>
    </row>
    <row r="1813" spans="1:23" x14ac:dyDescent="0.6">
      <c r="A1813" t="s">
        <v>224</v>
      </c>
      <c r="B1813">
        <v>59928</v>
      </c>
      <c r="C1813" t="s">
        <v>258</v>
      </c>
      <c r="D1813">
        <v>443</v>
      </c>
      <c r="E1813">
        <v>3</v>
      </c>
      <c r="F1813">
        <v>194</v>
      </c>
      <c r="G1813">
        <v>3</v>
      </c>
      <c r="H1813">
        <v>194</v>
      </c>
      <c r="I1813">
        <v>0</v>
      </c>
      <c r="J1813">
        <v>0</v>
      </c>
      <c r="K1813">
        <v>93.321201000000002</v>
      </c>
      <c r="L1813">
        <v>9.0004709999999992</v>
      </c>
      <c r="M1813">
        <v>172.43542032411401</v>
      </c>
      <c r="N1813">
        <v>0</v>
      </c>
      <c r="O1813" s="8" t="str">
        <f>formatIP(Table1[[#This Row],[Address A]])</f>
        <v>192.168.100.002</v>
      </c>
      <c r="P1813" s="8" t="str">
        <f>formatIP(Table1[[#This Row],[Address B]])</f>
        <v>157.055.235.162</v>
      </c>
      <c r="Q1813" s="8" t="e">
        <f>VLOOKUP(Table1[[#This Row],[Address A]],IP_Master[],4,FALSE)</f>
        <v>#N/A</v>
      </c>
      <c r="R1813" s="8" t="e">
        <f>VLOOKUP(Table1[[#This Row],[Address B]],IP_Master[],4,FALSE)</f>
        <v>#N/A</v>
      </c>
      <c r="S1813" s="8" t="e">
        <f>VLOOKUP(Table1[[#This Row],[Address A]],IP_Master[],2,FALSE)</f>
        <v>#N/A</v>
      </c>
      <c r="T1813" s="8" t="e">
        <f>VLOOKUP(Table1[[#This Row],[Address B]],IP_Master[],2,FALSE)</f>
        <v>#N/A</v>
      </c>
      <c r="U1813" s="9" t="e">
        <f>VLOOKUP(Table1[[#This Row],[Address A]],IP_Master[],3,FALSE)</f>
        <v>#N/A</v>
      </c>
      <c r="V1813" s="9" t="e">
        <f>VLOOKUP(Table1[[#This Row],[Address B]],IP_Master[],3,FALSE)</f>
        <v>#N/A</v>
      </c>
      <c r="W1813" s="9" t="str">
        <f>VLOOKUP(Table1[[#This Row],[Port B]],traffic_types[],2,FALSE)</f>
        <v>HTTP/S</v>
      </c>
    </row>
    <row r="1814" spans="1:23" hidden="1" x14ac:dyDescent="0.6">
      <c r="A1814" t="s">
        <v>224</v>
      </c>
      <c r="B1814">
        <v>59929</v>
      </c>
      <c r="C1814" t="s">
        <v>260</v>
      </c>
      <c r="D1814">
        <v>40023</v>
      </c>
      <c r="E1814">
        <v>3</v>
      </c>
      <c r="F1814">
        <v>194</v>
      </c>
      <c r="G1814">
        <v>3</v>
      </c>
      <c r="H1814">
        <v>194</v>
      </c>
      <c r="I1814">
        <v>0</v>
      </c>
      <c r="J1814">
        <v>0</v>
      </c>
      <c r="K1814">
        <v>93.761998000000006</v>
      </c>
      <c r="L1814">
        <v>9.0002030000000008</v>
      </c>
      <c r="M1814">
        <v>172.440554951927</v>
      </c>
      <c r="N1814">
        <v>0</v>
      </c>
      <c r="O1814" s="8" t="str">
        <f>formatIP(Table1[[#This Row],[Address A]])</f>
        <v>192.168.100.002</v>
      </c>
      <c r="P1814" s="8" t="str">
        <f>formatIP(Table1[[#This Row],[Address B]])</f>
        <v>157.056.052.044</v>
      </c>
      <c r="Q1814" s="8" t="e">
        <f>VLOOKUP(Table1[[#This Row],[Address A]],IP_Master[],4,FALSE)</f>
        <v>#N/A</v>
      </c>
      <c r="R1814" s="8" t="e">
        <f>VLOOKUP(Table1[[#This Row],[Address B]],IP_Master[],4,FALSE)</f>
        <v>#N/A</v>
      </c>
      <c r="S1814" s="8" t="e">
        <f>VLOOKUP(Table1[[#This Row],[Address A]],IP_Master[],2,FALSE)</f>
        <v>#N/A</v>
      </c>
      <c r="T1814" s="8" t="e">
        <f>VLOOKUP(Table1[[#This Row],[Address B]],IP_Master[],2,FALSE)</f>
        <v>#N/A</v>
      </c>
      <c r="U1814" s="9" t="e">
        <f>VLOOKUP(Table1[[#This Row],[Address A]],IP_Master[],3,FALSE)</f>
        <v>#N/A</v>
      </c>
      <c r="V1814" s="9" t="e">
        <f>VLOOKUP(Table1[[#This Row],[Address B]],IP_Master[],3,FALSE)</f>
        <v>#N/A</v>
      </c>
      <c r="W1814" s="9" t="e">
        <f>VLOOKUP(Table1[[#This Row],[Port B]],traffic_types[],2,FALSE)</f>
        <v>#N/A</v>
      </c>
    </row>
    <row r="1815" spans="1:23" x14ac:dyDescent="0.6">
      <c r="A1815" t="s">
        <v>224</v>
      </c>
      <c r="B1815">
        <v>59930</v>
      </c>
      <c r="C1815" t="s">
        <v>259</v>
      </c>
      <c r="D1815">
        <v>443</v>
      </c>
      <c r="E1815">
        <v>3</v>
      </c>
      <c r="F1815">
        <v>194</v>
      </c>
      <c r="G1815">
        <v>3</v>
      </c>
      <c r="H1815">
        <v>194</v>
      </c>
      <c r="I1815">
        <v>0</v>
      </c>
      <c r="J1815">
        <v>0</v>
      </c>
      <c r="K1815">
        <v>94.331363999999994</v>
      </c>
      <c r="L1815">
        <v>9.0002750000000002</v>
      </c>
      <c r="M1815">
        <v>172.439175469638</v>
      </c>
      <c r="N1815">
        <v>0</v>
      </c>
      <c r="O1815" s="8" t="str">
        <f>formatIP(Table1[[#This Row],[Address A]])</f>
        <v>192.168.100.002</v>
      </c>
      <c r="P1815" s="8" t="str">
        <f>formatIP(Table1[[#This Row],[Address B]])</f>
        <v>065.055.223.018</v>
      </c>
      <c r="Q1815" s="8" t="e">
        <f>VLOOKUP(Table1[[#This Row],[Address A]],IP_Master[],4,FALSE)</f>
        <v>#N/A</v>
      </c>
      <c r="R1815" s="8" t="e">
        <f>VLOOKUP(Table1[[#This Row],[Address B]],IP_Master[],4,FALSE)</f>
        <v>#N/A</v>
      </c>
      <c r="S1815" s="8" t="e">
        <f>VLOOKUP(Table1[[#This Row],[Address A]],IP_Master[],2,FALSE)</f>
        <v>#N/A</v>
      </c>
      <c r="T1815" s="8" t="e">
        <f>VLOOKUP(Table1[[#This Row],[Address B]],IP_Master[],2,FALSE)</f>
        <v>#N/A</v>
      </c>
      <c r="U1815" s="9" t="e">
        <f>VLOOKUP(Table1[[#This Row],[Address A]],IP_Master[],3,FALSE)</f>
        <v>#N/A</v>
      </c>
      <c r="V1815" s="9" t="e">
        <f>VLOOKUP(Table1[[#This Row],[Address B]],IP_Master[],3,FALSE)</f>
        <v>#N/A</v>
      </c>
      <c r="W1815" s="9" t="str">
        <f>VLOOKUP(Table1[[#This Row],[Port B]],traffic_types[],2,FALSE)</f>
        <v>HTTP/S</v>
      </c>
    </row>
    <row r="1816" spans="1:23" x14ac:dyDescent="0.6">
      <c r="A1816" t="s">
        <v>224</v>
      </c>
      <c r="B1816">
        <v>59931</v>
      </c>
      <c r="C1816" t="s">
        <v>258</v>
      </c>
      <c r="D1816">
        <v>80</v>
      </c>
      <c r="E1816">
        <v>3</v>
      </c>
      <c r="F1816">
        <v>194</v>
      </c>
      <c r="G1816">
        <v>3</v>
      </c>
      <c r="H1816">
        <v>194</v>
      </c>
      <c r="I1816">
        <v>0</v>
      </c>
      <c r="J1816">
        <v>0</v>
      </c>
      <c r="K1816">
        <v>94.941091999999998</v>
      </c>
      <c r="L1816">
        <v>9.0005570000000006</v>
      </c>
      <c r="M1816">
        <v>172.43377270984499</v>
      </c>
      <c r="N1816">
        <v>0</v>
      </c>
      <c r="O1816" s="8" t="str">
        <f>formatIP(Table1[[#This Row],[Address A]])</f>
        <v>192.168.100.002</v>
      </c>
      <c r="P1816" s="8" t="str">
        <f>formatIP(Table1[[#This Row],[Address B]])</f>
        <v>157.055.235.162</v>
      </c>
      <c r="Q1816" s="8" t="e">
        <f>VLOOKUP(Table1[[#This Row],[Address A]],IP_Master[],4,FALSE)</f>
        <v>#N/A</v>
      </c>
      <c r="R1816" s="8" t="e">
        <f>VLOOKUP(Table1[[#This Row],[Address B]],IP_Master[],4,FALSE)</f>
        <v>#N/A</v>
      </c>
      <c r="S1816" s="8" t="e">
        <f>VLOOKUP(Table1[[#This Row],[Address A]],IP_Master[],2,FALSE)</f>
        <v>#N/A</v>
      </c>
      <c r="T1816" s="8" t="e">
        <f>VLOOKUP(Table1[[#This Row],[Address B]],IP_Master[],2,FALSE)</f>
        <v>#N/A</v>
      </c>
      <c r="U1816" s="9" t="e">
        <f>VLOOKUP(Table1[[#This Row],[Address A]],IP_Master[],3,FALSE)</f>
        <v>#N/A</v>
      </c>
      <c r="V1816" s="9" t="e">
        <f>VLOOKUP(Table1[[#This Row],[Address B]],IP_Master[],3,FALSE)</f>
        <v>#N/A</v>
      </c>
      <c r="W1816" s="9" t="str">
        <f>VLOOKUP(Table1[[#This Row],[Port B]],traffic_types[],2,FALSE)</f>
        <v>HTTP</v>
      </c>
    </row>
    <row r="1817" spans="1:23" x14ac:dyDescent="0.6">
      <c r="A1817" t="s">
        <v>224</v>
      </c>
      <c r="B1817">
        <v>59932</v>
      </c>
      <c r="C1817" t="s">
        <v>260</v>
      </c>
      <c r="D1817">
        <v>443</v>
      </c>
      <c r="E1817">
        <v>3</v>
      </c>
      <c r="F1817">
        <v>194</v>
      </c>
      <c r="G1817">
        <v>3</v>
      </c>
      <c r="H1817">
        <v>194</v>
      </c>
      <c r="I1817">
        <v>0</v>
      </c>
      <c r="J1817">
        <v>0</v>
      </c>
      <c r="K1817">
        <v>95.371003999999999</v>
      </c>
      <c r="L1817">
        <v>9.0005839999999999</v>
      </c>
      <c r="M1817">
        <v>172.433255442091</v>
      </c>
      <c r="N1817">
        <v>0</v>
      </c>
      <c r="O1817" s="8" t="str">
        <f>formatIP(Table1[[#This Row],[Address A]])</f>
        <v>192.168.100.002</v>
      </c>
      <c r="P1817" s="8" t="str">
        <f>formatIP(Table1[[#This Row],[Address B]])</f>
        <v>157.056.052.044</v>
      </c>
      <c r="Q1817" s="8" t="e">
        <f>VLOOKUP(Table1[[#This Row],[Address A]],IP_Master[],4,FALSE)</f>
        <v>#N/A</v>
      </c>
      <c r="R1817" s="8" t="e">
        <f>VLOOKUP(Table1[[#This Row],[Address B]],IP_Master[],4,FALSE)</f>
        <v>#N/A</v>
      </c>
      <c r="S1817" s="8" t="e">
        <f>VLOOKUP(Table1[[#This Row],[Address A]],IP_Master[],2,FALSE)</f>
        <v>#N/A</v>
      </c>
      <c r="T1817" s="8" t="e">
        <f>VLOOKUP(Table1[[#This Row],[Address B]],IP_Master[],2,FALSE)</f>
        <v>#N/A</v>
      </c>
      <c r="U1817" s="9" t="e">
        <f>VLOOKUP(Table1[[#This Row],[Address A]],IP_Master[],3,FALSE)</f>
        <v>#N/A</v>
      </c>
      <c r="V1817" s="9" t="e">
        <f>VLOOKUP(Table1[[#This Row],[Address B]],IP_Master[],3,FALSE)</f>
        <v>#N/A</v>
      </c>
      <c r="W1817" s="9" t="str">
        <f>VLOOKUP(Table1[[#This Row],[Port B]],traffic_types[],2,FALSE)</f>
        <v>HTTP/S</v>
      </c>
    </row>
    <row r="1818" spans="1:23" hidden="1" x14ac:dyDescent="0.6">
      <c r="A1818" t="s">
        <v>224</v>
      </c>
      <c r="B1818">
        <v>59933</v>
      </c>
      <c r="C1818" t="s">
        <v>261</v>
      </c>
      <c r="D1818">
        <v>40016</v>
      </c>
      <c r="E1818">
        <v>3</v>
      </c>
      <c r="F1818">
        <v>194</v>
      </c>
      <c r="G1818">
        <v>3</v>
      </c>
      <c r="H1818">
        <v>194</v>
      </c>
      <c r="I1818">
        <v>0</v>
      </c>
      <c r="J1818">
        <v>0</v>
      </c>
      <c r="K1818">
        <v>95.831819999999993</v>
      </c>
      <c r="L1818">
        <v>8.9998749999999994</v>
      </c>
      <c r="M1818">
        <v>172.446839539438</v>
      </c>
      <c r="N1818">
        <v>0</v>
      </c>
      <c r="O1818" s="8" t="str">
        <f>formatIP(Table1[[#This Row],[Address A]])</f>
        <v>192.168.100.002</v>
      </c>
      <c r="P1818" s="8" t="str">
        <f>formatIP(Table1[[#This Row],[Address B]])</f>
        <v>064.004.023.149</v>
      </c>
      <c r="Q1818" s="8" t="e">
        <f>VLOOKUP(Table1[[#This Row],[Address A]],IP_Master[],4,FALSE)</f>
        <v>#N/A</v>
      </c>
      <c r="R1818" s="8" t="e">
        <f>VLOOKUP(Table1[[#This Row],[Address B]],IP_Master[],4,FALSE)</f>
        <v>#N/A</v>
      </c>
      <c r="S1818" s="8" t="e">
        <f>VLOOKUP(Table1[[#This Row],[Address A]],IP_Master[],2,FALSE)</f>
        <v>#N/A</v>
      </c>
      <c r="T1818" s="8" t="e">
        <f>VLOOKUP(Table1[[#This Row],[Address B]],IP_Master[],2,FALSE)</f>
        <v>#N/A</v>
      </c>
      <c r="U1818" s="9" t="e">
        <f>VLOOKUP(Table1[[#This Row],[Address A]],IP_Master[],3,FALSE)</f>
        <v>#N/A</v>
      </c>
      <c r="V1818" s="9" t="e">
        <f>VLOOKUP(Table1[[#This Row],[Address B]],IP_Master[],3,FALSE)</f>
        <v>#N/A</v>
      </c>
      <c r="W1818" s="9" t="e">
        <f>VLOOKUP(Table1[[#This Row],[Port B]],traffic_types[],2,FALSE)</f>
        <v>#N/A</v>
      </c>
    </row>
    <row r="1819" spans="1:23" x14ac:dyDescent="0.6">
      <c r="A1819" t="s">
        <v>224</v>
      </c>
      <c r="B1819">
        <v>59934</v>
      </c>
      <c r="C1819" t="s">
        <v>259</v>
      </c>
      <c r="D1819">
        <v>80</v>
      </c>
      <c r="E1819">
        <v>3</v>
      </c>
      <c r="F1819">
        <v>194</v>
      </c>
      <c r="G1819">
        <v>3</v>
      </c>
      <c r="H1819">
        <v>194</v>
      </c>
      <c r="I1819">
        <v>0</v>
      </c>
      <c r="J1819">
        <v>0</v>
      </c>
      <c r="K1819">
        <v>95.951113000000007</v>
      </c>
      <c r="L1819">
        <v>9.0004149999999896</v>
      </c>
      <c r="M1819">
        <v>172.43649320614699</v>
      </c>
      <c r="N1819">
        <v>0</v>
      </c>
      <c r="O1819" s="8" t="str">
        <f>formatIP(Table1[[#This Row],[Address A]])</f>
        <v>192.168.100.002</v>
      </c>
      <c r="P1819" s="8" t="str">
        <f>formatIP(Table1[[#This Row],[Address B]])</f>
        <v>065.055.223.018</v>
      </c>
      <c r="Q1819" s="8" t="e">
        <f>VLOOKUP(Table1[[#This Row],[Address A]],IP_Master[],4,FALSE)</f>
        <v>#N/A</v>
      </c>
      <c r="R1819" s="8" t="e">
        <f>VLOOKUP(Table1[[#This Row],[Address B]],IP_Master[],4,FALSE)</f>
        <v>#N/A</v>
      </c>
      <c r="S1819" s="8" t="e">
        <f>VLOOKUP(Table1[[#This Row],[Address A]],IP_Master[],2,FALSE)</f>
        <v>#N/A</v>
      </c>
      <c r="T1819" s="8" t="e">
        <f>VLOOKUP(Table1[[#This Row],[Address B]],IP_Master[],2,FALSE)</f>
        <v>#N/A</v>
      </c>
      <c r="U1819" s="9" t="e">
        <f>VLOOKUP(Table1[[#This Row],[Address A]],IP_Master[],3,FALSE)</f>
        <v>#N/A</v>
      </c>
      <c r="V1819" s="9" t="e">
        <f>VLOOKUP(Table1[[#This Row],[Address B]],IP_Master[],3,FALSE)</f>
        <v>#N/A</v>
      </c>
      <c r="W1819" s="9" t="str">
        <f>VLOOKUP(Table1[[#This Row],[Port B]],traffic_types[],2,FALSE)</f>
        <v>HTTP</v>
      </c>
    </row>
    <row r="1820" spans="1:23" x14ac:dyDescent="0.6">
      <c r="A1820" t="s">
        <v>224</v>
      </c>
      <c r="B1820">
        <v>59935</v>
      </c>
      <c r="C1820" t="s">
        <v>260</v>
      </c>
      <c r="D1820">
        <v>80</v>
      </c>
      <c r="E1820">
        <v>3</v>
      </c>
      <c r="F1820">
        <v>194</v>
      </c>
      <c r="G1820">
        <v>3</v>
      </c>
      <c r="H1820">
        <v>194</v>
      </c>
      <c r="I1820">
        <v>0</v>
      </c>
      <c r="J1820">
        <v>0</v>
      </c>
      <c r="K1820">
        <v>97.010703000000007</v>
      </c>
      <c r="L1820">
        <v>8.9710289999999908</v>
      </c>
      <c r="M1820">
        <v>173.00133574420499</v>
      </c>
      <c r="N1820">
        <v>0</v>
      </c>
      <c r="O1820" s="8" t="str">
        <f>formatIP(Table1[[#This Row],[Address A]])</f>
        <v>192.168.100.002</v>
      </c>
      <c r="P1820" s="8" t="str">
        <f>formatIP(Table1[[#This Row],[Address B]])</f>
        <v>157.056.052.044</v>
      </c>
      <c r="Q1820" s="8" t="e">
        <f>VLOOKUP(Table1[[#This Row],[Address A]],IP_Master[],4,FALSE)</f>
        <v>#N/A</v>
      </c>
      <c r="R1820" s="8" t="e">
        <f>VLOOKUP(Table1[[#This Row],[Address B]],IP_Master[],4,FALSE)</f>
        <v>#N/A</v>
      </c>
      <c r="S1820" s="8" t="e">
        <f>VLOOKUP(Table1[[#This Row],[Address A]],IP_Master[],2,FALSE)</f>
        <v>#N/A</v>
      </c>
      <c r="T1820" s="8" t="e">
        <f>VLOOKUP(Table1[[#This Row],[Address B]],IP_Master[],2,FALSE)</f>
        <v>#N/A</v>
      </c>
      <c r="U1820" s="9" t="e">
        <f>VLOOKUP(Table1[[#This Row],[Address A]],IP_Master[],3,FALSE)</f>
        <v>#N/A</v>
      </c>
      <c r="V1820" s="9" t="e">
        <f>VLOOKUP(Table1[[#This Row],[Address B]],IP_Master[],3,FALSE)</f>
        <v>#N/A</v>
      </c>
      <c r="W1820" s="9" t="str">
        <f>VLOOKUP(Table1[[#This Row],[Port B]],traffic_types[],2,FALSE)</f>
        <v>HTTP</v>
      </c>
    </row>
    <row r="1821" spans="1:23" x14ac:dyDescent="0.6">
      <c r="A1821" t="s">
        <v>224</v>
      </c>
      <c r="B1821">
        <v>59936</v>
      </c>
      <c r="C1821" t="s">
        <v>261</v>
      </c>
      <c r="D1821">
        <v>443</v>
      </c>
      <c r="E1821">
        <v>3</v>
      </c>
      <c r="F1821">
        <v>194</v>
      </c>
      <c r="G1821">
        <v>3</v>
      </c>
      <c r="H1821">
        <v>194</v>
      </c>
      <c r="I1821">
        <v>0</v>
      </c>
      <c r="J1821">
        <v>0</v>
      </c>
      <c r="K1821">
        <v>97.450884000000002</v>
      </c>
      <c r="L1821">
        <v>9.0008289999999995</v>
      </c>
      <c r="M1821">
        <v>172.42856185802401</v>
      </c>
      <c r="N1821">
        <v>0</v>
      </c>
      <c r="O1821" s="8" t="str">
        <f>formatIP(Table1[[#This Row],[Address A]])</f>
        <v>192.168.100.002</v>
      </c>
      <c r="P1821" s="8" t="str">
        <f>formatIP(Table1[[#This Row],[Address B]])</f>
        <v>064.004.023.149</v>
      </c>
      <c r="Q1821" s="8" t="e">
        <f>VLOOKUP(Table1[[#This Row],[Address A]],IP_Master[],4,FALSE)</f>
        <v>#N/A</v>
      </c>
      <c r="R1821" s="8" t="e">
        <f>VLOOKUP(Table1[[#This Row],[Address B]],IP_Master[],4,FALSE)</f>
        <v>#N/A</v>
      </c>
      <c r="S1821" s="8" t="e">
        <f>VLOOKUP(Table1[[#This Row],[Address A]],IP_Master[],2,FALSE)</f>
        <v>#N/A</v>
      </c>
      <c r="T1821" s="8" t="e">
        <f>VLOOKUP(Table1[[#This Row],[Address B]],IP_Master[],2,FALSE)</f>
        <v>#N/A</v>
      </c>
      <c r="U1821" s="9" t="e">
        <f>VLOOKUP(Table1[[#This Row],[Address A]],IP_Master[],3,FALSE)</f>
        <v>#N/A</v>
      </c>
      <c r="V1821" s="9" t="e">
        <f>VLOOKUP(Table1[[#This Row],[Address B]],IP_Master[],3,FALSE)</f>
        <v>#N/A</v>
      </c>
      <c r="W1821" s="9" t="str">
        <f>VLOOKUP(Table1[[#This Row],[Port B]],traffic_types[],2,FALSE)</f>
        <v>HTTP/S</v>
      </c>
    </row>
    <row r="1822" spans="1:23" hidden="1" x14ac:dyDescent="0.6">
      <c r="A1822" t="s">
        <v>224</v>
      </c>
      <c r="B1822">
        <v>59937</v>
      </c>
      <c r="C1822" t="s">
        <v>262</v>
      </c>
      <c r="D1822">
        <v>40002</v>
      </c>
      <c r="E1822">
        <v>3</v>
      </c>
      <c r="F1822">
        <v>194</v>
      </c>
      <c r="G1822">
        <v>3</v>
      </c>
      <c r="H1822">
        <v>194</v>
      </c>
      <c r="I1822">
        <v>0</v>
      </c>
      <c r="J1822">
        <v>0</v>
      </c>
      <c r="K1822">
        <v>98.862560000000002</v>
      </c>
      <c r="L1822">
        <v>8.9991369999999993</v>
      </c>
      <c r="M1822">
        <v>172.460981536341</v>
      </c>
      <c r="N1822">
        <v>0</v>
      </c>
      <c r="O1822" s="8" t="str">
        <f>formatIP(Table1[[#This Row],[Address A]])</f>
        <v>192.168.100.002</v>
      </c>
      <c r="P1822" s="8" t="str">
        <f>formatIP(Table1[[#This Row],[Address B]])</f>
        <v>064.004.023.169</v>
      </c>
      <c r="Q1822" s="8" t="e">
        <f>VLOOKUP(Table1[[#This Row],[Address A]],IP_Master[],4,FALSE)</f>
        <v>#N/A</v>
      </c>
      <c r="R1822" s="8" t="e">
        <f>VLOOKUP(Table1[[#This Row],[Address B]],IP_Master[],4,FALSE)</f>
        <v>#N/A</v>
      </c>
      <c r="S1822" s="8" t="e">
        <f>VLOOKUP(Table1[[#This Row],[Address A]],IP_Master[],2,FALSE)</f>
        <v>#N/A</v>
      </c>
      <c r="T1822" s="8" t="e">
        <f>VLOOKUP(Table1[[#This Row],[Address B]],IP_Master[],2,FALSE)</f>
        <v>#N/A</v>
      </c>
      <c r="U1822" s="9" t="e">
        <f>VLOOKUP(Table1[[#This Row],[Address A]],IP_Master[],3,FALSE)</f>
        <v>#N/A</v>
      </c>
      <c r="V1822" s="9" t="e">
        <f>VLOOKUP(Table1[[#This Row],[Address B]],IP_Master[],3,FALSE)</f>
        <v>#N/A</v>
      </c>
      <c r="W1822" s="9" t="e">
        <f>VLOOKUP(Table1[[#This Row],[Port B]],traffic_types[],2,FALSE)</f>
        <v>#N/A</v>
      </c>
    </row>
    <row r="1823" spans="1:23" x14ac:dyDescent="0.6">
      <c r="A1823" t="s">
        <v>224</v>
      </c>
      <c r="B1823">
        <v>59938</v>
      </c>
      <c r="C1823" t="s">
        <v>261</v>
      </c>
      <c r="D1823">
        <v>80</v>
      </c>
      <c r="E1823">
        <v>3</v>
      </c>
      <c r="F1823">
        <v>194</v>
      </c>
      <c r="G1823">
        <v>3</v>
      </c>
      <c r="H1823">
        <v>194</v>
      </c>
      <c r="I1823">
        <v>0</v>
      </c>
      <c r="J1823">
        <v>0</v>
      </c>
      <c r="K1823">
        <v>99.062089</v>
      </c>
      <c r="L1823">
        <v>8.9994420000000002</v>
      </c>
      <c r="M1823">
        <v>172.45513666291799</v>
      </c>
      <c r="N1823">
        <v>0</v>
      </c>
      <c r="O1823" s="8" t="str">
        <f>formatIP(Table1[[#This Row],[Address A]])</f>
        <v>192.168.100.002</v>
      </c>
      <c r="P1823" s="8" t="str">
        <f>formatIP(Table1[[#This Row],[Address B]])</f>
        <v>064.004.023.149</v>
      </c>
      <c r="Q1823" s="8" t="e">
        <f>VLOOKUP(Table1[[#This Row],[Address A]],IP_Master[],4,FALSE)</f>
        <v>#N/A</v>
      </c>
      <c r="R1823" s="8" t="e">
        <f>VLOOKUP(Table1[[#This Row],[Address B]],IP_Master[],4,FALSE)</f>
        <v>#N/A</v>
      </c>
      <c r="S1823" s="8" t="e">
        <f>VLOOKUP(Table1[[#This Row],[Address A]],IP_Master[],2,FALSE)</f>
        <v>#N/A</v>
      </c>
      <c r="T1823" s="8" t="e">
        <f>VLOOKUP(Table1[[#This Row],[Address B]],IP_Master[],2,FALSE)</f>
        <v>#N/A</v>
      </c>
      <c r="U1823" s="9" t="e">
        <f>VLOOKUP(Table1[[#This Row],[Address A]],IP_Master[],3,FALSE)</f>
        <v>#N/A</v>
      </c>
      <c r="V1823" s="9" t="e">
        <f>VLOOKUP(Table1[[#This Row],[Address B]],IP_Master[],3,FALSE)</f>
        <v>#N/A</v>
      </c>
      <c r="W1823" s="9" t="str">
        <f>VLOOKUP(Table1[[#This Row],[Port B]],traffic_types[],2,FALSE)</f>
        <v>HTTP</v>
      </c>
    </row>
    <row r="1824" spans="1:23" x14ac:dyDescent="0.6">
      <c r="A1824" t="s">
        <v>224</v>
      </c>
      <c r="B1824">
        <v>59939</v>
      </c>
      <c r="C1824" t="s">
        <v>262</v>
      </c>
      <c r="D1824">
        <v>443</v>
      </c>
      <c r="E1824">
        <v>3</v>
      </c>
      <c r="F1824">
        <v>194</v>
      </c>
      <c r="G1824">
        <v>3</v>
      </c>
      <c r="H1824">
        <v>194</v>
      </c>
      <c r="I1824">
        <v>0</v>
      </c>
      <c r="J1824">
        <v>0</v>
      </c>
      <c r="K1824">
        <v>100.48165299999999</v>
      </c>
      <c r="L1824">
        <v>8.9998730000000098</v>
      </c>
      <c r="M1824">
        <v>172.44687786149899</v>
      </c>
      <c r="N1824">
        <v>0</v>
      </c>
      <c r="O1824" s="8" t="str">
        <f>formatIP(Table1[[#This Row],[Address A]])</f>
        <v>192.168.100.002</v>
      </c>
      <c r="P1824" s="8" t="str">
        <f>formatIP(Table1[[#This Row],[Address B]])</f>
        <v>064.004.023.169</v>
      </c>
      <c r="Q1824" s="8" t="e">
        <f>VLOOKUP(Table1[[#This Row],[Address A]],IP_Master[],4,FALSE)</f>
        <v>#N/A</v>
      </c>
      <c r="R1824" s="8" t="e">
        <f>VLOOKUP(Table1[[#This Row],[Address B]],IP_Master[],4,FALSE)</f>
        <v>#N/A</v>
      </c>
      <c r="S1824" s="8" t="e">
        <f>VLOOKUP(Table1[[#This Row],[Address A]],IP_Master[],2,FALSE)</f>
        <v>#N/A</v>
      </c>
      <c r="T1824" s="8" t="e">
        <f>VLOOKUP(Table1[[#This Row],[Address B]],IP_Master[],2,FALSE)</f>
        <v>#N/A</v>
      </c>
      <c r="U1824" s="9" t="e">
        <f>VLOOKUP(Table1[[#This Row],[Address A]],IP_Master[],3,FALSE)</f>
        <v>#N/A</v>
      </c>
      <c r="V1824" s="9" t="e">
        <f>VLOOKUP(Table1[[#This Row],[Address B]],IP_Master[],3,FALSE)</f>
        <v>#N/A</v>
      </c>
      <c r="W1824" s="9" t="str">
        <f>VLOOKUP(Table1[[#This Row],[Port B]],traffic_types[],2,FALSE)</f>
        <v>HTTP/S</v>
      </c>
    </row>
    <row r="1825" spans="1:23" hidden="1" x14ac:dyDescent="0.6">
      <c r="A1825" t="s">
        <v>224</v>
      </c>
      <c r="B1825">
        <v>59940</v>
      </c>
      <c r="C1825" t="s">
        <v>263</v>
      </c>
      <c r="D1825">
        <v>40029</v>
      </c>
      <c r="E1825">
        <v>3</v>
      </c>
      <c r="F1825">
        <v>194</v>
      </c>
      <c r="G1825">
        <v>3</v>
      </c>
      <c r="H1825">
        <v>194</v>
      </c>
      <c r="I1825">
        <v>0</v>
      </c>
      <c r="J1825">
        <v>0</v>
      </c>
      <c r="K1825">
        <v>100.88263000000001</v>
      </c>
      <c r="L1825">
        <v>9</v>
      </c>
      <c r="M1825">
        <v>172.444444444444</v>
      </c>
      <c r="N1825">
        <v>0</v>
      </c>
      <c r="O1825" s="8" t="str">
        <f>formatIP(Table1[[#This Row],[Address A]])</f>
        <v>192.168.100.002</v>
      </c>
      <c r="P1825" s="8" t="str">
        <f>formatIP(Table1[[#This Row],[Address B]])</f>
        <v>157.055.056.162</v>
      </c>
      <c r="Q1825" s="8" t="e">
        <f>VLOOKUP(Table1[[#This Row],[Address A]],IP_Master[],4,FALSE)</f>
        <v>#N/A</v>
      </c>
      <c r="R1825" s="8" t="e">
        <f>VLOOKUP(Table1[[#This Row],[Address B]],IP_Master[],4,FALSE)</f>
        <v>#N/A</v>
      </c>
      <c r="S1825" s="8" t="e">
        <f>VLOOKUP(Table1[[#This Row],[Address A]],IP_Master[],2,FALSE)</f>
        <v>#N/A</v>
      </c>
      <c r="T1825" s="8" t="e">
        <f>VLOOKUP(Table1[[#This Row],[Address B]],IP_Master[],2,FALSE)</f>
        <v>#N/A</v>
      </c>
      <c r="U1825" s="9" t="e">
        <f>VLOOKUP(Table1[[#This Row],[Address A]],IP_Master[],3,FALSE)</f>
        <v>#N/A</v>
      </c>
      <c r="V1825" s="9" t="e">
        <f>VLOOKUP(Table1[[#This Row],[Address B]],IP_Master[],3,FALSE)</f>
        <v>#N/A</v>
      </c>
      <c r="W1825" s="9" t="e">
        <f>VLOOKUP(Table1[[#This Row],[Port B]],traffic_types[],2,FALSE)</f>
        <v>#N/A</v>
      </c>
    </row>
    <row r="1826" spans="1:23" hidden="1" x14ac:dyDescent="0.6">
      <c r="A1826" t="s">
        <v>224</v>
      </c>
      <c r="B1826">
        <v>59941</v>
      </c>
      <c r="C1826" t="s">
        <v>264</v>
      </c>
      <c r="D1826">
        <v>40012</v>
      </c>
      <c r="E1826">
        <v>3</v>
      </c>
      <c r="F1826">
        <v>194</v>
      </c>
      <c r="G1826">
        <v>3</v>
      </c>
      <c r="H1826">
        <v>194</v>
      </c>
      <c r="I1826">
        <v>0</v>
      </c>
      <c r="J1826">
        <v>0</v>
      </c>
      <c r="K1826">
        <v>101.892673</v>
      </c>
      <c r="L1826">
        <v>8.9998399999999901</v>
      </c>
      <c r="M1826">
        <v>172.447510177959</v>
      </c>
      <c r="N1826">
        <v>0</v>
      </c>
      <c r="O1826" s="8" t="str">
        <f>formatIP(Table1[[#This Row],[Address A]])</f>
        <v>192.168.100.002</v>
      </c>
      <c r="P1826" s="8" t="str">
        <f>formatIP(Table1[[#This Row],[Address B]])</f>
        <v>157.055.235.173</v>
      </c>
      <c r="Q1826" s="8" t="e">
        <f>VLOOKUP(Table1[[#This Row],[Address A]],IP_Master[],4,FALSE)</f>
        <v>#N/A</v>
      </c>
      <c r="R1826" s="8" t="e">
        <f>VLOOKUP(Table1[[#This Row],[Address B]],IP_Master[],4,FALSE)</f>
        <v>#N/A</v>
      </c>
      <c r="S1826" s="8" t="e">
        <f>VLOOKUP(Table1[[#This Row],[Address A]],IP_Master[],2,FALSE)</f>
        <v>#N/A</v>
      </c>
      <c r="T1826" s="8" t="e">
        <f>VLOOKUP(Table1[[#This Row],[Address B]],IP_Master[],2,FALSE)</f>
        <v>#N/A</v>
      </c>
      <c r="U1826" s="9" t="e">
        <f>VLOOKUP(Table1[[#This Row],[Address A]],IP_Master[],3,FALSE)</f>
        <v>#N/A</v>
      </c>
      <c r="V1826" s="9" t="e">
        <f>VLOOKUP(Table1[[#This Row],[Address B]],IP_Master[],3,FALSE)</f>
        <v>#N/A</v>
      </c>
      <c r="W1826" s="9" t="e">
        <f>VLOOKUP(Table1[[#This Row],[Port B]],traffic_types[],2,FALSE)</f>
        <v>#N/A</v>
      </c>
    </row>
    <row r="1827" spans="1:23" x14ac:dyDescent="0.6">
      <c r="A1827" t="s">
        <v>224</v>
      </c>
      <c r="B1827">
        <v>59942</v>
      </c>
      <c r="C1827" t="s">
        <v>262</v>
      </c>
      <c r="D1827">
        <v>80</v>
      </c>
      <c r="E1827">
        <v>3</v>
      </c>
      <c r="F1827">
        <v>194</v>
      </c>
      <c r="G1827">
        <v>3</v>
      </c>
      <c r="H1827">
        <v>194</v>
      </c>
      <c r="I1827">
        <v>0</v>
      </c>
      <c r="J1827">
        <v>0</v>
      </c>
      <c r="K1827">
        <v>102.091919</v>
      </c>
      <c r="L1827">
        <v>9.0008129999999902</v>
      </c>
      <c r="M1827">
        <v>172.42886837000199</v>
      </c>
      <c r="N1827">
        <v>0</v>
      </c>
      <c r="O1827" s="8" t="str">
        <f>formatIP(Table1[[#This Row],[Address A]])</f>
        <v>192.168.100.002</v>
      </c>
      <c r="P1827" s="8" t="str">
        <f>formatIP(Table1[[#This Row],[Address B]])</f>
        <v>064.004.023.169</v>
      </c>
      <c r="Q1827" s="8" t="e">
        <f>VLOOKUP(Table1[[#This Row],[Address A]],IP_Master[],4,FALSE)</f>
        <v>#N/A</v>
      </c>
      <c r="R1827" s="8" t="e">
        <f>VLOOKUP(Table1[[#This Row],[Address B]],IP_Master[],4,FALSE)</f>
        <v>#N/A</v>
      </c>
      <c r="S1827" s="8" t="e">
        <f>VLOOKUP(Table1[[#This Row],[Address A]],IP_Master[],2,FALSE)</f>
        <v>#N/A</v>
      </c>
      <c r="T1827" s="8" t="e">
        <f>VLOOKUP(Table1[[#This Row],[Address B]],IP_Master[],2,FALSE)</f>
        <v>#N/A</v>
      </c>
      <c r="U1827" s="9" t="e">
        <f>VLOOKUP(Table1[[#This Row],[Address A]],IP_Master[],3,FALSE)</f>
        <v>#N/A</v>
      </c>
      <c r="V1827" s="9" t="e">
        <f>VLOOKUP(Table1[[#This Row],[Address B]],IP_Master[],3,FALSE)</f>
        <v>#N/A</v>
      </c>
      <c r="W1827" s="9" t="str">
        <f>VLOOKUP(Table1[[#This Row],[Port B]],traffic_types[],2,FALSE)</f>
        <v>HTTP</v>
      </c>
    </row>
    <row r="1828" spans="1:23" x14ac:dyDescent="0.6">
      <c r="A1828" t="s">
        <v>224</v>
      </c>
      <c r="B1828">
        <v>59943</v>
      </c>
      <c r="C1828" t="s">
        <v>263</v>
      </c>
      <c r="D1828">
        <v>443</v>
      </c>
      <c r="E1828">
        <v>3</v>
      </c>
      <c r="F1828">
        <v>194</v>
      </c>
      <c r="G1828">
        <v>3</v>
      </c>
      <c r="H1828">
        <v>194</v>
      </c>
      <c r="I1828">
        <v>0</v>
      </c>
      <c r="J1828">
        <v>0</v>
      </c>
      <c r="K1828">
        <v>102.502168</v>
      </c>
      <c r="L1828">
        <v>9.0003930000000008</v>
      </c>
      <c r="M1828">
        <v>172.43691469916899</v>
      </c>
      <c r="N1828">
        <v>0</v>
      </c>
      <c r="O1828" s="8" t="str">
        <f>formatIP(Table1[[#This Row],[Address A]])</f>
        <v>192.168.100.002</v>
      </c>
      <c r="P1828" s="8" t="str">
        <f>formatIP(Table1[[#This Row],[Address B]])</f>
        <v>157.055.056.162</v>
      </c>
      <c r="Q1828" s="8" t="e">
        <f>VLOOKUP(Table1[[#This Row],[Address A]],IP_Master[],4,FALSE)</f>
        <v>#N/A</v>
      </c>
      <c r="R1828" s="8" t="e">
        <f>VLOOKUP(Table1[[#This Row],[Address B]],IP_Master[],4,FALSE)</f>
        <v>#N/A</v>
      </c>
      <c r="S1828" s="8" t="e">
        <f>VLOOKUP(Table1[[#This Row],[Address A]],IP_Master[],2,FALSE)</f>
        <v>#N/A</v>
      </c>
      <c r="T1828" s="8" t="e">
        <f>VLOOKUP(Table1[[#This Row],[Address B]],IP_Master[],2,FALSE)</f>
        <v>#N/A</v>
      </c>
      <c r="U1828" s="9" t="e">
        <f>VLOOKUP(Table1[[#This Row],[Address A]],IP_Master[],3,FALSE)</f>
        <v>#N/A</v>
      </c>
      <c r="V1828" s="9" t="e">
        <f>VLOOKUP(Table1[[#This Row],[Address B]],IP_Master[],3,FALSE)</f>
        <v>#N/A</v>
      </c>
      <c r="W1828" s="9" t="str">
        <f>VLOOKUP(Table1[[#This Row],[Port B]],traffic_types[],2,FALSE)</f>
        <v>HTTP/S</v>
      </c>
    </row>
    <row r="1829" spans="1:23" x14ac:dyDescent="0.6">
      <c r="A1829" t="s">
        <v>224</v>
      </c>
      <c r="B1829">
        <v>59944</v>
      </c>
      <c r="C1829" t="s">
        <v>264</v>
      </c>
      <c r="D1829">
        <v>443</v>
      </c>
      <c r="E1829">
        <v>3</v>
      </c>
      <c r="F1829">
        <v>194</v>
      </c>
      <c r="G1829">
        <v>3</v>
      </c>
      <c r="H1829">
        <v>194</v>
      </c>
      <c r="I1829">
        <v>0</v>
      </c>
      <c r="J1829">
        <v>0</v>
      </c>
      <c r="K1829">
        <v>103.512019</v>
      </c>
      <c r="L1829">
        <v>9.0005790000000001</v>
      </c>
      <c r="M1829">
        <v>172.43335123218199</v>
      </c>
      <c r="N1829">
        <v>0</v>
      </c>
      <c r="O1829" s="8" t="str">
        <f>formatIP(Table1[[#This Row],[Address A]])</f>
        <v>192.168.100.002</v>
      </c>
      <c r="P1829" s="8" t="str">
        <f>formatIP(Table1[[#This Row],[Address B]])</f>
        <v>157.055.235.173</v>
      </c>
      <c r="Q1829" s="8" t="e">
        <f>VLOOKUP(Table1[[#This Row],[Address A]],IP_Master[],4,FALSE)</f>
        <v>#N/A</v>
      </c>
      <c r="R1829" s="8" t="e">
        <f>VLOOKUP(Table1[[#This Row],[Address B]],IP_Master[],4,FALSE)</f>
        <v>#N/A</v>
      </c>
      <c r="S1829" s="8" t="e">
        <f>VLOOKUP(Table1[[#This Row],[Address A]],IP_Master[],2,FALSE)</f>
        <v>#N/A</v>
      </c>
      <c r="T1829" s="8" t="e">
        <f>VLOOKUP(Table1[[#This Row],[Address B]],IP_Master[],2,FALSE)</f>
        <v>#N/A</v>
      </c>
      <c r="U1829" s="9" t="e">
        <f>VLOOKUP(Table1[[#This Row],[Address A]],IP_Master[],3,FALSE)</f>
        <v>#N/A</v>
      </c>
      <c r="V1829" s="9" t="e">
        <f>VLOOKUP(Table1[[#This Row],[Address B]],IP_Master[],3,FALSE)</f>
        <v>#N/A</v>
      </c>
      <c r="W1829" s="9" t="str">
        <f>VLOOKUP(Table1[[#This Row],[Port B]],traffic_types[],2,FALSE)</f>
        <v>HTTP/S</v>
      </c>
    </row>
    <row r="1830" spans="1:23" x14ac:dyDescent="0.6">
      <c r="A1830" t="s">
        <v>224</v>
      </c>
      <c r="B1830">
        <v>59945</v>
      </c>
      <c r="C1830" t="s">
        <v>263</v>
      </c>
      <c r="D1830">
        <v>80</v>
      </c>
      <c r="E1830">
        <v>3</v>
      </c>
      <c r="F1830">
        <v>194</v>
      </c>
      <c r="G1830">
        <v>3</v>
      </c>
      <c r="H1830">
        <v>194</v>
      </c>
      <c r="I1830">
        <v>0</v>
      </c>
      <c r="J1830">
        <v>0</v>
      </c>
      <c r="K1830">
        <v>104.111958</v>
      </c>
      <c r="L1830">
        <v>9.000629</v>
      </c>
      <c r="M1830">
        <v>172.43239333606601</v>
      </c>
      <c r="N1830">
        <v>0</v>
      </c>
      <c r="O1830" s="8" t="str">
        <f>formatIP(Table1[[#This Row],[Address A]])</f>
        <v>192.168.100.002</v>
      </c>
      <c r="P1830" s="8" t="str">
        <f>formatIP(Table1[[#This Row],[Address B]])</f>
        <v>157.055.056.162</v>
      </c>
      <c r="Q1830" s="8" t="e">
        <f>VLOOKUP(Table1[[#This Row],[Address A]],IP_Master[],4,FALSE)</f>
        <v>#N/A</v>
      </c>
      <c r="R1830" s="8" t="e">
        <f>VLOOKUP(Table1[[#This Row],[Address B]],IP_Master[],4,FALSE)</f>
        <v>#N/A</v>
      </c>
      <c r="S1830" s="8" t="e">
        <f>VLOOKUP(Table1[[#This Row],[Address A]],IP_Master[],2,FALSE)</f>
        <v>#N/A</v>
      </c>
      <c r="T1830" s="8" t="e">
        <f>VLOOKUP(Table1[[#This Row],[Address B]],IP_Master[],2,FALSE)</f>
        <v>#N/A</v>
      </c>
      <c r="U1830" s="9" t="e">
        <f>VLOOKUP(Table1[[#This Row],[Address A]],IP_Master[],3,FALSE)</f>
        <v>#N/A</v>
      </c>
      <c r="V1830" s="9" t="e">
        <f>VLOOKUP(Table1[[#This Row],[Address B]],IP_Master[],3,FALSE)</f>
        <v>#N/A</v>
      </c>
      <c r="W1830" s="9" t="str">
        <f>VLOOKUP(Table1[[#This Row],[Port B]],traffic_types[],2,FALSE)</f>
        <v>HTTP</v>
      </c>
    </row>
    <row r="1831" spans="1:23" x14ac:dyDescent="0.6">
      <c r="A1831" t="s">
        <v>224</v>
      </c>
      <c r="B1831">
        <v>59946</v>
      </c>
      <c r="C1831" t="s">
        <v>264</v>
      </c>
      <c r="D1831">
        <v>80</v>
      </c>
      <c r="E1831">
        <v>3</v>
      </c>
      <c r="F1831">
        <v>194</v>
      </c>
      <c r="G1831">
        <v>3</v>
      </c>
      <c r="H1831">
        <v>194</v>
      </c>
      <c r="I1831">
        <v>0</v>
      </c>
      <c r="J1831">
        <v>0</v>
      </c>
      <c r="K1831">
        <v>105.12193600000001</v>
      </c>
      <c r="L1831">
        <v>9.000788</v>
      </c>
      <c r="M1831">
        <v>172.42934729714801</v>
      </c>
      <c r="N1831">
        <v>0</v>
      </c>
      <c r="O1831" s="8" t="str">
        <f>formatIP(Table1[[#This Row],[Address A]])</f>
        <v>192.168.100.002</v>
      </c>
      <c r="P1831" s="8" t="str">
        <f>formatIP(Table1[[#This Row],[Address B]])</f>
        <v>157.055.235.173</v>
      </c>
      <c r="Q1831" s="8" t="e">
        <f>VLOOKUP(Table1[[#This Row],[Address A]],IP_Master[],4,FALSE)</f>
        <v>#N/A</v>
      </c>
      <c r="R1831" s="8" t="e">
        <f>VLOOKUP(Table1[[#This Row],[Address B]],IP_Master[],4,FALSE)</f>
        <v>#N/A</v>
      </c>
      <c r="S1831" s="8" t="e">
        <f>VLOOKUP(Table1[[#This Row],[Address A]],IP_Master[],2,FALSE)</f>
        <v>#N/A</v>
      </c>
      <c r="T1831" s="8" t="e">
        <f>VLOOKUP(Table1[[#This Row],[Address B]],IP_Master[],2,FALSE)</f>
        <v>#N/A</v>
      </c>
      <c r="U1831" s="9" t="e">
        <f>VLOOKUP(Table1[[#This Row],[Address A]],IP_Master[],3,FALSE)</f>
        <v>#N/A</v>
      </c>
      <c r="V1831" s="9" t="e">
        <f>VLOOKUP(Table1[[#This Row],[Address B]],IP_Master[],3,FALSE)</f>
        <v>#N/A</v>
      </c>
      <c r="W1831" s="9" t="str">
        <f>VLOOKUP(Table1[[#This Row],[Port B]],traffic_types[],2,FALSE)</f>
        <v>HTTP</v>
      </c>
    </row>
    <row r="1832" spans="1:23" hidden="1" x14ac:dyDescent="0.6">
      <c r="A1832" t="s">
        <v>224</v>
      </c>
      <c r="B1832">
        <v>59947</v>
      </c>
      <c r="C1832" t="s">
        <v>265</v>
      </c>
      <c r="D1832">
        <v>40035</v>
      </c>
      <c r="E1832">
        <v>3</v>
      </c>
      <c r="F1832">
        <v>194</v>
      </c>
      <c r="G1832">
        <v>3</v>
      </c>
      <c r="H1832">
        <v>194</v>
      </c>
      <c r="I1832">
        <v>0</v>
      </c>
      <c r="J1832">
        <v>0</v>
      </c>
      <c r="K1832">
        <v>116.09372399999999</v>
      </c>
      <c r="L1832">
        <v>8.9996820000000106</v>
      </c>
      <c r="M1832">
        <v>172.450537696776</v>
      </c>
      <c r="N1832">
        <v>0</v>
      </c>
      <c r="O1832" s="8" t="str">
        <f>formatIP(Table1[[#This Row],[Address A]])</f>
        <v>192.168.100.002</v>
      </c>
      <c r="P1832" s="8" t="str">
        <f>formatIP(Table1[[#This Row],[Address B]])</f>
        <v>157.055.235.167</v>
      </c>
      <c r="Q1832" s="8" t="e">
        <f>VLOOKUP(Table1[[#This Row],[Address A]],IP_Master[],4,FALSE)</f>
        <v>#N/A</v>
      </c>
      <c r="R1832" s="8" t="e">
        <f>VLOOKUP(Table1[[#This Row],[Address B]],IP_Master[],4,FALSE)</f>
        <v>#N/A</v>
      </c>
      <c r="S1832" s="8" t="e">
        <f>VLOOKUP(Table1[[#This Row],[Address A]],IP_Master[],2,FALSE)</f>
        <v>#N/A</v>
      </c>
      <c r="T1832" s="8" t="e">
        <f>VLOOKUP(Table1[[#This Row],[Address B]],IP_Master[],2,FALSE)</f>
        <v>#N/A</v>
      </c>
      <c r="U1832" s="9" t="e">
        <f>VLOOKUP(Table1[[#This Row],[Address A]],IP_Master[],3,FALSE)</f>
        <v>#N/A</v>
      </c>
      <c r="V1832" s="9" t="e">
        <f>VLOOKUP(Table1[[#This Row],[Address B]],IP_Master[],3,FALSE)</f>
        <v>#N/A</v>
      </c>
      <c r="W1832" s="9" t="e">
        <f>VLOOKUP(Table1[[#This Row],[Port B]],traffic_types[],2,FALSE)</f>
        <v>#N/A</v>
      </c>
    </row>
    <row r="1833" spans="1:23" hidden="1" x14ac:dyDescent="0.6">
      <c r="A1833" t="s">
        <v>224</v>
      </c>
      <c r="B1833">
        <v>59948</v>
      </c>
      <c r="C1833" t="s">
        <v>266</v>
      </c>
      <c r="D1833">
        <v>40015</v>
      </c>
      <c r="E1833">
        <v>3</v>
      </c>
      <c r="F1833">
        <v>194</v>
      </c>
      <c r="G1833">
        <v>3</v>
      </c>
      <c r="H1833">
        <v>194</v>
      </c>
      <c r="I1833">
        <v>0</v>
      </c>
      <c r="J1833">
        <v>0</v>
      </c>
      <c r="K1833">
        <v>117.103607</v>
      </c>
      <c r="L1833">
        <v>9.0009720000000009</v>
      </c>
      <c r="M1833">
        <v>172.425822455619</v>
      </c>
      <c r="N1833">
        <v>0</v>
      </c>
      <c r="O1833" s="8" t="str">
        <f>formatIP(Table1[[#This Row],[Address A]])</f>
        <v>192.168.100.002</v>
      </c>
      <c r="P1833" s="8" t="str">
        <f>formatIP(Table1[[#This Row],[Address B]])</f>
        <v>157.055.056.145</v>
      </c>
      <c r="Q1833" s="8" t="e">
        <f>VLOOKUP(Table1[[#This Row],[Address A]],IP_Master[],4,FALSE)</f>
        <v>#N/A</v>
      </c>
      <c r="R1833" s="8" t="e">
        <f>VLOOKUP(Table1[[#This Row],[Address B]],IP_Master[],4,FALSE)</f>
        <v>#N/A</v>
      </c>
      <c r="S1833" s="8" t="e">
        <f>VLOOKUP(Table1[[#This Row],[Address A]],IP_Master[],2,FALSE)</f>
        <v>#N/A</v>
      </c>
      <c r="T1833" s="8" t="e">
        <f>VLOOKUP(Table1[[#This Row],[Address B]],IP_Master[],2,FALSE)</f>
        <v>#N/A</v>
      </c>
      <c r="U1833" s="9" t="e">
        <f>VLOOKUP(Table1[[#This Row],[Address A]],IP_Master[],3,FALSE)</f>
        <v>#N/A</v>
      </c>
      <c r="V1833" s="9" t="e">
        <f>VLOOKUP(Table1[[#This Row],[Address B]],IP_Master[],3,FALSE)</f>
        <v>#N/A</v>
      </c>
      <c r="W1833" s="9" t="e">
        <f>VLOOKUP(Table1[[#This Row],[Port B]],traffic_types[],2,FALSE)</f>
        <v>#N/A</v>
      </c>
    </row>
    <row r="1834" spans="1:23" x14ac:dyDescent="0.6">
      <c r="A1834" t="s">
        <v>224</v>
      </c>
      <c r="B1834">
        <v>59949</v>
      </c>
      <c r="C1834" t="s">
        <v>265</v>
      </c>
      <c r="D1834">
        <v>443</v>
      </c>
      <c r="E1834">
        <v>3</v>
      </c>
      <c r="F1834">
        <v>194</v>
      </c>
      <c r="G1834">
        <v>3</v>
      </c>
      <c r="H1834">
        <v>194</v>
      </c>
      <c r="I1834">
        <v>0</v>
      </c>
      <c r="J1834">
        <v>0</v>
      </c>
      <c r="K1834">
        <v>117.71293300000001</v>
      </c>
      <c r="L1834">
        <v>9.03120399999999</v>
      </c>
      <c r="M1834">
        <v>171.848626163245</v>
      </c>
      <c r="N1834">
        <v>0</v>
      </c>
      <c r="O1834" s="8" t="str">
        <f>formatIP(Table1[[#This Row],[Address A]])</f>
        <v>192.168.100.002</v>
      </c>
      <c r="P1834" s="8" t="str">
        <f>formatIP(Table1[[#This Row],[Address B]])</f>
        <v>157.055.235.167</v>
      </c>
      <c r="Q1834" s="8" t="e">
        <f>VLOOKUP(Table1[[#This Row],[Address A]],IP_Master[],4,FALSE)</f>
        <v>#N/A</v>
      </c>
      <c r="R1834" s="8" t="e">
        <f>VLOOKUP(Table1[[#This Row],[Address B]],IP_Master[],4,FALSE)</f>
        <v>#N/A</v>
      </c>
      <c r="S1834" s="8" t="e">
        <f>VLOOKUP(Table1[[#This Row],[Address A]],IP_Master[],2,FALSE)</f>
        <v>#N/A</v>
      </c>
      <c r="T1834" s="8" t="e">
        <f>VLOOKUP(Table1[[#This Row],[Address B]],IP_Master[],2,FALSE)</f>
        <v>#N/A</v>
      </c>
      <c r="U1834" s="9" t="e">
        <f>VLOOKUP(Table1[[#This Row],[Address A]],IP_Master[],3,FALSE)</f>
        <v>#N/A</v>
      </c>
      <c r="V1834" s="9" t="e">
        <f>VLOOKUP(Table1[[#This Row],[Address B]],IP_Master[],3,FALSE)</f>
        <v>#N/A</v>
      </c>
      <c r="W1834" s="9" t="str">
        <f>VLOOKUP(Table1[[#This Row],[Port B]],traffic_types[],2,FALSE)</f>
        <v>HTTP/S</v>
      </c>
    </row>
    <row r="1835" spans="1:23" hidden="1" x14ac:dyDescent="0.6">
      <c r="A1835" t="s">
        <v>224</v>
      </c>
      <c r="B1835">
        <v>59950</v>
      </c>
      <c r="C1835" t="s">
        <v>267</v>
      </c>
      <c r="D1835">
        <v>40028</v>
      </c>
      <c r="E1835">
        <v>3</v>
      </c>
      <c r="F1835">
        <v>194</v>
      </c>
      <c r="G1835">
        <v>3</v>
      </c>
      <c r="H1835">
        <v>194</v>
      </c>
      <c r="I1835">
        <v>0</v>
      </c>
      <c r="J1835">
        <v>0</v>
      </c>
      <c r="K1835">
        <v>118.13345</v>
      </c>
      <c r="L1835">
        <v>9.0010820000000002</v>
      </c>
      <c r="M1835">
        <v>172.42371528222901</v>
      </c>
      <c r="N1835">
        <v>0</v>
      </c>
      <c r="O1835" s="8" t="str">
        <f>formatIP(Table1[[#This Row],[Address A]])</f>
        <v>192.168.100.002</v>
      </c>
      <c r="P1835" s="8" t="str">
        <f>formatIP(Table1[[#This Row],[Address B]])</f>
        <v>064.004.023.140</v>
      </c>
      <c r="Q1835" s="8" t="e">
        <f>VLOOKUP(Table1[[#This Row],[Address A]],IP_Master[],4,FALSE)</f>
        <v>#N/A</v>
      </c>
      <c r="R1835" s="8" t="e">
        <f>VLOOKUP(Table1[[#This Row],[Address B]],IP_Master[],4,FALSE)</f>
        <v>#N/A</v>
      </c>
      <c r="S1835" s="8" t="e">
        <f>VLOOKUP(Table1[[#This Row],[Address A]],IP_Master[],2,FALSE)</f>
        <v>#N/A</v>
      </c>
      <c r="T1835" s="8" t="e">
        <f>VLOOKUP(Table1[[#This Row],[Address B]],IP_Master[],2,FALSE)</f>
        <v>#N/A</v>
      </c>
      <c r="U1835" s="9" t="e">
        <f>VLOOKUP(Table1[[#This Row],[Address A]],IP_Master[],3,FALSE)</f>
        <v>#N/A</v>
      </c>
      <c r="V1835" s="9" t="e">
        <f>VLOOKUP(Table1[[#This Row],[Address B]],IP_Master[],3,FALSE)</f>
        <v>#N/A</v>
      </c>
      <c r="W1835" s="9" t="e">
        <f>VLOOKUP(Table1[[#This Row],[Port B]],traffic_types[],2,FALSE)</f>
        <v>#N/A</v>
      </c>
    </row>
    <row r="1836" spans="1:23" x14ac:dyDescent="0.6">
      <c r="A1836" t="s">
        <v>224</v>
      </c>
      <c r="B1836">
        <v>59951</v>
      </c>
      <c r="C1836" t="s">
        <v>266</v>
      </c>
      <c r="D1836">
        <v>443</v>
      </c>
      <c r="E1836">
        <v>3</v>
      </c>
      <c r="F1836">
        <v>194</v>
      </c>
      <c r="G1836">
        <v>3</v>
      </c>
      <c r="H1836">
        <v>194</v>
      </c>
      <c r="I1836">
        <v>0</v>
      </c>
      <c r="J1836">
        <v>0</v>
      </c>
      <c r="K1836">
        <v>118.72297500000001</v>
      </c>
      <c r="L1836">
        <v>9.0015610000000006</v>
      </c>
      <c r="M1836">
        <v>172.41454010032299</v>
      </c>
      <c r="N1836">
        <v>0</v>
      </c>
      <c r="O1836" s="8" t="str">
        <f>formatIP(Table1[[#This Row],[Address A]])</f>
        <v>192.168.100.002</v>
      </c>
      <c r="P1836" s="8" t="str">
        <f>formatIP(Table1[[#This Row],[Address B]])</f>
        <v>157.055.056.145</v>
      </c>
      <c r="Q1836" s="8" t="e">
        <f>VLOOKUP(Table1[[#This Row],[Address A]],IP_Master[],4,FALSE)</f>
        <v>#N/A</v>
      </c>
      <c r="R1836" s="8" t="e">
        <f>VLOOKUP(Table1[[#This Row],[Address B]],IP_Master[],4,FALSE)</f>
        <v>#N/A</v>
      </c>
      <c r="S1836" s="8" t="e">
        <f>VLOOKUP(Table1[[#This Row],[Address A]],IP_Master[],2,FALSE)</f>
        <v>#N/A</v>
      </c>
      <c r="T1836" s="8" t="e">
        <f>VLOOKUP(Table1[[#This Row],[Address B]],IP_Master[],2,FALSE)</f>
        <v>#N/A</v>
      </c>
      <c r="U1836" s="9" t="e">
        <f>VLOOKUP(Table1[[#This Row],[Address A]],IP_Master[],3,FALSE)</f>
        <v>#N/A</v>
      </c>
      <c r="V1836" s="9" t="e">
        <f>VLOOKUP(Table1[[#This Row],[Address B]],IP_Master[],3,FALSE)</f>
        <v>#N/A</v>
      </c>
      <c r="W1836" s="9" t="str">
        <f>VLOOKUP(Table1[[#This Row],[Port B]],traffic_types[],2,FALSE)</f>
        <v>HTTP/S</v>
      </c>
    </row>
    <row r="1837" spans="1:23" x14ac:dyDescent="0.6">
      <c r="A1837" t="s">
        <v>224</v>
      </c>
      <c r="B1837">
        <v>59952</v>
      </c>
      <c r="C1837" t="s">
        <v>232</v>
      </c>
      <c r="D1837">
        <v>443</v>
      </c>
      <c r="E1837">
        <v>3</v>
      </c>
      <c r="F1837">
        <v>194</v>
      </c>
      <c r="G1837">
        <v>3</v>
      </c>
      <c r="H1837">
        <v>194</v>
      </c>
      <c r="I1837">
        <v>0</v>
      </c>
      <c r="J1837">
        <v>0</v>
      </c>
      <c r="K1837">
        <v>118.803809</v>
      </c>
      <c r="L1837">
        <v>9.0007359999999998</v>
      </c>
      <c r="M1837">
        <v>172.43034347413399</v>
      </c>
      <c r="N1837">
        <v>0</v>
      </c>
      <c r="O1837" s="8" t="str">
        <f>formatIP(Table1[[#This Row],[Address A]])</f>
        <v>192.168.100.002</v>
      </c>
      <c r="P1837" s="8" t="str">
        <f>formatIP(Table1[[#This Row],[Address B]])</f>
        <v>103.043.075.140</v>
      </c>
      <c r="Q1837" s="8" t="e">
        <f>VLOOKUP(Table1[[#This Row],[Address A]],IP_Master[],4,FALSE)</f>
        <v>#N/A</v>
      </c>
      <c r="R1837" s="8" t="e">
        <f>VLOOKUP(Table1[[#This Row],[Address B]],IP_Master[],4,FALSE)</f>
        <v>#N/A</v>
      </c>
      <c r="S1837" s="8" t="e">
        <f>VLOOKUP(Table1[[#This Row],[Address A]],IP_Master[],2,FALSE)</f>
        <v>#N/A</v>
      </c>
      <c r="T1837" s="8" t="e">
        <f>VLOOKUP(Table1[[#This Row],[Address B]],IP_Master[],2,FALSE)</f>
        <v>#N/A</v>
      </c>
      <c r="U1837" s="9" t="e">
        <f>VLOOKUP(Table1[[#This Row],[Address A]],IP_Master[],3,FALSE)</f>
        <v>#N/A</v>
      </c>
      <c r="V1837" s="9" t="e">
        <f>VLOOKUP(Table1[[#This Row],[Address B]],IP_Master[],3,FALSE)</f>
        <v>#N/A</v>
      </c>
      <c r="W1837" s="9" t="str">
        <f>VLOOKUP(Table1[[#This Row],[Port B]],traffic_types[],2,FALSE)</f>
        <v>HTTP/S</v>
      </c>
    </row>
    <row r="1838" spans="1:23" x14ac:dyDescent="0.6">
      <c r="A1838" t="s">
        <v>224</v>
      </c>
      <c r="B1838">
        <v>59953</v>
      </c>
      <c r="C1838" t="s">
        <v>265</v>
      </c>
      <c r="D1838">
        <v>80</v>
      </c>
      <c r="E1838">
        <v>3</v>
      </c>
      <c r="F1838">
        <v>194</v>
      </c>
      <c r="G1838">
        <v>3</v>
      </c>
      <c r="H1838">
        <v>194</v>
      </c>
      <c r="I1838">
        <v>0</v>
      </c>
      <c r="J1838">
        <v>0</v>
      </c>
      <c r="K1838">
        <v>119.323106</v>
      </c>
      <c r="L1838">
        <v>9.0014940000000099</v>
      </c>
      <c r="M1838">
        <v>172.415823417757</v>
      </c>
      <c r="N1838">
        <v>0</v>
      </c>
      <c r="O1838" s="8" t="str">
        <f>formatIP(Table1[[#This Row],[Address A]])</f>
        <v>192.168.100.002</v>
      </c>
      <c r="P1838" s="8" t="str">
        <f>formatIP(Table1[[#This Row],[Address B]])</f>
        <v>157.055.235.167</v>
      </c>
      <c r="Q1838" s="8" t="e">
        <f>VLOOKUP(Table1[[#This Row],[Address A]],IP_Master[],4,FALSE)</f>
        <v>#N/A</v>
      </c>
      <c r="R1838" s="8" t="e">
        <f>VLOOKUP(Table1[[#This Row],[Address B]],IP_Master[],4,FALSE)</f>
        <v>#N/A</v>
      </c>
      <c r="S1838" s="8" t="e">
        <f>VLOOKUP(Table1[[#This Row],[Address A]],IP_Master[],2,FALSE)</f>
        <v>#N/A</v>
      </c>
      <c r="T1838" s="8" t="e">
        <f>VLOOKUP(Table1[[#This Row],[Address B]],IP_Master[],2,FALSE)</f>
        <v>#N/A</v>
      </c>
      <c r="U1838" s="9" t="e">
        <f>VLOOKUP(Table1[[#This Row],[Address A]],IP_Master[],3,FALSE)</f>
        <v>#N/A</v>
      </c>
      <c r="V1838" s="9" t="e">
        <f>VLOOKUP(Table1[[#This Row],[Address B]],IP_Master[],3,FALSE)</f>
        <v>#N/A</v>
      </c>
      <c r="W1838" s="9" t="str">
        <f>VLOOKUP(Table1[[#This Row],[Port B]],traffic_types[],2,FALSE)</f>
        <v>HTTP</v>
      </c>
    </row>
    <row r="1839" spans="1:23" x14ac:dyDescent="0.6">
      <c r="A1839" t="s">
        <v>224</v>
      </c>
      <c r="B1839">
        <v>59954</v>
      </c>
      <c r="C1839" t="s">
        <v>267</v>
      </c>
      <c r="D1839">
        <v>443</v>
      </c>
      <c r="E1839">
        <v>3</v>
      </c>
      <c r="F1839">
        <v>194</v>
      </c>
      <c r="G1839">
        <v>3</v>
      </c>
      <c r="H1839">
        <v>194</v>
      </c>
      <c r="I1839">
        <v>0</v>
      </c>
      <c r="J1839">
        <v>0</v>
      </c>
      <c r="K1839">
        <v>119.762102</v>
      </c>
      <c r="L1839">
        <v>9.0000119999999999</v>
      </c>
      <c r="M1839">
        <v>172.44421451882499</v>
      </c>
      <c r="N1839">
        <v>0</v>
      </c>
      <c r="O1839" s="8" t="str">
        <f>formatIP(Table1[[#This Row],[Address A]])</f>
        <v>192.168.100.002</v>
      </c>
      <c r="P1839" s="8" t="str">
        <f>formatIP(Table1[[#This Row],[Address B]])</f>
        <v>064.004.023.140</v>
      </c>
      <c r="Q1839" s="8" t="e">
        <f>VLOOKUP(Table1[[#This Row],[Address A]],IP_Master[],4,FALSE)</f>
        <v>#N/A</v>
      </c>
      <c r="R1839" s="8" t="e">
        <f>VLOOKUP(Table1[[#This Row],[Address B]],IP_Master[],4,FALSE)</f>
        <v>#N/A</v>
      </c>
      <c r="S1839" s="8" t="e">
        <f>VLOOKUP(Table1[[#This Row],[Address A]],IP_Master[],2,FALSE)</f>
        <v>#N/A</v>
      </c>
      <c r="T1839" s="8" t="e">
        <f>VLOOKUP(Table1[[#This Row],[Address B]],IP_Master[],2,FALSE)</f>
        <v>#N/A</v>
      </c>
      <c r="U1839" s="9" t="e">
        <f>VLOOKUP(Table1[[#This Row],[Address A]],IP_Master[],3,FALSE)</f>
        <v>#N/A</v>
      </c>
      <c r="V1839" s="9" t="e">
        <f>VLOOKUP(Table1[[#This Row],[Address B]],IP_Master[],3,FALSE)</f>
        <v>#N/A</v>
      </c>
      <c r="W1839" s="9" t="str">
        <f>VLOOKUP(Table1[[#This Row],[Port B]],traffic_types[],2,FALSE)</f>
        <v>HTTP/S</v>
      </c>
    </row>
    <row r="1840" spans="1:23" hidden="1" x14ac:dyDescent="0.6">
      <c r="A1840" t="s">
        <v>224</v>
      </c>
      <c r="B1840">
        <v>59955</v>
      </c>
      <c r="C1840" t="s">
        <v>268</v>
      </c>
      <c r="D1840">
        <v>40024</v>
      </c>
      <c r="E1840">
        <v>3</v>
      </c>
      <c r="F1840">
        <v>194</v>
      </c>
      <c r="G1840">
        <v>3</v>
      </c>
      <c r="H1840">
        <v>194</v>
      </c>
      <c r="I1840">
        <v>0</v>
      </c>
      <c r="J1840">
        <v>0</v>
      </c>
      <c r="K1840">
        <v>120.213461</v>
      </c>
      <c r="L1840">
        <v>9.0009420000000109</v>
      </c>
      <c r="M1840">
        <v>172.42639714820899</v>
      </c>
      <c r="N1840">
        <v>0</v>
      </c>
      <c r="O1840" s="8" t="str">
        <f>formatIP(Table1[[#This Row],[Address A]])</f>
        <v>192.168.100.002</v>
      </c>
      <c r="P1840" s="8" t="str">
        <f>formatIP(Table1[[#This Row],[Address B]])</f>
        <v>157.055.235.165</v>
      </c>
      <c r="Q1840" s="8" t="e">
        <f>VLOOKUP(Table1[[#This Row],[Address A]],IP_Master[],4,FALSE)</f>
        <v>#N/A</v>
      </c>
      <c r="R1840" s="8" t="e">
        <f>VLOOKUP(Table1[[#This Row],[Address B]],IP_Master[],4,FALSE)</f>
        <v>#N/A</v>
      </c>
      <c r="S1840" s="8" t="e">
        <f>VLOOKUP(Table1[[#This Row],[Address A]],IP_Master[],2,FALSE)</f>
        <v>#N/A</v>
      </c>
      <c r="T1840" s="8" t="e">
        <f>VLOOKUP(Table1[[#This Row],[Address B]],IP_Master[],2,FALSE)</f>
        <v>#N/A</v>
      </c>
      <c r="U1840" s="9" t="e">
        <f>VLOOKUP(Table1[[#This Row],[Address A]],IP_Master[],3,FALSE)</f>
        <v>#N/A</v>
      </c>
      <c r="V1840" s="9" t="e">
        <f>VLOOKUP(Table1[[#This Row],[Address B]],IP_Master[],3,FALSE)</f>
        <v>#N/A</v>
      </c>
      <c r="W1840" s="9" t="e">
        <f>VLOOKUP(Table1[[#This Row],[Port B]],traffic_types[],2,FALSE)</f>
        <v>#N/A</v>
      </c>
    </row>
    <row r="1841" spans="1:23" x14ac:dyDescent="0.6">
      <c r="A1841" t="s">
        <v>224</v>
      </c>
      <c r="B1841">
        <v>59956</v>
      </c>
      <c r="C1841" t="s">
        <v>266</v>
      </c>
      <c r="D1841">
        <v>80</v>
      </c>
      <c r="E1841">
        <v>3</v>
      </c>
      <c r="F1841">
        <v>194</v>
      </c>
      <c r="G1841">
        <v>3</v>
      </c>
      <c r="H1841">
        <v>194</v>
      </c>
      <c r="I1841">
        <v>0</v>
      </c>
      <c r="J1841">
        <v>0</v>
      </c>
      <c r="K1841">
        <v>120.333144</v>
      </c>
      <c r="L1841">
        <v>9.0013419999999904</v>
      </c>
      <c r="M1841">
        <v>172.41873489530801</v>
      </c>
      <c r="N1841">
        <v>0</v>
      </c>
      <c r="O1841" s="8" t="str">
        <f>formatIP(Table1[[#This Row],[Address A]])</f>
        <v>192.168.100.002</v>
      </c>
      <c r="P1841" s="8" t="str">
        <f>formatIP(Table1[[#This Row],[Address B]])</f>
        <v>157.055.056.145</v>
      </c>
      <c r="Q1841" s="8" t="e">
        <f>VLOOKUP(Table1[[#This Row],[Address A]],IP_Master[],4,FALSE)</f>
        <v>#N/A</v>
      </c>
      <c r="R1841" s="8" t="e">
        <f>VLOOKUP(Table1[[#This Row],[Address B]],IP_Master[],4,FALSE)</f>
        <v>#N/A</v>
      </c>
      <c r="S1841" s="8" t="e">
        <f>VLOOKUP(Table1[[#This Row],[Address A]],IP_Master[],2,FALSE)</f>
        <v>#N/A</v>
      </c>
      <c r="T1841" s="8" t="e">
        <f>VLOOKUP(Table1[[#This Row],[Address B]],IP_Master[],2,FALSE)</f>
        <v>#N/A</v>
      </c>
      <c r="U1841" s="9" t="e">
        <f>VLOOKUP(Table1[[#This Row],[Address A]],IP_Master[],3,FALSE)</f>
        <v>#N/A</v>
      </c>
      <c r="V1841" s="9" t="e">
        <f>VLOOKUP(Table1[[#This Row],[Address B]],IP_Master[],3,FALSE)</f>
        <v>#N/A</v>
      </c>
      <c r="W1841" s="9" t="str">
        <f>VLOOKUP(Table1[[#This Row],[Port B]],traffic_types[],2,FALSE)</f>
        <v>HTTP</v>
      </c>
    </row>
    <row r="1842" spans="1:23" x14ac:dyDescent="0.6">
      <c r="A1842" t="s">
        <v>224</v>
      </c>
      <c r="B1842">
        <v>59957</v>
      </c>
      <c r="C1842" t="s">
        <v>232</v>
      </c>
      <c r="D1842">
        <v>80</v>
      </c>
      <c r="E1842">
        <v>3</v>
      </c>
      <c r="F1842">
        <v>194</v>
      </c>
      <c r="G1842">
        <v>3</v>
      </c>
      <c r="H1842">
        <v>194</v>
      </c>
      <c r="I1842">
        <v>0</v>
      </c>
      <c r="J1842">
        <v>0</v>
      </c>
      <c r="K1842">
        <v>120.80375100000001</v>
      </c>
      <c r="L1842">
        <v>9.0011749999999893</v>
      </c>
      <c r="M1842">
        <v>172.421933803087</v>
      </c>
      <c r="N1842">
        <v>0</v>
      </c>
      <c r="O1842" s="8" t="str">
        <f>formatIP(Table1[[#This Row],[Address A]])</f>
        <v>192.168.100.002</v>
      </c>
      <c r="P1842" s="8" t="str">
        <f>formatIP(Table1[[#This Row],[Address B]])</f>
        <v>103.043.075.140</v>
      </c>
      <c r="Q1842" s="8" t="e">
        <f>VLOOKUP(Table1[[#This Row],[Address A]],IP_Master[],4,FALSE)</f>
        <v>#N/A</v>
      </c>
      <c r="R1842" s="8" t="e">
        <f>VLOOKUP(Table1[[#This Row],[Address B]],IP_Master[],4,FALSE)</f>
        <v>#N/A</v>
      </c>
      <c r="S1842" s="8" t="e">
        <f>VLOOKUP(Table1[[#This Row],[Address A]],IP_Master[],2,FALSE)</f>
        <v>#N/A</v>
      </c>
      <c r="T1842" s="8" t="e">
        <f>VLOOKUP(Table1[[#This Row],[Address B]],IP_Master[],2,FALSE)</f>
        <v>#N/A</v>
      </c>
      <c r="U1842" s="9" t="e">
        <f>VLOOKUP(Table1[[#This Row],[Address A]],IP_Master[],3,FALSE)</f>
        <v>#N/A</v>
      </c>
      <c r="V1842" s="9" t="e">
        <f>VLOOKUP(Table1[[#This Row],[Address B]],IP_Master[],3,FALSE)</f>
        <v>#N/A</v>
      </c>
      <c r="W1842" s="9" t="str">
        <f>VLOOKUP(Table1[[#This Row],[Port B]],traffic_types[],2,FALSE)</f>
        <v>HTTP</v>
      </c>
    </row>
    <row r="1843" spans="1:23" x14ac:dyDescent="0.6">
      <c r="A1843" t="s">
        <v>224</v>
      </c>
      <c r="B1843">
        <v>59958</v>
      </c>
      <c r="C1843" t="s">
        <v>267</v>
      </c>
      <c r="D1843">
        <v>80</v>
      </c>
      <c r="E1843">
        <v>3</v>
      </c>
      <c r="F1843">
        <v>194</v>
      </c>
      <c r="G1843">
        <v>3</v>
      </c>
      <c r="H1843">
        <v>194</v>
      </c>
      <c r="I1843">
        <v>0</v>
      </c>
      <c r="J1843">
        <v>0</v>
      </c>
      <c r="K1843">
        <v>121.36287900000001</v>
      </c>
      <c r="L1843">
        <v>9.0016459999999796</v>
      </c>
      <c r="M1843">
        <v>172.412912038532</v>
      </c>
      <c r="N1843">
        <v>0</v>
      </c>
      <c r="O1843" s="8" t="str">
        <f>formatIP(Table1[[#This Row],[Address A]])</f>
        <v>192.168.100.002</v>
      </c>
      <c r="P1843" s="8" t="str">
        <f>formatIP(Table1[[#This Row],[Address B]])</f>
        <v>064.004.023.140</v>
      </c>
      <c r="Q1843" s="8" t="e">
        <f>VLOOKUP(Table1[[#This Row],[Address A]],IP_Master[],4,FALSE)</f>
        <v>#N/A</v>
      </c>
      <c r="R1843" s="8" t="e">
        <f>VLOOKUP(Table1[[#This Row],[Address B]],IP_Master[],4,FALSE)</f>
        <v>#N/A</v>
      </c>
      <c r="S1843" s="8" t="e">
        <f>VLOOKUP(Table1[[#This Row],[Address A]],IP_Master[],2,FALSE)</f>
        <v>#N/A</v>
      </c>
      <c r="T1843" s="8" t="e">
        <f>VLOOKUP(Table1[[#This Row],[Address B]],IP_Master[],2,FALSE)</f>
        <v>#N/A</v>
      </c>
      <c r="U1843" s="9" t="e">
        <f>VLOOKUP(Table1[[#This Row],[Address A]],IP_Master[],3,FALSE)</f>
        <v>#N/A</v>
      </c>
      <c r="V1843" s="9" t="e">
        <f>VLOOKUP(Table1[[#This Row],[Address B]],IP_Master[],3,FALSE)</f>
        <v>#N/A</v>
      </c>
      <c r="W1843" s="9" t="str">
        <f>VLOOKUP(Table1[[#This Row],[Port B]],traffic_types[],2,FALSE)</f>
        <v>HTTP</v>
      </c>
    </row>
    <row r="1844" spans="1:23" x14ac:dyDescent="0.6">
      <c r="A1844" t="s">
        <v>224</v>
      </c>
      <c r="B1844">
        <v>59959</v>
      </c>
      <c r="C1844" t="s">
        <v>268</v>
      </c>
      <c r="D1844">
        <v>443</v>
      </c>
      <c r="E1844">
        <v>3</v>
      </c>
      <c r="F1844">
        <v>194</v>
      </c>
      <c r="G1844">
        <v>3</v>
      </c>
      <c r="H1844">
        <v>194</v>
      </c>
      <c r="I1844">
        <v>0</v>
      </c>
      <c r="J1844">
        <v>0</v>
      </c>
      <c r="K1844">
        <v>121.82393399999999</v>
      </c>
      <c r="L1844">
        <v>9.0005540000000099</v>
      </c>
      <c r="M1844">
        <v>172.433830184231</v>
      </c>
      <c r="N1844">
        <v>0</v>
      </c>
      <c r="O1844" s="8" t="str">
        <f>formatIP(Table1[[#This Row],[Address A]])</f>
        <v>192.168.100.002</v>
      </c>
      <c r="P1844" s="8" t="str">
        <f>formatIP(Table1[[#This Row],[Address B]])</f>
        <v>157.055.235.165</v>
      </c>
      <c r="Q1844" s="8" t="e">
        <f>VLOOKUP(Table1[[#This Row],[Address A]],IP_Master[],4,FALSE)</f>
        <v>#N/A</v>
      </c>
      <c r="R1844" s="8" t="e">
        <f>VLOOKUP(Table1[[#This Row],[Address B]],IP_Master[],4,FALSE)</f>
        <v>#N/A</v>
      </c>
      <c r="S1844" s="8" t="e">
        <f>VLOOKUP(Table1[[#This Row],[Address A]],IP_Master[],2,FALSE)</f>
        <v>#N/A</v>
      </c>
      <c r="T1844" s="8" t="e">
        <f>VLOOKUP(Table1[[#This Row],[Address B]],IP_Master[],2,FALSE)</f>
        <v>#N/A</v>
      </c>
      <c r="U1844" s="9" t="e">
        <f>VLOOKUP(Table1[[#This Row],[Address A]],IP_Master[],3,FALSE)</f>
        <v>#N/A</v>
      </c>
      <c r="V1844" s="9" t="e">
        <f>VLOOKUP(Table1[[#This Row],[Address B]],IP_Master[],3,FALSE)</f>
        <v>#N/A</v>
      </c>
      <c r="W1844" s="9" t="str">
        <f>VLOOKUP(Table1[[#This Row],[Port B]],traffic_types[],2,FALSE)</f>
        <v>HTTP/S</v>
      </c>
    </row>
    <row r="1845" spans="1:23" hidden="1" x14ac:dyDescent="0.6">
      <c r="A1845" t="s">
        <v>224</v>
      </c>
      <c r="B1845">
        <v>59960</v>
      </c>
      <c r="C1845" t="s">
        <v>269</v>
      </c>
      <c r="D1845">
        <v>40031</v>
      </c>
      <c r="E1845">
        <v>3</v>
      </c>
      <c r="F1845">
        <v>194</v>
      </c>
      <c r="G1845">
        <v>3</v>
      </c>
      <c r="H1845">
        <v>194</v>
      </c>
      <c r="I1845">
        <v>0</v>
      </c>
      <c r="J1845">
        <v>0</v>
      </c>
      <c r="K1845">
        <v>123.24448599999999</v>
      </c>
      <c r="L1845">
        <v>9.0010130000000004</v>
      </c>
      <c r="M1845">
        <v>172.425037048608</v>
      </c>
      <c r="N1845">
        <v>0</v>
      </c>
      <c r="O1845" s="8" t="str">
        <f>formatIP(Table1[[#This Row],[Address A]])</f>
        <v>192.168.100.002</v>
      </c>
      <c r="P1845" s="8" t="str">
        <f>formatIP(Table1[[#This Row],[Address B]])</f>
        <v>064.004.023.146</v>
      </c>
      <c r="Q1845" s="8" t="e">
        <f>VLOOKUP(Table1[[#This Row],[Address A]],IP_Master[],4,FALSE)</f>
        <v>#N/A</v>
      </c>
      <c r="R1845" s="8" t="e">
        <f>VLOOKUP(Table1[[#This Row],[Address B]],IP_Master[],4,FALSE)</f>
        <v>#N/A</v>
      </c>
      <c r="S1845" s="8" t="e">
        <f>VLOOKUP(Table1[[#This Row],[Address A]],IP_Master[],2,FALSE)</f>
        <v>#N/A</v>
      </c>
      <c r="T1845" s="8" t="e">
        <f>VLOOKUP(Table1[[#This Row],[Address B]],IP_Master[],2,FALSE)</f>
        <v>#N/A</v>
      </c>
      <c r="U1845" s="9" t="e">
        <f>VLOOKUP(Table1[[#This Row],[Address A]],IP_Master[],3,FALSE)</f>
        <v>#N/A</v>
      </c>
      <c r="V1845" s="9" t="e">
        <f>VLOOKUP(Table1[[#This Row],[Address B]],IP_Master[],3,FALSE)</f>
        <v>#N/A</v>
      </c>
      <c r="W1845" s="9" t="e">
        <f>VLOOKUP(Table1[[#This Row],[Port B]],traffic_types[],2,FALSE)</f>
        <v>#N/A</v>
      </c>
    </row>
    <row r="1846" spans="1:23" x14ac:dyDescent="0.6">
      <c r="A1846" t="s">
        <v>224</v>
      </c>
      <c r="B1846">
        <v>59961</v>
      </c>
      <c r="C1846" t="s">
        <v>268</v>
      </c>
      <c r="D1846">
        <v>80</v>
      </c>
      <c r="E1846">
        <v>3</v>
      </c>
      <c r="F1846">
        <v>194</v>
      </c>
      <c r="G1846">
        <v>3</v>
      </c>
      <c r="H1846">
        <v>194</v>
      </c>
      <c r="I1846">
        <v>0</v>
      </c>
      <c r="J1846">
        <v>0</v>
      </c>
      <c r="K1846">
        <v>123.433792</v>
      </c>
      <c r="L1846">
        <v>9.0017299999999896</v>
      </c>
      <c r="M1846">
        <v>172.41130316061501</v>
      </c>
      <c r="N1846">
        <v>0</v>
      </c>
      <c r="O1846" s="8" t="str">
        <f>formatIP(Table1[[#This Row],[Address A]])</f>
        <v>192.168.100.002</v>
      </c>
      <c r="P1846" s="8" t="str">
        <f>formatIP(Table1[[#This Row],[Address B]])</f>
        <v>157.055.235.165</v>
      </c>
      <c r="Q1846" s="8" t="e">
        <f>VLOOKUP(Table1[[#This Row],[Address A]],IP_Master[],4,FALSE)</f>
        <v>#N/A</v>
      </c>
      <c r="R1846" s="8" t="e">
        <f>VLOOKUP(Table1[[#This Row],[Address B]],IP_Master[],4,FALSE)</f>
        <v>#N/A</v>
      </c>
      <c r="S1846" s="8" t="e">
        <f>VLOOKUP(Table1[[#This Row],[Address A]],IP_Master[],2,FALSE)</f>
        <v>#N/A</v>
      </c>
      <c r="T1846" s="8" t="e">
        <f>VLOOKUP(Table1[[#This Row],[Address B]],IP_Master[],2,FALSE)</f>
        <v>#N/A</v>
      </c>
      <c r="U1846" s="9" t="e">
        <f>VLOOKUP(Table1[[#This Row],[Address A]],IP_Master[],3,FALSE)</f>
        <v>#N/A</v>
      </c>
      <c r="V1846" s="9" t="e">
        <f>VLOOKUP(Table1[[#This Row],[Address B]],IP_Master[],3,FALSE)</f>
        <v>#N/A</v>
      </c>
      <c r="W1846" s="9" t="str">
        <f>VLOOKUP(Table1[[#This Row],[Port B]],traffic_types[],2,FALSE)</f>
        <v>HTTP</v>
      </c>
    </row>
    <row r="1847" spans="1:23" hidden="1" x14ac:dyDescent="0.6">
      <c r="A1847" t="s">
        <v>224</v>
      </c>
      <c r="B1847">
        <v>59962</v>
      </c>
      <c r="C1847" t="s">
        <v>270</v>
      </c>
      <c r="D1847">
        <v>12350</v>
      </c>
      <c r="E1847">
        <v>3</v>
      </c>
      <c r="F1847">
        <v>194</v>
      </c>
      <c r="G1847">
        <v>3</v>
      </c>
      <c r="H1847">
        <v>194</v>
      </c>
      <c r="I1847">
        <v>0</v>
      </c>
      <c r="J1847">
        <v>0</v>
      </c>
      <c r="K1847">
        <v>124.743781</v>
      </c>
      <c r="L1847">
        <v>8.9716069999999899</v>
      </c>
      <c r="M1847">
        <v>172.990190051794</v>
      </c>
      <c r="N1847">
        <v>0</v>
      </c>
      <c r="O1847" s="8" t="str">
        <f>formatIP(Table1[[#This Row],[Address A]])</f>
        <v>192.168.100.002</v>
      </c>
      <c r="P1847" s="8" t="str">
        <f>formatIP(Table1[[#This Row],[Address B]])</f>
        <v>091.190.218.064</v>
      </c>
      <c r="Q1847" s="8" t="e">
        <f>VLOOKUP(Table1[[#This Row],[Address A]],IP_Master[],4,FALSE)</f>
        <v>#N/A</v>
      </c>
      <c r="R1847" s="8" t="e">
        <f>VLOOKUP(Table1[[#This Row],[Address B]],IP_Master[],4,FALSE)</f>
        <v>#N/A</v>
      </c>
      <c r="S1847" s="8" t="e">
        <f>VLOOKUP(Table1[[#This Row],[Address A]],IP_Master[],2,FALSE)</f>
        <v>#N/A</v>
      </c>
      <c r="T1847" s="8" t="e">
        <f>VLOOKUP(Table1[[#This Row],[Address B]],IP_Master[],2,FALSE)</f>
        <v>#N/A</v>
      </c>
      <c r="U1847" s="9" t="e">
        <f>VLOOKUP(Table1[[#This Row],[Address A]],IP_Master[],3,FALSE)</f>
        <v>#N/A</v>
      </c>
      <c r="V1847" s="9" t="e">
        <f>VLOOKUP(Table1[[#This Row],[Address B]],IP_Master[],3,FALSE)</f>
        <v>#N/A</v>
      </c>
      <c r="W1847" s="9" t="e">
        <f>VLOOKUP(Table1[[#This Row],[Port B]],traffic_types[],2,FALSE)</f>
        <v>#N/A</v>
      </c>
    </row>
    <row r="1848" spans="1:23" x14ac:dyDescent="0.6">
      <c r="A1848" t="s">
        <v>224</v>
      </c>
      <c r="B1848">
        <v>59963</v>
      </c>
      <c r="C1848" t="s">
        <v>269</v>
      </c>
      <c r="D1848">
        <v>443</v>
      </c>
      <c r="E1848">
        <v>3</v>
      </c>
      <c r="F1848">
        <v>194</v>
      </c>
      <c r="G1848">
        <v>3</v>
      </c>
      <c r="H1848">
        <v>194</v>
      </c>
      <c r="I1848">
        <v>0</v>
      </c>
      <c r="J1848">
        <v>0</v>
      </c>
      <c r="K1848">
        <v>124.863923</v>
      </c>
      <c r="L1848">
        <v>8.9915669999999999</v>
      </c>
      <c r="M1848">
        <v>172.60617643176101</v>
      </c>
      <c r="N1848">
        <v>0</v>
      </c>
      <c r="O1848" s="8" t="str">
        <f>formatIP(Table1[[#This Row],[Address A]])</f>
        <v>192.168.100.002</v>
      </c>
      <c r="P1848" s="8" t="str">
        <f>formatIP(Table1[[#This Row],[Address B]])</f>
        <v>064.004.023.146</v>
      </c>
      <c r="Q1848" s="8" t="e">
        <f>VLOOKUP(Table1[[#This Row],[Address A]],IP_Master[],4,FALSE)</f>
        <v>#N/A</v>
      </c>
      <c r="R1848" s="8" t="e">
        <f>VLOOKUP(Table1[[#This Row],[Address B]],IP_Master[],4,FALSE)</f>
        <v>#N/A</v>
      </c>
      <c r="S1848" s="8" t="e">
        <f>VLOOKUP(Table1[[#This Row],[Address A]],IP_Master[],2,FALSE)</f>
        <v>#N/A</v>
      </c>
      <c r="T1848" s="8" t="e">
        <f>VLOOKUP(Table1[[#This Row],[Address B]],IP_Master[],2,FALSE)</f>
        <v>#N/A</v>
      </c>
      <c r="U1848" s="9" t="e">
        <f>VLOOKUP(Table1[[#This Row],[Address A]],IP_Master[],3,FALSE)</f>
        <v>#N/A</v>
      </c>
      <c r="V1848" s="9" t="e">
        <f>VLOOKUP(Table1[[#This Row],[Address B]],IP_Master[],3,FALSE)</f>
        <v>#N/A</v>
      </c>
      <c r="W1848" s="9" t="str">
        <f>VLOOKUP(Table1[[#This Row],[Port B]],traffic_types[],2,FALSE)</f>
        <v>HTTP/S</v>
      </c>
    </row>
    <row r="1849" spans="1:23" hidden="1" x14ac:dyDescent="0.6">
      <c r="A1849" t="s">
        <v>224</v>
      </c>
      <c r="B1849">
        <v>59964</v>
      </c>
      <c r="C1849" t="s">
        <v>271</v>
      </c>
      <c r="D1849">
        <v>40020</v>
      </c>
      <c r="E1849">
        <v>3</v>
      </c>
      <c r="F1849">
        <v>194</v>
      </c>
      <c r="G1849">
        <v>3</v>
      </c>
      <c r="H1849">
        <v>194</v>
      </c>
      <c r="I1849">
        <v>0</v>
      </c>
      <c r="J1849">
        <v>0</v>
      </c>
      <c r="K1849">
        <v>125.26445099999999</v>
      </c>
      <c r="L1849">
        <v>9.0209480000000202</v>
      </c>
      <c r="M1849">
        <v>172.04400247069299</v>
      </c>
      <c r="N1849">
        <v>0</v>
      </c>
      <c r="O1849" s="8" t="str">
        <f>formatIP(Table1[[#This Row],[Address A]])</f>
        <v>192.168.100.002</v>
      </c>
      <c r="P1849" s="8" t="str">
        <f>formatIP(Table1[[#This Row],[Address B]])</f>
        <v>064.004.023.161</v>
      </c>
      <c r="Q1849" s="8" t="e">
        <f>VLOOKUP(Table1[[#This Row],[Address A]],IP_Master[],4,FALSE)</f>
        <v>#N/A</v>
      </c>
      <c r="R1849" s="8" t="e">
        <f>VLOOKUP(Table1[[#This Row],[Address B]],IP_Master[],4,FALSE)</f>
        <v>#N/A</v>
      </c>
      <c r="S1849" s="8" t="e">
        <f>VLOOKUP(Table1[[#This Row],[Address A]],IP_Master[],2,FALSE)</f>
        <v>#N/A</v>
      </c>
      <c r="T1849" s="8" t="e">
        <f>VLOOKUP(Table1[[#This Row],[Address B]],IP_Master[],2,FALSE)</f>
        <v>#N/A</v>
      </c>
      <c r="U1849" s="9" t="e">
        <f>VLOOKUP(Table1[[#This Row],[Address A]],IP_Master[],3,FALSE)</f>
        <v>#N/A</v>
      </c>
      <c r="V1849" s="9" t="e">
        <f>VLOOKUP(Table1[[#This Row],[Address B]],IP_Master[],3,FALSE)</f>
        <v>#N/A</v>
      </c>
      <c r="W1849" s="9" t="e">
        <f>VLOOKUP(Table1[[#This Row],[Port B]],traffic_types[],2,FALSE)</f>
        <v>#N/A</v>
      </c>
    </row>
    <row r="1850" spans="1:23" hidden="1" x14ac:dyDescent="0.6">
      <c r="A1850" t="s">
        <v>224</v>
      </c>
      <c r="B1850">
        <v>59965</v>
      </c>
      <c r="C1850" t="s">
        <v>272</v>
      </c>
      <c r="D1850">
        <v>40005</v>
      </c>
      <c r="E1850">
        <v>3</v>
      </c>
      <c r="F1850">
        <v>194</v>
      </c>
      <c r="G1850">
        <v>3</v>
      </c>
      <c r="H1850">
        <v>194</v>
      </c>
      <c r="I1850">
        <v>0</v>
      </c>
      <c r="J1850">
        <v>0</v>
      </c>
      <c r="K1850">
        <v>126.275519</v>
      </c>
      <c r="L1850">
        <v>9.0292239999999993</v>
      </c>
      <c r="M1850">
        <v>171.88631049578601</v>
      </c>
      <c r="N1850">
        <v>0</v>
      </c>
      <c r="O1850" s="8" t="str">
        <f>formatIP(Table1[[#This Row],[Address A]])</f>
        <v>192.168.100.002</v>
      </c>
      <c r="P1850" s="8" t="str">
        <f>formatIP(Table1[[#This Row],[Address B]])</f>
        <v>111.221.077.148</v>
      </c>
      <c r="Q1850" s="8" t="e">
        <f>VLOOKUP(Table1[[#This Row],[Address A]],IP_Master[],4,FALSE)</f>
        <v>#N/A</v>
      </c>
      <c r="R1850" s="8" t="e">
        <f>VLOOKUP(Table1[[#This Row],[Address B]],IP_Master[],4,FALSE)</f>
        <v>#N/A</v>
      </c>
      <c r="S1850" s="8" t="e">
        <f>VLOOKUP(Table1[[#This Row],[Address A]],IP_Master[],2,FALSE)</f>
        <v>#N/A</v>
      </c>
      <c r="T1850" s="8" t="e">
        <f>VLOOKUP(Table1[[#This Row],[Address B]],IP_Master[],2,FALSE)</f>
        <v>#N/A</v>
      </c>
      <c r="U1850" s="9" t="e">
        <f>VLOOKUP(Table1[[#This Row],[Address A]],IP_Master[],3,FALSE)</f>
        <v>#N/A</v>
      </c>
      <c r="V1850" s="9" t="e">
        <f>VLOOKUP(Table1[[#This Row],[Address B]],IP_Master[],3,FALSE)</f>
        <v>#N/A</v>
      </c>
      <c r="W1850" s="9" t="e">
        <f>VLOOKUP(Table1[[#This Row],[Port B]],traffic_types[],2,FALSE)</f>
        <v>#N/A</v>
      </c>
    </row>
    <row r="1851" spans="1:23" x14ac:dyDescent="0.6">
      <c r="A1851" t="s">
        <v>224</v>
      </c>
      <c r="B1851">
        <v>59966</v>
      </c>
      <c r="C1851" t="s">
        <v>270</v>
      </c>
      <c r="D1851">
        <v>443</v>
      </c>
      <c r="E1851">
        <v>3</v>
      </c>
      <c r="F1851">
        <v>194</v>
      </c>
      <c r="G1851">
        <v>3</v>
      </c>
      <c r="H1851">
        <v>194</v>
      </c>
      <c r="I1851">
        <v>0</v>
      </c>
      <c r="J1851">
        <v>0</v>
      </c>
      <c r="K1851">
        <v>126.32476200000001</v>
      </c>
      <c r="L1851">
        <v>8.9906219999999895</v>
      </c>
      <c r="M1851">
        <v>172.624318984827</v>
      </c>
      <c r="N1851">
        <v>0</v>
      </c>
      <c r="O1851" s="8" t="str">
        <f>formatIP(Table1[[#This Row],[Address A]])</f>
        <v>192.168.100.002</v>
      </c>
      <c r="P1851" s="8" t="str">
        <f>formatIP(Table1[[#This Row],[Address B]])</f>
        <v>091.190.218.064</v>
      </c>
      <c r="Q1851" s="8" t="e">
        <f>VLOOKUP(Table1[[#This Row],[Address A]],IP_Master[],4,FALSE)</f>
        <v>#N/A</v>
      </c>
      <c r="R1851" s="8" t="e">
        <f>VLOOKUP(Table1[[#This Row],[Address B]],IP_Master[],4,FALSE)</f>
        <v>#N/A</v>
      </c>
      <c r="S1851" s="8" t="e">
        <f>VLOOKUP(Table1[[#This Row],[Address A]],IP_Master[],2,FALSE)</f>
        <v>#N/A</v>
      </c>
      <c r="T1851" s="8" t="e">
        <f>VLOOKUP(Table1[[#This Row],[Address B]],IP_Master[],2,FALSE)</f>
        <v>#N/A</v>
      </c>
      <c r="U1851" s="9" t="e">
        <f>VLOOKUP(Table1[[#This Row],[Address A]],IP_Master[],3,FALSE)</f>
        <v>#N/A</v>
      </c>
      <c r="V1851" s="9" t="e">
        <f>VLOOKUP(Table1[[#This Row],[Address B]],IP_Master[],3,FALSE)</f>
        <v>#N/A</v>
      </c>
      <c r="W1851" s="9" t="str">
        <f>VLOOKUP(Table1[[#This Row],[Port B]],traffic_types[],2,FALSE)</f>
        <v>HTTP/S</v>
      </c>
    </row>
    <row r="1852" spans="1:23" x14ac:dyDescent="0.6">
      <c r="A1852" t="s">
        <v>224</v>
      </c>
      <c r="B1852">
        <v>59967</v>
      </c>
      <c r="C1852" t="s">
        <v>269</v>
      </c>
      <c r="D1852">
        <v>80</v>
      </c>
      <c r="E1852">
        <v>3</v>
      </c>
      <c r="F1852">
        <v>194</v>
      </c>
      <c r="G1852">
        <v>3</v>
      </c>
      <c r="H1852">
        <v>194</v>
      </c>
      <c r="I1852">
        <v>0</v>
      </c>
      <c r="J1852">
        <v>0</v>
      </c>
      <c r="K1852">
        <v>126.47482599999999</v>
      </c>
      <c r="L1852">
        <v>8.99062300000001</v>
      </c>
      <c r="M1852">
        <v>172.62429978434201</v>
      </c>
      <c r="N1852">
        <v>0</v>
      </c>
      <c r="O1852" s="8" t="str">
        <f>formatIP(Table1[[#This Row],[Address A]])</f>
        <v>192.168.100.002</v>
      </c>
      <c r="P1852" s="8" t="str">
        <f>formatIP(Table1[[#This Row],[Address B]])</f>
        <v>064.004.023.146</v>
      </c>
      <c r="Q1852" s="8" t="e">
        <f>VLOOKUP(Table1[[#This Row],[Address A]],IP_Master[],4,FALSE)</f>
        <v>#N/A</v>
      </c>
      <c r="R1852" s="8" t="e">
        <f>VLOOKUP(Table1[[#This Row],[Address B]],IP_Master[],4,FALSE)</f>
        <v>#N/A</v>
      </c>
      <c r="S1852" s="8" t="e">
        <f>VLOOKUP(Table1[[#This Row],[Address A]],IP_Master[],2,FALSE)</f>
        <v>#N/A</v>
      </c>
      <c r="T1852" s="8" t="e">
        <f>VLOOKUP(Table1[[#This Row],[Address B]],IP_Master[],2,FALSE)</f>
        <v>#N/A</v>
      </c>
      <c r="U1852" s="9" t="e">
        <f>VLOOKUP(Table1[[#This Row],[Address A]],IP_Master[],3,FALSE)</f>
        <v>#N/A</v>
      </c>
      <c r="V1852" s="9" t="e">
        <f>VLOOKUP(Table1[[#This Row],[Address B]],IP_Master[],3,FALSE)</f>
        <v>#N/A</v>
      </c>
      <c r="W1852" s="9" t="str">
        <f>VLOOKUP(Table1[[#This Row],[Port B]],traffic_types[],2,FALSE)</f>
        <v>HTTP</v>
      </c>
    </row>
    <row r="1853" spans="1:23" x14ac:dyDescent="0.6">
      <c r="A1853" t="s">
        <v>224</v>
      </c>
      <c r="B1853">
        <v>59968</v>
      </c>
      <c r="C1853" t="s">
        <v>271</v>
      </c>
      <c r="D1853">
        <v>443</v>
      </c>
      <c r="E1853">
        <v>3</v>
      </c>
      <c r="F1853">
        <v>194</v>
      </c>
      <c r="G1853">
        <v>3</v>
      </c>
      <c r="H1853">
        <v>194</v>
      </c>
      <c r="I1853">
        <v>0</v>
      </c>
      <c r="J1853">
        <v>0</v>
      </c>
      <c r="K1853">
        <v>126.874852</v>
      </c>
      <c r="L1853">
        <v>8.9907000000000004</v>
      </c>
      <c r="M1853">
        <v>172.62282135985001</v>
      </c>
      <c r="N1853">
        <v>0</v>
      </c>
      <c r="O1853" s="8" t="str">
        <f>formatIP(Table1[[#This Row],[Address A]])</f>
        <v>192.168.100.002</v>
      </c>
      <c r="P1853" s="8" t="str">
        <f>formatIP(Table1[[#This Row],[Address B]])</f>
        <v>064.004.023.161</v>
      </c>
      <c r="Q1853" s="8" t="e">
        <f>VLOOKUP(Table1[[#This Row],[Address A]],IP_Master[],4,FALSE)</f>
        <v>#N/A</v>
      </c>
      <c r="R1853" s="8" t="e">
        <f>VLOOKUP(Table1[[#This Row],[Address B]],IP_Master[],4,FALSE)</f>
        <v>#N/A</v>
      </c>
      <c r="S1853" s="8" t="e">
        <f>VLOOKUP(Table1[[#This Row],[Address A]],IP_Master[],2,FALSE)</f>
        <v>#N/A</v>
      </c>
      <c r="T1853" s="8" t="e">
        <f>VLOOKUP(Table1[[#This Row],[Address B]],IP_Master[],2,FALSE)</f>
        <v>#N/A</v>
      </c>
      <c r="U1853" s="9" t="e">
        <f>VLOOKUP(Table1[[#This Row],[Address A]],IP_Master[],3,FALSE)</f>
        <v>#N/A</v>
      </c>
      <c r="V1853" s="9" t="e">
        <f>VLOOKUP(Table1[[#This Row],[Address B]],IP_Master[],3,FALSE)</f>
        <v>#N/A</v>
      </c>
      <c r="W1853" s="9" t="str">
        <f>VLOOKUP(Table1[[#This Row],[Port B]],traffic_types[],2,FALSE)</f>
        <v>HTTP/S</v>
      </c>
    </row>
    <row r="1854" spans="1:23" x14ac:dyDescent="0.6">
      <c r="A1854" t="s">
        <v>224</v>
      </c>
      <c r="B1854">
        <v>59969</v>
      </c>
      <c r="C1854" t="s">
        <v>272</v>
      </c>
      <c r="D1854">
        <v>443</v>
      </c>
      <c r="E1854">
        <v>3</v>
      </c>
      <c r="F1854">
        <v>194</v>
      </c>
      <c r="G1854">
        <v>3</v>
      </c>
      <c r="H1854">
        <v>194</v>
      </c>
      <c r="I1854">
        <v>0</v>
      </c>
      <c r="J1854">
        <v>0</v>
      </c>
      <c r="K1854">
        <v>127.89499499999999</v>
      </c>
      <c r="L1854">
        <v>8.9914750000000101</v>
      </c>
      <c r="M1854">
        <v>172.607942523334</v>
      </c>
      <c r="N1854">
        <v>0</v>
      </c>
      <c r="O1854" s="8" t="str">
        <f>formatIP(Table1[[#This Row],[Address A]])</f>
        <v>192.168.100.002</v>
      </c>
      <c r="P1854" s="8" t="str">
        <f>formatIP(Table1[[#This Row],[Address B]])</f>
        <v>111.221.077.148</v>
      </c>
      <c r="Q1854" s="8" t="e">
        <f>VLOOKUP(Table1[[#This Row],[Address A]],IP_Master[],4,FALSE)</f>
        <v>#N/A</v>
      </c>
      <c r="R1854" s="8" t="e">
        <f>VLOOKUP(Table1[[#This Row],[Address B]],IP_Master[],4,FALSE)</f>
        <v>#N/A</v>
      </c>
      <c r="S1854" s="8" t="e">
        <f>VLOOKUP(Table1[[#This Row],[Address A]],IP_Master[],2,FALSE)</f>
        <v>#N/A</v>
      </c>
      <c r="T1854" s="8" t="e">
        <f>VLOOKUP(Table1[[#This Row],[Address B]],IP_Master[],2,FALSE)</f>
        <v>#N/A</v>
      </c>
      <c r="U1854" s="9" t="e">
        <f>VLOOKUP(Table1[[#This Row],[Address A]],IP_Master[],3,FALSE)</f>
        <v>#N/A</v>
      </c>
      <c r="V1854" s="9" t="e">
        <f>VLOOKUP(Table1[[#This Row],[Address B]],IP_Master[],3,FALSE)</f>
        <v>#N/A</v>
      </c>
      <c r="W1854" s="9" t="str">
        <f>VLOOKUP(Table1[[#This Row],[Port B]],traffic_types[],2,FALSE)</f>
        <v>HTTP/S</v>
      </c>
    </row>
    <row r="1855" spans="1:23" x14ac:dyDescent="0.6">
      <c r="A1855" t="s">
        <v>224</v>
      </c>
      <c r="B1855">
        <v>59970</v>
      </c>
      <c r="C1855" t="s">
        <v>270</v>
      </c>
      <c r="D1855">
        <v>80</v>
      </c>
      <c r="E1855">
        <v>3</v>
      </c>
      <c r="F1855">
        <v>194</v>
      </c>
      <c r="G1855">
        <v>3</v>
      </c>
      <c r="H1855">
        <v>194</v>
      </c>
      <c r="I1855">
        <v>0</v>
      </c>
      <c r="J1855">
        <v>0</v>
      </c>
      <c r="K1855">
        <v>127.93494699999999</v>
      </c>
      <c r="L1855">
        <v>8.9914000000000005</v>
      </c>
      <c r="M1855">
        <v>172.60938229864101</v>
      </c>
      <c r="N1855">
        <v>0</v>
      </c>
      <c r="O1855" s="8" t="str">
        <f>formatIP(Table1[[#This Row],[Address A]])</f>
        <v>192.168.100.002</v>
      </c>
      <c r="P1855" s="8" t="str">
        <f>formatIP(Table1[[#This Row],[Address B]])</f>
        <v>091.190.218.064</v>
      </c>
      <c r="Q1855" s="8" t="e">
        <f>VLOOKUP(Table1[[#This Row],[Address A]],IP_Master[],4,FALSE)</f>
        <v>#N/A</v>
      </c>
      <c r="R1855" s="8" t="e">
        <f>VLOOKUP(Table1[[#This Row],[Address B]],IP_Master[],4,FALSE)</f>
        <v>#N/A</v>
      </c>
      <c r="S1855" s="8" t="e">
        <f>VLOOKUP(Table1[[#This Row],[Address A]],IP_Master[],2,FALSE)</f>
        <v>#N/A</v>
      </c>
      <c r="T1855" s="8" t="e">
        <f>VLOOKUP(Table1[[#This Row],[Address B]],IP_Master[],2,FALSE)</f>
        <v>#N/A</v>
      </c>
      <c r="U1855" s="9" t="e">
        <f>VLOOKUP(Table1[[#This Row],[Address A]],IP_Master[],3,FALSE)</f>
        <v>#N/A</v>
      </c>
      <c r="V1855" s="9" t="e">
        <f>VLOOKUP(Table1[[#This Row],[Address B]],IP_Master[],3,FALSE)</f>
        <v>#N/A</v>
      </c>
      <c r="W1855" s="9" t="str">
        <f>VLOOKUP(Table1[[#This Row],[Port B]],traffic_types[],2,FALSE)</f>
        <v>HTTP</v>
      </c>
    </row>
    <row r="1856" spans="1:23" x14ac:dyDescent="0.6">
      <c r="A1856" t="s">
        <v>224</v>
      </c>
      <c r="B1856">
        <v>59971</v>
      </c>
      <c r="C1856" t="s">
        <v>271</v>
      </c>
      <c r="D1856">
        <v>80</v>
      </c>
      <c r="E1856">
        <v>3</v>
      </c>
      <c r="F1856">
        <v>194</v>
      </c>
      <c r="G1856">
        <v>3</v>
      </c>
      <c r="H1856">
        <v>194</v>
      </c>
      <c r="I1856">
        <v>0</v>
      </c>
      <c r="J1856">
        <v>0</v>
      </c>
      <c r="K1856">
        <v>128.48503400000001</v>
      </c>
      <c r="L1856">
        <v>9.02074299999998</v>
      </c>
      <c r="M1856">
        <v>172.047912239602</v>
      </c>
      <c r="N1856">
        <v>0</v>
      </c>
      <c r="O1856" s="8" t="str">
        <f>formatIP(Table1[[#This Row],[Address A]])</f>
        <v>192.168.100.002</v>
      </c>
      <c r="P1856" s="8" t="str">
        <f>formatIP(Table1[[#This Row],[Address B]])</f>
        <v>064.004.023.161</v>
      </c>
      <c r="Q1856" s="8" t="e">
        <f>VLOOKUP(Table1[[#This Row],[Address A]],IP_Master[],4,FALSE)</f>
        <v>#N/A</v>
      </c>
      <c r="R1856" s="8" t="e">
        <f>VLOOKUP(Table1[[#This Row],[Address B]],IP_Master[],4,FALSE)</f>
        <v>#N/A</v>
      </c>
      <c r="S1856" s="8" t="e">
        <f>VLOOKUP(Table1[[#This Row],[Address A]],IP_Master[],2,FALSE)</f>
        <v>#N/A</v>
      </c>
      <c r="T1856" s="8" t="e">
        <f>VLOOKUP(Table1[[#This Row],[Address B]],IP_Master[],2,FALSE)</f>
        <v>#N/A</v>
      </c>
      <c r="U1856" s="9" t="e">
        <f>VLOOKUP(Table1[[#This Row],[Address A]],IP_Master[],3,FALSE)</f>
        <v>#N/A</v>
      </c>
      <c r="V1856" s="9" t="e">
        <f>VLOOKUP(Table1[[#This Row],[Address B]],IP_Master[],3,FALSE)</f>
        <v>#N/A</v>
      </c>
      <c r="W1856" s="9" t="str">
        <f>VLOOKUP(Table1[[#This Row],[Port B]],traffic_types[],2,FALSE)</f>
        <v>HTTP</v>
      </c>
    </row>
    <row r="1857" spans="1:23" x14ac:dyDescent="0.6">
      <c r="A1857" t="s">
        <v>224</v>
      </c>
      <c r="B1857">
        <v>59972</v>
      </c>
      <c r="C1857" t="s">
        <v>272</v>
      </c>
      <c r="D1857">
        <v>80</v>
      </c>
      <c r="E1857">
        <v>3</v>
      </c>
      <c r="F1857">
        <v>194</v>
      </c>
      <c r="G1857">
        <v>3</v>
      </c>
      <c r="H1857">
        <v>194</v>
      </c>
      <c r="I1857">
        <v>0</v>
      </c>
      <c r="J1857">
        <v>0</v>
      </c>
      <c r="K1857">
        <v>129.51487</v>
      </c>
      <c r="L1857">
        <v>8.9916579999999993</v>
      </c>
      <c r="M1857">
        <v>172.604429572388</v>
      </c>
      <c r="N1857">
        <v>0</v>
      </c>
      <c r="O1857" s="8" t="str">
        <f>formatIP(Table1[[#This Row],[Address A]])</f>
        <v>192.168.100.002</v>
      </c>
      <c r="P1857" s="8" t="str">
        <f>formatIP(Table1[[#This Row],[Address B]])</f>
        <v>111.221.077.148</v>
      </c>
      <c r="Q1857" s="8" t="e">
        <f>VLOOKUP(Table1[[#This Row],[Address A]],IP_Master[],4,FALSE)</f>
        <v>#N/A</v>
      </c>
      <c r="R1857" s="8" t="e">
        <f>VLOOKUP(Table1[[#This Row],[Address B]],IP_Master[],4,FALSE)</f>
        <v>#N/A</v>
      </c>
      <c r="S1857" s="8" t="e">
        <f>VLOOKUP(Table1[[#This Row],[Address A]],IP_Master[],2,FALSE)</f>
        <v>#N/A</v>
      </c>
      <c r="T1857" s="8" t="e">
        <f>VLOOKUP(Table1[[#This Row],[Address B]],IP_Master[],2,FALSE)</f>
        <v>#N/A</v>
      </c>
      <c r="U1857" s="9" t="e">
        <f>VLOOKUP(Table1[[#This Row],[Address A]],IP_Master[],3,FALSE)</f>
        <v>#N/A</v>
      </c>
      <c r="V1857" s="9" t="e">
        <f>VLOOKUP(Table1[[#This Row],[Address B]],IP_Master[],3,FALSE)</f>
        <v>#N/A</v>
      </c>
      <c r="W1857" s="9" t="str">
        <f>VLOOKUP(Table1[[#This Row],[Port B]],traffic_types[],2,FALSE)</f>
        <v>HTTP</v>
      </c>
    </row>
    <row r="1858" spans="1:23" x14ac:dyDescent="0.6">
      <c r="A1858" t="s">
        <v>224</v>
      </c>
      <c r="B1858">
        <v>59973</v>
      </c>
      <c r="C1858" t="s">
        <v>241</v>
      </c>
      <c r="D1858">
        <v>443</v>
      </c>
      <c r="E1858">
        <v>3</v>
      </c>
      <c r="F1858">
        <v>194</v>
      </c>
      <c r="G1858">
        <v>3</v>
      </c>
      <c r="H1858">
        <v>194</v>
      </c>
      <c r="I1858">
        <v>0</v>
      </c>
      <c r="J1858">
        <v>0</v>
      </c>
      <c r="K1858">
        <v>134.806611</v>
      </c>
      <c r="L1858">
        <v>8.9998170000000108</v>
      </c>
      <c r="M1858">
        <v>172.44795088611201</v>
      </c>
      <c r="N1858">
        <v>0</v>
      </c>
      <c r="O1858" s="8" t="str">
        <f>formatIP(Table1[[#This Row],[Address A]])</f>
        <v>192.168.100.002</v>
      </c>
      <c r="P1858" s="8" t="str">
        <f>formatIP(Table1[[#This Row],[Address B]])</f>
        <v>078.046.049.023</v>
      </c>
      <c r="Q1858" s="8" t="e">
        <f>VLOOKUP(Table1[[#This Row],[Address A]],IP_Master[],4,FALSE)</f>
        <v>#N/A</v>
      </c>
      <c r="R1858" s="8" t="e">
        <f>VLOOKUP(Table1[[#This Row],[Address B]],IP_Master[],4,FALSE)</f>
        <v>#N/A</v>
      </c>
      <c r="S1858" s="8" t="e">
        <f>VLOOKUP(Table1[[#This Row],[Address A]],IP_Master[],2,FALSE)</f>
        <v>#N/A</v>
      </c>
      <c r="T1858" s="8" t="e">
        <f>VLOOKUP(Table1[[#This Row],[Address B]],IP_Master[],2,FALSE)</f>
        <v>#N/A</v>
      </c>
      <c r="U1858" s="9" t="e">
        <f>VLOOKUP(Table1[[#This Row],[Address A]],IP_Master[],3,FALSE)</f>
        <v>#N/A</v>
      </c>
      <c r="V1858" s="9" t="e">
        <f>VLOOKUP(Table1[[#This Row],[Address B]],IP_Master[],3,FALSE)</f>
        <v>#N/A</v>
      </c>
      <c r="W1858" s="9" t="str">
        <f>VLOOKUP(Table1[[#This Row],[Port B]],traffic_types[],2,FALSE)</f>
        <v>HTTP/S</v>
      </c>
    </row>
    <row r="1859" spans="1:23" x14ac:dyDescent="0.6">
      <c r="A1859" t="s">
        <v>224</v>
      </c>
      <c r="B1859">
        <v>59974</v>
      </c>
      <c r="C1859" t="s">
        <v>241</v>
      </c>
      <c r="D1859">
        <v>80</v>
      </c>
      <c r="E1859">
        <v>3</v>
      </c>
      <c r="F1859">
        <v>194</v>
      </c>
      <c r="G1859">
        <v>3</v>
      </c>
      <c r="H1859">
        <v>194</v>
      </c>
      <c r="I1859">
        <v>0</v>
      </c>
      <c r="J1859">
        <v>0</v>
      </c>
      <c r="K1859">
        <v>136.807467</v>
      </c>
      <c r="L1859">
        <v>8.9988740000000007</v>
      </c>
      <c r="M1859">
        <v>172.466021860068</v>
      </c>
      <c r="N1859">
        <v>0</v>
      </c>
      <c r="O1859" s="8" t="str">
        <f>formatIP(Table1[[#This Row],[Address A]])</f>
        <v>192.168.100.002</v>
      </c>
      <c r="P1859" s="8" t="str">
        <f>formatIP(Table1[[#This Row],[Address B]])</f>
        <v>078.046.049.023</v>
      </c>
      <c r="Q1859" s="8" t="e">
        <f>VLOOKUP(Table1[[#This Row],[Address A]],IP_Master[],4,FALSE)</f>
        <v>#N/A</v>
      </c>
      <c r="R1859" s="8" t="e">
        <f>VLOOKUP(Table1[[#This Row],[Address B]],IP_Master[],4,FALSE)</f>
        <v>#N/A</v>
      </c>
      <c r="S1859" s="8" t="e">
        <f>VLOOKUP(Table1[[#This Row],[Address A]],IP_Master[],2,FALSE)</f>
        <v>#N/A</v>
      </c>
      <c r="T1859" s="8" t="e">
        <f>VLOOKUP(Table1[[#This Row],[Address B]],IP_Master[],2,FALSE)</f>
        <v>#N/A</v>
      </c>
      <c r="U1859" s="9" t="e">
        <f>VLOOKUP(Table1[[#This Row],[Address A]],IP_Master[],3,FALSE)</f>
        <v>#N/A</v>
      </c>
      <c r="V1859" s="9" t="e">
        <f>VLOOKUP(Table1[[#This Row],[Address B]],IP_Master[],3,FALSE)</f>
        <v>#N/A</v>
      </c>
      <c r="W1859" s="9" t="str">
        <f>VLOOKUP(Table1[[#This Row],[Port B]],traffic_types[],2,FALSE)</f>
        <v>HTTP</v>
      </c>
    </row>
    <row r="1860" spans="1:23" hidden="1" x14ac:dyDescent="0.6">
      <c r="A1860" t="s">
        <v>224</v>
      </c>
      <c r="B1860">
        <v>59975</v>
      </c>
      <c r="C1860" t="s">
        <v>273</v>
      </c>
      <c r="D1860">
        <v>40031</v>
      </c>
      <c r="E1860">
        <v>3</v>
      </c>
      <c r="F1860">
        <v>194</v>
      </c>
      <c r="G1860">
        <v>3</v>
      </c>
      <c r="H1860">
        <v>194</v>
      </c>
      <c r="I1860">
        <v>0</v>
      </c>
      <c r="J1860">
        <v>0</v>
      </c>
      <c r="K1860">
        <v>140.467367</v>
      </c>
      <c r="L1860">
        <v>8.9998880000000003</v>
      </c>
      <c r="M1860">
        <v>172.446590446459</v>
      </c>
      <c r="N1860">
        <v>0</v>
      </c>
      <c r="O1860" s="8" t="str">
        <f>formatIP(Table1[[#This Row],[Address A]])</f>
        <v>192.168.100.002</v>
      </c>
      <c r="P1860" s="8" t="str">
        <f>formatIP(Table1[[#This Row],[Address B]])</f>
        <v>111.221.077.156</v>
      </c>
      <c r="Q1860" s="8" t="e">
        <f>VLOOKUP(Table1[[#This Row],[Address A]],IP_Master[],4,FALSE)</f>
        <v>#N/A</v>
      </c>
      <c r="R1860" s="8" t="e">
        <f>VLOOKUP(Table1[[#This Row],[Address B]],IP_Master[],4,FALSE)</f>
        <v>#N/A</v>
      </c>
      <c r="S1860" s="8" t="e">
        <f>VLOOKUP(Table1[[#This Row],[Address A]],IP_Master[],2,FALSE)</f>
        <v>#N/A</v>
      </c>
      <c r="T1860" s="8" t="e">
        <f>VLOOKUP(Table1[[#This Row],[Address B]],IP_Master[],2,FALSE)</f>
        <v>#N/A</v>
      </c>
      <c r="U1860" s="9" t="e">
        <f>VLOOKUP(Table1[[#This Row],[Address A]],IP_Master[],3,FALSE)</f>
        <v>#N/A</v>
      </c>
      <c r="V1860" s="9" t="e">
        <f>VLOOKUP(Table1[[#This Row],[Address B]],IP_Master[],3,FALSE)</f>
        <v>#N/A</v>
      </c>
      <c r="W1860" s="9" t="e">
        <f>VLOOKUP(Table1[[#This Row],[Port B]],traffic_types[],2,FALSE)</f>
        <v>#N/A</v>
      </c>
    </row>
    <row r="1861" spans="1:23" hidden="1" x14ac:dyDescent="0.6">
      <c r="A1861" t="s">
        <v>224</v>
      </c>
      <c r="B1861">
        <v>59976</v>
      </c>
      <c r="C1861" t="s">
        <v>274</v>
      </c>
      <c r="D1861">
        <v>40024</v>
      </c>
      <c r="E1861">
        <v>3</v>
      </c>
      <c r="F1861">
        <v>194</v>
      </c>
      <c r="G1861">
        <v>3</v>
      </c>
      <c r="H1861">
        <v>194</v>
      </c>
      <c r="I1861">
        <v>0</v>
      </c>
      <c r="J1861">
        <v>0</v>
      </c>
      <c r="K1861">
        <v>141.47932399999999</v>
      </c>
      <c r="L1861">
        <v>8.9981840000000108</v>
      </c>
      <c r="M1861">
        <v>172.47924692360101</v>
      </c>
      <c r="N1861">
        <v>0</v>
      </c>
      <c r="O1861" s="8" t="str">
        <f>formatIP(Table1[[#This Row],[Address A]])</f>
        <v>192.168.100.002</v>
      </c>
      <c r="P1861" s="8" t="str">
        <f>formatIP(Table1[[#This Row],[Address B]])</f>
        <v>157.055.130.151</v>
      </c>
      <c r="Q1861" s="8" t="e">
        <f>VLOOKUP(Table1[[#This Row],[Address A]],IP_Master[],4,FALSE)</f>
        <v>#N/A</v>
      </c>
      <c r="R1861" s="8" t="e">
        <f>VLOOKUP(Table1[[#This Row],[Address B]],IP_Master[],4,FALSE)</f>
        <v>#N/A</v>
      </c>
      <c r="S1861" s="8" t="e">
        <f>VLOOKUP(Table1[[#This Row],[Address A]],IP_Master[],2,FALSE)</f>
        <v>#N/A</v>
      </c>
      <c r="T1861" s="8" t="e">
        <f>VLOOKUP(Table1[[#This Row],[Address B]],IP_Master[],2,FALSE)</f>
        <v>#N/A</v>
      </c>
      <c r="U1861" s="9" t="e">
        <f>VLOOKUP(Table1[[#This Row],[Address A]],IP_Master[],3,FALSE)</f>
        <v>#N/A</v>
      </c>
      <c r="V1861" s="9" t="e">
        <f>VLOOKUP(Table1[[#This Row],[Address B]],IP_Master[],3,FALSE)</f>
        <v>#N/A</v>
      </c>
      <c r="W1861" s="9" t="e">
        <f>VLOOKUP(Table1[[#This Row],[Port B]],traffic_types[],2,FALSE)</f>
        <v>#N/A</v>
      </c>
    </row>
    <row r="1862" spans="1:23" x14ac:dyDescent="0.6">
      <c r="A1862" t="s">
        <v>224</v>
      </c>
      <c r="B1862">
        <v>59977</v>
      </c>
      <c r="C1862" t="s">
        <v>273</v>
      </c>
      <c r="D1862">
        <v>443</v>
      </c>
      <c r="E1862">
        <v>3</v>
      </c>
      <c r="F1862">
        <v>194</v>
      </c>
      <c r="G1862">
        <v>3</v>
      </c>
      <c r="H1862">
        <v>194</v>
      </c>
      <c r="I1862">
        <v>0</v>
      </c>
      <c r="J1862">
        <v>0</v>
      </c>
      <c r="K1862">
        <v>142.08684700000001</v>
      </c>
      <c r="L1862">
        <v>9.0005029999999806</v>
      </c>
      <c r="M1862">
        <v>172.43480725466199</v>
      </c>
      <c r="N1862">
        <v>0</v>
      </c>
      <c r="O1862" s="8" t="str">
        <f>formatIP(Table1[[#This Row],[Address A]])</f>
        <v>192.168.100.002</v>
      </c>
      <c r="P1862" s="8" t="str">
        <f>formatIP(Table1[[#This Row],[Address B]])</f>
        <v>111.221.077.156</v>
      </c>
      <c r="Q1862" s="8" t="e">
        <f>VLOOKUP(Table1[[#This Row],[Address A]],IP_Master[],4,FALSE)</f>
        <v>#N/A</v>
      </c>
      <c r="R1862" s="8" t="e">
        <f>VLOOKUP(Table1[[#This Row],[Address B]],IP_Master[],4,FALSE)</f>
        <v>#N/A</v>
      </c>
      <c r="S1862" s="8" t="e">
        <f>VLOOKUP(Table1[[#This Row],[Address A]],IP_Master[],2,FALSE)</f>
        <v>#N/A</v>
      </c>
      <c r="T1862" s="8" t="e">
        <f>VLOOKUP(Table1[[#This Row],[Address B]],IP_Master[],2,FALSE)</f>
        <v>#N/A</v>
      </c>
      <c r="U1862" s="9" t="e">
        <f>VLOOKUP(Table1[[#This Row],[Address A]],IP_Master[],3,FALSE)</f>
        <v>#N/A</v>
      </c>
      <c r="V1862" s="9" t="e">
        <f>VLOOKUP(Table1[[#This Row],[Address B]],IP_Master[],3,FALSE)</f>
        <v>#N/A</v>
      </c>
      <c r="W1862" s="9" t="str">
        <f>VLOOKUP(Table1[[#This Row],[Port B]],traffic_types[],2,FALSE)</f>
        <v>HTTP/S</v>
      </c>
    </row>
    <row r="1863" spans="1:23" hidden="1" x14ac:dyDescent="0.6">
      <c r="A1863" t="s">
        <v>224</v>
      </c>
      <c r="B1863">
        <v>59978</v>
      </c>
      <c r="C1863" t="s">
        <v>275</v>
      </c>
      <c r="D1863">
        <v>40003</v>
      </c>
      <c r="E1863">
        <v>3</v>
      </c>
      <c r="F1863">
        <v>194</v>
      </c>
      <c r="G1863">
        <v>3</v>
      </c>
      <c r="H1863">
        <v>194</v>
      </c>
      <c r="I1863">
        <v>0</v>
      </c>
      <c r="J1863">
        <v>0</v>
      </c>
      <c r="K1863">
        <v>142.50737799999999</v>
      </c>
      <c r="L1863">
        <v>9.0000540000000093</v>
      </c>
      <c r="M1863">
        <v>172.443409783986</v>
      </c>
      <c r="N1863">
        <v>0</v>
      </c>
      <c r="O1863" s="8" t="str">
        <f>formatIP(Table1[[#This Row],[Address A]])</f>
        <v>192.168.100.002</v>
      </c>
      <c r="P1863" s="8" t="str">
        <f>formatIP(Table1[[#This Row],[Address B]])</f>
        <v>157.055.235.142</v>
      </c>
      <c r="Q1863" s="8" t="e">
        <f>VLOOKUP(Table1[[#This Row],[Address A]],IP_Master[],4,FALSE)</f>
        <v>#N/A</v>
      </c>
      <c r="R1863" s="8" t="e">
        <f>VLOOKUP(Table1[[#This Row],[Address B]],IP_Master[],4,FALSE)</f>
        <v>#N/A</v>
      </c>
      <c r="S1863" s="8" t="e">
        <f>VLOOKUP(Table1[[#This Row],[Address A]],IP_Master[],2,FALSE)</f>
        <v>#N/A</v>
      </c>
      <c r="T1863" s="8" t="e">
        <f>VLOOKUP(Table1[[#This Row],[Address B]],IP_Master[],2,FALSE)</f>
        <v>#N/A</v>
      </c>
      <c r="U1863" s="9" t="e">
        <f>VLOOKUP(Table1[[#This Row],[Address A]],IP_Master[],3,FALSE)</f>
        <v>#N/A</v>
      </c>
      <c r="V1863" s="9" t="e">
        <f>VLOOKUP(Table1[[#This Row],[Address B]],IP_Master[],3,FALSE)</f>
        <v>#N/A</v>
      </c>
      <c r="W1863" s="9" t="e">
        <f>VLOOKUP(Table1[[#This Row],[Port B]],traffic_types[],2,FALSE)</f>
        <v>#N/A</v>
      </c>
    </row>
    <row r="1864" spans="1:23" x14ac:dyDescent="0.6">
      <c r="A1864" t="s">
        <v>224</v>
      </c>
      <c r="B1864">
        <v>59979</v>
      </c>
      <c r="C1864" t="s">
        <v>274</v>
      </c>
      <c r="D1864">
        <v>443</v>
      </c>
      <c r="E1864">
        <v>3</v>
      </c>
      <c r="F1864">
        <v>194</v>
      </c>
      <c r="G1864">
        <v>3</v>
      </c>
      <c r="H1864">
        <v>194</v>
      </c>
      <c r="I1864">
        <v>0</v>
      </c>
      <c r="J1864">
        <v>0</v>
      </c>
      <c r="K1864">
        <v>143.09685400000001</v>
      </c>
      <c r="L1864">
        <v>9.0004930000000094</v>
      </c>
      <c r="M1864">
        <v>172.43499883839701</v>
      </c>
      <c r="N1864">
        <v>0</v>
      </c>
      <c r="O1864" s="8" t="str">
        <f>formatIP(Table1[[#This Row],[Address A]])</f>
        <v>192.168.100.002</v>
      </c>
      <c r="P1864" s="8" t="str">
        <f>formatIP(Table1[[#This Row],[Address B]])</f>
        <v>157.055.130.151</v>
      </c>
      <c r="Q1864" s="8" t="e">
        <f>VLOOKUP(Table1[[#This Row],[Address A]],IP_Master[],4,FALSE)</f>
        <v>#N/A</v>
      </c>
      <c r="R1864" s="8" t="e">
        <f>VLOOKUP(Table1[[#This Row],[Address B]],IP_Master[],4,FALSE)</f>
        <v>#N/A</v>
      </c>
      <c r="S1864" s="8" t="e">
        <f>VLOOKUP(Table1[[#This Row],[Address A]],IP_Master[],2,FALSE)</f>
        <v>#N/A</v>
      </c>
      <c r="T1864" s="8" t="e">
        <f>VLOOKUP(Table1[[#This Row],[Address B]],IP_Master[],2,FALSE)</f>
        <v>#N/A</v>
      </c>
      <c r="U1864" s="9" t="e">
        <f>VLOOKUP(Table1[[#This Row],[Address A]],IP_Master[],3,FALSE)</f>
        <v>#N/A</v>
      </c>
      <c r="V1864" s="9" t="e">
        <f>VLOOKUP(Table1[[#This Row],[Address B]],IP_Master[],3,FALSE)</f>
        <v>#N/A</v>
      </c>
      <c r="W1864" s="9" t="str">
        <f>VLOOKUP(Table1[[#This Row],[Port B]],traffic_types[],2,FALSE)</f>
        <v>HTTP/S</v>
      </c>
    </row>
    <row r="1865" spans="1:23" x14ac:dyDescent="0.6">
      <c r="A1865" t="s">
        <v>224</v>
      </c>
      <c r="B1865">
        <v>59980</v>
      </c>
      <c r="C1865" t="s">
        <v>273</v>
      </c>
      <c r="D1865">
        <v>80</v>
      </c>
      <c r="E1865">
        <v>3</v>
      </c>
      <c r="F1865">
        <v>194</v>
      </c>
      <c r="G1865">
        <v>3</v>
      </c>
      <c r="H1865">
        <v>194</v>
      </c>
      <c r="I1865">
        <v>0</v>
      </c>
      <c r="J1865">
        <v>0</v>
      </c>
      <c r="K1865">
        <v>143.70660000000001</v>
      </c>
      <c r="L1865">
        <v>9.0006899999999899</v>
      </c>
      <c r="M1865">
        <v>172.431224717216</v>
      </c>
      <c r="N1865">
        <v>0</v>
      </c>
      <c r="O1865" s="8" t="str">
        <f>formatIP(Table1[[#This Row],[Address A]])</f>
        <v>192.168.100.002</v>
      </c>
      <c r="P1865" s="8" t="str">
        <f>formatIP(Table1[[#This Row],[Address B]])</f>
        <v>111.221.077.156</v>
      </c>
      <c r="Q1865" s="8" t="e">
        <f>VLOOKUP(Table1[[#This Row],[Address A]],IP_Master[],4,FALSE)</f>
        <v>#N/A</v>
      </c>
      <c r="R1865" s="8" t="e">
        <f>VLOOKUP(Table1[[#This Row],[Address B]],IP_Master[],4,FALSE)</f>
        <v>#N/A</v>
      </c>
      <c r="S1865" s="8" t="e">
        <f>VLOOKUP(Table1[[#This Row],[Address A]],IP_Master[],2,FALSE)</f>
        <v>#N/A</v>
      </c>
      <c r="T1865" s="8" t="e">
        <f>VLOOKUP(Table1[[#This Row],[Address B]],IP_Master[],2,FALSE)</f>
        <v>#N/A</v>
      </c>
      <c r="U1865" s="9" t="e">
        <f>VLOOKUP(Table1[[#This Row],[Address A]],IP_Master[],3,FALSE)</f>
        <v>#N/A</v>
      </c>
      <c r="V1865" s="9" t="e">
        <f>VLOOKUP(Table1[[#This Row],[Address B]],IP_Master[],3,FALSE)</f>
        <v>#N/A</v>
      </c>
      <c r="W1865" s="9" t="str">
        <f>VLOOKUP(Table1[[#This Row],[Port B]],traffic_types[],2,FALSE)</f>
        <v>HTTP</v>
      </c>
    </row>
    <row r="1866" spans="1:23" x14ac:dyDescent="0.6">
      <c r="A1866" t="s">
        <v>224</v>
      </c>
      <c r="B1866">
        <v>59981</v>
      </c>
      <c r="C1866" t="s">
        <v>275</v>
      </c>
      <c r="D1866">
        <v>443</v>
      </c>
      <c r="E1866">
        <v>3</v>
      </c>
      <c r="F1866">
        <v>194</v>
      </c>
      <c r="G1866">
        <v>3</v>
      </c>
      <c r="H1866">
        <v>194</v>
      </c>
      <c r="I1866">
        <v>0</v>
      </c>
      <c r="J1866">
        <v>0</v>
      </c>
      <c r="K1866">
        <v>144.12691799999999</v>
      </c>
      <c r="L1866">
        <v>9.0005520000000008</v>
      </c>
      <c r="M1866">
        <v>172.43386850050999</v>
      </c>
      <c r="N1866">
        <v>0</v>
      </c>
      <c r="O1866" s="8" t="str">
        <f>formatIP(Table1[[#This Row],[Address A]])</f>
        <v>192.168.100.002</v>
      </c>
      <c r="P1866" s="8" t="str">
        <f>formatIP(Table1[[#This Row],[Address B]])</f>
        <v>157.055.235.142</v>
      </c>
      <c r="Q1866" s="8" t="e">
        <f>VLOOKUP(Table1[[#This Row],[Address A]],IP_Master[],4,FALSE)</f>
        <v>#N/A</v>
      </c>
      <c r="R1866" s="8" t="e">
        <f>VLOOKUP(Table1[[#This Row],[Address B]],IP_Master[],4,FALSE)</f>
        <v>#N/A</v>
      </c>
      <c r="S1866" s="8" t="e">
        <f>VLOOKUP(Table1[[#This Row],[Address A]],IP_Master[],2,FALSE)</f>
        <v>#N/A</v>
      </c>
      <c r="T1866" s="8" t="e">
        <f>VLOOKUP(Table1[[#This Row],[Address B]],IP_Master[],2,FALSE)</f>
        <v>#N/A</v>
      </c>
      <c r="U1866" s="9" t="e">
        <f>VLOOKUP(Table1[[#This Row],[Address A]],IP_Master[],3,FALSE)</f>
        <v>#N/A</v>
      </c>
      <c r="V1866" s="9" t="e">
        <f>VLOOKUP(Table1[[#This Row],[Address B]],IP_Master[],3,FALSE)</f>
        <v>#N/A</v>
      </c>
      <c r="W1866" s="9" t="str">
        <f>VLOOKUP(Table1[[#This Row],[Port B]],traffic_types[],2,FALSE)</f>
        <v>HTTP/S</v>
      </c>
    </row>
    <row r="1867" spans="1:23" hidden="1" x14ac:dyDescent="0.6">
      <c r="A1867" t="s">
        <v>224</v>
      </c>
      <c r="B1867">
        <v>59982</v>
      </c>
      <c r="C1867" t="s">
        <v>276</v>
      </c>
      <c r="D1867">
        <v>40005</v>
      </c>
      <c r="E1867">
        <v>3</v>
      </c>
      <c r="F1867">
        <v>194</v>
      </c>
      <c r="G1867">
        <v>3</v>
      </c>
      <c r="H1867">
        <v>194</v>
      </c>
      <c r="I1867">
        <v>0</v>
      </c>
      <c r="J1867">
        <v>0</v>
      </c>
      <c r="K1867">
        <v>144.58745400000001</v>
      </c>
      <c r="L1867">
        <v>8.9989880000000007</v>
      </c>
      <c r="M1867">
        <v>172.46383704478799</v>
      </c>
      <c r="N1867">
        <v>0</v>
      </c>
      <c r="O1867" s="8" t="str">
        <f>formatIP(Table1[[#This Row],[Address A]])</f>
        <v>192.168.100.002</v>
      </c>
      <c r="P1867" s="8" t="str">
        <f>formatIP(Table1[[#This Row],[Address B]])</f>
        <v>157.056.052.046</v>
      </c>
      <c r="Q1867" s="8" t="e">
        <f>VLOOKUP(Table1[[#This Row],[Address A]],IP_Master[],4,FALSE)</f>
        <v>#N/A</v>
      </c>
      <c r="R1867" s="8" t="e">
        <f>VLOOKUP(Table1[[#This Row],[Address B]],IP_Master[],4,FALSE)</f>
        <v>#N/A</v>
      </c>
      <c r="S1867" s="8" t="e">
        <f>VLOOKUP(Table1[[#This Row],[Address A]],IP_Master[],2,FALSE)</f>
        <v>#N/A</v>
      </c>
      <c r="T1867" s="8" t="e">
        <f>VLOOKUP(Table1[[#This Row],[Address B]],IP_Master[],2,FALSE)</f>
        <v>#N/A</v>
      </c>
      <c r="U1867" s="9" t="e">
        <f>VLOOKUP(Table1[[#This Row],[Address A]],IP_Master[],3,FALSE)</f>
        <v>#N/A</v>
      </c>
      <c r="V1867" s="9" t="e">
        <f>VLOOKUP(Table1[[#This Row],[Address B]],IP_Master[],3,FALSE)</f>
        <v>#N/A</v>
      </c>
      <c r="W1867" s="9" t="e">
        <f>VLOOKUP(Table1[[#This Row],[Port B]],traffic_types[],2,FALSE)</f>
        <v>#N/A</v>
      </c>
    </row>
    <row r="1868" spans="1:23" x14ac:dyDescent="0.6">
      <c r="A1868" t="s">
        <v>224</v>
      </c>
      <c r="B1868">
        <v>59983</v>
      </c>
      <c r="C1868" t="s">
        <v>274</v>
      </c>
      <c r="D1868">
        <v>80</v>
      </c>
      <c r="E1868">
        <v>3</v>
      </c>
      <c r="F1868">
        <v>194</v>
      </c>
      <c r="G1868">
        <v>3</v>
      </c>
      <c r="H1868">
        <v>194</v>
      </c>
      <c r="I1868">
        <v>0</v>
      </c>
      <c r="J1868">
        <v>0</v>
      </c>
      <c r="K1868">
        <v>144.71684400000001</v>
      </c>
      <c r="L1868">
        <v>9.0005299999999995</v>
      </c>
      <c r="M1868">
        <v>172.43428998070101</v>
      </c>
      <c r="N1868">
        <v>0</v>
      </c>
      <c r="O1868" s="8" t="str">
        <f>formatIP(Table1[[#This Row],[Address A]])</f>
        <v>192.168.100.002</v>
      </c>
      <c r="P1868" s="8" t="str">
        <f>formatIP(Table1[[#This Row],[Address B]])</f>
        <v>157.055.130.151</v>
      </c>
      <c r="Q1868" s="8" t="e">
        <f>VLOOKUP(Table1[[#This Row],[Address A]],IP_Master[],4,FALSE)</f>
        <v>#N/A</v>
      </c>
      <c r="R1868" s="8" t="e">
        <f>VLOOKUP(Table1[[#This Row],[Address B]],IP_Master[],4,FALSE)</f>
        <v>#N/A</v>
      </c>
      <c r="S1868" s="8" t="e">
        <f>VLOOKUP(Table1[[#This Row],[Address A]],IP_Master[],2,FALSE)</f>
        <v>#N/A</v>
      </c>
      <c r="T1868" s="8" t="e">
        <f>VLOOKUP(Table1[[#This Row],[Address B]],IP_Master[],2,FALSE)</f>
        <v>#N/A</v>
      </c>
      <c r="U1868" s="9" t="e">
        <f>VLOOKUP(Table1[[#This Row],[Address A]],IP_Master[],3,FALSE)</f>
        <v>#N/A</v>
      </c>
      <c r="V1868" s="9" t="e">
        <f>VLOOKUP(Table1[[#This Row],[Address B]],IP_Master[],3,FALSE)</f>
        <v>#N/A</v>
      </c>
      <c r="W1868" s="9" t="str">
        <f>VLOOKUP(Table1[[#This Row],[Port B]],traffic_types[],2,FALSE)</f>
        <v>HTTP</v>
      </c>
    </row>
    <row r="1869" spans="1:23" x14ac:dyDescent="0.6">
      <c r="A1869" t="s">
        <v>224</v>
      </c>
      <c r="B1869">
        <v>59984</v>
      </c>
      <c r="C1869" t="s">
        <v>275</v>
      </c>
      <c r="D1869">
        <v>80</v>
      </c>
      <c r="E1869">
        <v>3</v>
      </c>
      <c r="F1869">
        <v>194</v>
      </c>
      <c r="G1869">
        <v>3</v>
      </c>
      <c r="H1869">
        <v>194</v>
      </c>
      <c r="I1869">
        <v>0</v>
      </c>
      <c r="J1869">
        <v>0</v>
      </c>
      <c r="K1869">
        <v>145.74968899999999</v>
      </c>
      <c r="L1869">
        <v>8.9998070000000006</v>
      </c>
      <c r="M1869">
        <v>172.44814249905599</v>
      </c>
      <c r="N1869">
        <v>0</v>
      </c>
      <c r="O1869" s="8" t="str">
        <f>formatIP(Table1[[#This Row],[Address A]])</f>
        <v>192.168.100.002</v>
      </c>
      <c r="P1869" s="8" t="str">
        <f>formatIP(Table1[[#This Row],[Address B]])</f>
        <v>157.055.235.142</v>
      </c>
      <c r="Q1869" s="8" t="e">
        <f>VLOOKUP(Table1[[#This Row],[Address A]],IP_Master[],4,FALSE)</f>
        <v>#N/A</v>
      </c>
      <c r="R1869" s="8" t="e">
        <f>VLOOKUP(Table1[[#This Row],[Address B]],IP_Master[],4,FALSE)</f>
        <v>#N/A</v>
      </c>
      <c r="S1869" s="8" t="e">
        <f>VLOOKUP(Table1[[#This Row],[Address A]],IP_Master[],2,FALSE)</f>
        <v>#N/A</v>
      </c>
      <c r="T1869" s="8" t="e">
        <f>VLOOKUP(Table1[[#This Row],[Address B]],IP_Master[],2,FALSE)</f>
        <v>#N/A</v>
      </c>
      <c r="U1869" s="9" t="e">
        <f>VLOOKUP(Table1[[#This Row],[Address A]],IP_Master[],3,FALSE)</f>
        <v>#N/A</v>
      </c>
      <c r="V1869" s="9" t="e">
        <f>VLOOKUP(Table1[[#This Row],[Address B]],IP_Master[],3,FALSE)</f>
        <v>#N/A</v>
      </c>
      <c r="W1869" s="9" t="str">
        <f>VLOOKUP(Table1[[#This Row],[Port B]],traffic_types[],2,FALSE)</f>
        <v>HTTP</v>
      </c>
    </row>
    <row r="1870" spans="1:23" x14ac:dyDescent="0.6">
      <c r="A1870" t="s">
        <v>224</v>
      </c>
      <c r="B1870">
        <v>59985</v>
      </c>
      <c r="C1870" t="s">
        <v>276</v>
      </c>
      <c r="D1870">
        <v>443</v>
      </c>
      <c r="E1870">
        <v>3</v>
      </c>
      <c r="F1870">
        <v>194</v>
      </c>
      <c r="G1870">
        <v>3</v>
      </c>
      <c r="H1870">
        <v>194</v>
      </c>
      <c r="I1870">
        <v>0</v>
      </c>
      <c r="J1870">
        <v>0</v>
      </c>
      <c r="K1870">
        <v>146.206851</v>
      </c>
      <c r="L1870">
        <v>9.0015070000000001</v>
      </c>
      <c r="M1870">
        <v>172.415574414373</v>
      </c>
      <c r="N1870">
        <v>0</v>
      </c>
      <c r="O1870" s="8" t="str">
        <f>formatIP(Table1[[#This Row],[Address A]])</f>
        <v>192.168.100.002</v>
      </c>
      <c r="P1870" s="8" t="str">
        <f>formatIP(Table1[[#This Row],[Address B]])</f>
        <v>157.056.052.046</v>
      </c>
      <c r="Q1870" s="8" t="e">
        <f>VLOOKUP(Table1[[#This Row],[Address A]],IP_Master[],4,FALSE)</f>
        <v>#N/A</v>
      </c>
      <c r="R1870" s="8" t="e">
        <f>VLOOKUP(Table1[[#This Row],[Address B]],IP_Master[],4,FALSE)</f>
        <v>#N/A</v>
      </c>
      <c r="S1870" s="8" t="e">
        <f>VLOOKUP(Table1[[#This Row],[Address A]],IP_Master[],2,FALSE)</f>
        <v>#N/A</v>
      </c>
      <c r="T1870" s="8" t="e">
        <f>VLOOKUP(Table1[[#This Row],[Address B]],IP_Master[],2,FALSE)</f>
        <v>#N/A</v>
      </c>
      <c r="U1870" s="9" t="e">
        <f>VLOOKUP(Table1[[#This Row],[Address A]],IP_Master[],3,FALSE)</f>
        <v>#N/A</v>
      </c>
      <c r="V1870" s="9" t="e">
        <f>VLOOKUP(Table1[[#This Row],[Address B]],IP_Master[],3,FALSE)</f>
        <v>#N/A</v>
      </c>
      <c r="W1870" s="9" t="str">
        <f>VLOOKUP(Table1[[#This Row],[Port B]],traffic_types[],2,FALSE)</f>
        <v>HTTP/S</v>
      </c>
    </row>
    <row r="1871" spans="1:23" hidden="1" x14ac:dyDescent="0.6">
      <c r="A1871" t="s">
        <v>224</v>
      </c>
      <c r="B1871">
        <v>59986</v>
      </c>
      <c r="C1871" t="s">
        <v>277</v>
      </c>
      <c r="D1871">
        <v>40023</v>
      </c>
      <c r="E1871">
        <v>3</v>
      </c>
      <c r="F1871">
        <v>194</v>
      </c>
      <c r="G1871">
        <v>3</v>
      </c>
      <c r="H1871">
        <v>194</v>
      </c>
      <c r="I1871">
        <v>0</v>
      </c>
      <c r="J1871">
        <v>0</v>
      </c>
      <c r="K1871">
        <v>147.66836499999999</v>
      </c>
      <c r="L1871">
        <v>9.0000980000000101</v>
      </c>
      <c r="M1871">
        <v>172.442566736495</v>
      </c>
      <c r="N1871">
        <v>0</v>
      </c>
      <c r="O1871" s="8" t="str">
        <f>formatIP(Table1[[#This Row],[Address A]])</f>
        <v>192.168.100.002</v>
      </c>
      <c r="P1871" s="8" t="str">
        <f>formatIP(Table1[[#This Row],[Address B]])</f>
        <v>064.004.023.141</v>
      </c>
      <c r="Q1871" s="8" t="e">
        <f>VLOOKUP(Table1[[#This Row],[Address A]],IP_Master[],4,FALSE)</f>
        <v>#N/A</v>
      </c>
      <c r="R1871" s="8" t="e">
        <f>VLOOKUP(Table1[[#This Row],[Address B]],IP_Master[],4,FALSE)</f>
        <v>#N/A</v>
      </c>
      <c r="S1871" s="8" t="e">
        <f>VLOOKUP(Table1[[#This Row],[Address A]],IP_Master[],2,FALSE)</f>
        <v>#N/A</v>
      </c>
      <c r="T1871" s="8" t="e">
        <f>VLOOKUP(Table1[[#This Row],[Address B]],IP_Master[],2,FALSE)</f>
        <v>#N/A</v>
      </c>
      <c r="U1871" s="9" t="e">
        <f>VLOOKUP(Table1[[#This Row],[Address A]],IP_Master[],3,FALSE)</f>
        <v>#N/A</v>
      </c>
      <c r="V1871" s="9" t="e">
        <f>VLOOKUP(Table1[[#This Row],[Address B]],IP_Master[],3,FALSE)</f>
        <v>#N/A</v>
      </c>
      <c r="W1871" s="9" t="e">
        <f>VLOOKUP(Table1[[#This Row],[Port B]],traffic_types[],2,FALSE)</f>
        <v>#N/A</v>
      </c>
    </row>
    <row r="1872" spans="1:23" x14ac:dyDescent="0.6">
      <c r="A1872" t="s">
        <v>224</v>
      </c>
      <c r="B1872">
        <v>59987</v>
      </c>
      <c r="C1872" t="s">
        <v>276</v>
      </c>
      <c r="D1872">
        <v>80</v>
      </c>
      <c r="E1872">
        <v>3</v>
      </c>
      <c r="F1872">
        <v>194</v>
      </c>
      <c r="G1872">
        <v>3</v>
      </c>
      <c r="H1872">
        <v>194</v>
      </c>
      <c r="I1872">
        <v>0</v>
      </c>
      <c r="J1872">
        <v>0</v>
      </c>
      <c r="K1872">
        <v>147.81774999999999</v>
      </c>
      <c r="L1872">
        <v>9.0005560000000209</v>
      </c>
      <c r="M1872">
        <v>172.43379186796901</v>
      </c>
      <c r="N1872">
        <v>0</v>
      </c>
      <c r="O1872" s="8" t="str">
        <f>formatIP(Table1[[#This Row],[Address A]])</f>
        <v>192.168.100.002</v>
      </c>
      <c r="P1872" s="8" t="str">
        <f>formatIP(Table1[[#This Row],[Address B]])</f>
        <v>157.056.052.046</v>
      </c>
      <c r="Q1872" s="8" t="e">
        <f>VLOOKUP(Table1[[#This Row],[Address A]],IP_Master[],4,FALSE)</f>
        <v>#N/A</v>
      </c>
      <c r="R1872" s="8" t="e">
        <f>VLOOKUP(Table1[[#This Row],[Address B]],IP_Master[],4,FALSE)</f>
        <v>#N/A</v>
      </c>
      <c r="S1872" s="8" t="e">
        <f>VLOOKUP(Table1[[#This Row],[Address A]],IP_Master[],2,FALSE)</f>
        <v>#N/A</v>
      </c>
      <c r="T1872" s="8" t="e">
        <f>VLOOKUP(Table1[[#This Row],[Address B]],IP_Master[],2,FALSE)</f>
        <v>#N/A</v>
      </c>
      <c r="U1872" s="9" t="e">
        <f>VLOOKUP(Table1[[#This Row],[Address A]],IP_Master[],3,FALSE)</f>
        <v>#N/A</v>
      </c>
      <c r="V1872" s="9" t="e">
        <f>VLOOKUP(Table1[[#This Row],[Address B]],IP_Master[],3,FALSE)</f>
        <v>#N/A</v>
      </c>
      <c r="W1872" s="9" t="str">
        <f>VLOOKUP(Table1[[#This Row],[Port B]],traffic_types[],2,FALSE)</f>
        <v>HTTP</v>
      </c>
    </row>
    <row r="1873" spans="1:23" x14ac:dyDescent="0.6">
      <c r="A1873" t="s">
        <v>224</v>
      </c>
      <c r="B1873">
        <v>59988</v>
      </c>
      <c r="C1873" t="s">
        <v>277</v>
      </c>
      <c r="D1873">
        <v>443</v>
      </c>
      <c r="E1873">
        <v>3</v>
      </c>
      <c r="F1873">
        <v>194</v>
      </c>
      <c r="G1873">
        <v>3</v>
      </c>
      <c r="H1873">
        <v>194</v>
      </c>
      <c r="I1873">
        <v>0</v>
      </c>
      <c r="J1873">
        <v>0</v>
      </c>
      <c r="K1873">
        <v>149.287755</v>
      </c>
      <c r="L1873">
        <v>8.9994539999999894</v>
      </c>
      <c r="M1873">
        <v>172.45490670878499</v>
      </c>
      <c r="N1873">
        <v>0</v>
      </c>
      <c r="O1873" s="8" t="str">
        <f>formatIP(Table1[[#This Row],[Address A]])</f>
        <v>192.168.100.002</v>
      </c>
      <c r="P1873" s="8" t="str">
        <f>formatIP(Table1[[#This Row],[Address B]])</f>
        <v>064.004.023.141</v>
      </c>
      <c r="Q1873" s="8" t="e">
        <f>VLOOKUP(Table1[[#This Row],[Address A]],IP_Master[],4,FALSE)</f>
        <v>#N/A</v>
      </c>
      <c r="R1873" s="8" t="e">
        <f>VLOOKUP(Table1[[#This Row],[Address B]],IP_Master[],4,FALSE)</f>
        <v>#N/A</v>
      </c>
      <c r="S1873" s="8" t="e">
        <f>VLOOKUP(Table1[[#This Row],[Address A]],IP_Master[],2,FALSE)</f>
        <v>#N/A</v>
      </c>
      <c r="T1873" s="8" t="e">
        <f>VLOOKUP(Table1[[#This Row],[Address B]],IP_Master[],2,FALSE)</f>
        <v>#N/A</v>
      </c>
      <c r="U1873" s="9" t="e">
        <f>VLOOKUP(Table1[[#This Row],[Address A]],IP_Master[],3,FALSE)</f>
        <v>#N/A</v>
      </c>
      <c r="V1873" s="9" t="e">
        <f>VLOOKUP(Table1[[#This Row],[Address B]],IP_Master[],3,FALSE)</f>
        <v>#N/A</v>
      </c>
      <c r="W1873" s="9" t="str">
        <f>VLOOKUP(Table1[[#This Row],[Port B]],traffic_types[],2,FALSE)</f>
        <v>HTTP/S</v>
      </c>
    </row>
    <row r="1874" spans="1:23" hidden="1" x14ac:dyDescent="0.6">
      <c r="A1874" t="s">
        <v>224</v>
      </c>
      <c r="B1874">
        <v>59989</v>
      </c>
      <c r="C1874" t="s">
        <v>278</v>
      </c>
      <c r="D1874">
        <v>40001</v>
      </c>
      <c r="E1874">
        <v>3</v>
      </c>
      <c r="F1874">
        <v>194</v>
      </c>
      <c r="G1874">
        <v>3</v>
      </c>
      <c r="H1874">
        <v>194</v>
      </c>
      <c r="I1874">
        <v>0</v>
      </c>
      <c r="J1874">
        <v>0</v>
      </c>
      <c r="K1874">
        <v>149.727462</v>
      </c>
      <c r="L1874">
        <v>9.0008579999999903</v>
      </c>
      <c r="M1874">
        <v>172.42800630784299</v>
      </c>
      <c r="N1874">
        <v>0</v>
      </c>
      <c r="O1874" s="8" t="str">
        <f>formatIP(Table1[[#This Row],[Address A]])</f>
        <v>192.168.100.002</v>
      </c>
      <c r="P1874" s="8" t="str">
        <f>formatIP(Table1[[#This Row],[Address B]])</f>
        <v>157.055.056.147</v>
      </c>
      <c r="Q1874" s="8" t="e">
        <f>VLOOKUP(Table1[[#This Row],[Address A]],IP_Master[],4,FALSE)</f>
        <v>#N/A</v>
      </c>
      <c r="R1874" s="8" t="e">
        <f>VLOOKUP(Table1[[#This Row],[Address B]],IP_Master[],4,FALSE)</f>
        <v>#N/A</v>
      </c>
      <c r="S1874" s="8" t="e">
        <f>VLOOKUP(Table1[[#This Row],[Address A]],IP_Master[],2,FALSE)</f>
        <v>#N/A</v>
      </c>
      <c r="T1874" s="8" t="e">
        <f>VLOOKUP(Table1[[#This Row],[Address B]],IP_Master[],2,FALSE)</f>
        <v>#N/A</v>
      </c>
      <c r="U1874" s="9" t="e">
        <f>VLOOKUP(Table1[[#This Row],[Address A]],IP_Master[],3,FALSE)</f>
        <v>#N/A</v>
      </c>
      <c r="V1874" s="9" t="e">
        <f>VLOOKUP(Table1[[#This Row],[Address B]],IP_Master[],3,FALSE)</f>
        <v>#N/A</v>
      </c>
      <c r="W1874" s="9" t="e">
        <f>VLOOKUP(Table1[[#This Row],[Port B]],traffic_types[],2,FALSE)</f>
        <v>#N/A</v>
      </c>
    </row>
    <row r="1875" spans="1:23" hidden="1" x14ac:dyDescent="0.6">
      <c r="A1875" t="s">
        <v>224</v>
      </c>
      <c r="B1875">
        <v>59990</v>
      </c>
      <c r="C1875" t="s">
        <v>279</v>
      </c>
      <c r="D1875">
        <v>40033</v>
      </c>
      <c r="E1875">
        <v>3</v>
      </c>
      <c r="F1875">
        <v>194</v>
      </c>
      <c r="G1875">
        <v>3</v>
      </c>
      <c r="H1875">
        <v>194</v>
      </c>
      <c r="I1875">
        <v>0</v>
      </c>
      <c r="J1875">
        <v>0</v>
      </c>
      <c r="K1875">
        <v>150.76219499999999</v>
      </c>
      <c r="L1875">
        <v>9.0291910000000009</v>
      </c>
      <c r="M1875">
        <v>171.88693870801899</v>
      </c>
      <c r="N1875">
        <v>0</v>
      </c>
      <c r="O1875" s="8" t="str">
        <f>formatIP(Table1[[#This Row],[Address A]])</f>
        <v>192.168.100.002</v>
      </c>
      <c r="P1875" s="8" t="str">
        <f>formatIP(Table1[[#This Row],[Address B]])</f>
        <v>157.055.130.143</v>
      </c>
      <c r="Q1875" s="8" t="e">
        <f>VLOOKUP(Table1[[#This Row],[Address A]],IP_Master[],4,FALSE)</f>
        <v>#N/A</v>
      </c>
      <c r="R1875" s="8" t="e">
        <f>VLOOKUP(Table1[[#This Row],[Address B]],IP_Master[],4,FALSE)</f>
        <v>#N/A</v>
      </c>
      <c r="S1875" s="8" t="e">
        <f>VLOOKUP(Table1[[#This Row],[Address A]],IP_Master[],2,FALSE)</f>
        <v>#N/A</v>
      </c>
      <c r="T1875" s="8" t="e">
        <f>VLOOKUP(Table1[[#This Row],[Address B]],IP_Master[],2,FALSE)</f>
        <v>#N/A</v>
      </c>
      <c r="U1875" s="9" t="e">
        <f>VLOOKUP(Table1[[#This Row],[Address A]],IP_Master[],3,FALSE)</f>
        <v>#N/A</v>
      </c>
      <c r="V1875" s="9" t="e">
        <f>VLOOKUP(Table1[[#This Row],[Address B]],IP_Master[],3,FALSE)</f>
        <v>#N/A</v>
      </c>
      <c r="W1875" s="9" t="e">
        <f>VLOOKUP(Table1[[#This Row],[Port B]],traffic_types[],2,FALSE)</f>
        <v>#N/A</v>
      </c>
    </row>
    <row r="1876" spans="1:23" x14ac:dyDescent="0.6">
      <c r="A1876" t="s">
        <v>224</v>
      </c>
      <c r="B1876">
        <v>59991</v>
      </c>
      <c r="C1876" t="s">
        <v>245</v>
      </c>
      <c r="D1876">
        <v>443</v>
      </c>
      <c r="E1876">
        <v>3</v>
      </c>
      <c r="F1876">
        <v>194</v>
      </c>
      <c r="G1876">
        <v>3</v>
      </c>
      <c r="H1876">
        <v>194</v>
      </c>
      <c r="I1876">
        <v>0</v>
      </c>
      <c r="J1876">
        <v>0</v>
      </c>
      <c r="K1876">
        <v>150.80858499999999</v>
      </c>
      <c r="L1876">
        <v>8.9999490000000204</v>
      </c>
      <c r="M1876">
        <v>172.44542163516701</v>
      </c>
      <c r="N1876">
        <v>0</v>
      </c>
      <c r="O1876" s="8" t="str">
        <f>formatIP(Table1[[#This Row],[Address A]])</f>
        <v>192.168.100.002</v>
      </c>
      <c r="P1876" s="8" t="str">
        <f>formatIP(Table1[[#This Row],[Address B]])</f>
        <v>085.025.103.030</v>
      </c>
      <c r="Q1876" s="8" t="e">
        <f>VLOOKUP(Table1[[#This Row],[Address A]],IP_Master[],4,FALSE)</f>
        <v>#N/A</v>
      </c>
      <c r="R1876" s="8" t="e">
        <f>VLOOKUP(Table1[[#This Row],[Address B]],IP_Master[],4,FALSE)</f>
        <v>#N/A</v>
      </c>
      <c r="S1876" s="8" t="e">
        <f>VLOOKUP(Table1[[#This Row],[Address A]],IP_Master[],2,FALSE)</f>
        <v>#N/A</v>
      </c>
      <c r="T1876" s="8" t="e">
        <f>VLOOKUP(Table1[[#This Row],[Address B]],IP_Master[],2,FALSE)</f>
        <v>#N/A</v>
      </c>
      <c r="U1876" s="9" t="e">
        <f>VLOOKUP(Table1[[#This Row],[Address A]],IP_Master[],3,FALSE)</f>
        <v>#N/A</v>
      </c>
      <c r="V1876" s="9" t="e">
        <f>VLOOKUP(Table1[[#This Row],[Address B]],IP_Master[],3,FALSE)</f>
        <v>#N/A</v>
      </c>
      <c r="W1876" s="9" t="str">
        <f>VLOOKUP(Table1[[#This Row],[Port B]],traffic_types[],2,FALSE)</f>
        <v>HTTP/S</v>
      </c>
    </row>
    <row r="1877" spans="1:23" x14ac:dyDescent="0.6">
      <c r="A1877" t="s">
        <v>224</v>
      </c>
      <c r="B1877">
        <v>59992</v>
      </c>
      <c r="C1877" t="s">
        <v>277</v>
      </c>
      <c r="D1877">
        <v>80</v>
      </c>
      <c r="E1877">
        <v>3</v>
      </c>
      <c r="F1877">
        <v>194</v>
      </c>
      <c r="G1877">
        <v>3</v>
      </c>
      <c r="H1877">
        <v>194</v>
      </c>
      <c r="I1877">
        <v>0</v>
      </c>
      <c r="J1877">
        <v>0</v>
      </c>
      <c r="K1877">
        <v>150.90774099999999</v>
      </c>
      <c r="L1877">
        <v>9.0005640000000309</v>
      </c>
      <c r="M1877">
        <v>172.433638603091</v>
      </c>
      <c r="N1877">
        <v>0</v>
      </c>
      <c r="O1877" s="8" t="str">
        <f>formatIP(Table1[[#This Row],[Address A]])</f>
        <v>192.168.100.002</v>
      </c>
      <c r="P1877" s="8" t="str">
        <f>formatIP(Table1[[#This Row],[Address B]])</f>
        <v>064.004.023.141</v>
      </c>
      <c r="Q1877" s="8" t="e">
        <f>VLOOKUP(Table1[[#This Row],[Address A]],IP_Master[],4,FALSE)</f>
        <v>#N/A</v>
      </c>
      <c r="R1877" s="8" t="e">
        <f>VLOOKUP(Table1[[#This Row],[Address B]],IP_Master[],4,FALSE)</f>
        <v>#N/A</v>
      </c>
      <c r="S1877" s="8" t="e">
        <f>VLOOKUP(Table1[[#This Row],[Address A]],IP_Master[],2,FALSE)</f>
        <v>#N/A</v>
      </c>
      <c r="T1877" s="8" t="e">
        <f>VLOOKUP(Table1[[#This Row],[Address B]],IP_Master[],2,FALSE)</f>
        <v>#N/A</v>
      </c>
      <c r="U1877" s="9" t="e">
        <f>VLOOKUP(Table1[[#This Row],[Address A]],IP_Master[],3,FALSE)</f>
        <v>#N/A</v>
      </c>
      <c r="V1877" s="9" t="e">
        <f>VLOOKUP(Table1[[#This Row],[Address B]],IP_Master[],3,FALSE)</f>
        <v>#N/A</v>
      </c>
      <c r="W1877" s="9" t="str">
        <f>VLOOKUP(Table1[[#This Row],[Port B]],traffic_types[],2,FALSE)</f>
        <v>HTTP</v>
      </c>
    </row>
    <row r="1878" spans="1:23" x14ac:dyDescent="0.6">
      <c r="A1878" t="s">
        <v>224</v>
      </c>
      <c r="B1878">
        <v>59993</v>
      </c>
      <c r="C1878" t="s">
        <v>278</v>
      </c>
      <c r="D1878">
        <v>443</v>
      </c>
      <c r="E1878">
        <v>3</v>
      </c>
      <c r="F1878">
        <v>194</v>
      </c>
      <c r="G1878">
        <v>3</v>
      </c>
      <c r="H1878">
        <v>194</v>
      </c>
      <c r="I1878">
        <v>0</v>
      </c>
      <c r="J1878">
        <v>0</v>
      </c>
      <c r="K1878">
        <v>151.34968499999999</v>
      </c>
      <c r="L1878">
        <v>8.9985900000000107</v>
      </c>
      <c r="M1878">
        <v>172.47146497395701</v>
      </c>
      <c r="N1878">
        <v>0</v>
      </c>
      <c r="O1878" s="8" t="str">
        <f>formatIP(Table1[[#This Row],[Address A]])</f>
        <v>192.168.100.002</v>
      </c>
      <c r="P1878" s="8" t="str">
        <f>formatIP(Table1[[#This Row],[Address B]])</f>
        <v>157.055.056.147</v>
      </c>
      <c r="Q1878" s="8" t="e">
        <f>VLOOKUP(Table1[[#This Row],[Address A]],IP_Master[],4,FALSE)</f>
        <v>#N/A</v>
      </c>
      <c r="R1878" s="8" t="e">
        <f>VLOOKUP(Table1[[#This Row],[Address B]],IP_Master[],4,FALSE)</f>
        <v>#N/A</v>
      </c>
      <c r="S1878" s="8" t="e">
        <f>VLOOKUP(Table1[[#This Row],[Address A]],IP_Master[],2,FALSE)</f>
        <v>#N/A</v>
      </c>
      <c r="T1878" s="8" t="e">
        <f>VLOOKUP(Table1[[#This Row],[Address B]],IP_Master[],2,FALSE)</f>
        <v>#N/A</v>
      </c>
      <c r="U1878" s="9" t="e">
        <f>VLOOKUP(Table1[[#This Row],[Address A]],IP_Master[],3,FALSE)</f>
        <v>#N/A</v>
      </c>
      <c r="V1878" s="9" t="e">
        <f>VLOOKUP(Table1[[#This Row],[Address B]],IP_Master[],3,FALSE)</f>
        <v>#N/A</v>
      </c>
      <c r="W1878" s="9" t="str">
        <f>VLOOKUP(Table1[[#This Row],[Port B]],traffic_types[],2,FALSE)</f>
        <v>HTTP/S</v>
      </c>
    </row>
    <row r="1879" spans="1:23" x14ac:dyDescent="0.6">
      <c r="A1879" t="s">
        <v>224</v>
      </c>
      <c r="B1879">
        <v>59994</v>
      </c>
      <c r="C1879" t="s">
        <v>279</v>
      </c>
      <c r="D1879">
        <v>443</v>
      </c>
      <c r="E1879">
        <v>3</v>
      </c>
      <c r="F1879">
        <v>194</v>
      </c>
      <c r="G1879">
        <v>3</v>
      </c>
      <c r="H1879">
        <v>194</v>
      </c>
      <c r="I1879">
        <v>0</v>
      </c>
      <c r="J1879">
        <v>0</v>
      </c>
      <c r="K1879">
        <v>152.37777399999999</v>
      </c>
      <c r="L1879">
        <v>9.0005870000000208</v>
      </c>
      <c r="M1879">
        <v>172.433197968088</v>
      </c>
      <c r="N1879">
        <v>0</v>
      </c>
      <c r="O1879" s="8" t="str">
        <f>formatIP(Table1[[#This Row],[Address A]])</f>
        <v>192.168.100.002</v>
      </c>
      <c r="P1879" s="8" t="str">
        <f>formatIP(Table1[[#This Row],[Address B]])</f>
        <v>157.055.130.143</v>
      </c>
      <c r="Q1879" s="8" t="e">
        <f>VLOOKUP(Table1[[#This Row],[Address A]],IP_Master[],4,FALSE)</f>
        <v>#N/A</v>
      </c>
      <c r="R1879" s="8" t="e">
        <f>VLOOKUP(Table1[[#This Row],[Address B]],IP_Master[],4,FALSE)</f>
        <v>#N/A</v>
      </c>
      <c r="S1879" s="8" t="e">
        <f>VLOOKUP(Table1[[#This Row],[Address A]],IP_Master[],2,FALSE)</f>
        <v>#N/A</v>
      </c>
      <c r="T1879" s="8" t="e">
        <f>VLOOKUP(Table1[[#This Row],[Address B]],IP_Master[],2,FALSE)</f>
        <v>#N/A</v>
      </c>
      <c r="U1879" s="9" t="e">
        <f>VLOOKUP(Table1[[#This Row],[Address A]],IP_Master[],3,FALSE)</f>
        <v>#N/A</v>
      </c>
      <c r="V1879" s="9" t="e">
        <f>VLOOKUP(Table1[[#This Row],[Address B]],IP_Master[],3,FALSE)</f>
        <v>#N/A</v>
      </c>
      <c r="W1879" s="9" t="str">
        <f>VLOOKUP(Table1[[#This Row],[Port B]],traffic_types[],2,FALSE)</f>
        <v>HTTP/S</v>
      </c>
    </row>
    <row r="1880" spans="1:23" x14ac:dyDescent="0.6">
      <c r="A1880" t="s">
        <v>224</v>
      </c>
      <c r="B1880">
        <v>59995</v>
      </c>
      <c r="C1880" t="s">
        <v>245</v>
      </c>
      <c r="D1880">
        <v>80</v>
      </c>
      <c r="E1880">
        <v>3</v>
      </c>
      <c r="F1880">
        <v>194</v>
      </c>
      <c r="G1880">
        <v>3</v>
      </c>
      <c r="H1880">
        <v>194</v>
      </c>
      <c r="I1880">
        <v>0</v>
      </c>
      <c r="J1880">
        <v>0</v>
      </c>
      <c r="K1880">
        <v>152.807356</v>
      </c>
      <c r="L1880">
        <v>8.9999730000000095</v>
      </c>
      <c r="M1880">
        <v>172.44496177932999</v>
      </c>
      <c r="N1880">
        <v>0</v>
      </c>
      <c r="O1880" s="8" t="str">
        <f>formatIP(Table1[[#This Row],[Address A]])</f>
        <v>192.168.100.002</v>
      </c>
      <c r="P1880" s="8" t="str">
        <f>formatIP(Table1[[#This Row],[Address B]])</f>
        <v>085.025.103.030</v>
      </c>
      <c r="Q1880" s="8" t="e">
        <f>VLOOKUP(Table1[[#This Row],[Address A]],IP_Master[],4,FALSE)</f>
        <v>#N/A</v>
      </c>
      <c r="R1880" s="8" t="e">
        <f>VLOOKUP(Table1[[#This Row],[Address B]],IP_Master[],4,FALSE)</f>
        <v>#N/A</v>
      </c>
      <c r="S1880" s="8" t="e">
        <f>VLOOKUP(Table1[[#This Row],[Address A]],IP_Master[],2,FALSE)</f>
        <v>#N/A</v>
      </c>
      <c r="T1880" s="8" t="e">
        <f>VLOOKUP(Table1[[#This Row],[Address B]],IP_Master[],2,FALSE)</f>
        <v>#N/A</v>
      </c>
      <c r="U1880" s="9" t="e">
        <f>VLOOKUP(Table1[[#This Row],[Address A]],IP_Master[],3,FALSE)</f>
        <v>#N/A</v>
      </c>
      <c r="V1880" s="9" t="e">
        <f>VLOOKUP(Table1[[#This Row],[Address B]],IP_Master[],3,FALSE)</f>
        <v>#N/A</v>
      </c>
      <c r="W1880" s="9" t="str">
        <f>VLOOKUP(Table1[[#This Row],[Port B]],traffic_types[],2,FALSE)</f>
        <v>HTTP</v>
      </c>
    </row>
    <row r="1881" spans="1:23" x14ac:dyDescent="0.6">
      <c r="A1881" t="s">
        <v>224</v>
      </c>
      <c r="B1881">
        <v>59996</v>
      </c>
      <c r="C1881" t="s">
        <v>278</v>
      </c>
      <c r="D1881">
        <v>80</v>
      </c>
      <c r="E1881">
        <v>3</v>
      </c>
      <c r="F1881">
        <v>194</v>
      </c>
      <c r="G1881">
        <v>3</v>
      </c>
      <c r="H1881">
        <v>194</v>
      </c>
      <c r="I1881">
        <v>0</v>
      </c>
      <c r="J1881">
        <v>0</v>
      </c>
      <c r="K1881">
        <v>152.96786599999999</v>
      </c>
      <c r="L1881">
        <v>9.0005370000000102</v>
      </c>
      <c r="M1881">
        <v>172.43415587314399</v>
      </c>
      <c r="N1881">
        <v>0</v>
      </c>
      <c r="O1881" s="8" t="str">
        <f>formatIP(Table1[[#This Row],[Address A]])</f>
        <v>192.168.100.002</v>
      </c>
      <c r="P1881" s="8" t="str">
        <f>formatIP(Table1[[#This Row],[Address B]])</f>
        <v>157.055.056.147</v>
      </c>
      <c r="Q1881" s="8" t="e">
        <f>VLOOKUP(Table1[[#This Row],[Address A]],IP_Master[],4,FALSE)</f>
        <v>#N/A</v>
      </c>
      <c r="R1881" s="8" t="e">
        <f>VLOOKUP(Table1[[#This Row],[Address B]],IP_Master[],4,FALSE)</f>
        <v>#N/A</v>
      </c>
      <c r="S1881" s="8" t="e">
        <f>VLOOKUP(Table1[[#This Row],[Address A]],IP_Master[],2,FALSE)</f>
        <v>#N/A</v>
      </c>
      <c r="T1881" s="8" t="e">
        <f>VLOOKUP(Table1[[#This Row],[Address B]],IP_Master[],2,FALSE)</f>
        <v>#N/A</v>
      </c>
      <c r="U1881" s="9" t="e">
        <f>VLOOKUP(Table1[[#This Row],[Address A]],IP_Master[],3,FALSE)</f>
        <v>#N/A</v>
      </c>
      <c r="V1881" s="9" t="e">
        <f>VLOOKUP(Table1[[#This Row],[Address B]],IP_Master[],3,FALSE)</f>
        <v>#N/A</v>
      </c>
      <c r="W1881" s="9" t="str">
        <f>VLOOKUP(Table1[[#This Row],[Port B]],traffic_types[],2,FALSE)</f>
        <v>HTTP</v>
      </c>
    </row>
    <row r="1882" spans="1:23" x14ac:dyDescent="0.6">
      <c r="A1882" t="s">
        <v>224</v>
      </c>
      <c r="B1882">
        <v>59997</v>
      </c>
      <c r="C1882" t="s">
        <v>279</v>
      </c>
      <c r="D1882">
        <v>80</v>
      </c>
      <c r="E1882">
        <v>3</v>
      </c>
      <c r="F1882">
        <v>194</v>
      </c>
      <c r="G1882">
        <v>3</v>
      </c>
      <c r="H1882">
        <v>194</v>
      </c>
      <c r="I1882">
        <v>0</v>
      </c>
      <c r="J1882">
        <v>0</v>
      </c>
      <c r="K1882">
        <v>153.997681</v>
      </c>
      <c r="L1882">
        <v>8.9995629999999895</v>
      </c>
      <c r="M1882">
        <v>172.45281798682899</v>
      </c>
      <c r="N1882">
        <v>0</v>
      </c>
      <c r="O1882" s="8" t="str">
        <f>formatIP(Table1[[#This Row],[Address A]])</f>
        <v>192.168.100.002</v>
      </c>
      <c r="P1882" s="8" t="str">
        <f>formatIP(Table1[[#This Row],[Address B]])</f>
        <v>157.055.130.143</v>
      </c>
      <c r="Q1882" s="8" t="e">
        <f>VLOOKUP(Table1[[#This Row],[Address A]],IP_Master[],4,FALSE)</f>
        <v>#N/A</v>
      </c>
      <c r="R1882" s="8" t="e">
        <f>VLOOKUP(Table1[[#This Row],[Address B]],IP_Master[],4,FALSE)</f>
        <v>#N/A</v>
      </c>
      <c r="S1882" s="8" t="e">
        <f>VLOOKUP(Table1[[#This Row],[Address A]],IP_Master[],2,FALSE)</f>
        <v>#N/A</v>
      </c>
      <c r="T1882" s="8" t="e">
        <f>VLOOKUP(Table1[[#This Row],[Address B]],IP_Master[],2,FALSE)</f>
        <v>#N/A</v>
      </c>
      <c r="U1882" s="9" t="e">
        <f>VLOOKUP(Table1[[#This Row],[Address A]],IP_Master[],3,FALSE)</f>
        <v>#N/A</v>
      </c>
      <c r="V1882" s="9" t="e">
        <f>VLOOKUP(Table1[[#This Row],[Address B]],IP_Master[],3,FALSE)</f>
        <v>#N/A</v>
      </c>
      <c r="W1882" s="9" t="str">
        <f>VLOOKUP(Table1[[#This Row],[Port B]],traffic_types[],2,FALSE)</f>
        <v>HTTP</v>
      </c>
    </row>
    <row r="1883" spans="1:23" hidden="1" x14ac:dyDescent="0.6">
      <c r="A1883" t="s">
        <v>224</v>
      </c>
      <c r="B1883">
        <v>59998</v>
      </c>
      <c r="C1883" t="s">
        <v>280</v>
      </c>
      <c r="D1883">
        <v>33033</v>
      </c>
      <c r="E1883">
        <v>3</v>
      </c>
      <c r="F1883">
        <v>194</v>
      </c>
      <c r="G1883">
        <v>3</v>
      </c>
      <c r="H1883">
        <v>194</v>
      </c>
      <c r="I1883">
        <v>0</v>
      </c>
      <c r="J1883">
        <v>0</v>
      </c>
      <c r="K1883">
        <v>164.909335</v>
      </c>
      <c r="L1883">
        <v>8.9999170000000106</v>
      </c>
      <c r="M1883">
        <v>172.44603478009799</v>
      </c>
      <c r="N1883">
        <v>0</v>
      </c>
      <c r="O1883" s="8" t="str">
        <f>formatIP(Table1[[#This Row],[Address A]])</f>
        <v>192.168.100.002</v>
      </c>
      <c r="P1883" s="8" t="str">
        <f>formatIP(Table1[[#This Row],[Address B]])</f>
        <v>157.056.052.018</v>
      </c>
      <c r="Q1883" s="8" t="e">
        <f>VLOOKUP(Table1[[#This Row],[Address A]],IP_Master[],4,FALSE)</f>
        <v>#N/A</v>
      </c>
      <c r="R1883" s="8" t="e">
        <f>VLOOKUP(Table1[[#This Row],[Address B]],IP_Master[],4,FALSE)</f>
        <v>#N/A</v>
      </c>
      <c r="S1883" s="8" t="e">
        <f>VLOOKUP(Table1[[#This Row],[Address A]],IP_Master[],2,FALSE)</f>
        <v>#N/A</v>
      </c>
      <c r="T1883" s="8" t="e">
        <f>VLOOKUP(Table1[[#This Row],[Address B]],IP_Master[],2,FALSE)</f>
        <v>#N/A</v>
      </c>
      <c r="U1883" s="9" t="e">
        <f>VLOOKUP(Table1[[#This Row],[Address A]],IP_Master[],3,FALSE)</f>
        <v>#N/A</v>
      </c>
      <c r="V1883" s="9" t="e">
        <f>VLOOKUP(Table1[[#This Row],[Address B]],IP_Master[],3,FALSE)</f>
        <v>#N/A</v>
      </c>
      <c r="W1883" s="9" t="e">
        <f>VLOOKUP(Table1[[#This Row],[Port B]],traffic_types[],2,FALSE)</f>
        <v>#N/A</v>
      </c>
    </row>
    <row r="1884" spans="1:23" hidden="1" x14ac:dyDescent="0.6">
      <c r="A1884" t="s">
        <v>224</v>
      </c>
      <c r="B1884">
        <v>59999</v>
      </c>
      <c r="C1884" t="s">
        <v>281</v>
      </c>
      <c r="D1884">
        <v>40006</v>
      </c>
      <c r="E1884">
        <v>3</v>
      </c>
      <c r="F1884">
        <v>194</v>
      </c>
      <c r="G1884">
        <v>3</v>
      </c>
      <c r="H1884">
        <v>194</v>
      </c>
      <c r="I1884">
        <v>0</v>
      </c>
      <c r="J1884">
        <v>0</v>
      </c>
      <c r="K1884">
        <v>165.919375</v>
      </c>
      <c r="L1884">
        <v>9.0008350000000004</v>
      </c>
      <c r="M1884">
        <v>172.42844691631399</v>
      </c>
      <c r="N1884">
        <v>0</v>
      </c>
      <c r="O1884" s="8" t="str">
        <f>formatIP(Table1[[#This Row],[Address A]])</f>
        <v>192.168.100.002</v>
      </c>
      <c r="P1884" s="8" t="str">
        <f>formatIP(Table1[[#This Row],[Address B]])</f>
        <v>157.055.056.167</v>
      </c>
      <c r="Q1884" s="8" t="e">
        <f>VLOOKUP(Table1[[#This Row],[Address A]],IP_Master[],4,FALSE)</f>
        <v>#N/A</v>
      </c>
      <c r="R1884" s="8" t="e">
        <f>VLOOKUP(Table1[[#This Row],[Address B]],IP_Master[],4,FALSE)</f>
        <v>#N/A</v>
      </c>
      <c r="S1884" s="8" t="e">
        <f>VLOOKUP(Table1[[#This Row],[Address A]],IP_Master[],2,FALSE)</f>
        <v>#N/A</v>
      </c>
      <c r="T1884" s="8" t="e">
        <f>VLOOKUP(Table1[[#This Row],[Address B]],IP_Master[],2,FALSE)</f>
        <v>#N/A</v>
      </c>
      <c r="U1884" s="9" t="e">
        <f>VLOOKUP(Table1[[#This Row],[Address A]],IP_Master[],3,FALSE)</f>
        <v>#N/A</v>
      </c>
      <c r="V1884" s="9" t="e">
        <f>VLOOKUP(Table1[[#This Row],[Address B]],IP_Master[],3,FALSE)</f>
        <v>#N/A</v>
      </c>
      <c r="W1884" s="9" t="e">
        <f>VLOOKUP(Table1[[#This Row],[Port B]],traffic_types[],2,FALSE)</f>
        <v>#N/A</v>
      </c>
    </row>
    <row r="1885" spans="1:23" x14ac:dyDescent="0.6">
      <c r="A1885" t="s">
        <v>224</v>
      </c>
      <c r="B1885">
        <v>60000</v>
      </c>
      <c r="C1885" t="s">
        <v>280</v>
      </c>
      <c r="D1885">
        <v>443</v>
      </c>
      <c r="E1885">
        <v>3</v>
      </c>
      <c r="F1885">
        <v>194</v>
      </c>
      <c r="G1885">
        <v>3</v>
      </c>
      <c r="H1885">
        <v>194</v>
      </c>
      <c r="I1885">
        <v>0</v>
      </c>
      <c r="J1885">
        <v>0</v>
      </c>
      <c r="K1885">
        <v>166.528887</v>
      </c>
      <c r="L1885">
        <v>9.00136800000001</v>
      </c>
      <c r="M1885">
        <v>172.41823687243999</v>
      </c>
      <c r="N1885">
        <v>0</v>
      </c>
      <c r="O1885" s="8" t="str">
        <f>formatIP(Table1[[#This Row],[Address A]])</f>
        <v>192.168.100.002</v>
      </c>
      <c r="P1885" s="8" t="str">
        <f>formatIP(Table1[[#This Row],[Address B]])</f>
        <v>157.056.052.018</v>
      </c>
      <c r="Q1885" s="8" t="e">
        <f>VLOOKUP(Table1[[#This Row],[Address A]],IP_Master[],4,FALSE)</f>
        <v>#N/A</v>
      </c>
      <c r="R1885" s="8" t="e">
        <f>VLOOKUP(Table1[[#This Row],[Address B]],IP_Master[],4,FALSE)</f>
        <v>#N/A</v>
      </c>
      <c r="S1885" s="8" t="e">
        <f>VLOOKUP(Table1[[#This Row],[Address A]],IP_Master[],2,FALSE)</f>
        <v>#N/A</v>
      </c>
      <c r="T1885" s="8" t="e">
        <f>VLOOKUP(Table1[[#This Row],[Address B]],IP_Master[],2,FALSE)</f>
        <v>#N/A</v>
      </c>
      <c r="U1885" s="9" t="e">
        <f>VLOOKUP(Table1[[#This Row],[Address A]],IP_Master[],3,FALSE)</f>
        <v>#N/A</v>
      </c>
      <c r="V1885" s="9" t="e">
        <f>VLOOKUP(Table1[[#This Row],[Address B]],IP_Master[],3,FALSE)</f>
        <v>#N/A</v>
      </c>
      <c r="W1885" s="9" t="str">
        <f>VLOOKUP(Table1[[#This Row],[Port B]],traffic_types[],2,FALSE)</f>
        <v>HTTP/S</v>
      </c>
    </row>
    <row r="1886" spans="1:23" hidden="1" x14ac:dyDescent="0.6">
      <c r="A1886" t="s">
        <v>224</v>
      </c>
      <c r="B1886">
        <v>60001</v>
      </c>
      <c r="C1886" t="s">
        <v>282</v>
      </c>
      <c r="D1886">
        <v>40021</v>
      </c>
      <c r="E1886">
        <v>3</v>
      </c>
      <c r="F1886">
        <v>194</v>
      </c>
      <c r="G1886">
        <v>3</v>
      </c>
      <c r="H1886">
        <v>194</v>
      </c>
      <c r="I1886">
        <v>0</v>
      </c>
      <c r="J1886">
        <v>0</v>
      </c>
      <c r="K1886">
        <v>166.95022700000001</v>
      </c>
      <c r="L1886">
        <v>9.0000619999999891</v>
      </c>
      <c r="M1886">
        <v>172.443256502011</v>
      </c>
      <c r="N1886">
        <v>0</v>
      </c>
      <c r="O1886" s="8" t="str">
        <f>formatIP(Table1[[#This Row],[Address A]])</f>
        <v>192.168.100.002</v>
      </c>
      <c r="P1886" s="8" t="str">
        <f>formatIP(Table1[[#This Row],[Address B]])</f>
        <v>065.055.223.025</v>
      </c>
      <c r="Q1886" s="8" t="e">
        <f>VLOOKUP(Table1[[#This Row],[Address A]],IP_Master[],4,FALSE)</f>
        <v>#N/A</v>
      </c>
      <c r="R1886" s="8" t="e">
        <f>VLOOKUP(Table1[[#This Row],[Address B]],IP_Master[],4,FALSE)</f>
        <v>#N/A</v>
      </c>
      <c r="S1886" s="8" t="e">
        <f>VLOOKUP(Table1[[#This Row],[Address A]],IP_Master[],2,FALSE)</f>
        <v>#N/A</v>
      </c>
      <c r="T1886" s="8" t="e">
        <f>VLOOKUP(Table1[[#This Row],[Address B]],IP_Master[],2,FALSE)</f>
        <v>#N/A</v>
      </c>
      <c r="U1886" s="9" t="e">
        <f>VLOOKUP(Table1[[#This Row],[Address A]],IP_Master[],3,FALSE)</f>
        <v>#N/A</v>
      </c>
      <c r="V1886" s="9" t="e">
        <f>VLOOKUP(Table1[[#This Row],[Address B]],IP_Master[],3,FALSE)</f>
        <v>#N/A</v>
      </c>
      <c r="W1886" s="9" t="e">
        <f>VLOOKUP(Table1[[#This Row],[Port B]],traffic_types[],2,FALSE)</f>
        <v>#N/A</v>
      </c>
    </row>
    <row r="1887" spans="1:23" x14ac:dyDescent="0.6">
      <c r="A1887" t="s">
        <v>224</v>
      </c>
      <c r="B1887">
        <v>60002</v>
      </c>
      <c r="C1887" t="s">
        <v>281</v>
      </c>
      <c r="D1887">
        <v>443</v>
      </c>
      <c r="E1887">
        <v>3</v>
      </c>
      <c r="F1887">
        <v>194</v>
      </c>
      <c r="G1887">
        <v>3</v>
      </c>
      <c r="H1887">
        <v>194</v>
      </c>
      <c r="I1887">
        <v>0</v>
      </c>
      <c r="J1887">
        <v>0</v>
      </c>
      <c r="K1887">
        <v>167.559212</v>
      </c>
      <c r="L1887">
        <v>8.9711299999999898</v>
      </c>
      <c r="M1887">
        <v>172.999388036959</v>
      </c>
      <c r="N1887">
        <v>0</v>
      </c>
      <c r="O1887" s="8" t="str">
        <f>formatIP(Table1[[#This Row],[Address A]])</f>
        <v>192.168.100.002</v>
      </c>
      <c r="P1887" s="8" t="str">
        <f>formatIP(Table1[[#This Row],[Address B]])</f>
        <v>157.055.056.167</v>
      </c>
      <c r="Q1887" s="8" t="e">
        <f>VLOOKUP(Table1[[#This Row],[Address A]],IP_Master[],4,FALSE)</f>
        <v>#N/A</v>
      </c>
      <c r="R1887" s="8" t="e">
        <f>VLOOKUP(Table1[[#This Row],[Address B]],IP_Master[],4,FALSE)</f>
        <v>#N/A</v>
      </c>
      <c r="S1887" s="8" t="e">
        <f>VLOOKUP(Table1[[#This Row],[Address A]],IP_Master[],2,FALSE)</f>
        <v>#N/A</v>
      </c>
      <c r="T1887" s="8" t="e">
        <f>VLOOKUP(Table1[[#This Row],[Address B]],IP_Master[],2,FALSE)</f>
        <v>#N/A</v>
      </c>
      <c r="U1887" s="9" t="e">
        <f>VLOOKUP(Table1[[#This Row],[Address A]],IP_Master[],3,FALSE)</f>
        <v>#N/A</v>
      </c>
      <c r="V1887" s="9" t="e">
        <f>VLOOKUP(Table1[[#This Row],[Address B]],IP_Master[],3,FALSE)</f>
        <v>#N/A</v>
      </c>
      <c r="W1887" s="9" t="str">
        <f>VLOOKUP(Table1[[#This Row],[Port B]],traffic_types[],2,FALSE)</f>
        <v>HTTP/S</v>
      </c>
    </row>
    <row r="1888" spans="1:23" x14ac:dyDescent="0.6">
      <c r="A1888" t="s">
        <v>224</v>
      </c>
      <c r="B1888">
        <v>60003</v>
      </c>
      <c r="C1888" t="s">
        <v>280</v>
      </c>
      <c r="D1888">
        <v>80</v>
      </c>
      <c r="E1888">
        <v>3</v>
      </c>
      <c r="F1888">
        <v>194</v>
      </c>
      <c r="G1888">
        <v>3</v>
      </c>
      <c r="H1888">
        <v>194</v>
      </c>
      <c r="I1888">
        <v>0</v>
      </c>
      <c r="J1888">
        <v>0</v>
      </c>
      <c r="K1888">
        <v>168.139771</v>
      </c>
      <c r="L1888">
        <v>9.0303280000000008</v>
      </c>
      <c r="M1888">
        <v>171.86529658723401</v>
      </c>
      <c r="N1888">
        <v>0</v>
      </c>
      <c r="O1888" s="8" t="str">
        <f>formatIP(Table1[[#This Row],[Address A]])</f>
        <v>192.168.100.002</v>
      </c>
      <c r="P1888" s="8" t="str">
        <f>formatIP(Table1[[#This Row],[Address B]])</f>
        <v>157.056.052.018</v>
      </c>
      <c r="Q1888" s="8" t="e">
        <f>VLOOKUP(Table1[[#This Row],[Address A]],IP_Master[],4,FALSE)</f>
        <v>#N/A</v>
      </c>
      <c r="R1888" s="8" t="e">
        <f>VLOOKUP(Table1[[#This Row],[Address B]],IP_Master[],4,FALSE)</f>
        <v>#N/A</v>
      </c>
      <c r="S1888" s="8" t="e">
        <f>VLOOKUP(Table1[[#This Row],[Address A]],IP_Master[],2,FALSE)</f>
        <v>#N/A</v>
      </c>
      <c r="T1888" s="8" t="e">
        <f>VLOOKUP(Table1[[#This Row],[Address B]],IP_Master[],2,FALSE)</f>
        <v>#N/A</v>
      </c>
      <c r="U1888" s="9" t="e">
        <f>VLOOKUP(Table1[[#This Row],[Address A]],IP_Master[],3,FALSE)</f>
        <v>#N/A</v>
      </c>
      <c r="V1888" s="9" t="e">
        <f>VLOOKUP(Table1[[#This Row],[Address B]],IP_Master[],3,FALSE)</f>
        <v>#N/A</v>
      </c>
      <c r="W1888" s="9" t="str">
        <f>VLOOKUP(Table1[[#This Row],[Port B]],traffic_types[],2,FALSE)</f>
        <v>HTTP</v>
      </c>
    </row>
    <row r="1889" spans="1:23" x14ac:dyDescent="0.6">
      <c r="A1889" t="s">
        <v>224</v>
      </c>
      <c r="B1889">
        <v>60004</v>
      </c>
      <c r="C1889" t="s">
        <v>282</v>
      </c>
      <c r="D1889">
        <v>443</v>
      </c>
      <c r="E1889">
        <v>3</v>
      </c>
      <c r="F1889">
        <v>194</v>
      </c>
      <c r="G1889">
        <v>3</v>
      </c>
      <c r="H1889">
        <v>194</v>
      </c>
      <c r="I1889">
        <v>0</v>
      </c>
      <c r="J1889">
        <v>0</v>
      </c>
      <c r="K1889">
        <v>168.56991500000001</v>
      </c>
      <c r="L1889">
        <v>9.0003679999999804</v>
      </c>
      <c r="M1889">
        <v>172.437393671015</v>
      </c>
      <c r="N1889">
        <v>0</v>
      </c>
      <c r="O1889" s="8" t="str">
        <f>formatIP(Table1[[#This Row],[Address A]])</f>
        <v>192.168.100.002</v>
      </c>
      <c r="P1889" s="8" t="str">
        <f>formatIP(Table1[[#This Row],[Address B]])</f>
        <v>065.055.223.025</v>
      </c>
      <c r="Q1889" s="8" t="e">
        <f>VLOOKUP(Table1[[#This Row],[Address A]],IP_Master[],4,FALSE)</f>
        <v>#N/A</v>
      </c>
      <c r="R1889" s="8" t="e">
        <f>VLOOKUP(Table1[[#This Row],[Address B]],IP_Master[],4,FALSE)</f>
        <v>#N/A</v>
      </c>
      <c r="S1889" s="8" t="e">
        <f>VLOOKUP(Table1[[#This Row],[Address A]],IP_Master[],2,FALSE)</f>
        <v>#N/A</v>
      </c>
      <c r="T1889" s="8" t="e">
        <f>VLOOKUP(Table1[[#This Row],[Address B]],IP_Master[],2,FALSE)</f>
        <v>#N/A</v>
      </c>
      <c r="U1889" s="9" t="e">
        <f>VLOOKUP(Table1[[#This Row],[Address A]],IP_Master[],3,FALSE)</f>
        <v>#N/A</v>
      </c>
      <c r="V1889" s="9" t="e">
        <f>VLOOKUP(Table1[[#This Row],[Address B]],IP_Master[],3,FALSE)</f>
        <v>#N/A</v>
      </c>
      <c r="W1889" s="9" t="str">
        <f>VLOOKUP(Table1[[#This Row],[Port B]],traffic_types[],2,FALSE)</f>
        <v>HTTP/S</v>
      </c>
    </row>
    <row r="1890" spans="1:23" hidden="1" x14ac:dyDescent="0.6">
      <c r="A1890" t="s">
        <v>224</v>
      </c>
      <c r="B1890">
        <v>60005</v>
      </c>
      <c r="C1890" t="s">
        <v>283</v>
      </c>
      <c r="D1890">
        <v>40018</v>
      </c>
      <c r="E1890">
        <v>3</v>
      </c>
      <c r="F1890">
        <v>194</v>
      </c>
      <c r="G1890">
        <v>3</v>
      </c>
      <c r="H1890">
        <v>194</v>
      </c>
      <c r="I1890">
        <v>0</v>
      </c>
      <c r="J1890">
        <v>0</v>
      </c>
      <c r="K1890">
        <v>169.02009899999999</v>
      </c>
      <c r="L1890">
        <v>9.0001190000000104</v>
      </c>
      <c r="M1890">
        <v>172.442164375826</v>
      </c>
      <c r="N1890">
        <v>0</v>
      </c>
      <c r="O1890" s="8" t="str">
        <f>formatIP(Table1[[#This Row],[Address A]])</f>
        <v>192.168.100.002</v>
      </c>
      <c r="P1890" s="8" t="str">
        <f>formatIP(Table1[[#This Row],[Address B]])</f>
        <v>157.056.052.043</v>
      </c>
      <c r="Q1890" s="8" t="e">
        <f>VLOOKUP(Table1[[#This Row],[Address A]],IP_Master[],4,FALSE)</f>
        <v>#N/A</v>
      </c>
      <c r="R1890" s="8" t="e">
        <f>VLOOKUP(Table1[[#This Row],[Address B]],IP_Master[],4,FALSE)</f>
        <v>#N/A</v>
      </c>
      <c r="S1890" s="8" t="e">
        <f>VLOOKUP(Table1[[#This Row],[Address A]],IP_Master[],2,FALSE)</f>
        <v>#N/A</v>
      </c>
      <c r="T1890" s="8" t="e">
        <f>VLOOKUP(Table1[[#This Row],[Address B]],IP_Master[],2,FALSE)</f>
        <v>#N/A</v>
      </c>
      <c r="U1890" s="9" t="e">
        <f>VLOOKUP(Table1[[#This Row],[Address A]],IP_Master[],3,FALSE)</f>
        <v>#N/A</v>
      </c>
      <c r="V1890" s="9" t="e">
        <f>VLOOKUP(Table1[[#This Row],[Address B]],IP_Master[],3,FALSE)</f>
        <v>#N/A</v>
      </c>
      <c r="W1890" s="9" t="e">
        <f>VLOOKUP(Table1[[#This Row],[Port B]],traffic_types[],2,FALSE)</f>
        <v>#N/A</v>
      </c>
    </row>
    <row r="1891" spans="1:23" x14ac:dyDescent="0.6">
      <c r="A1891" t="s">
        <v>224</v>
      </c>
      <c r="B1891">
        <v>60006</v>
      </c>
      <c r="C1891" t="s">
        <v>281</v>
      </c>
      <c r="D1891">
        <v>80</v>
      </c>
      <c r="E1891">
        <v>3</v>
      </c>
      <c r="F1891">
        <v>194</v>
      </c>
      <c r="G1891">
        <v>3</v>
      </c>
      <c r="H1891">
        <v>194</v>
      </c>
      <c r="I1891">
        <v>0</v>
      </c>
      <c r="J1891">
        <v>0</v>
      </c>
      <c r="K1891">
        <v>169.14970099999999</v>
      </c>
      <c r="L1891">
        <v>9.0004920000000102</v>
      </c>
      <c r="M1891">
        <v>172.43501799679399</v>
      </c>
      <c r="N1891">
        <v>0</v>
      </c>
      <c r="O1891" s="8" t="str">
        <f>formatIP(Table1[[#This Row],[Address A]])</f>
        <v>192.168.100.002</v>
      </c>
      <c r="P1891" s="8" t="str">
        <f>formatIP(Table1[[#This Row],[Address B]])</f>
        <v>157.055.056.167</v>
      </c>
      <c r="Q1891" s="8" t="e">
        <f>VLOOKUP(Table1[[#This Row],[Address A]],IP_Master[],4,FALSE)</f>
        <v>#N/A</v>
      </c>
      <c r="R1891" s="8" t="e">
        <f>VLOOKUP(Table1[[#This Row],[Address B]],IP_Master[],4,FALSE)</f>
        <v>#N/A</v>
      </c>
      <c r="S1891" s="8" t="e">
        <f>VLOOKUP(Table1[[#This Row],[Address A]],IP_Master[],2,FALSE)</f>
        <v>#N/A</v>
      </c>
      <c r="T1891" s="8" t="e">
        <f>VLOOKUP(Table1[[#This Row],[Address B]],IP_Master[],2,FALSE)</f>
        <v>#N/A</v>
      </c>
      <c r="U1891" s="9" t="e">
        <f>VLOOKUP(Table1[[#This Row],[Address A]],IP_Master[],3,FALSE)</f>
        <v>#N/A</v>
      </c>
      <c r="V1891" s="9" t="e">
        <f>VLOOKUP(Table1[[#This Row],[Address B]],IP_Master[],3,FALSE)</f>
        <v>#N/A</v>
      </c>
      <c r="W1891" s="9" t="str">
        <f>VLOOKUP(Table1[[#This Row],[Port B]],traffic_types[],2,FALSE)</f>
        <v>HTTP</v>
      </c>
    </row>
    <row r="1892" spans="1:23" x14ac:dyDescent="0.6">
      <c r="A1892" t="s">
        <v>224</v>
      </c>
      <c r="B1892">
        <v>60007</v>
      </c>
      <c r="C1892" t="s">
        <v>282</v>
      </c>
      <c r="D1892">
        <v>80</v>
      </c>
      <c r="E1892">
        <v>3</v>
      </c>
      <c r="F1892">
        <v>194</v>
      </c>
      <c r="G1892">
        <v>3</v>
      </c>
      <c r="H1892">
        <v>194</v>
      </c>
      <c r="I1892">
        <v>0</v>
      </c>
      <c r="J1892">
        <v>0</v>
      </c>
      <c r="K1892">
        <v>170.18970400000001</v>
      </c>
      <c r="L1892">
        <v>9.0005260000000096</v>
      </c>
      <c r="M1892">
        <v>172.43436661368401</v>
      </c>
      <c r="N1892">
        <v>0</v>
      </c>
      <c r="O1892" s="8" t="str">
        <f>formatIP(Table1[[#This Row],[Address A]])</f>
        <v>192.168.100.002</v>
      </c>
      <c r="P1892" s="8" t="str">
        <f>formatIP(Table1[[#This Row],[Address B]])</f>
        <v>065.055.223.025</v>
      </c>
      <c r="Q1892" s="8" t="e">
        <f>VLOOKUP(Table1[[#This Row],[Address A]],IP_Master[],4,FALSE)</f>
        <v>#N/A</v>
      </c>
      <c r="R1892" s="8" t="e">
        <f>VLOOKUP(Table1[[#This Row],[Address B]],IP_Master[],4,FALSE)</f>
        <v>#N/A</v>
      </c>
      <c r="S1892" s="8" t="e">
        <f>VLOOKUP(Table1[[#This Row],[Address A]],IP_Master[],2,FALSE)</f>
        <v>#N/A</v>
      </c>
      <c r="T1892" s="8" t="e">
        <f>VLOOKUP(Table1[[#This Row],[Address B]],IP_Master[],2,FALSE)</f>
        <v>#N/A</v>
      </c>
      <c r="U1892" s="9" t="e">
        <f>VLOOKUP(Table1[[#This Row],[Address A]],IP_Master[],3,FALSE)</f>
        <v>#N/A</v>
      </c>
      <c r="V1892" s="9" t="e">
        <f>VLOOKUP(Table1[[#This Row],[Address B]],IP_Master[],3,FALSE)</f>
        <v>#N/A</v>
      </c>
      <c r="W1892" s="9" t="str">
        <f>VLOOKUP(Table1[[#This Row],[Port B]],traffic_types[],2,FALSE)</f>
        <v>HTTP</v>
      </c>
    </row>
    <row r="1893" spans="1:23" x14ac:dyDescent="0.6">
      <c r="A1893" t="s">
        <v>224</v>
      </c>
      <c r="B1893">
        <v>60008</v>
      </c>
      <c r="C1893" t="s">
        <v>283</v>
      </c>
      <c r="D1893">
        <v>443</v>
      </c>
      <c r="E1893">
        <v>3</v>
      </c>
      <c r="F1893">
        <v>194</v>
      </c>
      <c r="G1893">
        <v>3</v>
      </c>
      <c r="H1893">
        <v>194</v>
      </c>
      <c r="I1893">
        <v>0</v>
      </c>
      <c r="J1893">
        <v>0</v>
      </c>
      <c r="K1893">
        <v>170.63964100000001</v>
      </c>
      <c r="L1893">
        <v>9.0007259999999896</v>
      </c>
      <c r="M1893">
        <v>172.430535047951</v>
      </c>
      <c r="N1893">
        <v>0</v>
      </c>
      <c r="O1893" s="8" t="str">
        <f>formatIP(Table1[[#This Row],[Address A]])</f>
        <v>192.168.100.002</v>
      </c>
      <c r="P1893" s="8" t="str">
        <f>formatIP(Table1[[#This Row],[Address B]])</f>
        <v>157.056.052.043</v>
      </c>
      <c r="Q1893" s="8" t="e">
        <f>VLOOKUP(Table1[[#This Row],[Address A]],IP_Master[],4,FALSE)</f>
        <v>#N/A</v>
      </c>
      <c r="R1893" s="8" t="e">
        <f>VLOOKUP(Table1[[#This Row],[Address B]],IP_Master[],4,FALSE)</f>
        <v>#N/A</v>
      </c>
      <c r="S1893" s="8" t="e">
        <f>VLOOKUP(Table1[[#This Row],[Address A]],IP_Master[],2,FALSE)</f>
        <v>#N/A</v>
      </c>
      <c r="T1893" s="8" t="e">
        <f>VLOOKUP(Table1[[#This Row],[Address B]],IP_Master[],2,FALSE)</f>
        <v>#N/A</v>
      </c>
      <c r="U1893" s="9" t="e">
        <f>VLOOKUP(Table1[[#This Row],[Address A]],IP_Master[],3,FALSE)</f>
        <v>#N/A</v>
      </c>
      <c r="V1893" s="9" t="e">
        <f>VLOOKUP(Table1[[#This Row],[Address B]],IP_Master[],3,FALSE)</f>
        <v>#N/A</v>
      </c>
      <c r="W1893" s="9" t="str">
        <f>VLOOKUP(Table1[[#This Row],[Port B]],traffic_types[],2,FALSE)</f>
        <v>HTTP/S</v>
      </c>
    </row>
    <row r="1894" spans="1:23" hidden="1" x14ac:dyDescent="0.6">
      <c r="A1894" t="s">
        <v>224</v>
      </c>
      <c r="B1894">
        <v>60009</v>
      </c>
      <c r="C1894" t="s">
        <v>284</v>
      </c>
      <c r="D1894">
        <v>40036</v>
      </c>
      <c r="E1894">
        <v>3</v>
      </c>
      <c r="F1894">
        <v>194</v>
      </c>
      <c r="G1894">
        <v>3</v>
      </c>
      <c r="H1894">
        <v>194</v>
      </c>
      <c r="I1894">
        <v>0</v>
      </c>
      <c r="J1894">
        <v>0</v>
      </c>
      <c r="K1894">
        <v>172.11024</v>
      </c>
      <c r="L1894">
        <v>8.9999049999999805</v>
      </c>
      <c r="M1894">
        <v>172.446264710572</v>
      </c>
      <c r="N1894">
        <v>0</v>
      </c>
      <c r="O1894" s="8" t="str">
        <f>formatIP(Table1[[#This Row],[Address A]])</f>
        <v>192.168.100.002</v>
      </c>
      <c r="P1894" s="8" t="str">
        <f>formatIP(Table1[[#This Row],[Address B]])</f>
        <v>065.055.223.024</v>
      </c>
      <c r="Q1894" s="8" t="e">
        <f>VLOOKUP(Table1[[#This Row],[Address A]],IP_Master[],4,FALSE)</f>
        <v>#N/A</v>
      </c>
      <c r="R1894" s="8" t="e">
        <f>VLOOKUP(Table1[[#This Row],[Address B]],IP_Master[],4,FALSE)</f>
        <v>#N/A</v>
      </c>
      <c r="S1894" s="8" t="e">
        <f>VLOOKUP(Table1[[#This Row],[Address A]],IP_Master[],2,FALSE)</f>
        <v>#N/A</v>
      </c>
      <c r="T1894" s="8" t="e">
        <f>VLOOKUP(Table1[[#This Row],[Address B]],IP_Master[],2,FALSE)</f>
        <v>#N/A</v>
      </c>
      <c r="U1894" s="9" t="e">
        <f>VLOOKUP(Table1[[#This Row],[Address A]],IP_Master[],3,FALSE)</f>
        <v>#N/A</v>
      </c>
      <c r="V1894" s="9" t="e">
        <f>VLOOKUP(Table1[[#This Row],[Address B]],IP_Master[],3,FALSE)</f>
        <v>#N/A</v>
      </c>
      <c r="W1894" s="9" t="e">
        <f>VLOOKUP(Table1[[#This Row],[Port B]],traffic_types[],2,FALSE)</f>
        <v>#N/A</v>
      </c>
    </row>
    <row r="1895" spans="1:23" x14ac:dyDescent="0.6">
      <c r="A1895" t="s">
        <v>224</v>
      </c>
      <c r="B1895">
        <v>60010</v>
      </c>
      <c r="C1895" t="s">
        <v>283</v>
      </c>
      <c r="D1895">
        <v>80</v>
      </c>
      <c r="E1895">
        <v>3</v>
      </c>
      <c r="F1895">
        <v>194</v>
      </c>
      <c r="G1895">
        <v>3</v>
      </c>
      <c r="H1895">
        <v>194</v>
      </c>
      <c r="I1895">
        <v>0</v>
      </c>
      <c r="J1895">
        <v>0</v>
      </c>
      <c r="K1895">
        <v>172.25961899999999</v>
      </c>
      <c r="L1895">
        <v>9.0007060000000099</v>
      </c>
      <c r="M1895">
        <v>172.430918196861</v>
      </c>
      <c r="N1895">
        <v>0</v>
      </c>
      <c r="O1895" s="8" t="str">
        <f>formatIP(Table1[[#This Row],[Address A]])</f>
        <v>192.168.100.002</v>
      </c>
      <c r="P1895" s="8" t="str">
        <f>formatIP(Table1[[#This Row],[Address B]])</f>
        <v>157.056.052.043</v>
      </c>
      <c r="Q1895" s="8" t="e">
        <f>VLOOKUP(Table1[[#This Row],[Address A]],IP_Master[],4,FALSE)</f>
        <v>#N/A</v>
      </c>
      <c r="R1895" s="8" t="e">
        <f>VLOOKUP(Table1[[#This Row],[Address B]],IP_Master[],4,FALSE)</f>
        <v>#N/A</v>
      </c>
      <c r="S1895" s="8" t="e">
        <f>VLOOKUP(Table1[[#This Row],[Address A]],IP_Master[],2,FALSE)</f>
        <v>#N/A</v>
      </c>
      <c r="T1895" s="8" t="e">
        <f>VLOOKUP(Table1[[#This Row],[Address B]],IP_Master[],2,FALSE)</f>
        <v>#N/A</v>
      </c>
      <c r="U1895" s="9" t="e">
        <f>VLOOKUP(Table1[[#This Row],[Address A]],IP_Master[],3,FALSE)</f>
        <v>#N/A</v>
      </c>
      <c r="V1895" s="9" t="e">
        <f>VLOOKUP(Table1[[#This Row],[Address B]],IP_Master[],3,FALSE)</f>
        <v>#N/A</v>
      </c>
      <c r="W1895" s="9" t="str">
        <f>VLOOKUP(Table1[[#This Row],[Port B]],traffic_types[],2,FALSE)</f>
        <v>HTTP</v>
      </c>
    </row>
    <row r="1896" spans="1:23" x14ac:dyDescent="0.6">
      <c r="A1896" t="s">
        <v>224</v>
      </c>
      <c r="B1896">
        <v>60011</v>
      </c>
      <c r="C1896" t="s">
        <v>284</v>
      </c>
      <c r="D1896">
        <v>443</v>
      </c>
      <c r="E1896">
        <v>3</v>
      </c>
      <c r="F1896">
        <v>194</v>
      </c>
      <c r="G1896">
        <v>3</v>
      </c>
      <c r="H1896">
        <v>194</v>
      </c>
      <c r="I1896">
        <v>0</v>
      </c>
      <c r="J1896">
        <v>0</v>
      </c>
      <c r="K1896">
        <v>173.72962899999999</v>
      </c>
      <c r="L1896">
        <v>9.0005240000000093</v>
      </c>
      <c r="M1896">
        <v>172.43440493020199</v>
      </c>
      <c r="N1896">
        <v>0</v>
      </c>
      <c r="O1896" s="8" t="str">
        <f>formatIP(Table1[[#This Row],[Address A]])</f>
        <v>192.168.100.002</v>
      </c>
      <c r="P1896" s="8" t="str">
        <f>formatIP(Table1[[#This Row],[Address B]])</f>
        <v>065.055.223.024</v>
      </c>
      <c r="Q1896" s="8" t="e">
        <f>VLOOKUP(Table1[[#This Row],[Address A]],IP_Master[],4,FALSE)</f>
        <v>#N/A</v>
      </c>
      <c r="R1896" s="8" t="e">
        <f>VLOOKUP(Table1[[#This Row],[Address B]],IP_Master[],4,FALSE)</f>
        <v>#N/A</v>
      </c>
      <c r="S1896" s="8" t="e">
        <f>VLOOKUP(Table1[[#This Row],[Address A]],IP_Master[],2,FALSE)</f>
        <v>#N/A</v>
      </c>
      <c r="T1896" s="8" t="e">
        <f>VLOOKUP(Table1[[#This Row],[Address B]],IP_Master[],2,FALSE)</f>
        <v>#N/A</v>
      </c>
      <c r="U1896" s="9" t="e">
        <f>VLOOKUP(Table1[[#This Row],[Address A]],IP_Master[],3,FALSE)</f>
        <v>#N/A</v>
      </c>
      <c r="V1896" s="9" t="e">
        <f>VLOOKUP(Table1[[#This Row],[Address B]],IP_Master[],3,FALSE)</f>
        <v>#N/A</v>
      </c>
      <c r="W1896" s="9" t="str">
        <f>VLOOKUP(Table1[[#This Row],[Port B]],traffic_types[],2,FALSE)</f>
        <v>HTTP/S</v>
      </c>
    </row>
    <row r="1897" spans="1:23" hidden="1" x14ac:dyDescent="0.6">
      <c r="A1897" t="s">
        <v>224</v>
      </c>
      <c r="B1897">
        <v>60012</v>
      </c>
      <c r="C1897" t="s">
        <v>285</v>
      </c>
      <c r="D1897">
        <v>40010</v>
      </c>
      <c r="E1897">
        <v>3</v>
      </c>
      <c r="F1897">
        <v>194</v>
      </c>
      <c r="G1897">
        <v>3</v>
      </c>
      <c r="H1897">
        <v>194</v>
      </c>
      <c r="I1897">
        <v>0</v>
      </c>
      <c r="J1897">
        <v>0</v>
      </c>
      <c r="K1897">
        <v>174.17855299999999</v>
      </c>
      <c r="L1897">
        <v>9.0209580000000091</v>
      </c>
      <c r="M1897">
        <v>172.04381175480501</v>
      </c>
      <c r="N1897">
        <v>0</v>
      </c>
      <c r="O1897" s="8" t="str">
        <f>formatIP(Table1[[#This Row],[Address A]])</f>
        <v>192.168.100.002</v>
      </c>
      <c r="P1897" s="8" t="str">
        <f>formatIP(Table1[[#This Row],[Address B]])</f>
        <v>157.056.052.040</v>
      </c>
      <c r="Q1897" s="8" t="e">
        <f>VLOOKUP(Table1[[#This Row],[Address A]],IP_Master[],4,FALSE)</f>
        <v>#N/A</v>
      </c>
      <c r="R1897" s="8" t="e">
        <f>VLOOKUP(Table1[[#This Row],[Address B]],IP_Master[],4,FALSE)</f>
        <v>#N/A</v>
      </c>
      <c r="S1897" s="8" t="e">
        <f>VLOOKUP(Table1[[#This Row],[Address A]],IP_Master[],2,FALSE)</f>
        <v>#N/A</v>
      </c>
      <c r="T1897" s="8" t="e">
        <f>VLOOKUP(Table1[[#This Row],[Address B]],IP_Master[],2,FALSE)</f>
        <v>#N/A</v>
      </c>
      <c r="U1897" s="9" t="e">
        <f>VLOOKUP(Table1[[#This Row],[Address A]],IP_Master[],3,FALSE)</f>
        <v>#N/A</v>
      </c>
      <c r="V1897" s="9" t="e">
        <f>VLOOKUP(Table1[[#This Row],[Address B]],IP_Master[],3,FALSE)</f>
        <v>#N/A</v>
      </c>
      <c r="W1897" s="9" t="e">
        <f>VLOOKUP(Table1[[#This Row],[Port B]],traffic_types[],2,FALSE)</f>
        <v>#N/A</v>
      </c>
    </row>
    <row r="1898" spans="1:23" hidden="1" x14ac:dyDescent="0.6">
      <c r="A1898" t="s">
        <v>224</v>
      </c>
      <c r="B1898">
        <v>60013</v>
      </c>
      <c r="C1898" t="s">
        <v>286</v>
      </c>
      <c r="D1898">
        <v>40009</v>
      </c>
      <c r="E1898">
        <v>3</v>
      </c>
      <c r="F1898">
        <v>194</v>
      </c>
      <c r="G1898">
        <v>3</v>
      </c>
      <c r="H1898">
        <v>194</v>
      </c>
      <c r="I1898">
        <v>0</v>
      </c>
      <c r="J1898">
        <v>0</v>
      </c>
      <c r="K1898">
        <v>175.201123</v>
      </c>
      <c r="L1898">
        <v>8.9990450000000006</v>
      </c>
      <c r="M1898">
        <v>172.46274465790501</v>
      </c>
      <c r="N1898">
        <v>0</v>
      </c>
      <c r="O1898" s="8" t="str">
        <f>formatIP(Table1[[#This Row],[Address A]])</f>
        <v>192.168.100.002</v>
      </c>
      <c r="P1898" s="8" t="str">
        <f>formatIP(Table1[[#This Row],[Address B]])</f>
        <v>157.055.235.152</v>
      </c>
      <c r="Q1898" s="8" t="e">
        <f>VLOOKUP(Table1[[#This Row],[Address A]],IP_Master[],4,FALSE)</f>
        <v>#N/A</v>
      </c>
      <c r="R1898" s="8" t="e">
        <f>VLOOKUP(Table1[[#This Row],[Address B]],IP_Master[],4,FALSE)</f>
        <v>#N/A</v>
      </c>
      <c r="S1898" s="8" t="e">
        <f>VLOOKUP(Table1[[#This Row],[Address A]],IP_Master[],2,FALSE)</f>
        <v>#N/A</v>
      </c>
      <c r="T1898" s="8" t="e">
        <f>VLOOKUP(Table1[[#This Row],[Address B]],IP_Master[],2,FALSE)</f>
        <v>#N/A</v>
      </c>
      <c r="U1898" s="9" t="e">
        <f>VLOOKUP(Table1[[#This Row],[Address A]],IP_Master[],3,FALSE)</f>
        <v>#N/A</v>
      </c>
      <c r="V1898" s="9" t="e">
        <f>VLOOKUP(Table1[[#This Row],[Address B]],IP_Master[],3,FALSE)</f>
        <v>#N/A</v>
      </c>
      <c r="W1898" s="9" t="e">
        <f>VLOOKUP(Table1[[#This Row],[Port B]],traffic_types[],2,FALSE)</f>
        <v>#N/A</v>
      </c>
    </row>
    <row r="1899" spans="1:23" x14ac:dyDescent="0.6">
      <c r="A1899" t="s">
        <v>224</v>
      </c>
      <c r="B1899">
        <v>60014</v>
      </c>
      <c r="C1899" t="s">
        <v>284</v>
      </c>
      <c r="D1899">
        <v>80</v>
      </c>
      <c r="E1899">
        <v>3</v>
      </c>
      <c r="F1899">
        <v>194</v>
      </c>
      <c r="G1899">
        <v>3</v>
      </c>
      <c r="H1899">
        <v>194</v>
      </c>
      <c r="I1899">
        <v>0</v>
      </c>
      <c r="J1899">
        <v>0</v>
      </c>
      <c r="K1899">
        <v>175.34956500000001</v>
      </c>
      <c r="L1899">
        <v>8.9906900000000007</v>
      </c>
      <c r="M1899">
        <v>172.62301336159999</v>
      </c>
      <c r="N1899">
        <v>0</v>
      </c>
      <c r="O1899" s="8" t="str">
        <f>formatIP(Table1[[#This Row],[Address A]])</f>
        <v>192.168.100.002</v>
      </c>
      <c r="P1899" s="8" t="str">
        <f>formatIP(Table1[[#This Row],[Address B]])</f>
        <v>065.055.223.024</v>
      </c>
      <c r="Q1899" s="8" t="e">
        <f>VLOOKUP(Table1[[#This Row],[Address A]],IP_Master[],4,FALSE)</f>
        <v>#N/A</v>
      </c>
      <c r="R1899" s="8" t="e">
        <f>VLOOKUP(Table1[[#This Row],[Address B]],IP_Master[],4,FALSE)</f>
        <v>#N/A</v>
      </c>
      <c r="S1899" s="8" t="e">
        <f>VLOOKUP(Table1[[#This Row],[Address A]],IP_Master[],2,FALSE)</f>
        <v>#N/A</v>
      </c>
      <c r="T1899" s="8" t="e">
        <f>VLOOKUP(Table1[[#This Row],[Address B]],IP_Master[],2,FALSE)</f>
        <v>#N/A</v>
      </c>
      <c r="U1899" s="9" t="e">
        <f>VLOOKUP(Table1[[#This Row],[Address A]],IP_Master[],3,FALSE)</f>
        <v>#N/A</v>
      </c>
      <c r="V1899" s="9" t="e">
        <f>VLOOKUP(Table1[[#This Row],[Address B]],IP_Master[],3,FALSE)</f>
        <v>#N/A</v>
      </c>
      <c r="W1899" s="9" t="str">
        <f>VLOOKUP(Table1[[#This Row],[Port B]],traffic_types[],2,FALSE)</f>
        <v>HTTP</v>
      </c>
    </row>
    <row r="1900" spans="1:23" x14ac:dyDescent="0.6">
      <c r="A1900" t="s">
        <v>224</v>
      </c>
      <c r="B1900">
        <v>60015</v>
      </c>
      <c r="C1900" t="s">
        <v>285</v>
      </c>
      <c r="D1900">
        <v>443</v>
      </c>
      <c r="E1900">
        <v>3</v>
      </c>
      <c r="F1900">
        <v>194</v>
      </c>
      <c r="G1900">
        <v>3</v>
      </c>
      <c r="H1900">
        <v>194</v>
      </c>
      <c r="I1900">
        <v>0</v>
      </c>
      <c r="J1900">
        <v>0</v>
      </c>
      <c r="K1900">
        <v>175.78285199999999</v>
      </c>
      <c r="L1900">
        <v>8.9984559999999991</v>
      </c>
      <c r="M1900">
        <v>172.47403332305001</v>
      </c>
      <c r="N1900">
        <v>0</v>
      </c>
      <c r="O1900" s="8" t="str">
        <f>formatIP(Table1[[#This Row],[Address A]])</f>
        <v>192.168.100.002</v>
      </c>
      <c r="P1900" s="8" t="str">
        <f>formatIP(Table1[[#This Row],[Address B]])</f>
        <v>157.056.052.040</v>
      </c>
      <c r="Q1900" s="8" t="e">
        <f>VLOOKUP(Table1[[#This Row],[Address A]],IP_Master[],4,FALSE)</f>
        <v>#N/A</v>
      </c>
      <c r="R1900" s="8" t="e">
        <f>VLOOKUP(Table1[[#This Row],[Address B]],IP_Master[],4,FALSE)</f>
        <v>#N/A</v>
      </c>
      <c r="S1900" s="8" t="e">
        <f>VLOOKUP(Table1[[#This Row],[Address A]],IP_Master[],2,FALSE)</f>
        <v>#N/A</v>
      </c>
      <c r="T1900" s="8" t="e">
        <f>VLOOKUP(Table1[[#This Row],[Address B]],IP_Master[],2,FALSE)</f>
        <v>#N/A</v>
      </c>
      <c r="U1900" s="9" t="e">
        <f>VLOOKUP(Table1[[#This Row],[Address A]],IP_Master[],3,FALSE)</f>
        <v>#N/A</v>
      </c>
      <c r="V1900" s="9" t="e">
        <f>VLOOKUP(Table1[[#This Row],[Address B]],IP_Master[],3,FALSE)</f>
        <v>#N/A</v>
      </c>
      <c r="W1900" s="9" t="str">
        <f>VLOOKUP(Table1[[#This Row],[Port B]],traffic_types[],2,FALSE)</f>
        <v>HTTP/S</v>
      </c>
    </row>
    <row r="1901" spans="1:23" x14ac:dyDescent="0.6">
      <c r="A1901" t="s">
        <v>224</v>
      </c>
      <c r="B1901">
        <v>60016</v>
      </c>
      <c r="C1901" t="s">
        <v>286</v>
      </c>
      <c r="D1901">
        <v>443</v>
      </c>
      <c r="E1901">
        <v>3</v>
      </c>
      <c r="F1901">
        <v>194</v>
      </c>
      <c r="G1901">
        <v>3</v>
      </c>
      <c r="H1901">
        <v>194</v>
      </c>
      <c r="I1901">
        <v>0</v>
      </c>
      <c r="J1901">
        <v>0</v>
      </c>
      <c r="K1901">
        <v>176.82083499999999</v>
      </c>
      <c r="L1901">
        <v>9.0002040000000196</v>
      </c>
      <c r="M1901">
        <v>172.44053579229899</v>
      </c>
      <c r="N1901">
        <v>0</v>
      </c>
      <c r="O1901" s="8" t="str">
        <f>formatIP(Table1[[#This Row],[Address A]])</f>
        <v>192.168.100.002</v>
      </c>
      <c r="P1901" s="8" t="str">
        <f>formatIP(Table1[[#This Row],[Address B]])</f>
        <v>157.055.235.152</v>
      </c>
      <c r="Q1901" s="8" t="e">
        <f>VLOOKUP(Table1[[#This Row],[Address A]],IP_Master[],4,FALSE)</f>
        <v>#N/A</v>
      </c>
      <c r="R1901" s="8" t="e">
        <f>VLOOKUP(Table1[[#This Row],[Address B]],IP_Master[],4,FALSE)</f>
        <v>#N/A</v>
      </c>
      <c r="S1901" s="8" t="e">
        <f>VLOOKUP(Table1[[#This Row],[Address A]],IP_Master[],2,FALSE)</f>
        <v>#N/A</v>
      </c>
      <c r="T1901" s="8" t="e">
        <f>VLOOKUP(Table1[[#This Row],[Address B]],IP_Master[],2,FALSE)</f>
        <v>#N/A</v>
      </c>
      <c r="U1901" s="9" t="e">
        <f>VLOOKUP(Table1[[#This Row],[Address A]],IP_Master[],3,FALSE)</f>
        <v>#N/A</v>
      </c>
      <c r="V1901" s="9" t="e">
        <f>VLOOKUP(Table1[[#This Row],[Address B]],IP_Master[],3,FALSE)</f>
        <v>#N/A</v>
      </c>
      <c r="W1901" s="9" t="str">
        <f>VLOOKUP(Table1[[#This Row],[Port B]],traffic_types[],2,FALSE)</f>
        <v>HTTP/S</v>
      </c>
    </row>
    <row r="1902" spans="1:23" x14ac:dyDescent="0.6">
      <c r="A1902" t="s">
        <v>224</v>
      </c>
      <c r="B1902">
        <v>60017</v>
      </c>
      <c r="C1902" t="s">
        <v>285</v>
      </c>
      <c r="D1902">
        <v>80</v>
      </c>
      <c r="E1902">
        <v>3</v>
      </c>
      <c r="F1902">
        <v>194</v>
      </c>
      <c r="G1902">
        <v>3</v>
      </c>
      <c r="H1902">
        <v>194</v>
      </c>
      <c r="I1902">
        <v>0</v>
      </c>
      <c r="J1902">
        <v>0</v>
      </c>
      <c r="K1902">
        <v>177.40058999999999</v>
      </c>
      <c r="L1902">
        <v>9.0007750000000009</v>
      </c>
      <c r="M1902">
        <v>172.42959634031499</v>
      </c>
      <c r="N1902">
        <v>0</v>
      </c>
      <c r="O1902" s="8" t="str">
        <f>formatIP(Table1[[#This Row],[Address A]])</f>
        <v>192.168.100.002</v>
      </c>
      <c r="P1902" s="8" t="str">
        <f>formatIP(Table1[[#This Row],[Address B]])</f>
        <v>157.056.052.040</v>
      </c>
      <c r="Q1902" s="8" t="e">
        <f>VLOOKUP(Table1[[#This Row],[Address A]],IP_Master[],4,FALSE)</f>
        <v>#N/A</v>
      </c>
      <c r="R1902" s="8" t="e">
        <f>VLOOKUP(Table1[[#This Row],[Address B]],IP_Master[],4,FALSE)</f>
        <v>#N/A</v>
      </c>
      <c r="S1902" s="8" t="e">
        <f>VLOOKUP(Table1[[#This Row],[Address A]],IP_Master[],2,FALSE)</f>
        <v>#N/A</v>
      </c>
      <c r="T1902" s="8" t="e">
        <f>VLOOKUP(Table1[[#This Row],[Address B]],IP_Master[],2,FALSE)</f>
        <v>#N/A</v>
      </c>
      <c r="U1902" s="9" t="e">
        <f>VLOOKUP(Table1[[#This Row],[Address A]],IP_Master[],3,FALSE)</f>
        <v>#N/A</v>
      </c>
      <c r="V1902" s="9" t="e">
        <f>VLOOKUP(Table1[[#This Row],[Address B]],IP_Master[],3,FALSE)</f>
        <v>#N/A</v>
      </c>
      <c r="W1902" s="9" t="str">
        <f>VLOOKUP(Table1[[#This Row],[Port B]],traffic_types[],2,FALSE)</f>
        <v>HTTP</v>
      </c>
    </row>
    <row r="1903" spans="1:23" x14ac:dyDescent="0.6">
      <c r="A1903" t="s">
        <v>224</v>
      </c>
      <c r="B1903">
        <v>60018</v>
      </c>
      <c r="C1903" t="s">
        <v>286</v>
      </c>
      <c r="D1903">
        <v>80</v>
      </c>
      <c r="E1903">
        <v>3</v>
      </c>
      <c r="F1903">
        <v>194</v>
      </c>
      <c r="G1903">
        <v>3</v>
      </c>
      <c r="H1903">
        <v>194</v>
      </c>
      <c r="I1903">
        <v>0</v>
      </c>
      <c r="J1903">
        <v>0</v>
      </c>
      <c r="K1903">
        <v>178.44074900000001</v>
      </c>
      <c r="L1903">
        <v>9.0304719999999996</v>
      </c>
      <c r="M1903">
        <v>171.86255602143501</v>
      </c>
      <c r="N1903">
        <v>0</v>
      </c>
      <c r="O1903" s="8" t="str">
        <f>formatIP(Table1[[#This Row],[Address A]])</f>
        <v>192.168.100.002</v>
      </c>
      <c r="P1903" s="8" t="str">
        <f>formatIP(Table1[[#This Row],[Address B]])</f>
        <v>157.055.235.152</v>
      </c>
      <c r="Q1903" s="8" t="e">
        <f>VLOOKUP(Table1[[#This Row],[Address A]],IP_Master[],4,FALSE)</f>
        <v>#N/A</v>
      </c>
      <c r="R1903" s="8" t="e">
        <f>VLOOKUP(Table1[[#This Row],[Address B]],IP_Master[],4,FALSE)</f>
        <v>#N/A</v>
      </c>
      <c r="S1903" s="8" t="e">
        <f>VLOOKUP(Table1[[#This Row],[Address A]],IP_Master[],2,FALSE)</f>
        <v>#N/A</v>
      </c>
      <c r="T1903" s="8" t="e">
        <f>VLOOKUP(Table1[[#This Row],[Address B]],IP_Master[],2,FALSE)</f>
        <v>#N/A</v>
      </c>
      <c r="U1903" s="9" t="e">
        <f>VLOOKUP(Table1[[#This Row],[Address A]],IP_Master[],3,FALSE)</f>
        <v>#N/A</v>
      </c>
      <c r="V1903" s="9" t="e">
        <f>VLOOKUP(Table1[[#This Row],[Address B]],IP_Master[],3,FALSE)</f>
        <v>#N/A</v>
      </c>
      <c r="W1903" s="9" t="str">
        <f>VLOOKUP(Table1[[#This Row],[Port B]],traffic_types[],2,FALSE)</f>
        <v>HTTP</v>
      </c>
    </row>
    <row r="1904" spans="1:23" hidden="1" x14ac:dyDescent="0.6">
      <c r="A1904" t="s">
        <v>224</v>
      </c>
      <c r="B1904">
        <v>60019</v>
      </c>
      <c r="C1904" t="s">
        <v>287</v>
      </c>
      <c r="D1904">
        <v>12350</v>
      </c>
      <c r="E1904">
        <v>3</v>
      </c>
      <c r="F1904">
        <v>194</v>
      </c>
      <c r="G1904">
        <v>3</v>
      </c>
      <c r="H1904">
        <v>194</v>
      </c>
      <c r="I1904">
        <v>0</v>
      </c>
      <c r="J1904">
        <v>0</v>
      </c>
      <c r="K1904">
        <v>182.762091</v>
      </c>
      <c r="L1904">
        <v>9.0299680000000002</v>
      </c>
      <c r="M1904">
        <v>171.87214838413601</v>
      </c>
      <c r="N1904">
        <v>0</v>
      </c>
      <c r="O1904" s="8" t="str">
        <f>formatIP(Table1[[#This Row],[Address A]])</f>
        <v>192.168.100.002</v>
      </c>
      <c r="P1904" s="8" t="str">
        <f>formatIP(Table1[[#This Row],[Address B]])</f>
        <v>091.190.218.058</v>
      </c>
      <c r="Q1904" s="8" t="e">
        <f>VLOOKUP(Table1[[#This Row],[Address A]],IP_Master[],4,FALSE)</f>
        <v>#N/A</v>
      </c>
      <c r="R1904" s="8" t="e">
        <f>VLOOKUP(Table1[[#This Row],[Address B]],IP_Master[],4,FALSE)</f>
        <v>#N/A</v>
      </c>
      <c r="S1904" s="8" t="e">
        <f>VLOOKUP(Table1[[#This Row],[Address A]],IP_Master[],2,FALSE)</f>
        <v>#N/A</v>
      </c>
      <c r="T1904" s="8" t="e">
        <f>VLOOKUP(Table1[[#This Row],[Address B]],IP_Master[],2,FALSE)</f>
        <v>#N/A</v>
      </c>
      <c r="U1904" s="9" t="e">
        <f>VLOOKUP(Table1[[#This Row],[Address A]],IP_Master[],3,FALSE)</f>
        <v>#N/A</v>
      </c>
      <c r="V1904" s="9" t="e">
        <f>VLOOKUP(Table1[[#This Row],[Address B]],IP_Master[],3,FALSE)</f>
        <v>#N/A</v>
      </c>
      <c r="W1904" s="9" t="e">
        <f>VLOOKUP(Table1[[#This Row],[Port B]],traffic_types[],2,FALSE)</f>
        <v>#N/A</v>
      </c>
    </row>
    <row r="1905" spans="1:23" x14ac:dyDescent="0.6">
      <c r="A1905" t="s">
        <v>224</v>
      </c>
      <c r="B1905">
        <v>60020</v>
      </c>
      <c r="C1905" t="s">
        <v>287</v>
      </c>
      <c r="D1905">
        <v>443</v>
      </c>
      <c r="E1905">
        <v>3</v>
      </c>
      <c r="F1905">
        <v>194</v>
      </c>
      <c r="G1905">
        <v>3</v>
      </c>
      <c r="H1905">
        <v>194</v>
      </c>
      <c r="I1905">
        <v>0</v>
      </c>
      <c r="J1905">
        <v>0</v>
      </c>
      <c r="K1905">
        <v>184.38055499999999</v>
      </c>
      <c r="L1905">
        <v>9.0006509999999995</v>
      </c>
      <c r="M1905">
        <v>172.43197186514601</v>
      </c>
      <c r="N1905">
        <v>0</v>
      </c>
      <c r="O1905" s="8" t="str">
        <f>formatIP(Table1[[#This Row],[Address A]])</f>
        <v>192.168.100.002</v>
      </c>
      <c r="P1905" s="8" t="str">
        <f>formatIP(Table1[[#This Row],[Address B]])</f>
        <v>091.190.218.058</v>
      </c>
      <c r="Q1905" s="8" t="e">
        <f>VLOOKUP(Table1[[#This Row],[Address A]],IP_Master[],4,FALSE)</f>
        <v>#N/A</v>
      </c>
      <c r="R1905" s="8" t="e">
        <f>VLOOKUP(Table1[[#This Row],[Address B]],IP_Master[],4,FALSE)</f>
        <v>#N/A</v>
      </c>
      <c r="S1905" s="8" t="e">
        <f>VLOOKUP(Table1[[#This Row],[Address A]],IP_Master[],2,FALSE)</f>
        <v>#N/A</v>
      </c>
      <c r="T1905" s="8" t="e">
        <f>VLOOKUP(Table1[[#This Row],[Address B]],IP_Master[],2,FALSE)</f>
        <v>#N/A</v>
      </c>
      <c r="U1905" s="9" t="e">
        <f>VLOOKUP(Table1[[#This Row],[Address A]],IP_Master[],3,FALSE)</f>
        <v>#N/A</v>
      </c>
      <c r="V1905" s="9" t="e">
        <f>VLOOKUP(Table1[[#This Row],[Address B]],IP_Master[],3,FALSE)</f>
        <v>#N/A</v>
      </c>
      <c r="W1905" s="9" t="str">
        <f>VLOOKUP(Table1[[#This Row],[Port B]],traffic_types[],2,FALSE)</f>
        <v>HTTP/S</v>
      </c>
    </row>
    <row r="1906" spans="1:23" x14ac:dyDescent="0.6">
      <c r="A1906" t="s">
        <v>224</v>
      </c>
      <c r="B1906">
        <v>60021</v>
      </c>
      <c r="C1906" t="s">
        <v>287</v>
      </c>
      <c r="D1906">
        <v>80</v>
      </c>
      <c r="E1906">
        <v>3</v>
      </c>
      <c r="F1906">
        <v>194</v>
      </c>
      <c r="G1906">
        <v>3</v>
      </c>
      <c r="H1906">
        <v>194</v>
      </c>
      <c r="I1906">
        <v>0</v>
      </c>
      <c r="J1906">
        <v>0</v>
      </c>
      <c r="K1906">
        <v>186.02151900000001</v>
      </c>
      <c r="L1906">
        <v>8.9697029999999796</v>
      </c>
      <c r="M1906">
        <v>173.026910701503</v>
      </c>
      <c r="N1906">
        <v>0</v>
      </c>
      <c r="O1906" s="8" t="str">
        <f>formatIP(Table1[[#This Row],[Address A]])</f>
        <v>192.168.100.002</v>
      </c>
      <c r="P1906" s="8" t="str">
        <f>formatIP(Table1[[#This Row],[Address B]])</f>
        <v>091.190.218.058</v>
      </c>
      <c r="Q1906" s="8" t="e">
        <f>VLOOKUP(Table1[[#This Row],[Address A]],IP_Master[],4,FALSE)</f>
        <v>#N/A</v>
      </c>
      <c r="R1906" s="8" t="e">
        <f>VLOOKUP(Table1[[#This Row],[Address B]],IP_Master[],4,FALSE)</f>
        <v>#N/A</v>
      </c>
      <c r="S1906" s="8" t="e">
        <f>VLOOKUP(Table1[[#This Row],[Address A]],IP_Master[],2,FALSE)</f>
        <v>#N/A</v>
      </c>
      <c r="T1906" s="8" t="e">
        <f>VLOOKUP(Table1[[#This Row],[Address B]],IP_Master[],2,FALSE)</f>
        <v>#N/A</v>
      </c>
      <c r="U1906" s="9" t="e">
        <f>VLOOKUP(Table1[[#This Row],[Address A]],IP_Master[],3,FALSE)</f>
        <v>#N/A</v>
      </c>
      <c r="V1906" s="9" t="e">
        <f>VLOOKUP(Table1[[#This Row],[Address B]],IP_Master[],3,FALSE)</f>
        <v>#N/A</v>
      </c>
      <c r="W1906" s="9" t="str">
        <f>VLOOKUP(Table1[[#This Row],[Port B]],traffic_types[],2,FALSE)</f>
        <v>HTTP</v>
      </c>
    </row>
    <row r="1907" spans="1:23" hidden="1" x14ac:dyDescent="0.6">
      <c r="A1907" t="s">
        <v>224</v>
      </c>
      <c r="B1907">
        <v>60022</v>
      </c>
      <c r="C1907" t="s">
        <v>288</v>
      </c>
      <c r="D1907">
        <v>40029</v>
      </c>
      <c r="E1907">
        <v>3</v>
      </c>
      <c r="F1907">
        <v>194</v>
      </c>
      <c r="G1907">
        <v>3</v>
      </c>
      <c r="H1907">
        <v>194</v>
      </c>
      <c r="I1907">
        <v>0</v>
      </c>
      <c r="J1907">
        <v>0</v>
      </c>
      <c r="K1907">
        <v>189.49211299999999</v>
      </c>
      <c r="L1907">
        <v>9.0001260000000194</v>
      </c>
      <c r="M1907">
        <v>172.44203025601999</v>
      </c>
      <c r="N1907">
        <v>0</v>
      </c>
      <c r="O1907" s="8" t="str">
        <f>formatIP(Table1[[#This Row],[Address A]])</f>
        <v>192.168.100.002</v>
      </c>
      <c r="P1907" s="8" t="str">
        <f>formatIP(Table1[[#This Row],[Address B]])</f>
        <v>157.055.235.158</v>
      </c>
      <c r="Q1907" s="8" t="e">
        <f>VLOOKUP(Table1[[#This Row],[Address A]],IP_Master[],4,FALSE)</f>
        <v>#N/A</v>
      </c>
      <c r="R1907" s="8" t="e">
        <f>VLOOKUP(Table1[[#This Row],[Address B]],IP_Master[],4,FALSE)</f>
        <v>#N/A</v>
      </c>
      <c r="S1907" s="8" t="e">
        <f>VLOOKUP(Table1[[#This Row],[Address A]],IP_Master[],2,FALSE)</f>
        <v>#N/A</v>
      </c>
      <c r="T1907" s="8" t="e">
        <f>VLOOKUP(Table1[[#This Row],[Address B]],IP_Master[],2,FALSE)</f>
        <v>#N/A</v>
      </c>
      <c r="U1907" s="9" t="e">
        <f>VLOOKUP(Table1[[#This Row],[Address A]],IP_Master[],3,FALSE)</f>
        <v>#N/A</v>
      </c>
      <c r="V1907" s="9" t="e">
        <f>VLOOKUP(Table1[[#This Row],[Address B]],IP_Master[],3,FALSE)</f>
        <v>#N/A</v>
      </c>
      <c r="W1907" s="9" t="e">
        <f>VLOOKUP(Table1[[#This Row],[Port B]],traffic_types[],2,FALSE)</f>
        <v>#N/A</v>
      </c>
    </row>
    <row r="1908" spans="1:23" hidden="1" x14ac:dyDescent="0.6">
      <c r="A1908" t="s">
        <v>224</v>
      </c>
      <c r="B1908">
        <v>60023</v>
      </c>
      <c r="C1908" t="s">
        <v>289</v>
      </c>
      <c r="D1908">
        <v>40034</v>
      </c>
      <c r="E1908">
        <v>3</v>
      </c>
      <c r="F1908">
        <v>194</v>
      </c>
      <c r="G1908">
        <v>3</v>
      </c>
      <c r="H1908">
        <v>194</v>
      </c>
      <c r="I1908">
        <v>0</v>
      </c>
      <c r="J1908">
        <v>0</v>
      </c>
      <c r="K1908">
        <v>190.502163</v>
      </c>
      <c r="L1908">
        <v>8.9998749999999994</v>
      </c>
      <c r="M1908">
        <v>172.446839539438</v>
      </c>
      <c r="N1908">
        <v>0</v>
      </c>
      <c r="O1908" s="8" t="str">
        <f>formatIP(Table1[[#This Row],[Address A]])</f>
        <v>192.168.100.002</v>
      </c>
      <c r="P1908" s="8" t="str">
        <f>formatIP(Table1[[#This Row],[Address B]])</f>
        <v>157.055.235.146</v>
      </c>
      <c r="Q1908" s="8" t="e">
        <f>VLOOKUP(Table1[[#This Row],[Address A]],IP_Master[],4,FALSE)</f>
        <v>#N/A</v>
      </c>
      <c r="R1908" s="8" t="e">
        <f>VLOOKUP(Table1[[#This Row],[Address B]],IP_Master[],4,FALSE)</f>
        <v>#N/A</v>
      </c>
      <c r="S1908" s="8" t="e">
        <f>VLOOKUP(Table1[[#This Row],[Address A]],IP_Master[],2,FALSE)</f>
        <v>#N/A</v>
      </c>
      <c r="T1908" s="8" t="e">
        <f>VLOOKUP(Table1[[#This Row],[Address B]],IP_Master[],2,FALSE)</f>
        <v>#N/A</v>
      </c>
      <c r="U1908" s="9" t="e">
        <f>VLOOKUP(Table1[[#This Row],[Address A]],IP_Master[],3,FALSE)</f>
        <v>#N/A</v>
      </c>
      <c r="V1908" s="9" t="e">
        <f>VLOOKUP(Table1[[#This Row],[Address B]],IP_Master[],3,FALSE)</f>
        <v>#N/A</v>
      </c>
      <c r="W1908" s="9" t="e">
        <f>VLOOKUP(Table1[[#This Row],[Port B]],traffic_types[],2,FALSE)</f>
        <v>#N/A</v>
      </c>
    </row>
    <row r="1909" spans="1:23" x14ac:dyDescent="0.6">
      <c r="A1909" t="s">
        <v>224</v>
      </c>
      <c r="B1909">
        <v>60024</v>
      </c>
      <c r="C1909" t="s">
        <v>288</v>
      </c>
      <c r="D1909">
        <v>443</v>
      </c>
      <c r="E1909">
        <v>3</v>
      </c>
      <c r="F1909">
        <v>194</v>
      </c>
      <c r="G1909">
        <v>3</v>
      </c>
      <c r="H1909">
        <v>194</v>
      </c>
      <c r="I1909">
        <v>0</v>
      </c>
      <c r="J1909">
        <v>0</v>
      </c>
      <c r="K1909">
        <v>191.111602</v>
      </c>
      <c r="L1909">
        <v>9.0015889999999992</v>
      </c>
      <c r="M1909">
        <v>172.41400379421901</v>
      </c>
      <c r="N1909">
        <v>0</v>
      </c>
      <c r="O1909" s="8" t="str">
        <f>formatIP(Table1[[#This Row],[Address A]])</f>
        <v>192.168.100.002</v>
      </c>
      <c r="P1909" s="8" t="str">
        <f>formatIP(Table1[[#This Row],[Address B]])</f>
        <v>157.055.235.158</v>
      </c>
      <c r="Q1909" s="8" t="e">
        <f>VLOOKUP(Table1[[#This Row],[Address A]],IP_Master[],4,FALSE)</f>
        <v>#N/A</v>
      </c>
      <c r="R1909" s="8" t="e">
        <f>VLOOKUP(Table1[[#This Row],[Address B]],IP_Master[],4,FALSE)</f>
        <v>#N/A</v>
      </c>
      <c r="S1909" s="8" t="e">
        <f>VLOOKUP(Table1[[#This Row],[Address A]],IP_Master[],2,FALSE)</f>
        <v>#N/A</v>
      </c>
      <c r="T1909" s="8" t="e">
        <f>VLOOKUP(Table1[[#This Row],[Address B]],IP_Master[],2,FALSE)</f>
        <v>#N/A</v>
      </c>
      <c r="U1909" s="9" t="e">
        <f>VLOOKUP(Table1[[#This Row],[Address A]],IP_Master[],3,FALSE)</f>
        <v>#N/A</v>
      </c>
      <c r="V1909" s="9" t="e">
        <f>VLOOKUP(Table1[[#This Row],[Address B]],IP_Master[],3,FALSE)</f>
        <v>#N/A</v>
      </c>
      <c r="W1909" s="9" t="str">
        <f>VLOOKUP(Table1[[#This Row],[Port B]],traffic_types[],2,FALSE)</f>
        <v>HTTP/S</v>
      </c>
    </row>
    <row r="1910" spans="1:23" hidden="1" x14ac:dyDescent="0.6">
      <c r="A1910" t="s">
        <v>224</v>
      </c>
      <c r="B1910">
        <v>60025</v>
      </c>
      <c r="C1910" t="s">
        <v>290</v>
      </c>
      <c r="D1910">
        <v>40009</v>
      </c>
      <c r="E1910">
        <v>3</v>
      </c>
      <c r="F1910">
        <v>194</v>
      </c>
      <c r="G1910">
        <v>3</v>
      </c>
      <c r="H1910">
        <v>194</v>
      </c>
      <c r="I1910">
        <v>0</v>
      </c>
      <c r="J1910">
        <v>0</v>
      </c>
      <c r="K1910">
        <v>191.54971699999999</v>
      </c>
      <c r="L1910">
        <v>8.9934550000000097</v>
      </c>
      <c r="M1910">
        <v>172.56994114052901</v>
      </c>
      <c r="N1910">
        <v>0</v>
      </c>
      <c r="O1910" s="8" t="str">
        <f>formatIP(Table1[[#This Row],[Address A]])</f>
        <v>192.168.100.002</v>
      </c>
      <c r="P1910" s="8" t="str">
        <f>formatIP(Table1[[#This Row],[Address B]])</f>
        <v>065.055.223.035</v>
      </c>
      <c r="Q1910" s="8" t="e">
        <f>VLOOKUP(Table1[[#This Row],[Address A]],IP_Master[],4,FALSE)</f>
        <v>#N/A</v>
      </c>
      <c r="R1910" s="8" t="e">
        <f>VLOOKUP(Table1[[#This Row],[Address B]],IP_Master[],4,FALSE)</f>
        <v>#N/A</v>
      </c>
      <c r="S1910" s="8" t="e">
        <f>VLOOKUP(Table1[[#This Row],[Address A]],IP_Master[],2,FALSE)</f>
        <v>#N/A</v>
      </c>
      <c r="T1910" s="8" t="e">
        <f>VLOOKUP(Table1[[#This Row],[Address B]],IP_Master[],2,FALSE)</f>
        <v>#N/A</v>
      </c>
      <c r="U1910" s="9" t="e">
        <f>VLOOKUP(Table1[[#This Row],[Address A]],IP_Master[],3,FALSE)</f>
        <v>#N/A</v>
      </c>
      <c r="V1910" s="9" t="e">
        <f>VLOOKUP(Table1[[#This Row],[Address B]],IP_Master[],3,FALSE)</f>
        <v>#N/A</v>
      </c>
      <c r="W1910" s="9" t="e">
        <f>VLOOKUP(Table1[[#This Row],[Port B]],traffic_types[],2,FALSE)</f>
        <v>#N/A</v>
      </c>
    </row>
    <row r="1911" spans="1:23" x14ac:dyDescent="0.6">
      <c r="A1911" t="s">
        <v>224</v>
      </c>
      <c r="B1911">
        <v>60026</v>
      </c>
      <c r="C1911" t="s">
        <v>289</v>
      </c>
      <c r="D1911">
        <v>443</v>
      </c>
      <c r="E1911">
        <v>3</v>
      </c>
      <c r="F1911">
        <v>194</v>
      </c>
      <c r="G1911">
        <v>3</v>
      </c>
      <c r="H1911">
        <v>194</v>
      </c>
      <c r="I1911">
        <v>0</v>
      </c>
      <c r="J1911">
        <v>0</v>
      </c>
      <c r="K1911">
        <v>192.121467</v>
      </c>
      <c r="L1911">
        <v>9.0015800000000201</v>
      </c>
      <c r="M1911">
        <v>172.41417617796</v>
      </c>
      <c r="N1911">
        <v>0</v>
      </c>
      <c r="O1911" s="8" t="str">
        <f>formatIP(Table1[[#This Row],[Address A]])</f>
        <v>192.168.100.002</v>
      </c>
      <c r="P1911" s="8" t="str">
        <f>formatIP(Table1[[#This Row],[Address B]])</f>
        <v>157.055.235.146</v>
      </c>
      <c r="Q1911" s="8" t="e">
        <f>VLOOKUP(Table1[[#This Row],[Address A]],IP_Master[],4,FALSE)</f>
        <v>#N/A</v>
      </c>
      <c r="R1911" s="8" t="e">
        <f>VLOOKUP(Table1[[#This Row],[Address B]],IP_Master[],4,FALSE)</f>
        <v>#N/A</v>
      </c>
      <c r="S1911" s="8" t="e">
        <f>VLOOKUP(Table1[[#This Row],[Address A]],IP_Master[],2,FALSE)</f>
        <v>#N/A</v>
      </c>
      <c r="T1911" s="8" t="e">
        <f>VLOOKUP(Table1[[#This Row],[Address B]],IP_Master[],2,FALSE)</f>
        <v>#N/A</v>
      </c>
      <c r="U1911" s="9" t="e">
        <f>VLOOKUP(Table1[[#This Row],[Address A]],IP_Master[],3,FALSE)</f>
        <v>#N/A</v>
      </c>
      <c r="V1911" s="9" t="e">
        <f>VLOOKUP(Table1[[#This Row],[Address B]],IP_Master[],3,FALSE)</f>
        <v>#N/A</v>
      </c>
      <c r="W1911" s="9" t="str">
        <f>VLOOKUP(Table1[[#This Row],[Port B]],traffic_types[],2,FALSE)</f>
        <v>HTTP/S</v>
      </c>
    </row>
    <row r="1912" spans="1:23" x14ac:dyDescent="0.6">
      <c r="A1912" t="s">
        <v>224</v>
      </c>
      <c r="B1912">
        <v>60027</v>
      </c>
      <c r="C1912" t="s">
        <v>288</v>
      </c>
      <c r="D1912">
        <v>80</v>
      </c>
      <c r="E1912">
        <v>3</v>
      </c>
      <c r="F1912">
        <v>194</v>
      </c>
      <c r="G1912">
        <v>3</v>
      </c>
      <c r="H1912">
        <v>194</v>
      </c>
      <c r="I1912">
        <v>0</v>
      </c>
      <c r="J1912">
        <v>0</v>
      </c>
      <c r="K1912">
        <v>192.731616</v>
      </c>
      <c r="L1912">
        <v>9.0014339999999908</v>
      </c>
      <c r="M1912">
        <v>172.41697267346501</v>
      </c>
      <c r="N1912">
        <v>0</v>
      </c>
      <c r="O1912" s="8" t="str">
        <f>formatIP(Table1[[#This Row],[Address A]])</f>
        <v>192.168.100.002</v>
      </c>
      <c r="P1912" s="8" t="str">
        <f>formatIP(Table1[[#This Row],[Address B]])</f>
        <v>157.055.235.158</v>
      </c>
      <c r="Q1912" s="8" t="e">
        <f>VLOOKUP(Table1[[#This Row],[Address A]],IP_Master[],4,FALSE)</f>
        <v>#N/A</v>
      </c>
      <c r="R1912" s="8" t="e">
        <f>VLOOKUP(Table1[[#This Row],[Address B]],IP_Master[],4,FALSE)</f>
        <v>#N/A</v>
      </c>
      <c r="S1912" s="8" t="e">
        <f>VLOOKUP(Table1[[#This Row],[Address A]],IP_Master[],2,FALSE)</f>
        <v>#N/A</v>
      </c>
      <c r="T1912" s="8" t="e">
        <f>VLOOKUP(Table1[[#This Row],[Address B]],IP_Master[],2,FALSE)</f>
        <v>#N/A</v>
      </c>
      <c r="U1912" s="9" t="e">
        <f>VLOOKUP(Table1[[#This Row],[Address A]],IP_Master[],3,FALSE)</f>
        <v>#N/A</v>
      </c>
      <c r="V1912" s="9" t="e">
        <f>VLOOKUP(Table1[[#This Row],[Address B]],IP_Master[],3,FALSE)</f>
        <v>#N/A</v>
      </c>
      <c r="W1912" s="9" t="str">
        <f>VLOOKUP(Table1[[#This Row],[Port B]],traffic_types[],2,FALSE)</f>
        <v>HTTP</v>
      </c>
    </row>
    <row r="1913" spans="1:23" x14ac:dyDescent="0.6">
      <c r="A1913" t="s">
        <v>224</v>
      </c>
      <c r="B1913">
        <v>60028</v>
      </c>
      <c r="C1913" t="s">
        <v>290</v>
      </c>
      <c r="D1913">
        <v>443</v>
      </c>
      <c r="E1913">
        <v>3</v>
      </c>
      <c r="F1913">
        <v>194</v>
      </c>
      <c r="G1913">
        <v>3</v>
      </c>
      <c r="H1913">
        <v>194</v>
      </c>
      <c r="I1913">
        <v>0</v>
      </c>
      <c r="J1913">
        <v>0</v>
      </c>
      <c r="K1913">
        <v>193.161462</v>
      </c>
      <c r="L1913">
        <v>9.0016090000000002</v>
      </c>
      <c r="M1913">
        <v>172.41362072047301</v>
      </c>
      <c r="N1913">
        <v>0</v>
      </c>
      <c r="O1913" s="8" t="str">
        <f>formatIP(Table1[[#This Row],[Address A]])</f>
        <v>192.168.100.002</v>
      </c>
      <c r="P1913" s="8" t="str">
        <f>formatIP(Table1[[#This Row],[Address B]])</f>
        <v>065.055.223.035</v>
      </c>
      <c r="Q1913" s="8" t="e">
        <f>VLOOKUP(Table1[[#This Row],[Address A]],IP_Master[],4,FALSE)</f>
        <v>#N/A</v>
      </c>
      <c r="R1913" s="8" t="e">
        <f>VLOOKUP(Table1[[#This Row],[Address B]],IP_Master[],4,FALSE)</f>
        <v>#N/A</v>
      </c>
      <c r="S1913" s="8" t="e">
        <f>VLOOKUP(Table1[[#This Row],[Address A]],IP_Master[],2,FALSE)</f>
        <v>#N/A</v>
      </c>
      <c r="T1913" s="8" t="e">
        <f>VLOOKUP(Table1[[#This Row],[Address B]],IP_Master[],2,FALSE)</f>
        <v>#N/A</v>
      </c>
      <c r="U1913" s="9" t="e">
        <f>VLOOKUP(Table1[[#This Row],[Address A]],IP_Master[],3,FALSE)</f>
        <v>#N/A</v>
      </c>
      <c r="V1913" s="9" t="e">
        <f>VLOOKUP(Table1[[#This Row],[Address B]],IP_Master[],3,FALSE)</f>
        <v>#N/A</v>
      </c>
      <c r="W1913" s="9" t="str">
        <f>VLOOKUP(Table1[[#This Row],[Port B]],traffic_types[],2,FALSE)</f>
        <v>HTTP/S</v>
      </c>
    </row>
    <row r="1914" spans="1:23" hidden="1" x14ac:dyDescent="0.6">
      <c r="A1914" t="s">
        <v>224</v>
      </c>
      <c r="B1914">
        <v>60029</v>
      </c>
      <c r="C1914" t="s">
        <v>291</v>
      </c>
      <c r="D1914">
        <v>40026</v>
      </c>
      <c r="E1914">
        <v>3</v>
      </c>
      <c r="F1914">
        <v>194</v>
      </c>
      <c r="G1914">
        <v>3</v>
      </c>
      <c r="H1914">
        <v>194</v>
      </c>
      <c r="I1914">
        <v>0</v>
      </c>
      <c r="J1914">
        <v>0</v>
      </c>
      <c r="K1914">
        <v>193.61197999999999</v>
      </c>
      <c r="L1914">
        <v>9.0009999999999994</v>
      </c>
      <c r="M1914">
        <v>172.425286079324</v>
      </c>
      <c r="N1914">
        <v>0</v>
      </c>
      <c r="O1914" s="8" t="str">
        <f>formatIP(Table1[[#This Row],[Address A]])</f>
        <v>192.168.100.002</v>
      </c>
      <c r="P1914" s="8" t="str">
        <f>formatIP(Table1[[#This Row],[Address B]])</f>
        <v>157.055.056.153</v>
      </c>
      <c r="Q1914" s="8" t="e">
        <f>VLOOKUP(Table1[[#This Row],[Address A]],IP_Master[],4,FALSE)</f>
        <v>#N/A</v>
      </c>
      <c r="R1914" s="8" t="e">
        <f>VLOOKUP(Table1[[#This Row],[Address B]],IP_Master[],4,FALSE)</f>
        <v>#N/A</v>
      </c>
      <c r="S1914" s="8" t="e">
        <f>VLOOKUP(Table1[[#This Row],[Address A]],IP_Master[],2,FALSE)</f>
        <v>#N/A</v>
      </c>
      <c r="T1914" s="8" t="e">
        <f>VLOOKUP(Table1[[#This Row],[Address B]],IP_Master[],2,FALSE)</f>
        <v>#N/A</v>
      </c>
      <c r="U1914" s="9" t="e">
        <f>VLOOKUP(Table1[[#This Row],[Address A]],IP_Master[],3,FALSE)</f>
        <v>#N/A</v>
      </c>
      <c r="V1914" s="9" t="e">
        <f>VLOOKUP(Table1[[#This Row],[Address B]],IP_Master[],3,FALSE)</f>
        <v>#N/A</v>
      </c>
      <c r="W1914" s="9" t="e">
        <f>VLOOKUP(Table1[[#This Row],[Port B]],traffic_types[],2,FALSE)</f>
        <v>#N/A</v>
      </c>
    </row>
    <row r="1915" spans="1:23" x14ac:dyDescent="0.6">
      <c r="A1915" t="s">
        <v>224</v>
      </c>
      <c r="B1915">
        <v>60030</v>
      </c>
      <c r="C1915" t="s">
        <v>289</v>
      </c>
      <c r="D1915">
        <v>80</v>
      </c>
      <c r="E1915">
        <v>3</v>
      </c>
      <c r="F1915">
        <v>194</v>
      </c>
      <c r="G1915">
        <v>3</v>
      </c>
      <c r="H1915">
        <v>194</v>
      </c>
      <c r="I1915">
        <v>0</v>
      </c>
      <c r="J1915">
        <v>0</v>
      </c>
      <c r="K1915">
        <v>193.74974700000001</v>
      </c>
      <c r="L1915">
        <v>8.9999549999999999</v>
      </c>
      <c r="M1915">
        <v>172.445306670978</v>
      </c>
      <c r="N1915">
        <v>0</v>
      </c>
      <c r="O1915" s="8" t="str">
        <f>formatIP(Table1[[#This Row],[Address A]])</f>
        <v>192.168.100.002</v>
      </c>
      <c r="P1915" s="8" t="str">
        <f>formatIP(Table1[[#This Row],[Address B]])</f>
        <v>157.055.235.146</v>
      </c>
      <c r="Q1915" s="8" t="e">
        <f>VLOOKUP(Table1[[#This Row],[Address A]],IP_Master[],4,FALSE)</f>
        <v>#N/A</v>
      </c>
      <c r="R1915" s="8" t="e">
        <f>VLOOKUP(Table1[[#This Row],[Address B]],IP_Master[],4,FALSE)</f>
        <v>#N/A</v>
      </c>
      <c r="S1915" s="8" t="e">
        <f>VLOOKUP(Table1[[#This Row],[Address A]],IP_Master[],2,FALSE)</f>
        <v>#N/A</v>
      </c>
      <c r="T1915" s="8" t="e">
        <f>VLOOKUP(Table1[[#This Row],[Address B]],IP_Master[],2,FALSE)</f>
        <v>#N/A</v>
      </c>
      <c r="U1915" s="9" t="e">
        <f>VLOOKUP(Table1[[#This Row],[Address A]],IP_Master[],3,FALSE)</f>
        <v>#N/A</v>
      </c>
      <c r="V1915" s="9" t="e">
        <f>VLOOKUP(Table1[[#This Row],[Address B]],IP_Master[],3,FALSE)</f>
        <v>#N/A</v>
      </c>
      <c r="W1915" s="9" t="str">
        <f>VLOOKUP(Table1[[#This Row],[Port B]],traffic_types[],2,FALSE)</f>
        <v>HTTP</v>
      </c>
    </row>
    <row r="1916" spans="1:23" x14ac:dyDescent="0.6">
      <c r="A1916" t="s">
        <v>224</v>
      </c>
      <c r="B1916">
        <v>60031</v>
      </c>
      <c r="C1916" t="s">
        <v>290</v>
      </c>
      <c r="D1916">
        <v>80</v>
      </c>
      <c r="E1916">
        <v>3</v>
      </c>
      <c r="F1916">
        <v>194</v>
      </c>
      <c r="G1916">
        <v>3</v>
      </c>
      <c r="H1916">
        <v>194</v>
      </c>
      <c r="I1916">
        <v>0</v>
      </c>
      <c r="J1916">
        <v>0</v>
      </c>
      <c r="K1916">
        <v>194.78188</v>
      </c>
      <c r="L1916">
        <v>9.0012429999999899</v>
      </c>
      <c r="M1916">
        <v>172.420631239486</v>
      </c>
      <c r="N1916">
        <v>0</v>
      </c>
      <c r="O1916" s="8" t="str">
        <f>formatIP(Table1[[#This Row],[Address A]])</f>
        <v>192.168.100.002</v>
      </c>
      <c r="P1916" s="8" t="str">
        <f>formatIP(Table1[[#This Row],[Address B]])</f>
        <v>065.055.223.035</v>
      </c>
      <c r="Q1916" s="8" t="e">
        <f>VLOOKUP(Table1[[#This Row],[Address A]],IP_Master[],4,FALSE)</f>
        <v>#N/A</v>
      </c>
      <c r="R1916" s="8" t="e">
        <f>VLOOKUP(Table1[[#This Row],[Address B]],IP_Master[],4,FALSE)</f>
        <v>#N/A</v>
      </c>
      <c r="S1916" s="8" t="e">
        <f>VLOOKUP(Table1[[#This Row],[Address A]],IP_Master[],2,FALSE)</f>
        <v>#N/A</v>
      </c>
      <c r="T1916" s="8" t="e">
        <f>VLOOKUP(Table1[[#This Row],[Address B]],IP_Master[],2,FALSE)</f>
        <v>#N/A</v>
      </c>
      <c r="U1916" s="9" t="e">
        <f>VLOOKUP(Table1[[#This Row],[Address A]],IP_Master[],3,FALSE)</f>
        <v>#N/A</v>
      </c>
      <c r="V1916" s="9" t="e">
        <f>VLOOKUP(Table1[[#This Row],[Address B]],IP_Master[],3,FALSE)</f>
        <v>#N/A</v>
      </c>
      <c r="W1916" s="9" t="str">
        <f>VLOOKUP(Table1[[#This Row],[Port B]],traffic_types[],2,FALSE)</f>
        <v>HTTP</v>
      </c>
    </row>
    <row r="1917" spans="1:23" x14ac:dyDescent="0.6">
      <c r="A1917" t="s">
        <v>224</v>
      </c>
      <c r="B1917">
        <v>60032</v>
      </c>
      <c r="C1917" t="s">
        <v>291</v>
      </c>
      <c r="D1917">
        <v>443</v>
      </c>
      <c r="E1917">
        <v>3</v>
      </c>
      <c r="F1917">
        <v>194</v>
      </c>
      <c r="G1917">
        <v>3</v>
      </c>
      <c r="H1917">
        <v>194</v>
      </c>
      <c r="I1917">
        <v>0</v>
      </c>
      <c r="J1917">
        <v>0</v>
      </c>
      <c r="K1917">
        <v>195.23160999999999</v>
      </c>
      <c r="L1917">
        <v>9.0015680000000202</v>
      </c>
      <c r="M1917">
        <v>172.41440602348399</v>
      </c>
      <c r="N1917">
        <v>0</v>
      </c>
      <c r="O1917" s="8" t="str">
        <f>formatIP(Table1[[#This Row],[Address A]])</f>
        <v>192.168.100.002</v>
      </c>
      <c r="P1917" s="8" t="str">
        <f>formatIP(Table1[[#This Row],[Address B]])</f>
        <v>157.055.056.153</v>
      </c>
      <c r="Q1917" s="8" t="e">
        <f>VLOOKUP(Table1[[#This Row],[Address A]],IP_Master[],4,FALSE)</f>
        <v>#N/A</v>
      </c>
      <c r="R1917" s="8" t="e">
        <f>VLOOKUP(Table1[[#This Row],[Address B]],IP_Master[],4,FALSE)</f>
        <v>#N/A</v>
      </c>
      <c r="S1917" s="8" t="e">
        <f>VLOOKUP(Table1[[#This Row],[Address A]],IP_Master[],2,FALSE)</f>
        <v>#N/A</v>
      </c>
      <c r="T1917" s="8" t="e">
        <f>VLOOKUP(Table1[[#This Row],[Address B]],IP_Master[],2,FALSE)</f>
        <v>#N/A</v>
      </c>
      <c r="U1917" s="9" t="e">
        <f>VLOOKUP(Table1[[#This Row],[Address A]],IP_Master[],3,FALSE)</f>
        <v>#N/A</v>
      </c>
      <c r="V1917" s="9" t="e">
        <f>VLOOKUP(Table1[[#This Row],[Address B]],IP_Master[],3,FALSE)</f>
        <v>#N/A</v>
      </c>
      <c r="W1917" s="9" t="str">
        <f>VLOOKUP(Table1[[#This Row],[Port B]],traffic_types[],2,FALSE)</f>
        <v>HTTP/S</v>
      </c>
    </row>
    <row r="1918" spans="1:23" hidden="1" x14ac:dyDescent="0.6">
      <c r="A1918" t="s">
        <v>224</v>
      </c>
      <c r="B1918">
        <v>60033</v>
      </c>
      <c r="C1918" t="s">
        <v>292</v>
      </c>
      <c r="D1918">
        <v>40001</v>
      </c>
      <c r="E1918">
        <v>3</v>
      </c>
      <c r="F1918">
        <v>194</v>
      </c>
      <c r="G1918">
        <v>3</v>
      </c>
      <c r="H1918">
        <v>194</v>
      </c>
      <c r="I1918">
        <v>0</v>
      </c>
      <c r="J1918">
        <v>0</v>
      </c>
      <c r="K1918">
        <v>196.69313299999999</v>
      </c>
      <c r="L1918">
        <v>9.0000750000000096</v>
      </c>
      <c r="M1918">
        <v>172.44300741938201</v>
      </c>
      <c r="N1918">
        <v>0</v>
      </c>
      <c r="O1918" s="8" t="str">
        <f>formatIP(Table1[[#This Row],[Address A]])</f>
        <v>192.168.100.002</v>
      </c>
      <c r="P1918" s="8" t="str">
        <f>formatIP(Table1[[#This Row],[Address B]])</f>
        <v>065.055.223.032</v>
      </c>
      <c r="Q1918" s="8" t="e">
        <f>VLOOKUP(Table1[[#This Row],[Address A]],IP_Master[],4,FALSE)</f>
        <v>#N/A</v>
      </c>
      <c r="R1918" s="8" t="e">
        <f>VLOOKUP(Table1[[#This Row],[Address B]],IP_Master[],4,FALSE)</f>
        <v>#N/A</v>
      </c>
      <c r="S1918" s="8" t="e">
        <f>VLOOKUP(Table1[[#This Row],[Address A]],IP_Master[],2,FALSE)</f>
        <v>#N/A</v>
      </c>
      <c r="T1918" s="8" t="e">
        <f>VLOOKUP(Table1[[#This Row],[Address B]],IP_Master[],2,FALSE)</f>
        <v>#N/A</v>
      </c>
      <c r="U1918" s="9" t="e">
        <f>VLOOKUP(Table1[[#This Row],[Address A]],IP_Master[],3,FALSE)</f>
        <v>#N/A</v>
      </c>
      <c r="V1918" s="9" t="e">
        <f>VLOOKUP(Table1[[#This Row],[Address B]],IP_Master[],3,FALSE)</f>
        <v>#N/A</v>
      </c>
      <c r="W1918" s="9" t="e">
        <f>VLOOKUP(Table1[[#This Row],[Port B]],traffic_types[],2,FALSE)</f>
        <v>#N/A</v>
      </c>
    </row>
    <row r="1919" spans="1:23" x14ac:dyDescent="0.6">
      <c r="A1919" t="s">
        <v>224</v>
      </c>
      <c r="B1919">
        <v>60034</v>
      </c>
      <c r="C1919" t="s">
        <v>291</v>
      </c>
      <c r="D1919">
        <v>80</v>
      </c>
      <c r="E1919">
        <v>3</v>
      </c>
      <c r="F1919">
        <v>194</v>
      </c>
      <c r="G1919">
        <v>3</v>
      </c>
      <c r="H1919">
        <v>194</v>
      </c>
      <c r="I1919">
        <v>0</v>
      </c>
      <c r="J1919">
        <v>0</v>
      </c>
      <c r="K1919">
        <v>196.84269499999999</v>
      </c>
      <c r="L1919">
        <v>9.0005389999999998</v>
      </c>
      <c r="M1919">
        <v>172.43411755673699</v>
      </c>
      <c r="N1919">
        <v>0</v>
      </c>
      <c r="O1919" s="8" t="str">
        <f>formatIP(Table1[[#This Row],[Address A]])</f>
        <v>192.168.100.002</v>
      </c>
      <c r="P1919" s="8" t="str">
        <f>formatIP(Table1[[#This Row],[Address B]])</f>
        <v>157.055.056.153</v>
      </c>
      <c r="Q1919" s="8" t="e">
        <f>VLOOKUP(Table1[[#This Row],[Address A]],IP_Master[],4,FALSE)</f>
        <v>#N/A</v>
      </c>
      <c r="R1919" s="8" t="e">
        <f>VLOOKUP(Table1[[#This Row],[Address B]],IP_Master[],4,FALSE)</f>
        <v>#N/A</v>
      </c>
      <c r="S1919" s="8" t="e">
        <f>VLOOKUP(Table1[[#This Row],[Address A]],IP_Master[],2,FALSE)</f>
        <v>#N/A</v>
      </c>
      <c r="T1919" s="8" t="e">
        <f>VLOOKUP(Table1[[#This Row],[Address B]],IP_Master[],2,FALSE)</f>
        <v>#N/A</v>
      </c>
      <c r="U1919" s="9" t="e">
        <f>VLOOKUP(Table1[[#This Row],[Address A]],IP_Master[],3,FALSE)</f>
        <v>#N/A</v>
      </c>
      <c r="V1919" s="9" t="e">
        <f>VLOOKUP(Table1[[#This Row],[Address B]],IP_Master[],3,FALSE)</f>
        <v>#N/A</v>
      </c>
      <c r="W1919" s="9" t="str">
        <f>VLOOKUP(Table1[[#This Row],[Port B]],traffic_types[],2,FALSE)</f>
        <v>HTTP</v>
      </c>
    </row>
    <row r="1920" spans="1:23" x14ac:dyDescent="0.6">
      <c r="A1920" t="s">
        <v>224</v>
      </c>
      <c r="B1920">
        <v>60035</v>
      </c>
      <c r="C1920" t="s">
        <v>292</v>
      </c>
      <c r="D1920">
        <v>443</v>
      </c>
      <c r="E1920">
        <v>3</v>
      </c>
      <c r="F1920">
        <v>194</v>
      </c>
      <c r="G1920">
        <v>3</v>
      </c>
      <c r="H1920">
        <v>194</v>
      </c>
      <c r="I1920">
        <v>0</v>
      </c>
      <c r="J1920">
        <v>0</v>
      </c>
      <c r="K1920">
        <v>198.312265</v>
      </c>
      <c r="L1920">
        <v>9.0007500000000107</v>
      </c>
      <c r="M1920">
        <v>172.43007527150499</v>
      </c>
      <c r="N1920">
        <v>0</v>
      </c>
      <c r="O1920" s="8" t="str">
        <f>formatIP(Table1[[#This Row],[Address A]])</f>
        <v>192.168.100.002</v>
      </c>
      <c r="P1920" s="8" t="str">
        <f>formatIP(Table1[[#This Row],[Address B]])</f>
        <v>065.055.223.032</v>
      </c>
      <c r="Q1920" s="8" t="e">
        <f>VLOOKUP(Table1[[#This Row],[Address A]],IP_Master[],4,FALSE)</f>
        <v>#N/A</v>
      </c>
      <c r="R1920" s="8" t="e">
        <f>VLOOKUP(Table1[[#This Row],[Address B]],IP_Master[],4,FALSE)</f>
        <v>#N/A</v>
      </c>
      <c r="S1920" s="8" t="e">
        <f>VLOOKUP(Table1[[#This Row],[Address A]],IP_Master[],2,FALSE)</f>
        <v>#N/A</v>
      </c>
      <c r="T1920" s="8" t="e">
        <f>VLOOKUP(Table1[[#This Row],[Address B]],IP_Master[],2,FALSE)</f>
        <v>#N/A</v>
      </c>
      <c r="U1920" s="9" t="e">
        <f>VLOOKUP(Table1[[#This Row],[Address A]],IP_Master[],3,FALSE)</f>
        <v>#N/A</v>
      </c>
      <c r="V1920" s="9" t="e">
        <f>VLOOKUP(Table1[[#This Row],[Address B]],IP_Master[],3,FALSE)</f>
        <v>#N/A</v>
      </c>
      <c r="W1920" s="9" t="str">
        <f>VLOOKUP(Table1[[#This Row],[Port B]],traffic_types[],2,FALSE)</f>
        <v>HTTP/S</v>
      </c>
    </row>
    <row r="1921" spans="1:23" hidden="1" x14ac:dyDescent="0.6">
      <c r="A1921" t="s">
        <v>224</v>
      </c>
      <c r="B1921">
        <v>60036</v>
      </c>
      <c r="C1921" t="s">
        <v>293</v>
      </c>
      <c r="D1921">
        <v>40005</v>
      </c>
      <c r="E1921">
        <v>3</v>
      </c>
      <c r="F1921">
        <v>194</v>
      </c>
      <c r="G1921">
        <v>3</v>
      </c>
      <c r="H1921">
        <v>194</v>
      </c>
      <c r="I1921">
        <v>0</v>
      </c>
      <c r="J1921">
        <v>0</v>
      </c>
      <c r="K1921">
        <v>198.76308599999999</v>
      </c>
      <c r="L1921">
        <v>9.0001190000000104</v>
      </c>
      <c r="M1921">
        <v>172.442164375826</v>
      </c>
      <c r="N1921">
        <v>0</v>
      </c>
      <c r="O1921" s="8" t="str">
        <f>formatIP(Table1[[#This Row],[Address A]])</f>
        <v>192.168.100.002</v>
      </c>
      <c r="P1921" s="8" t="str">
        <f>formatIP(Table1[[#This Row],[Address B]])</f>
        <v>065.055.223.046</v>
      </c>
      <c r="Q1921" s="8" t="e">
        <f>VLOOKUP(Table1[[#This Row],[Address A]],IP_Master[],4,FALSE)</f>
        <v>#N/A</v>
      </c>
      <c r="R1921" s="8" t="e">
        <f>VLOOKUP(Table1[[#This Row],[Address B]],IP_Master[],4,FALSE)</f>
        <v>#N/A</v>
      </c>
      <c r="S1921" s="8" t="e">
        <f>VLOOKUP(Table1[[#This Row],[Address A]],IP_Master[],2,FALSE)</f>
        <v>#N/A</v>
      </c>
      <c r="T1921" s="8" t="e">
        <f>VLOOKUP(Table1[[#This Row],[Address B]],IP_Master[],2,FALSE)</f>
        <v>#N/A</v>
      </c>
      <c r="U1921" s="9" t="e">
        <f>VLOOKUP(Table1[[#This Row],[Address A]],IP_Master[],3,FALSE)</f>
        <v>#N/A</v>
      </c>
      <c r="V1921" s="9" t="e">
        <f>VLOOKUP(Table1[[#This Row],[Address B]],IP_Master[],3,FALSE)</f>
        <v>#N/A</v>
      </c>
      <c r="W1921" s="9" t="e">
        <f>VLOOKUP(Table1[[#This Row],[Port B]],traffic_types[],2,FALSE)</f>
        <v>#N/A</v>
      </c>
    </row>
    <row r="1922" spans="1:23" hidden="1" x14ac:dyDescent="0.6">
      <c r="A1922" t="s">
        <v>224</v>
      </c>
      <c r="B1922">
        <v>60037</v>
      </c>
      <c r="C1922" t="s">
        <v>294</v>
      </c>
      <c r="D1922">
        <v>40007</v>
      </c>
      <c r="E1922">
        <v>3</v>
      </c>
      <c r="F1922">
        <v>194</v>
      </c>
      <c r="G1922">
        <v>3</v>
      </c>
      <c r="H1922">
        <v>194</v>
      </c>
      <c r="I1922">
        <v>0</v>
      </c>
      <c r="J1922">
        <v>0</v>
      </c>
      <c r="K1922">
        <v>199.823891</v>
      </c>
      <c r="L1922">
        <v>8.9691599999999898</v>
      </c>
      <c r="M1922">
        <v>173.03738588675</v>
      </c>
      <c r="N1922">
        <v>0</v>
      </c>
      <c r="O1922" s="8" t="str">
        <f>formatIP(Table1[[#This Row],[Address A]])</f>
        <v>192.168.100.002</v>
      </c>
      <c r="P1922" s="8" t="str">
        <f>formatIP(Table1[[#This Row],[Address B]])</f>
        <v>157.055.130.176</v>
      </c>
      <c r="Q1922" s="8" t="e">
        <f>VLOOKUP(Table1[[#This Row],[Address A]],IP_Master[],4,FALSE)</f>
        <v>#N/A</v>
      </c>
      <c r="R1922" s="8" t="e">
        <f>VLOOKUP(Table1[[#This Row],[Address B]],IP_Master[],4,FALSE)</f>
        <v>#N/A</v>
      </c>
      <c r="S1922" s="8" t="e">
        <f>VLOOKUP(Table1[[#This Row],[Address A]],IP_Master[],2,FALSE)</f>
        <v>#N/A</v>
      </c>
      <c r="T1922" s="8" t="e">
        <f>VLOOKUP(Table1[[#This Row],[Address B]],IP_Master[],2,FALSE)</f>
        <v>#N/A</v>
      </c>
      <c r="U1922" s="9" t="e">
        <f>VLOOKUP(Table1[[#This Row],[Address A]],IP_Master[],3,FALSE)</f>
        <v>#N/A</v>
      </c>
      <c r="V1922" s="9" t="e">
        <f>VLOOKUP(Table1[[#This Row],[Address B]],IP_Master[],3,FALSE)</f>
        <v>#N/A</v>
      </c>
      <c r="W1922" s="9" t="e">
        <f>VLOOKUP(Table1[[#This Row],[Port B]],traffic_types[],2,FALSE)</f>
        <v>#N/A</v>
      </c>
    </row>
    <row r="1923" spans="1:23" x14ac:dyDescent="0.6">
      <c r="A1923" t="s">
        <v>224</v>
      </c>
      <c r="B1923">
        <v>60038</v>
      </c>
      <c r="C1923" t="s">
        <v>292</v>
      </c>
      <c r="D1923">
        <v>80</v>
      </c>
      <c r="E1923">
        <v>3</v>
      </c>
      <c r="F1923">
        <v>194</v>
      </c>
      <c r="G1923">
        <v>3</v>
      </c>
      <c r="H1923">
        <v>194</v>
      </c>
      <c r="I1923">
        <v>0</v>
      </c>
      <c r="J1923">
        <v>0</v>
      </c>
      <c r="K1923">
        <v>199.92366100000001</v>
      </c>
      <c r="L1923">
        <v>9.00037799999998</v>
      </c>
      <c r="M1923">
        <v>172.437202081957</v>
      </c>
      <c r="N1923">
        <v>0</v>
      </c>
      <c r="O1923" s="8" t="str">
        <f>formatIP(Table1[[#This Row],[Address A]])</f>
        <v>192.168.100.002</v>
      </c>
      <c r="P1923" s="8" t="str">
        <f>formatIP(Table1[[#This Row],[Address B]])</f>
        <v>065.055.223.032</v>
      </c>
      <c r="Q1923" s="8" t="e">
        <f>VLOOKUP(Table1[[#This Row],[Address A]],IP_Master[],4,FALSE)</f>
        <v>#N/A</v>
      </c>
      <c r="R1923" s="8" t="e">
        <f>VLOOKUP(Table1[[#This Row],[Address B]],IP_Master[],4,FALSE)</f>
        <v>#N/A</v>
      </c>
      <c r="S1923" s="8" t="e">
        <f>VLOOKUP(Table1[[#This Row],[Address A]],IP_Master[],2,FALSE)</f>
        <v>#N/A</v>
      </c>
      <c r="T1923" s="8" t="e">
        <f>VLOOKUP(Table1[[#This Row],[Address B]],IP_Master[],2,FALSE)</f>
        <v>#N/A</v>
      </c>
      <c r="U1923" s="9" t="e">
        <f>VLOOKUP(Table1[[#This Row],[Address A]],IP_Master[],3,FALSE)</f>
        <v>#N/A</v>
      </c>
      <c r="V1923" s="9" t="e">
        <f>VLOOKUP(Table1[[#This Row],[Address B]],IP_Master[],3,FALSE)</f>
        <v>#N/A</v>
      </c>
      <c r="W1923" s="9" t="str">
        <f>VLOOKUP(Table1[[#This Row],[Port B]],traffic_types[],2,FALSE)</f>
        <v>HTTP</v>
      </c>
    </row>
    <row r="1924" spans="1:23" x14ac:dyDescent="0.6">
      <c r="A1924" t="s">
        <v>224</v>
      </c>
      <c r="B1924">
        <v>60039</v>
      </c>
      <c r="C1924" t="s">
        <v>293</v>
      </c>
      <c r="D1924">
        <v>443</v>
      </c>
      <c r="E1924">
        <v>3</v>
      </c>
      <c r="F1924">
        <v>194</v>
      </c>
      <c r="G1924">
        <v>3</v>
      </c>
      <c r="H1924">
        <v>194</v>
      </c>
      <c r="I1924">
        <v>0</v>
      </c>
      <c r="J1924">
        <v>0</v>
      </c>
      <c r="K1924">
        <v>200.37366299999999</v>
      </c>
      <c r="L1924">
        <v>9.00030000000001</v>
      </c>
      <c r="M1924">
        <v>172.43869648789499</v>
      </c>
      <c r="N1924">
        <v>0</v>
      </c>
      <c r="O1924" s="8" t="str">
        <f>formatIP(Table1[[#This Row],[Address A]])</f>
        <v>192.168.100.002</v>
      </c>
      <c r="P1924" s="8" t="str">
        <f>formatIP(Table1[[#This Row],[Address B]])</f>
        <v>065.055.223.046</v>
      </c>
      <c r="Q1924" s="8" t="e">
        <f>VLOOKUP(Table1[[#This Row],[Address A]],IP_Master[],4,FALSE)</f>
        <v>#N/A</v>
      </c>
      <c r="R1924" s="8" t="e">
        <f>VLOOKUP(Table1[[#This Row],[Address B]],IP_Master[],4,FALSE)</f>
        <v>#N/A</v>
      </c>
      <c r="S1924" s="8" t="e">
        <f>VLOOKUP(Table1[[#This Row],[Address A]],IP_Master[],2,FALSE)</f>
        <v>#N/A</v>
      </c>
      <c r="T1924" s="8" t="e">
        <f>VLOOKUP(Table1[[#This Row],[Address B]],IP_Master[],2,FALSE)</f>
        <v>#N/A</v>
      </c>
      <c r="U1924" s="9" t="e">
        <f>VLOOKUP(Table1[[#This Row],[Address A]],IP_Master[],3,FALSE)</f>
        <v>#N/A</v>
      </c>
      <c r="V1924" s="9" t="e">
        <f>VLOOKUP(Table1[[#This Row],[Address B]],IP_Master[],3,FALSE)</f>
        <v>#N/A</v>
      </c>
      <c r="W1924" s="9" t="str">
        <f>VLOOKUP(Table1[[#This Row],[Port B]],traffic_types[],2,FALSE)</f>
        <v>HTTP/S</v>
      </c>
    </row>
    <row r="1925" spans="1:23" x14ac:dyDescent="0.6">
      <c r="A1925" t="s">
        <v>224</v>
      </c>
      <c r="B1925">
        <v>60040</v>
      </c>
      <c r="C1925" t="s">
        <v>294</v>
      </c>
      <c r="D1925">
        <v>443</v>
      </c>
      <c r="E1925">
        <v>3</v>
      </c>
      <c r="F1925">
        <v>194</v>
      </c>
      <c r="G1925">
        <v>3</v>
      </c>
      <c r="H1925">
        <v>194</v>
      </c>
      <c r="I1925">
        <v>0</v>
      </c>
      <c r="J1925">
        <v>0</v>
      </c>
      <c r="K1925">
        <v>201.41354699999999</v>
      </c>
      <c r="L1925">
        <v>9.0005050000000004</v>
      </c>
      <c r="M1925">
        <v>172.434768937965</v>
      </c>
      <c r="N1925">
        <v>0</v>
      </c>
      <c r="O1925" s="8" t="str">
        <f>formatIP(Table1[[#This Row],[Address A]])</f>
        <v>192.168.100.002</v>
      </c>
      <c r="P1925" s="8" t="str">
        <f>formatIP(Table1[[#This Row],[Address B]])</f>
        <v>157.055.130.176</v>
      </c>
      <c r="Q1925" s="8" t="e">
        <f>VLOOKUP(Table1[[#This Row],[Address A]],IP_Master[],4,FALSE)</f>
        <v>#N/A</v>
      </c>
      <c r="R1925" s="8" t="e">
        <f>VLOOKUP(Table1[[#This Row],[Address B]],IP_Master[],4,FALSE)</f>
        <v>#N/A</v>
      </c>
      <c r="S1925" s="8" t="e">
        <f>VLOOKUP(Table1[[#This Row],[Address A]],IP_Master[],2,FALSE)</f>
        <v>#N/A</v>
      </c>
      <c r="T1925" s="8" t="e">
        <f>VLOOKUP(Table1[[#This Row],[Address B]],IP_Master[],2,FALSE)</f>
        <v>#N/A</v>
      </c>
      <c r="U1925" s="9" t="e">
        <f>VLOOKUP(Table1[[#This Row],[Address A]],IP_Master[],3,FALSE)</f>
        <v>#N/A</v>
      </c>
      <c r="V1925" s="9" t="e">
        <f>VLOOKUP(Table1[[#This Row],[Address B]],IP_Master[],3,FALSE)</f>
        <v>#N/A</v>
      </c>
      <c r="W1925" s="9" t="str">
        <f>VLOOKUP(Table1[[#This Row],[Port B]],traffic_types[],2,FALSE)</f>
        <v>HTTP/S</v>
      </c>
    </row>
    <row r="1926" spans="1:23" x14ac:dyDescent="0.6">
      <c r="A1926" t="s">
        <v>224</v>
      </c>
      <c r="B1926">
        <v>60041</v>
      </c>
      <c r="C1926" t="s">
        <v>293</v>
      </c>
      <c r="D1926">
        <v>80</v>
      </c>
      <c r="E1926">
        <v>3</v>
      </c>
      <c r="F1926">
        <v>194</v>
      </c>
      <c r="G1926">
        <v>3</v>
      </c>
      <c r="H1926">
        <v>194</v>
      </c>
      <c r="I1926">
        <v>0</v>
      </c>
      <c r="J1926">
        <v>0</v>
      </c>
      <c r="K1926">
        <v>201.99361400000001</v>
      </c>
      <c r="L1926">
        <v>9.0004119999999794</v>
      </c>
      <c r="M1926">
        <v>172.43655068234699</v>
      </c>
      <c r="N1926">
        <v>0</v>
      </c>
      <c r="O1926" s="8" t="str">
        <f>formatIP(Table1[[#This Row],[Address A]])</f>
        <v>192.168.100.002</v>
      </c>
      <c r="P1926" s="8" t="str">
        <f>formatIP(Table1[[#This Row],[Address B]])</f>
        <v>065.055.223.046</v>
      </c>
      <c r="Q1926" s="8" t="e">
        <f>VLOOKUP(Table1[[#This Row],[Address A]],IP_Master[],4,FALSE)</f>
        <v>#N/A</v>
      </c>
      <c r="R1926" s="8" t="e">
        <f>VLOOKUP(Table1[[#This Row],[Address B]],IP_Master[],4,FALSE)</f>
        <v>#N/A</v>
      </c>
      <c r="S1926" s="8" t="e">
        <f>VLOOKUP(Table1[[#This Row],[Address A]],IP_Master[],2,FALSE)</f>
        <v>#N/A</v>
      </c>
      <c r="T1926" s="8" t="e">
        <f>VLOOKUP(Table1[[#This Row],[Address B]],IP_Master[],2,FALSE)</f>
        <v>#N/A</v>
      </c>
      <c r="U1926" s="9" t="e">
        <f>VLOOKUP(Table1[[#This Row],[Address A]],IP_Master[],3,FALSE)</f>
        <v>#N/A</v>
      </c>
      <c r="V1926" s="9" t="e">
        <f>VLOOKUP(Table1[[#This Row],[Address B]],IP_Master[],3,FALSE)</f>
        <v>#N/A</v>
      </c>
      <c r="W1926" s="9" t="str">
        <f>VLOOKUP(Table1[[#This Row],[Port B]],traffic_types[],2,FALSE)</f>
        <v>HTTP</v>
      </c>
    </row>
    <row r="1927" spans="1:23" x14ac:dyDescent="0.6">
      <c r="A1927" t="s">
        <v>224</v>
      </c>
      <c r="B1927">
        <v>60042</v>
      </c>
      <c r="C1927" t="s">
        <v>294</v>
      </c>
      <c r="D1927">
        <v>80</v>
      </c>
      <c r="E1927">
        <v>3</v>
      </c>
      <c r="F1927">
        <v>194</v>
      </c>
      <c r="G1927">
        <v>3</v>
      </c>
      <c r="H1927">
        <v>194</v>
      </c>
      <c r="I1927">
        <v>0</v>
      </c>
      <c r="J1927">
        <v>0</v>
      </c>
      <c r="K1927">
        <v>203.03356600000001</v>
      </c>
      <c r="L1927">
        <v>9.000394</v>
      </c>
      <c r="M1927">
        <v>172.436895540351</v>
      </c>
      <c r="N1927">
        <v>0</v>
      </c>
      <c r="O1927" s="8" t="str">
        <f>formatIP(Table1[[#This Row],[Address A]])</f>
        <v>192.168.100.002</v>
      </c>
      <c r="P1927" s="8" t="str">
        <f>formatIP(Table1[[#This Row],[Address B]])</f>
        <v>157.055.130.176</v>
      </c>
      <c r="Q1927" s="8" t="e">
        <f>VLOOKUP(Table1[[#This Row],[Address A]],IP_Master[],4,FALSE)</f>
        <v>#N/A</v>
      </c>
      <c r="R1927" s="8" t="e">
        <f>VLOOKUP(Table1[[#This Row],[Address B]],IP_Master[],4,FALSE)</f>
        <v>#N/A</v>
      </c>
      <c r="S1927" s="8" t="e">
        <f>VLOOKUP(Table1[[#This Row],[Address A]],IP_Master[],2,FALSE)</f>
        <v>#N/A</v>
      </c>
      <c r="T1927" s="8" t="e">
        <f>VLOOKUP(Table1[[#This Row],[Address B]],IP_Master[],2,FALSE)</f>
        <v>#N/A</v>
      </c>
      <c r="U1927" s="9" t="e">
        <f>VLOOKUP(Table1[[#This Row],[Address A]],IP_Master[],3,FALSE)</f>
        <v>#N/A</v>
      </c>
      <c r="V1927" s="9" t="e">
        <f>VLOOKUP(Table1[[#This Row],[Address B]],IP_Master[],3,FALSE)</f>
        <v>#N/A</v>
      </c>
      <c r="W1927" s="9" t="str">
        <f>VLOOKUP(Table1[[#This Row],[Port B]],traffic_types[],2,FALSE)</f>
        <v>HTTP</v>
      </c>
    </row>
    <row r="1928" spans="1:23" hidden="1" x14ac:dyDescent="0.6">
      <c r="A1928" t="s">
        <v>224</v>
      </c>
      <c r="B1928">
        <v>60043</v>
      </c>
      <c r="C1928" t="s">
        <v>295</v>
      </c>
      <c r="D1928">
        <v>40028</v>
      </c>
      <c r="E1928">
        <v>3</v>
      </c>
      <c r="F1928">
        <v>194</v>
      </c>
      <c r="G1928">
        <v>3</v>
      </c>
      <c r="H1928">
        <v>194</v>
      </c>
      <c r="I1928">
        <v>0</v>
      </c>
      <c r="J1928">
        <v>0</v>
      </c>
      <c r="K1928">
        <v>214.03506999999999</v>
      </c>
      <c r="L1928">
        <v>8.9999600000000193</v>
      </c>
      <c r="M1928">
        <v>172.445210867604</v>
      </c>
      <c r="N1928">
        <v>0</v>
      </c>
      <c r="O1928" s="8" t="str">
        <f>formatIP(Table1[[#This Row],[Address A]])</f>
        <v>192.168.100.002</v>
      </c>
      <c r="P1928" s="8" t="str">
        <f>formatIP(Table1[[#This Row],[Address B]])</f>
        <v>065.055.223.028</v>
      </c>
      <c r="Q1928" s="8" t="e">
        <f>VLOOKUP(Table1[[#This Row],[Address A]],IP_Master[],4,FALSE)</f>
        <v>#N/A</v>
      </c>
      <c r="R1928" s="8" t="e">
        <f>VLOOKUP(Table1[[#This Row],[Address B]],IP_Master[],4,FALSE)</f>
        <v>#N/A</v>
      </c>
      <c r="S1928" s="8" t="e">
        <f>VLOOKUP(Table1[[#This Row],[Address A]],IP_Master[],2,FALSE)</f>
        <v>#N/A</v>
      </c>
      <c r="T1928" s="8" t="e">
        <f>VLOOKUP(Table1[[#This Row],[Address B]],IP_Master[],2,FALSE)</f>
        <v>#N/A</v>
      </c>
      <c r="U1928" s="9" t="e">
        <f>VLOOKUP(Table1[[#This Row],[Address A]],IP_Master[],3,FALSE)</f>
        <v>#N/A</v>
      </c>
      <c r="V1928" s="9" t="e">
        <f>VLOOKUP(Table1[[#This Row],[Address B]],IP_Master[],3,FALSE)</f>
        <v>#N/A</v>
      </c>
      <c r="W1928" s="9" t="e">
        <f>VLOOKUP(Table1[[#This Row],[Port B]],traffic_types[],2,FALSE)</f>
        <v>#N/A</v>
      </c>
    </row>
    <row r="1929" spans="1:23" hidden="1" x14ac:dyDescent="0.6">
      <c r="A1929" t="s">
        <v>224</v>
      </c>
      <c r="B1929">
        <v>60044</v>
      </c>
      <c r="C1929" t="s">
        <v>280</v>
      </c>
      <c r="D1929">
        <v>40034</v>
      </c>
      <c r="E1929">
        <v>3</v>
      </c>
      <c r="F1929">
        <v>194</v>
      </c>
      <c r="G1929">
        <v>3</v>
      </c>
      <c r="H1929">
        <v>194</v>
      </c>
      <c r="I1929">
        <v>0</v>
      </c>
      <c r="J1929">
        <v>0</v>
      </c>
      <c r="K1929">
        <v>215.045016</v>
      </c>
      <c r="L1929">
        <v>9.0000870000000095</v>
      </c>
      <c r="M1929">
        <v>172.44277749759499</v>
      </c>
      <c r="N1929">
        <v>0</v>
      </c>
      <c r="O1929" s="8" t="str">
        <f>formatIP(Table1[[#This Row],[Address A]])</f>
        <v>192.168.100.002</v>
      </c>
      <c r="P1929" s="8" t="str">
        <f>formatIP(Table1[[#This Row],[Address B]])</f>
        <v>157.056.052.018</v>
      </c>
      <c r="Q1929" s="8" t="e">
        <f>VLOOKUP(Table1[[#This Row],[Address A]],IP_Master[],4,FALSE)</f>
        <v>#N/A</v>
      </c>
      <c r="R1929" s="8" t="e">
        <f>VLOOKUP(Table1[[#This Row],[Address B]],IP_Master[],4,FALSE)</f>
        <v>#N/A</v>
      </c>
      <c r="S1929" s="8" t="e">
        <f>VLOOKUP(Table1[[#This Row],[Address A]],IP_Master[],2,FALSE)</f>
        <v>#N/A</v>
      </c>
      <c r="T1929" s="8" t="e">
        <f>VLOOKUP(Table1[[#This Row],[Address B]],IP_Master[],2,FALSE)</f>
        <v>#N/A</v>
      </c>
      <c r="U1929" s="9" t="e">
        <f>VLOOKUP(Table1[[#This Row],[Address A]],IP_Master[],3,FALSE)</f>
        <v>#N/A</v>
      </c>
      <c r="V1929" s="9" t="e">
        <f>VLOOKUP(Table1[[#This Row],[Address B]],IP_Master[],3,FALSE)</f>
        <v>#N/A</v>
      </c>
      <c r="W1929" s="9" t="e">
        <f>VLOOKUP(Table1[[#This Row],[Port B]],traffic_types[],2,FALSE)</f>
        <v>#N/A</v>
      </c>
    </row>
    <row r="1930" spans="1:23" x14ac:dyDescent="0.6">
      <c r="A1930" t="s">
        <v>224</v>
      </c>
      <c r="B1930">
        <v>60045</v>
      </c>
      <c r="C1930" t="s">
        <v>295</v>
      </c>
      <c r="D1930">
        <v>443</v>
      </c>
      <c r="E1930">
        <v>3</v>
      </c>
      <c r="F1930">
        <v>194</v>
      </c>
      <c r="G1930">
        <v>3</v>
      </c>
      <c r="H1930">
        <v>194</v>
      </c>
      <c r="I1930">
        <v>0</v>
      </c>
      <c r="J1930">
        <v>0</v>
      </c>
      <c r="K1930">
        <v>215.65462099999999</v>
      </c>
      <c r="L1930">
        <v>9.0003270000000004</v>
      </c>
      <c r="M1930">
        <v>172.43817919060101</v>
      </c>
      <c r="N1930">
        <v>0</v>
      </c>
      <c r="O1930" s="8" t="str">
        <f>formatIP(Table1[[#This Row],[Address A]])</f>
        <v>192.168.100.002</v>
      </c>
      <c r="P1930" s="8" t="str">
        <f>formatIP(Table1[[#This Row],[Address B]])</f>
        <v>065.055.223.028</v>
      </c>
      <c r="Q1930" s="8" t="e">
        <f>VLOOKUP(Table1[[#This Row],[Address A]],IP_Master[],4,FALSE)</f>
        <v>#N/A</v>
      </c>
      <c r="R1930" s="8" t="e">
        <f>VLOOKUP(Table1[[#This Row],[Address B]],IP_Master[],4,FALSE)</f>
        <v>#N/A</v>
      </c>
      <c r="S1930" s="8" t="e">
        <f>VLOOKUP(Table1[[#This Row],[Address A]],IP_Master[],2,FALSE)</f>
        <v>#N/A</v>
      </c>
      <c r="T1930" s="8" t="e">
        <f>VLOOKUP(Table1[[#This Row],[Address B]],IP_Master[],2,FALSE)</f>
        <v>#N/A</v>
      </c>
      <c r="U1930" s="9" t="e">
        <f>VLOOKUP(Table1[[#This Row],[Address A]],IP_Master[],3,FALSE)</f>
        <v>#N/A</v>
      </c>
      <c r="V1930" s="9" t="e">
        <f>VLOOKUP(Table1[[#This Row],[Address B]],IP_Master[],3,FALSE)</f>
        <v>#N/A</v>
      </c>
      <c r="W1930" s="9" t="str">
        <f>VLOOKUP(Table1[[#This Row],[Port B]],traffic_types[],2,FALSE)</f>
        <v>HTTP/S</v>
      </c>
    </row>
    <row r="1931" spans="1:23" hidden="1" x14ac:dyDescent="0.6">
      <c r="A1931" t="s">
        <v>224</v>
      </c>
      <c r="B1931">
        <v>60046</v>
      </c>
      <c r="C1931" t="s">
        <v>296</v>
      </c>
      <c r="D1931">
        <v>40016</v>
      </c>
      <c r="E1931">
        <v>3</v>
      </c>
      <c r="F1931">
        <v>194</v>
      </c>
      <c r="G1931">
        <v>3</v>
      </c>
      <c r="H1931">
        <v>194</v>
      </c>
      <c r="I1931">
        <v>0</v>
      </c>
      <c r="J1931">
        <v>0</v>
      </c>
      <c r="K1931">
        <v>216.08491900000001</v>
      </c>
      <c r="L1931">
        <v>9.0002869999999895</v>
      </c>
      <c r="M1931">
        <v>172.43894555807</v>
      </c>
      <c r="N1931">
        <v>0</v>
      </c>
      <c r="O1931" s="8" t="str">
        <f>formatIP(Table1[[#This Row],[Address A]])</f>
        <v>192.168.100.002</v>
      </c>
      <c r="P1931" s="8" t="str">
        <f>formatIP(Table1[[#This Row],[Address B]])</f>
        <v>065.055.223.012</v>
      </c>
      <c r="Q1931" s="8" t="e">
        <f>VLOOKUP(Table1[[#This Row],[Address A]],IP_Master[],4,FALSE)</f>
        <v>#N/A</v>
      </c>
      <c r="R1931" s="8" t="e">
        <f>VLOOKUP(Table1[[#This Row],[Address B]],IP_Master[],4,FALSE)</f>
        <v>#N/A</v>
      </c>
      <c r="S1931" s="8" t="e">
        <f>VLOOKUP(Table1[[#This Row],[Address A]],IP_Master[],2,FALSE)</f>
        <v>#N/A</v>
      </c>
      <c r="T1931" s="8" t="e">
        <f>VLOOKUP(Table1[[#This Row],[Address B]],IP_Master[],2,FALSE)</f>
        <v>#N/A</v>
      </c>
      <c r="U1931" s="9" t="e">
        <f>VLOOKUP(Table1[[#This Row],[Address A]],IP_Master[],3,FALSE)</f>
        <v>#N/A</v>
      </c>
      <c r="V1931" s="9" t="e">
        <f>VLOOKUP(Table1[[#This Row],[Address B]],IP_Master[],3,FALSE)</f>
        <v>#N/A</v>
      </c>
      <c r="W1931" s="9" t="e">
        <f>VLOOKUP(Table1[[#This Row],[Port B]],traffic_types[],2,FALSE)</f>
        <v>#N/A</v>
      </c>
    </row>
    <row r="1932" spans="1:23" x14ac:dyDescent="0.6">
      <c r="A1932" t="s">
        <v>224</v>
      </c>
      <c r="B1932">
        <v>60047</v>
      </c>
      <c r="C1932" t="s">
        <v>280</v>
      </c>
      <c r="D1932">
        <v>443</v>
      </c>
      <c r="E1932">
        <v>3</v>
      </c>
      <c r="F1932">
        <v>194</v>
      </c>
      <c r="G1932">
        <v>3</v>
      </c>
      <c r="H1932">
        <v>194</v>
      </c>
      <c r="I1932">
        <v>0</v>
      </c>
      <c r="J1932">
        <v>0</v>
      </c>
      <c r="K1932">
        <v>216.66444799999999</v>
      </c>
      <c r="L1932">
        <v>9.0005890000000193</v>
      </c>
      <c r="M1932">
        <v>172.43315965210701</v>
      </c>
      <c r="N1932">
        <v>0</v>
      </c>
      <c r="O1932" s="8" t="str">
        <f>formatIP(Table1[[#This Row],[Address A]])</f>
        <v>192.168.100.002</v>
      </c>
      <c r="P1932" s="8" t="str">
        <f>formatIP(Table1[[#This Row],[Address B]])</f>
        <v>157.056.052.018</v>
      </c>
      <c r="Q1932" s="8" t="e">
        <f>VLOOKUP(Table1[[#This Row],[Address A]],IP_Master[],4,FALSE)</f>
        <v>#N/A</v>
      </c>
      <c r="R1932" s="8" t="e">
        <f>VLOOKUP(Table1[[#This Row],[Address B]],IP_Master[],4,FALSE)</f>
        <v>#N/A</v>
      </c>
      <c r="S1932" s="8" t="e">
        <f>VLOOKUP(Table1[[#This Row],[Address A]],IP_Master[],2,FALSE)</f>
        <v>#N/A</v>
      </c>
      <c r="T1932" s="8" t="e">
        <f>VLOOKUP(Table1[[#This Row],[Address B]],IP_Master[],2,FALSE)</f>
        <v>#N/A</v>
      </c>
      <c r="U1932" s="9" t="e">
        <f>VLOOKUP(Table1[[#This Row],[Address A]],IP_Master[],3,FALSE)</f>
        <v>#N/A</v>
      </c>
      <c r="V1932" s="9" t="e">
        <f>VLOOKUP(Table1[[#This Row],[Address B]],IP_Master[],3,FALSE)</f>
        <v>#N/A</v>
      </c>
      <c r="W1932" s="9" t="str">
        <f>VLOOKUP(Table1[[#This Row],[Port B]],traffic_types[],2,FALSE)</f>
        <v>HTTP/S</v>
      </c>
    </row>
    <row r="1933" spans="1:23" x14ac:dyDescent="0.6">
      <c r="A1933" t="s">
        <v>224</v>
      </c>
      <c r="B1933">
        <v>60048</v>
      </c>
      <c r="C1933" t="s">
        <v>295</v>
      </c>
      <c r="D1933">
        <v>80</v>
      </c>
      <c r="E1933">
        <v>3</v>
      </c>
      <c r="F1933">
        <v>194</v>
      </c>
      <c r="G1933">
        <v>3</v>
      </c>
      <c r="H1933">
        <v>194</v>
      </c>
      <c r="I1933">
        <v>0</v>
      </c>
      <c r="J1933">
        <v>0</v>
      </c>
      <c r="K1933">
        <v>217.27456599999999</v>
      </c>
      <c r="L1933">
        <v>9.0004140000000099</v>
      </c>
      <c r="M1933">
        <v>172.43651236487599</v>
      </c>
      <c r="N1933">
        <v>0</v>
      </c>
      <c r="O1933" s="8" t="str">
        <f>formatIP(Table1[[#This Row],[Address A]])</f>
        <v>192.168.100.002</v>
      </c>
      <c r="P1933" s="8" t="str">
        <f>formatIP(Table1[[#This Row],[Address B]])</f>
        <v>065.055.223.028</v>
      </c>
      <c r="Q1933" s="8" t="e">
        <f>VLOOKUP(Table1[[#This Row],[Address A]],IP_Master[],4,FALSE)</f>
        <v>#N/A</v>
      </c>
      <c r="R1933" s="8" t="e">
        <f>VLOOKUP(Table1[[#This Row],[Address B]],IP_Master[],4,FALSE)</f>
        <v>#N/A</v>
      </c>
      <c r="S1933" s="8" t="e">
        <f>VLOOKUP(Table1[[#This Row],[Address A]],IP_Master[],2,FALSE)</f>
        <v>#N/A</v>
      </c>
      <c r="T1933" s="8" t="e">
        <f>VLOOKUP(Table1[[#This Row],[Address B]],IP_Master[],2,FALSE)</f>
        <v>#N/A</v>
      </c>
      <c r="U1933" s="9" t="e">
        <f>VLOOKUP(Table1[[#This Row],[Address A]],IP_Master[],3,FALSE)</f>
        <v>#N/A</v>
      </c>
      <c r="V1933" s="9" t="e">
        <f>VLOOKUP(Table1[[#This Row],[Address B]],IP_Master[],3,FALSE)</f>
        <v>#N/A</v>
      </c>
      <c r="W1933" s="9" t="str">
        <f>VLOOKUP(Table1[[#This Row],[Port B]],traffic_types[],2,FALSE)</f>
        <v>HTTP</v>
      </c>
    </row>
    <row r="1934" spans="1:23" x14ac:dyDescent="0.6">
      <c r="A1934" t="s">
        <v>224</v>
      </c>
      <c r="B1934">
        <v>60049</v>
      </c>
      <c r="C1934" t="s">
        <v>296</v>
      </c>
      <c r="D1934">
        <v>443</v>
      </c>
      <c r="E1934">
        <v>3</v>
      </c>
      <c r="F1934">
        <v>194</v>
      </c>
      <c r="G1934">
        <v>3</v>
      </c>
      <c r="H1934">
        <v>194</v>
      </c>
      <c r="I1934">
        <v>0</v>
      </c>
      <c r="J1934">
        <v>0</v>
      </c>
      <c r="K1934">
        <v>217.72429299999999</v>
      </c>
      <c r="L1934">
        <v>8.9707470000000207</v>
      </c>
      <c r="M1934">
        <v>173.006774129289</v>
      </c>
      <c r="N1934">
        <v>0</v>
      </c>
      <c r="O1934" s="8" t="str">
        <f>formatIP(Table1[[#This Row],[Address A]])</f>
        <v>192.168.100.002</v>
      </c>
      <c r="P1934" s="8" t="str">
        <f>formatIP(Table1[[#This Row],[Address B]])</f>
        <v>065.055.223.012</v>
      </c>
      <c r="Q1934" s="8" t="e">
        <f>VLOOKUP(Table1[[#This Row],[Address A]],IP_Master[],4,FALSE)</f>
        <v>#N/A</v>
      </c>
      <c r="R1934" s="8" t="e">
        <f>VLOOKUP(Table1[[#This Row],[Address B]],IP_Master[],4,FALSE)</f>
        <v>#N/A</v>
      </c>
      <c r="S1934" s="8" t="e">
        <f>VLOOKUP(Table1[[#This Row],[Address A]],IP_Master[],2,FALSE)</f>
        <v>#N/A</v>
      </c>
      <c r="T1934" s="8" t="e">
        <f>VLOOKUP(Table1[[#This Row],[Address B]],IP_Master[],2,FALSE)</f>
        <v>#N/A</v>
      </c>
      <c r="U1934" s="9" t="e">
        <f>VLOOKUP(Table1[[#This Row],[Address A]],IP_Master[],3,FALSE)</f>
        <v>#N/A</v>
      </c>
      <c r="V1934" s="9" t="e">
        <f>VLOOKUP(Table1[[#This Row],[Address B]],IP_Master[],3,FALSE)</f>
        <v>#N/A</v>
      </c>
      <c r="W1934" s="9" t="str">
        <f>VLOOKUP(Table1[[#This Row],[Port B]],traffic_types[],2,FALSE)</f>
        <v>HTTP/S</v>
      </c>
    </row>
    <row r="1935" spans="1:23" hidden="1" x14ac:dyDescent="0.6">
      <c r="A1935" t="s">
        <v>224</v>
      </c>
      <c r="B1935">
        <v>60050</v>
      </c>
      <c r="C1935" t="s">
        <v>297</v>
      </c>
      <c r="D1935">
        <v>40002</v>
      </c>
      <c r="E1935">
        <v>3</v>
      </c>
      <c r="F1935">
        <v>194</v>
      </c>
      <c r="G1935">
        <v>3</v>
      </c>
      <c r="H1935">
        <v>194</v>
      </c>
      <c r="I1935">
        <v>0</v>
      </c>
      <c r="J1935">
        <v>0</v>
      </c>
      <c r="K1935">
        <v>218.14496199999999</v>
      </c>
      <c r="L1935">
        <v>9.0001310000000103</v>
      </c>
      <c r="M1935">
        <v>172.44193445628699</v>
      </c>
      <c r="N1935">
        <v>0</v>
      </c>
      <c r="O1935" s="8" t="str">
        <f>formatIP(Table1[[#This Row],[Address A]])</f>
        <v>192.168.100.002</v>
      </c>
      <c r="P1935" s="8" t="str">
        <f>formatIP(Table1[[#This Row],[Address B]])</f>
        <v>157.055.056.169</v>
      </c>
      <c r="Q1935" s="8" t="e">
        <f>VLOOKUP(Table1[[#This Row],[Address A]],IP_Master[],4,FALSE)</f>
        <v>#N/A</v>
      </c>
      <c r="R1935" s="8" t="e">
        <f>VLOOKUP(Table1[[#This Row],[Address B]],IP_Master[],4,FALSE)</f>
        <v>#N/A</v>
      </c>
      <c r="S1935" s="8" t="e">
        <f>VLOOKUP(Table1[[#This Row],[Address A]],IP_Master[],2,FALSE)</f>
        <v>#N/A</v>
      </c>
      <c r="T1935" s="8" t="e">
        <f>VLOOKUP(Table1[[#This Row],[Address B]],IP_Master[],2,FALSE)</f>
        <v>#N/A</v>
      </c>
      <c r="U1935" s="9" t="e">
        <f>VLOOKUP(Table1[[#This Row],[Address A]],IP_Master[],3,FALSE)</f>
        <v>#N/A</v>
      </c>
      <c r="V1935" s="9" t="e">
        <f>VLOOKUP(Table1[[#This Row],[Address B]],IP_Master[],3,FALSE)</f>
        <v>#N/A</v>
      </c>
      <c r="W1935" s="9" t="e">
        <f>VLOOKUP(Table1[[#This Row],[Port B]],traffic_types[],2,FALSE)</f>
        <v>#N/A</v>
      </c>
    </row>
    <row r="1936" spans="1:23" x14ac:dyDescent="0.6">
      <c r="A1936" t="s">
        <v>224</v>
      </c>
      <c r="B1936">
        <v>60051</v>
      </c>
      <c r="C1936" t="s">
        <v>280</v>
      </c>
      <c r="D1936">
        <v>80</v>
      </c>
      <c r="E1936">
        <v>3</v>
      </c>
      <c r="F1936">
        <v>194</v>
      </c>
      <c r="G1936">
        <v>3</v>
      </c>
      <c r="H1936">
        <v>194</v>
      </c>
      <c r="I1936">
        <v>0</v>
      </c>
      <c r="J1936">
        <v>0</v>
      </c>
      <c r="K1936">
        <v>218.28446600000001</v>
      </c>
      <c r="L1936">
        <v>9.0005849999999992</v>
      </c>
      <c r="M1936">
        <v>172.43323628408601</v>
      </c>
      <c r="N1936">
        <v>0</v>
      </c>
      <c r="O1936" s="8" t="str">
        <f>formatIP(Table1[[#This Row],[Address A]])</f>
        <v>192.168.100.002</v>
      </c>
      <c r="P1936" s="8" t="str">
        <f>formatIP(Table1[[#This Row],[Address B]])</f>
        <v>157.056.052.018</v>
      </c>
      <c r="Q1936" s="8" t="e">
        <f>VLOOKUP(Table1[[#This Row],[Address A]],IP_Master[],4,FALSE)</f>
        <v>#N/A</v>
      </c>
      <c r="R1936" s="8" t="e">
        <f>VLOOKUP(Table1[[#This Row],[Address B]],IP_Master[],4,FALSE)</f>
        <v>#N/A</v>
      </c>
      <c r="S1936" s="8" t="e">
        <f>VLOOKUP(Table1[[#This Row],[Address A]],IP_Master[],2,FALSE)</f>
        <v>#N/A</v>
      </c>
      <c r="T1936" s="8" t="e">
        <f>VLOOKUP(Table1[[#This Row],[Address B]],IP_Master[],2,FALSE)</f>
        <v>#N/A</v>
      </c>
      <c r="U1936" s="9" t="e">
        <f>VLOOKUP(Table1[[#This Row],[Address A]],IP_Master[],3,FALSE)</f>
        <v>#N/A</v>
      </c>
      <c r="V1936" s="9" t="e">
        <f>VLOOKUP(Table1[[#This Row],[Address B]],IP_Master[],3,FALSE)</f>
        <v>#N/A</v>
      </c>
      <c r="W1936" s="9" t="str">
        <f>VLOOKUP(Table1[[#This Row],[Port B]],traffic_types[],2,FALSE)</f>
        <v>HTTP</v>
      </c>
    </row>
    <row r="1937" spans="1:23" x14ac:dyDescent="0.6">
      <c r="A1937" t="s">
        <v>224</v>
      </c>
      <c r="B1937">
        <v>60052</v>
      </c>
      <c r="C1937" t="s">
        <v>232</v>
      </c>
      <c r="D1937">
        <v>443</v>
      </c>
      <c r="E1937">
        <v>3</v>
      </c>
      <c r="F1937">
        <v>194</v>
      </c>
      <c r="G1937">
        <v>3</v>
      </c>
      <c r="H1937">
        <v>194</v>
      </c>
      <c r="I1937">
        <v>0</v>
      </c>
      <c r="J1937">
        <v>0</v>
      </c>
      <c r="K1937">
        <v>218.76114200000001</v>
      </c>
      <c r="L1937">
        <v>9.0009910000000009</v>
      </c>
      <c r="M1937">
        <v>172.42545848562699</v>
      </c>
      <c r="N1937">
        <v>0</v>
      </c>
      <c r="O1937" s="8" t="str">
        <f>formatIP(Table1[[#This Row],[Address A]])</f>
        <v>192.168.100.002</v>
      </c>
      <c r="P1937" s="8" t="str">
        <f>formatIP(Table1[[#This Row],[Address B]])</f>
        <v>103.043.075.140</v>
      </c>
      <c r="Q1937" s="8" t="e">
        <f>VLOOKUP(Table1[[#This Row],[Address A]],IP_Master[],4,FALSE)</f>
        <v>#N/A</v>
      </c>
      <c r="R1937" s="8" t="e">
        <f>VLOOKUP(Table1[[#This Row],[Address B]],IP_Master[],4,FALSE)</f>
        <v>#N/A</v>
      </c>
      <c r="S1937" s="8" t="e">
        <f>VLOOKUP(Table1[[#This Row],[Address A]],IP_Master[],2,FALSE)</f>
        <v>#N/A</v>
      </c>
      <c r="T1937" s="8" t="e">
        <f>VLOOKUP(Table1[[#This Row],[Address B]],IP_Master[],2,FALSE)</f>
        <v>#N/A</v>
      </c>
      <c r="U1937" s="9" t="e">
        <f>VLOOKUP(Table1[[#This Row],[Address A]],IP_Master[],3,FALSE)</f>
        <v>#N/A</v>
      </c>
      <c r="V1937" s="9" t="e">
        <f>VLOOKUP(Table1[[#This Row],[Address B]],IP_Master[],3,FALSE)</f>
        <v>#N/A</v>
      </c>
      <c r="W1937" s="9" t="str">
        <f>VLOOKUP(Table1[[#This Row],[Port B]],traffic_types[],2,FALSE)</f>
        <v>HTTP/S</v>
      </c>
    </row>
    <row r="1938" spans="1:23" x14ac:dyDescent="0.6">
      <c r="A1938" t="s">
        <v>224</v>
      </c>
      <c r="B1938">
        <v>60053</v>
      </c>
      <c r="C1938" t="s">
        <v>296</v>
      </c>
      <c r="D1938">
        <v>80</v>
      </c>
      <c r="E1938">
        <v>3</v>
      </c>
      <c r="F1938">
        <v>194</v>
      </c>
      <c r="G1938">
        <v>3</v>
      </c>
      <c r="H1938">
        <v>194</v>
      </c>
      <c r="I1938">
        <v>0</v>
      </c>
      <c r="J1938">
        <v>0</v>
      </c>
      <c r="K1938">
        <v>219.31452899999999</v>
      </c>
      <c r="L1938">
        <v>9.0003540000000193</v>
      </c>
      <c r="M1938">
        <v>172.43766189640999</v>
      </c>
      <c r="N1938">
        <v>0</v>
      </c>
      <c r="O1938" s="8" t="str">
        <f>formatIP(Table1[[#This Row],[Address A]])</f>
        <v>192.168.100.002</v>
      </c>
      <c r="P1938" s="8" t="str">
        <f>formatIP(Table1[[#This Row],[Address B]])</f>
        <v>065.055.223.012</v>
      </c>
      <c r="Q1938" s="8" t="e">
        <f>VLOOKUP(Table1[[#This Row],[Address A]],IP_Master[],4,FALSE)</f>
        <v>#N/A</v>
      </c>
      <c r="R1938" s="8" t="e">
        <f>VLOOKUP(Table1[[#This Row],[Address B]],IP_Master[],4,FALSE)</f>
        <v>#N/A</v>
      </c>
      <c r="S1938" s="8" t="e">
        <f>VLOOKUP(Table1[[#This Row],[Address A]],IP_Master[],2,FALSE)</f>
        <v>#N/A</v>
      </c>
      <c r="T1938" s="8" t="e">
        <f>VLOOKUP(Table1[[#This Row],[Address B]],IP_Master[],2,FALSE)</f>
        <v>#N/A</v>
      </c>
      <c r="U1938" s="9" t="e">
        <f>VLOOKUP(Table1[[#This Row],[Address A]],IP_Master[],3,FALSE)</f>
        <v>#N/A</v>
      </c>
      <c r="V1938" s="9" t="e">
        <f>VLOOKUP(Table1[[#This Row],[Address B]],IP_Master[],3,FALSE)</f>
        <v>#N/A</v>
      </c>
      <c r="W1938" s="9" t="str">
        <f>VLOOKUP(Table1[[#This Row],[Port B]],traffic_types[],2,FALSE)</f>
        <v>HTTP</v>
      </c>
    </row>
    <row r="1939" spans="1:23" x14ac:dyDescent="0.6">
      <c r="A1939" t="s">
        <v>224</v>
      </c>
      <c r="B1939">
        <v>60054</v>
      </c>
      <c r="C1939" t="s">
        <v>297</v>
      </c>
      <c r="D1939">
        <v>443</v>
      </c>
      <c r="E1939">
        <v>3</v>
      </c>
      <c r="F1939">
        <v>194</v>
      </c>
      <c r="G1939">
        <v>3</v>
      </c>
      <c r="H1939">
        <v>194</v>
      </c>
      <c r="I1939">
        <v>0</v>
      </c>
      <c r="J1939">
        <v>0</v>
      </c>
      <c r="K1939">
        <v>219.76443699999999</v>
      </c>
      <c r="L1939">
        <v>9.0005500000000005</v>
      </c>
      <c r="M1939">
        <v>172.433906816806</v>
      </c>
      <c r="N1939">
        <v>0</v>
      </c>
      <c r="O1939" s="8" t="str">
        <f>formatIP(Table1[[#This Row],[Address A]])</f>
        <v>192.168.100.002</v>
      </c>
      <c r="P1939" s="8" t="str">
        <f>formatIP(Table1[[#This Row],[Address B]])</f>
        <v>157.055.056.169</v>
      </c>
      <c r="Q1939" s="8" t="e">
        <f>VLOOKUP(Table1[[#This Row],[Address A]],IP_Master[],4,FALSE)</f>
        <v>#N/A</v>
      </c>
      <c r="R1939" s="8" t="e">
        <f>VLOOKUP(Table1[[#This Row],[Address B]],IP_Master[],4,FALSE)</f>
        <v>#N/A</v>
      </c>
      <c r="S1939" s="8" t="e">
        <f>VLOOKUP(Table1[[#This Row],[Address A]],IP_Master[],2,FALSE)</f>
        <v>#N/A</v>
      </c>
      <c r="T1939" s="8" t="e">
        <f>VLOOKUP(Table1[[#This Row],[Address B]],IP_Master[],2,FALSE)</f>
        <v>#N/A</v>
      </c>
      <c r="U1939" s="9" t="e">
        <f>VLOOKUP(Table1[[#This Row],[Address A]],IP_Master[],3,FALSE)</f>
        <v>#N/A</v>
      </c>
      <c r="V1939" s="9" t="e">
        <f>VLOOKUP(Table1[[#This Row],[Address B]],IP_Master[],3,FALSE)</f>
        <v>#N/A</v>
      </c>
      <c r="W1939" s="9" t="str">
        <f>VLOOKUP(Table1[[#This Row],[Port B]],traffic_types[],2,FALSE)</f>
        <v>HTTP/S</v>
      </c>
    </row>
    <row r="1940" spans="1:23" x14ac:dyDescent="0.6">
      <c r="A1940" t="s">
        <v>224</v>
      </c>
      <c r="B1940">
        <v>60055</v>
      </c>
      <c r="C1940" t="s">
        <v>232</v>
      </c>
      <c r="D1940">
        <v>80</v>
      </c>
      <c r="E1940">
        <v>3</v>
      </c>
      <c r="F1940">
        <v>194</v>
      </c>
      <c r="G1940">
        <v>3</v>
      </c>
      <c r="H1940">
        <v>194</v>
      </c>
      <c r="I1940">
        <v>0</v>
      </c>
      <c r="J1940">
        <v>0</v>
      </c>
      <c r="K1940">
        <v>220.76113799999999</v>
      </c>
      <c r="L1940">
        <v>9.0011220000000094</v>
      </c>
      <c r="M1940">
        <v>172.42294905012901</v>
      </c>
      <c r="N1940">
        <v>0</v>
      </c>
      <c r="O1940" s="8" t="str">
        <f>formatIP(Table1[[#This Row],[Address A]])</f>
        <v>192.168.100.002</v>
      </c>
      <c r="P1940" s="8" t="str">
        <f>formatIP(Table1[[#This Row],[Address B]])</f>
        <v>103.043.075.140</v>
      </c>
      <c r="Q1940" s="8" t="e">
        <f>VLOOKUP(Table1[[#This Row],[Address A]],IP_Master[],4,FALSE)</f>
        <v>#N/A</v>
      </c>
      <c r="R1940" s="8" t="e">
        <f>VLOOKUP(Table1[[#This Row],[Address B]],IP_Master[],4,FALSE)</f>
        <v>#N/A</v>
      </c>
      <c r="S1940" s="8" t="e">
        <f>VLOOKUP(Table1[[#This Row],[Address A]],IP_Master[],2,FALSE)</f>
        <v>#N/A</v>
      </c>
      <c r="T1940" s="8" t="e">
        <f>VLOOKUP(Table1[[#This Row],[Address B]],IP_Master[],2,FALSE)</f>
        <v>#N/A</v>
      </c>
      <c r="U1940" s="9" t="e">
        <f>VLOOKUP(Table1[[#This Row],[Address A]],IP_Master[],3,FALSE)</f>
        <v>#N/A</v>
      </c>
      <c r="V1940" s="9" t="e">
        <f>VLOOKUP(Table1[[#This Row],[Address B]],IP_Master[],3,FALSE)</f>
        <v>#N/A</v>
      </c>
      <c r="W1940" s="9" t="str">
        <f>VLOOKUP(Table1[[#This Row],[Port B]],traffic_types[],2,FALSE)</f>
        <v>HTTP</v>
      </c>
    </row>
    <row r="1941" spans="1:23" hidden="1" x14ac:dyDescent="0.6">
      <c r="A1941" t="s">
        <v>224</v>
      </c>
      <c r="B1941">
        <v>60056</v>
      </c>
      <c r="C1941" t="s">
        <v>298</v>
      </c>
      <c r="D1941">
        <v>40010</v>
      </c>
      <c r="E1941">
        <v>3</v>
      </c>
      <c r="F1941">
        <v>194</v>
      </c>
      <c r="G1941">
        <v>3</v>
      </c>
      <c r="H1941">
        <v>194</v>
      </c>
      <c r="I1941">
        <v>0</v>
      </c>
      <c r="J1941">
        <v>0</v>
      </c>
      <c r="K1941">
        <v>221.22603599999999</v>
      </c>
      <c r="L1941">
        <v>9.0000970000000091</v>
      </c>
      <c r="M1941">
        <v>172.442585896574</v>
      </c>
      <c r="N1941">
        <v>0</v>
      </c>
      <c r="O1941" s="8" t="str">
        <f>formatIP(Table1[[#This Row],[Address A]])</f>
        <v>192.168.100.002</v>
      </c>
      <c r="P1941" s="8" t="str">
        <f>formatIP(Table1[[#This Row],[Address B]])</f>
        <v>157.055.235.141</v>
      </c>
      <c r="Q1941" s="8" t="e">
        <f>VLOOKUP(Table1[[#This Row],[Address A]],IP_Master[],4,FALSE)</f>
        <v>#N/A</v>
      </c>
      <c r="R1941" s="8" t="e">
        <f>VLOOKUP(Table1[[#This Row],[Address B]],IP_Master[],4,FALSE)</f>
        <v>#N/A</v>
      </c>
      <c r="S1941" s="8" t="e">
        <f>VLOOKUP(Table1[[#This Row],[Address A]],IP_Master[],2,FALSE)</f>
        <v>#N/A</v>
      </c>
      <c r="T1941" s="8" t="e">
        <f>VLOOKUP(Table1[[#This Row],[Address B]],IP_Master[],2,FALSE)</f>
        <v>#N/A</v>
      </c>
      <c r="U1941" s="9" t="e">
        <f>VLOOKUP(Table1[[#This Row],[Address A]],IP_Master[],3,FALSE)</f>
        <v>#N/A</v>
      </c>
      <c r="V1941" s="9" t="e">
        <f>VLOOKUP(Table1[[#This Row],[Address B]],IP_Master[],3,FALSE)</f>
        <v>#N/A</v>
      </c>
      <c r="W1941" s="9" t="e">
        <f>VLOOKUP(Table1[[#This Row],[Port B]],traffic_types[],2,FALSE)</f>
        <v>#N/A</v>
      </c>
    </row>
    <row r="1942" spans="1:23" x14ac:dyDescent="0.6">
      <c r="A1942" t="s">
        <v>224</v>
      </c>
      <c r="B1942">
        <v>60057</v>
      </c>
      <c r="C1942" t="s">
        <v>297</v>
      </c>
      <c r="D1942">
        <v>80</v>
      </c>
      <c r="E1942">
        <v>3</v>
      </c>
      <c r="F1942">
        <v>194</v>
      </c>
      <c r="G1942">
        <v>3</v>
      </c>
      <c r="H1942">
        <v>194</v>
      </c>
      <c r="I1942">
        <v>0</v>
      </c>
      <c r="J1942">
        <v>0</v>
      </c>
      <c r="K1942">
        <v>221.375541</v>
      </c>
      <c r="L1942">
        <v>8.9904140000000208</v>
      </c>
      <c r="M1942">
        <v>172.62831277847701</v>
      </c>
      <c r="N1942">
        <v>0</v>
      </c>
      <c r="O1942" s="8" t="str">
        <f>formatIP(Table1[[#This Row],[Address A]])</f>
        <v>192.168.100.002</v>
      </c>
      <c r="P1942" s="8" t="str">
        <f>formatIP(Table1[[#This Row],[Address B]])</f>
        <v>157.055.056.169</v>
      </c>
      <c r="Q1942" s="8" t="e">
        <f>VLOOKUP(Table1[[#This Row],[Address A]],IP_Master[],4,FALSE)</f>
        <v>#N/A</v>
      </c>
      <c r="R1942" s="8" t="e">
        <f>VLOOKUP(Table1[[#This Row],[Address B]],IP_Master[],4,FALSE)</f>
        <v>#N/A</v>
      </c>
      <c r="S1942" s="8" t="e">
        <f>VLOOKUP(Table1[[#This Row],[Address A]],IP_Master[],2,FALSE)</f>
        <v>#N/A</v>
      </c>
      <c r="T1942" s="8" t="e">
        <f>VLOOKUP(Table1[[#This Row],[Address B]],IP_Master[],2,FALSE)</f>
        <v>#N/A</v>
      </c>
      <c r="U1942" s="9" t="e">
        <f>VLOOKUP(Table1[[#This Row],[Address A]],IP_Master[],3,FALSE)</f>
        <v>#N/A</v>
      </c>
      <c r="V1942" s="9" t="e">
        <f>VLOOKUP(Table1[[#This Row],[Address B]],IP_Master[],3,FALSE)</f>
        <v>#N/A</v>
      </c>
      <c r="W1942" s="9" t="str">
        <f>VLOOKUP(Table1[[#This Row],[Port B]],traffic_types[],2,FALSE)</f>
        <v>HTTP</v>
      </c>
    </row>
    <row r="1943" spans="1:23" x14ac:dyDescent="0.6">
      <c r="A1943" t="s">
        <v>224</v>
      </c>
      <c r="B1943">
        <v>60058</v>
      </c>
      <c r="C1943" t="s">
        <v>298</v>
      </c>
      <c r="D1943">
        <v>443</v>
      </c>
      <c r="E1943">
        <v>3</v>
      </c>
      <c r="F1943">
        <v>194</v>
      </c>
      <c r="G1943">
        <v>3</v>
      </c>
      <c r="H1943">
        <v>194</v>
      </c>
      <c r="I1943">
        <v>0</v>
      </c>
      <c r="J1943">
        <v>0</v>
      </c>
      <c r="K1943">
        <v>222.84565799999999</v>
      </c>
      <c r="L1943">
        <v>9.00031600000003</v>
      </c>
      <c r="M1943">
        <v>172.43838994097499</v>
      </c>
      <c r="N1943">
        <v>0</v>
      </c>
      <c r="O1943" s="8" t="str">
        <f>formatIP(Table1[[#This Row],[Address A]])</f>
        <v>192.168.100.002</v>
      </c>
      <c r="P1943" s="8" t="str">
        <f>formatIP(Table1[[#This Row],[Address B]])</f>
        <v>157.055.235.141</v>
      </c>
      <c r="Q1943" s="8" t="e">
        <f>VLOOKUP(Table1[[#This Row],[Address A]],IP_Master[],4,FALSE)</f>
        <v>#N/A</v>
      </c>
      <c r="R1943" s="8" t="e">
        <f>VLOOKUP(Table1[[#This Row],[Address B]],IP_Master[],4,FALSE)</f>
        <v>#N/A</v>
      </c>
      <c r="S1943" s="8" t="e">
        <f>VLOOKUP(Table1[[#This Row],[Address A]],IP_Master[],2,FALSE)</f>
        <v>#N/A</v>
      </c>
      <c r="T1943" s="8" t="e">
        <f>VLOOKUP(Table1[[#This Row],[Address B]],IP_Master[],2,FALSE)</f>
        <v>#N/A</v>
      </c>
      <c r="U1943" s="9" t="e">
        <f>VLOOKUP(Table1[[#This Row],[Address A]],IP_Master[],3,FALSE)</f>
        <v>#N/A</v>
      </c>
      <c r="V1943" s="9" t="e">
        <f>VLOOKUP(Table1[[#This Row],[Address B]],IP_Master[],3,FALSE)</f>
        <v>#N/A</v>
      </c>
      <c r="W1943" s="9" t="str">
        <f>VLOOKUP(Table1[[#This Row],[Port B]],traffic_types[],2,FALSE)</f>
        <v>HTTP/S</v>
      </c>
    </row>
    <row r="1944" spans="1:23" hidden="1" x14ac:dyDescent="0.6">
      <c r="A1944" t="s">
        <v>224</v>
      </c>
      <c r="B1944">
        <v>60059</v>
      </c>
      <c r="C1944" t="s">
        <v>299</v>
      </c>
      <c r="D1944">
        <v>40016</v>
      </c>
      <c r="E1944">
        <v>3</v>
      </c>
      <c r="F1944">
        <v>194</v>
      </c>
      <c r="G1944">
        <v>3</v>
      </c>
      <c r="H1944">
        <v>194</v>
      </c>
      <c r="I1944">
        <v>0</v>
      </c>
      <c r="J1944">
        <v>0</v>
      </c>
      <c r="K1944">
        <v>223.245901</v>
      </c>
      <c r="L1944">
        <v>9.0001130000000007</v>
      </c>
      <c r="M1944">
        <v>172.44227933582599</v>
      </c>
      <c r="N1944">
        <v>0</v>
      </c>
      <c r="O1944" s="8" t="str">
        <f>formatIP(Table1[[#This Row],[Address A]])</f>
        <v>192.168.100.002</v>
      </c>
      <c r="P1944" s="8" t="str">
        <f>formatIP(Table1[[#This Row],[Address B]])</f>
        <v>157.055.235.140</v>
      </c>
      <c r="Q1944" s="8" t="e">
        <f>VLOOKUP(Table1[[#This Row],[Address A]],IP_Master[],4,FALSE)</f>
        <v>#N/A</v>
      </c>
      <c r="R1944" s="8" t="e">
        <f>VLOOKUP(Table1[[#This Row],[Address B]],IP_Master[],4,FALSE)</f>
        <v>#N/A</v>
      </c>
      <c r="S1944" s="8" t="e">
        <f>VLOOKUP(Table1[[#This Row],[Address A]],IP_Master[],2,FALSE)</f>
        <v>#N/A</v>
      </c>
      <c r="T1944" s="8" t="e">
        <f>VLOOKUP(Table1[[#This Row],[Address B]],IP_Master[],2,FALSE)</f>
        <v>#N/A</v>
      </c>
      <c r="U1944" s="9" t="e">
        <f>VLOOKUP(Table1[[#This Row],[Address A]],IP_Master[],3,FALSE)</f>
        <v>#N/A</v>
      </c>
      <c r="V1944" s="9" t="e">
        <f>VLOOKUP(Table1[[#This Row],[Address B]],IP_Master[],3,FALSE)</f>
        <v>#N/A</v>
      </c>
      <c r="W1944" s="9" t="e">
        <f>VLOOKUP(Table1[[#This Row],[Port B]],traffic_types[],2,FALSE)</f>
        <v>#N/A</v>
      </c>
    </row>
    <row r="1945" spans="1:23" hidden="1" x14ac:dyDescent="0.6">
      <c r="A1945" t="s">
        <v>224</v>
      </c>
      <c r="B1945">
        <v>60060</v>
      </c>
      <c r="C1945" t="s">
        <v>300</v>
      </c>
      <c r="D1945">
        <v>40007</v>
      </c>
      <c r="E1945">
        <v>3</v>
      </c>
      <c r="F1945">
        <v>194</v>
      </c>
      <c r="G1945">
        <v>3</v>
      </c>
      <c r="H1945">
        <v>194</v>
      </c>
      <c r="I1945">
        <v>0</v>
      </c>
      <c r="J1945">
        <v>0</v>
      </c>
      <c r="K1945">
        <v>224.285864</v>
      </c>
      <c r="L1945">
        <v>9.0001399999999894</v>
      </c>
      <c r="M1945">
        <v>172.44176201703601</v>
      </c>
      <c r="N1945">
        <v>0</v>
      </c>
      <c r="O1945" s="8" t="str">
        <f>formatIP(Table1[[#This Row],[Address A]])</f>
        <v>192.168.100.002</v>
      </c>
      <c r="P1945" s="8" t="str">
        <f>formatIP(Table1[[#This Row],[Address B]])</f>
        <v>111.221.077.165</v>
      </c>
      <c r="Q1945" s="8" t="e">
        <f>VLOOKUP(Table1[[#This Row],[Address A]],IP_Master[],4,FALSE)</f>
        <v>#N/A</v>
      </c>
      <c r="R1945" s="8" t="e">
        <f>VLOOKUP(Table1[[#This Row],[Address B]],IP_Master[],4,FALSE)</f>
        <v>#N/A</v>
      </c>
      <c r="S1945" s="8" t="e">
        <f>VLOOKUP(Table1[[#This Row],[Address A]],IP_Master[],2,FALSE)</f>
        <v>#N/A</v>
      </c>
      <c r="T1945" s="8" t="e">
        <f>VLOOKUP(Table1[[#This Row],[Address B]],IP_Master[],2,FALSE)</f>
        <v>#N/A</v>
      </c>
      <c r="U1945" s="9" t="e">
        <f>VLOOKUP(Table1[[#This Row],[Address A]],IP_Master[],3,FALSE)</f>
        <v>#N/A</v>
      </c>
      <c r="V1945" s="9" t="e">
        <f>VLOOKUP(Table1[[#This Row],[Address B]],IP_Master[],3,FALSE)</f>
        <v>#N/A</v>
      </c>
      <c r="W1945" s="9" t="e">
        <f>VLOOKUP(Table1[[#This Row],[Port B]],traffic_types[],2,FALSE)</f>
        <v>#N/A</v>
      </c>
    </row>
    <row r="1946" spans="1:23" x14ac:dyDescent="0.6">
      <c r="A1946" t="s">
        <v>224</v>
      </c>
      <c r="B1946">
        <v>60061</v>
      </c>
      <c r="C1946" t="s">
        <v>298</v>
      </c>
      <c r="D1946">
        <v>80</v>
      </c>
      <c r="E1946">
        <v>3</v>
      </c>
      <c r="F1946">
        <v>194</v>
      </c>
      <c r="G1946">
        <v>3</v>
      </c>
      <c r="H1946">
        <v>194</v>
      </c>
      <c r="I1946">
        <v>0</v>
      </c>
      <c r="J1946">
        <v>0</v>
      </c>
      <c r="K1946">
        <v>224.46545800000001</v>
      </c>
      <c r="L1946">
        <v>9.0006449999999898</v>
      </c>
      <c r="M1946">
        <v>172.43208681155599</v>
      </c>
      <c r="N1946">
        <v>0</v>
      </c>
      <c r="O1946" s="8" t="str">
        <f>formatIP(Table1[[#This Row],[Address A]])</f>
        <v>192.168.100.002</v>
      </c>
      <c r="P1946" s="8" t="str">
        <f>formatIP(Table1[[#This Row],[Address B]])</f>
        <v>157.055.235.141</v>
      </c>
      <c r="Q1946" s="8" t="e">
        <f>VLOOKUP(Table1[[#This Row],[Address A]],IP_Master[],4,FALSE)</f>
        <v>#N/A</v>
      </c>
      <c r="R1946" s="8" t="e">
        <f>VLOOKUP(Table1[[#This Row],[Address B]],IP_Master[],4,FALSE)</f>
        <v>#N/A</v>
      </c>
      <c r="S1946" s="8" t="e">
        <f>VLOOKUP(Table1[[#This Row],[Address A]],IP_Master[],2,FALSE)</f>
        <v>#N/A</v>
      </c>
      <c r="T1946" s="8" t="e">
        <f>VLOOKUP(Table1[[#This Row],[Address B]],IP_Master[],2,FALSE)</f>
        <v>#N/A</v>
      </c>
      <c r="U1946" s="9" t="e">
        <f>VLOOKUP(Table1[[#This Row],[Address A]],IP_Master[],3,FALSE)</f>
        <v>#N/A</v>
      </c>
      <c r="V1946" s="9" t="e">
        <f>VLOOKUP(Table1[[#This Row],[Address B]],IP_Master[],3,FALSE)</f>
        <v>#N/A</v>
      </c>
      <c r="W1946" s="9" t="str">
        <f>VLOOKUP(Table1[[#This Row],[Port B]],traffic_types[],2,FALSE)</f>
        <v>HTTP</v>
      </c>
    </row>
    <row r="1947" spans="1:23" x14ac:dyDescent="0.6">
      <c r="A1947" t="s">
        <v>224</v>
      </c>
      <c r="B1947">
        <v>60062</v>
      </c>
      <c r="C1947" t="s">
        <v>299</v>
      </c>
      <c r="D1947">
        <v>443</v>
      </c>
      <c r="E1947">
        <v>3</v>
      </c>
      <c r="F1947">
        <v>194</v>
      </c>
      <c r="G1947">
        <v>3</v>
      </c>
      <c r="H1947">
        <v>194</v>
      </c>
      <c r="I1947">
        <v>0</v>
      </c>
      <c r="J1947">
        <v>0</v>
      </c>
      <c r="K1947">
        <v>224.86554599999999</v>
      </c>
      <c r="L1947">
        <v>8.9903610000000107</v>
      </c>
      <c r="M1947">
        <v>172.62933045736401</v>
      </c>
      <c r="N1947">
        <v>0</v>
      </c>
      <c r="O1947" s="8" t="str">
        <f>formatIP(Table1[[#This Row],[Address A]])</f>
        <v>192.168.100.002</v>
      </c>
      <c r="P1947" s="8" t="str">
        <f>formatIP(Table1[[#This Row],[Address B]])</f>
        <v>157.055.235.140</v>
      </c>
      <c r="Q1947" s="8" t="e">
        <f>VLOOKUP(Table1[[#This Row],[Address A]],IP_Master[],4,FALSE)</f>
        <v>#N/A</v>
      </c>
      <c r="R1947" s="8" t="e">
        <f>VLOOKUP(Table1[[#This Row],[Address B]],IP_Master[],4,FALSE)</f>
        <v>#N/A</v>
      </c>
      <c r="S1947" s="8" t="e">
        <f>VLOOKUP(Table1[[#This Row],[Address A]],IP_Master[],2,FALSE)</f>
        <v>#N/A</v>
      </c>
      <c r="T1947" s="8" t="e">
        <f>VLOOKUP(Table1[[#This Row],[Address B]],IP_Master[],2,FALSE)</f>
        <v>#N/A</v>
      </c>
      <c r="U1947" s="9" t="e">
        <f>VLOOKUP(Table1[[#This Row],[Address A]],IP_Master[],3,FALSE)</f>
        <v>#N/A</v>
      </c>
      <c r="V1947" s="9" t="e">
        <f>VLOOKUP(Table1[[#This Row],[Address B]],IP_Master[],3,FALSE)</f>
        <v>#N/A</v>
      </c>
      <c r="W1947" s="9" t="str">
        <f>VLOOKUP(Table1[[#This Row],[Port B]],traffic_types[],2,FALSE)</f>
        <v>HTTP/S</v>
      </c>
    </row>
    <row r="1948" spans="1:23" x14ac:dyDescent="0.6">
      <c r="A1948" t="s">
        <v>224</v>
      </c>
      <c r="B1948">
        <v>60063</v>
      </c>
      <c r="C1948" t="s">
        <v>300</v>
      </c>
      <c r="D1948">
        <v>443</v>
      </c>
      <c r="E1948">
        <v>3</v>
      </c>
      <c r="F1948">
        <v>194</v>
      </c>
      <c r="G1948">
        <v>3</v>
      </c>
      <c r="H1948">
        <v>194</v>
      </c>
      <c r="I1948">
        <v>0</v>
      </c>
      <c r="J1948">
        <v>0</v>
      </c>
      <c r="K1948">
        <v>225.90536900000001</v>
      </c>
      <c r="L1948">
        <v>9.0005500000000005</v>
      </c>
      <c r="M1948">
        <v>172.433906816806</v>
      </c>
      <c r="N1948">
        <v>0</v>
      </c>
      <c r="O1948" s="8" t="str">
        <f>formatIP(Table1[[#This Row],[Address A]])</f>
        <v>192.168.100.002</v>
      </c>
      <c r="P1948" s="8" t="str">
        <f>formatIP(Table1[[#This Row],[Address B]])</f>
        <v>111.221.077.165</v>
      </c>
      <c r="Q1948" s="8" t="e">
        <f>VLOOKUP(Table1[[#This Row],[Address A]],IP_Master[],4,FALSE)</f>
        <v>#N/A</v>
      </c>
      <c r="R1948" s="8" t="e">
        <f>VLOOKUP(Table1[[#This Row],[Address B]],IP_Master[],4,FALSE)</f>
        <v>#N/A</v>
      </c>
      <c r="S1948" s="8" t="e">
        <f>VLOOKUP(Table1[[#This Row],[Address A]],IP_Master[],2,FALSE)</f>
        <v>#N/A</v>
      </c>
      <c r="T1948" s="8" t="e">
        <f>VLOOKUP(Table1[[#This Row],[Address B]],IP_Master[],2,FALSE)</f>
        <v>#N/A</v>
      </c>
      <c r="U1948" s="9" t="e">
        <f>VLOOKUP(Table1[[#This Row],[Address A]],IP_Master[],3,FALSE)</f>
        <v>#N/A</v>
      </c>
      <c r="V1948" s="9" t="e">
        <f>VLOOKUP(Table1[[#This Row],[Address B]],IP_Master[],3,FALSE)</f>
        <v>#N/A</v>
      </c>
      <c r="W1948" s="9" t="str">
        <f>VLOOKUP(Table1[[#This Row],[Port B]],traffic_types[],2,FALSE)</f>
        <v>HTTP/S</v>
      </c>
    </row>
    <row r="1949" spans="1:23" x14ac:dyDescent="0.6">
      <c r="A1949" t="s">
        <v>224</v>
      </c>
      <c r="B1949">
        <v>60064</v>
      </c>
      <c r="C1949" t="s">
        <v>299</v>
      </c>
      <c r="D1949">
        <v>80</v>
      </c>
      <c r="E1949">
        <v>3</v>
      </c>
      <c r="F1949">
        <v>194</v>
      </c>
      <c r="G1949">
        <v>3</v>
      </c>
      <c r="H1949">
        <v>194</v>
      </c>
      <c r="I1949">
        <v>0</v>
      </c>
      <c r="J1949">
        <v>0</v>
      </c>
      <c r="K1949">
        <v>226.48547600000001</v>
      </c>
      <c r="L1949">
        <v>9.0003480000000007</v>
      </c>
      <c r="M1949">
        <v>172.43777685040601</v>
      </c>
      <c r="N1949">
        <v>0</v>
      </c>
      <c r="O1949" s="8" t="str">
        <f>formatIP(Table1[[#This Row],[Address A]])</f>
        <v>192.168.100.002</v>
      </c>
      <c r="P1949" s="8" t="str">
        <f>formatIP(Table1[[#This Row],[Address B]])</f>
        <v>157.055.235.140</v>
      </c>
      <c r="Q1949" s="8" t="e">
        <f>VLOOKUP(Table1[[#This Row],[Address A]],IP_Master[],4,FALSE)</f>
        <v>#N/A</v>
      </c>
      <c r="R1949" s="8" t="e">
        <f>VLOOKUP(Table1[[#This Row],[Address B]],IP_Master[],4,FALSE)</f>
        <v>#N/A</v>
      </c>
      <c r="S1949" s="8" t="e">
        <f>VLOOKUP(Table1[[#This Row],[Address A]],IP_Master[],2,FALSE)</f>
        <v>#N/A</v>
      </c>
      <c r="T1949" s="8" t="e">
        <f>VLOOKUP(Table1[[#This Row],[Address B]],IP_Master[],2,FALSE)</f>
        <v>#N/A</v>
      </c>
      <c r="U1949" s="9" t="e">
        <f>VLOOKUP(Table1[[#This Row],[Address A]],IP_Master[],3,FALSE)</f>
        <v>#N/A</v>
      </c>
      <c r="V1949" s="9" t="e">
        <f>VLOOKUP(Table1[[#This Row],[Address B]],IP_Master[],3,FALSE)</f>
        <v>#N/A</v>
      </c>
      <c r="W1949" s="9" t="str">
        <f>VLOOKUP(Table1[[#This Row],[Port B]],traffic_types[],2,FALSE)</f>
        <v>HTTP</v>
      </c>
    </row>
    <row r="1950" spans="1:23" x14ac:dyDescent="0.6">
      <c r="A1950" t="s">
        <v>224</v>
      </c>
      <c r="B1950">
        <v>60065</v>
      </c>
      <c r="C1950" t="s">
        <v>300</v>
      </c>
      <c r="D1950">
        <v>80</v>
      </c>
      <c r="E1950">
        <v>3</v>
      </c>
      <c r="F1950">
        <v>194</v>
      </c>
      <c r="G1950">
        <v>3</v>
      </c>
      <c r="H1950">
        <v>194</v>
      </c>
      <c r="I1950">
        <v>0</v>
      </c>
      <c r="J1950">
        <v>0</v>
      </c>
      <c r="K1950">
        <v>227.54790499999999</v>
      </c>
      <c r="L1950">
        <v>8.9579890000000297</v>
      </c>
      <c r="M1950">
        <v>173.253170996302</v>
      </c>
      <c r="N1950">
        <v>0</v>
      </c>
      <c r="O1950" s="8" t="str">
        <f>formatIP(Table1[[#This Row],[Address A]])</f>
        <v>192.168.100.002</v>
      </c>
      <c r="P1950" s="8" t="str">
        <f>formatIP(Table1[[#This Row],[Address B]])</f>
        <v>111.221.077.165</v>
      </c>
      <c r="Q1950" s="8" t="e">
        <f>VLOOKUP(Table1[[#This Row],[Address A]],IP_Master[],4,FALSE)</f>
        <v>#N/A</v>
      </c>
      <c r="R1950" s="8" t="e">
        <f>VLOOKUP(Table1[[#This Row],[Address B]],IP_Master[],4,FALSE)</f>
        <v>#N/A</v>
      </c>
      <c r="S1950" s="8" t="e">
        <f>VLOOKUP(Table1[[#This Row],[Address A]],IP_Master[],2,FALSE)</f>
        <v>#N/A</v>
      </c>
      <c r="T1950" s="8" t="e">
        <f>VLOOKUP(Table1[[#This Row],[Address B]],IP_Master[],2,FALSE)</f>
        <v>#N/A</v>
      </c>
      <c r="U1950" s="9" t="e">
        <f>VLOOKUP(Table1[[#This Row],[Address A]],IP_Master[],3,FALSE)</f>
        <v>#N/A</v>
      </c>
      <c r="V1950" s="9" t="e">
        <f>VLOOKUP(Table1[[#This Row],[Address B]],IP_Master[],3,FALSE)</f>
        <v>#N/A</v>
      </c>
      <c r="W1950" s="9" t="str">
        <f>VLOOKUP(Table1[[#This Row],[Port B]],traffic_types[],2,FALSE)</f>
        <v>HTTP</v>
      </c>
    </row>
    <row r="1951" spans="1:23" x14ac:dyDescent="0.6">
      <c r="A1951" t="s">
        <v>224</v>
      </c>
      <c r="B1951">
        <v>60066</v>
      </c>
      <c r="C1951" t="s">
        <v>241</v>
      </c>
      <c r="D1951">
        <v>443</v>
      </c>
      <c r="E1951">
        <v>3</v>
      </c>
      <c r="F1951">
        <v>194</v>
      </c>
      <c r="G1951">
        <v>3</v>
      </c>
      <c r="H1951">
        <v>194</v>
      </c>
      <c r="I1951">
        <v>0</v>
      </c>
      <c r="J1951">
        <v>0</v>
      </c>
      <c r="K1951">
        <v>234.76311100000001</v>
      </c>
      <c r="L1951">
        <v>8.9990359999999896</v>
      </c>
      <c r="M1951">
        <v>172.46291713912501</v>
      </c>
      <c r="N1951">
        <v>0</v>
      </c>
      <c r="O1951" s="8" t="str">
        <f>formatIP(Table1[[#This Row],[Address A]])</f>
        <v>192.168.100.002</v>
      </c>
      <c r="P1951" s="8" t="str">
        <f>formatIP(Table1[[#This Row],[Address B]])</f>
        <v>078.046.049.023</v>
      </c>
      <c r="Q1951" s="8" t="e">
        <f>VLOOKUP(Table1[[#This Row],[Address A]],IP_Master[],4,FALSE)</f>
        <v>#N/A</v>
      </c>
      <c r="R1951" s="8" t="e">
        <f>VLOOKUP(Table1[[#This Row],[Address B]],IP_Master[],4,FALSE)</f>
        <v>#N/A</v>
      </c>
      <c r="S1951" s="8" t="e">
        <f>VLOOKUP(Table1[[#This Row],[Address A]],IP_Master[],2,FALSE)</f>
        <v>#N/A</v>
      </c>
      <c r="T1951" s="8" t="e">
        <f>VLOOKUP(Table1[[#This Row],[Address B]],IP_Master[],2,FALSE)</f>
        <v>#N/A</v>
      </c>
      <c r="U1951" s="9" t="e">
        <f>VLOOKUP(Table1[[#This Row],[Address A]],IP_Master[],3,FALSE)</f>
        <v>#N/A</v>
      </c>
      <c r="V1951" s="9" t="e">
        <f>VLOOKUP(Table1[[#This Row],[Address B]],IP_Master[],3,FALSE)</f>
        <v>#N/A</v>
      </c>
      <c r="W1951" s="9" t="str">
        <f>VLOOKUP(Table1[[#This Row],[Port B]],traffic_types[],2,FALSE)</f>
        <v>HTTP/S</v>
      </c>
    </row>
    <row r="1952" spans="1:23" hidden="1" x14ac:dyDescent="0.6">
      <c r="A1952" t="s">
        <v>224</v>
      </c>
      <c r="B1952">
        <v>60067</v>
      </c>
      <c r="C1952" t="s">
        <v>301</v>
      </c>
      <c r="D1952">
        <v>12350</v>
      </c>
      <c r="E1952">
        <v>3</v>
      </c>
      <c r="F1952">
        <v>194</v>
      </c>
      <c r="G1952">
        <v>3</v>
      </c>
      <c r="H1952">
        <v>194</v>
      </c>
      <c r="I1952">
        <v>0</v>
      </c>
      <c r="J1952">
        <v>0</v>
      </c>
      <c r="K1952">
        <v>235.776779</v>
      </c>
      <c r="L1952">
        <v>9.0000629999999795</v>
      </c>
      <c r="M1952">
        <v>172.443237341783</v>
      </c>
      <c r="N1952">
        <v>0</v>
      </c>
      <c r="O1952" s="8" t="str">
        <f>formatIP(Table1[[#This Row],[Address A]])</f>
        <v>192.168.100.002</v>
      </c>
      <c r="P1952" s="8" t="str">
        <f>formatIP(Table1[[#This Row],[Address B]])</f>
        <v>091.190.218.051</v>
      </c>
      <c r="Q1952" s="8" t="e">
        <f>VLOOKUP(Table1[[#This Row],[Address A]],IP_Master[],4,FALSE)</f>
        <v>#N/A</v>
      </c>
      <c r="R1952" s="8" t="e">
        <f>VLOOKUP(Table1[[#This Row],[Address B]],IP_Master[],4,FALSE)</f>
        <v>#N/A</v>
      </c>
      <c r="S1952" s="8" t="e">
        <f>VLOOKUP(Table1[[#This Row],[Address A]],IP_Master[],2,FALSE)</f>
        <v>#N/A</v>
      </c>
      <c r="T1952" s="8" t="e">
        <f>VLOOKUP(Table1[[#This Row],[Address B]],IP_Master[],2,FALSE)</f>
        <v>#N/A</v>
      </c>
      <c r="U1952" s="9" t="e">
        <f>VLOOKUP(Table1[[#This Row],[Address A]],IP_Master[],3,FALSE)</f>
        <v>#N/A</v>
      </c>
      <c r="V1952" s="9" t="e">
        <f>VLOOKUP(Table1[[#This Row],[Address B]],IP_Master[],3,FALSE)</f>
        <v>#N/A</v>
      </c>
      <c r="W1952" s="9" t="e">
        <f>VLOOKUP(Table1[[#This Row],[Port B]],traffic_types[],2,FALSE)</f>
        <v>#N/A</v>
      </c>
    </row>
    <row r="1953" spans="1:23" x14ac:dyDescent="0.6">
      <c r="A1953" t="s">
        <v>224</v>
      </c>
      <c r="B1953">
        <v>60068</v>
      </c>
      <c r="C1953" t="s">
        <v>241</v>
      </c>
      <c r="D1953">
        <v>80</v>
      </c>
      <c r="E1953">
        <v>3</v>
      </c>
      <c r="F1953">
        <v>194</v>
      </c>
      <c r="G1953">
        <v>3</v>
      </c>
      <c r="H1953">
        <v>194</v>
      </c>
      <c r="I1953">
        <v>0</v>
      </c>
      <c r="J1953">
        <v>0</v>
      </c>
      <c r="K1953">
        <v>236.76128800000001</v>
      </c>
      <c r="L1953">
        <v>9.0009149999999902</v>
      </c>
      <c r="M1953">
        <v>172.42691437481699</v>
      </c>
      <c r="N1953">
        <v>0</v>
      </c>
      <c r="O1953" s="8" t="str">
        <f>formatIP(Table1[[#This Row],[Address A]])</f>
        <v>192.168.100.002</v>
      </c>
      <c r="P1953" s="8" t="str">
        <f>formatIP(Table1[[#This Row],[Address B]])</f>
        <v>078.046.049.023</v>
      </c>
      <c r="Q1953" s="8" t="e">
        <f>VLOOKUP(Table1[[#This Row],[Address A]],IP_Master[],4,FALSE)</f>
        <v>#N/A</v>
      </c>
      <c r="R1953" s="8" t="e">
        <f>VLOOKUP(Table1[[#This Row],[Address B]],IP_Master[],4,FALSE)</f>
        <v>#N/A</v>
      </c>
      <c r="S1953" s="8" t="e">
        <f>VLOOKUP(Table1[[#This Row],[Address A]],IP_Master[],2,FALSE)</f>
        <v>#N/A</v>
      </c>
      <c r="T1953" s="8" t="e">
        <f>VLOOKUP(Table1[[#This Row],[Address B]],IP_Master[],2,FALSE)</f>
        <v>#N/A</v>
      </c>
      <c r="U1953" s="9" t="e">
        <f>VLOOKUP(Table1[[#This Row],[Address A]],IP_Master[],3,FALSE)</f>
        <v>#N/A</v>
      </c>
      <c r="V1953" s="9" t="e">
        <f>VLOOKUP(Table1[[#This Row],[Address B]],IP_Master[],3,FALSE)</f>
        <v>#N/A</v>
      </c>
      <c r="W1953" s="9" t="str">
        <f>VLOOKUP(Table1[[#This Row],[Port B]],traffic_types[],2,FALSE)</f>
        <v>HTTP</v>
      </c>
    </row>
    <row r="1954" spans="1:23" x14ac:dyDescent="0.6">
      <c r="A1954" t="s">
        <v>224</v>
      </c>
      <c r="B1954">
        <v>60069</v>
      </c>
      <c r="C1954" t="s">
        <v>301</v>
      </c>
      <c r="D1954">
        <v>443</v>
      </c>
      <c r="E1954">
        <v>3</v>
      </c>
      <c r="F1954">
        <v>194</v>
      </c>
      <c r="G1954">
        <v>3</v>
      </c>
      <c r="H1954">
        <v>194</v>
      </c>
      <c r="I1954">
        <v>0</v>
      </c>
      <c r="J1954">
        <v>0</v>
      </c>
      <c r="K1954">
        <v>237.39632399999999</v>
      </c>
      <c r="L1954">
        <v>9.0006800000000204</v>
      </c>
      <c r="M1954">
        <v>172.431416292991</v>
      </c>
      <c r="N1954">
        <v>0</v>
      </c>
      <c r="O1954" s="8" t="str">
        <f>formatIP(Table1[[#This Row],[Address A]])</f>
        <v>192.168.100.002</v>
      </c>
      <c r="P1954" s="8" t="str">
        <f>formatIP(Table1[[#This Row],[Address B]])</f>
        <v>091.190.218.051</v>
      </c>
      <c r="Q1954" s="8" t="e">
        <f>VLOOKUP(Table1[[#This Row],[Address A]],IP_Master[],4,FALSE)</f>
        <v>#N/A</v>
      </c>
      <c r="R1954" s="8" t="e">
        <f>VLOOKUP(Table1[[#This Row],[Address B]],IP_Master[],4,FALSE)</f>
        <v>#N/A</v>
      </c>
      <c r="S1954" s="8" t="e">
        <f>VLOOKUP(Table1[[#This Row],[Address A]],IP_Master[],2,FALSE)</f>
        <v>#N/A</v>
      </c>
      <c r="T1954" s="8" t="e">
        <f>VLOOKUP(Table1[[#This Row],[Address B]],IP_Master[],2,FALSE)</f>
        <v>#N/A</v>
      </c>
      <c r="U1954" s="9" t="e">
        <f>VLOOKUP(Table1[[#This Row],[Address A]],IP_Master[],3,FALSE)</f>
        <v>#N/A</v>
      </c>
      <c r="V1954" s="9" t="e">
        <f>VLOOKUP(Table1[[#This Row],[Address B]],IP_Master[],3,FALSE)</f>
        <v>#N/A</v>
      </c>
      <c r="W1954" s="9" t="str">
        <f>VLOOKUP(Table1[[#This Row],[Port B]],traffic_types[],2,FALSE)</f>
        <v>HTTP/S</v>
      </c>
    </row>
    <row r="1955" spans="1:23" hidden="1" x14ac:dyDescent="0.6">
      <c r="A1955" t="s">
        <v>224</v>
      </c>
      <c r="B1955">
        <v>60070</v>
      </c>
      <c r="C1955" t="s">
        <v>302</v>
      </c>
      <c r="D1955">
        <v>40026</v>
      </c>
      <c r="E1955">
        <v>3</v>
      </c>
      <c r="F1955">
        <v>194</v>
      </c>
      <c r="G1955">
        <v>3</v>
      </c>
      <c r="H1955">
        <v>194</v>
      </c>
      <c r="I1955">
        <v>0</v>
      </c>
      <c r="J1955">
        <v>0</v>
      </c>
      <c r="K1955">
        <v>238.416775</v>
      </c>
      <c r="L1955">
        <v>9.0300750000000107</v>
      </c>
      <c r="M1955">
        <v>171.870111820776</v>
      </c>
      <c r="N1955">
        <v>0</v>
      </c>
      <c r="O1955" s="8" t="str">
        <f>formatIP(Table1[[#This Row],[Address A]])</f>
        <v>192.168.100.002</v>
      </c>
      <c r="P1955" s="8" t="str">
        <f>formatIP(Table1[[#This Row],[Address B]])</f>
        <v>111.221.077.153</v>
      </c>
      <c r="Q1955" s="8" t="e">
        <f>VLOOKUP(Table1[[#This Row],[Address A]],IP_Master[],4,FALSE)</f>
        <v>#N/A</v>
      </c>
      <c r="R1955" s="8" t="e">
        <f>VLOOKUP(Table1[[#This Row],[Address B]],IP_Master[],4,FALSE)</f>
        <v>#N/A</v>
      </c>
      <c r="S1955" s="8" t="e">
        <f>VLOOKUP(Table1[[#This Row],[Address A]],IP_Master[],2,FALSE)</f>
        <v>#N/A</v>
      </c>
      <c r="T1955" s="8" t="e">
        <f>VLOOKUP(Table1[[#This Row],[Address B]],IP_Master[],2,FALSE)</f>
        <v>#N/A</v>
      </c>
      <c r="U1955" s="9" t="e">
        <f>VLOOKUP(Table1[[#This Row],[Address A]],IP_Master[],3,FALSE)</f>
        <v>#N/A</v>
      </c>
      <c r="V1955" s="9" t="e">
        <f>VLOOKUP(Table1[[#This Row],[Address B]],IP_Master[],3,FALSE)</f>
        <v>#N/A</v>
      </c>
      <c r="W1955" s="9" t="e">
        <f>VLOOKUP(Table1[[#This Row],[Port B]],traffic_types[],2,FALSE)</f>
        <v>#N/A</v>
      </c>
    </row>
    <row r="1956" spans="1:23" x14ac:dyDescent="0.6">
      <c r="A1956" t="s">
        <v>224</v>
      </c>
      <c r="B1956">
        <v>60071</v>
      </c>
      <c r="C1956" t="s">
        <v>301</v>
      </c>
      <c r="D1956">
        <v>80</v>
      </c>
      <c r="E1956">
        <v>3</v>
      </c>
      <c r="F1956">
        <v>194</v>
      </c>
      <c r="G1956">
        <v>3</v>
      </c>
      <c r="H1956">
        <v>194</v>
      </c>
      <c r="I1956">
        <v>0</v>
      </c>
      <c r="J1956">
        <v>0</v>
      </c>
      <c r="K1956">
        <v>239.00752</v>
      </c>
      <c r="L1956">
        <v>9.0003340000000094</v>
      </c>
      <c r="M1956">
        <v>172.438045076994</v>
      </c>
      <c r="N1956">
        <v>0</v>
      </c>
      <c r="O1956" s="8" t="str">
        <f>formatIP(Table1[[#This Row],[Address A]])</f>
        <v>192.168.100.002</v>
      </c>
      <c r="P1956" s="8" t="str">
        <f>formatIP(Table1[[#This Row],[Address B]])</f>
        <v>091.190.218.051</v>
      </c>
      <c r="Q1956" s="8" t="e">
        <f>VLOOKUP(Table1[[#This Row],[Address A]],IP_Master[],4,FALSE)</f>
        <v>#N/A</v>
      </c>
      <c r="R1956" s="8" t="e">
        <f>VLOOKUP(Table1[[#This Row],[Address B]],IP_Master[],4,FALSE)</f>
        <v>#N/A</v>
      </c>
      <c r="S1956" s="8" t="e">
        <f>VLOOKUP(Table1[[#This Row],[Address A]],IP_Master[],2,FALSE)</f>
        <v>#N/A</v>
      </c>
      <c r="T1956" s="8" t="e">
        <f>VLOOKUP(Table1[[#This Row],[Address B]],IP_Master[],2,FALSE)</f>
        <v>#N/A</v>
      </c>
      <c r="U1956" s="9" t="e">
        <f>VLOOKUP(Table1[[#This Row],[Address A]],IP_Master[],3,FALSE)</f>
        <v>#N/A</v>
      </c>
      <c r="V1956" s="9" t="e">
        <f>VLOOKUP(Table1[[#This Row],[Address B]],IP_Master[],3,FALSE)</f>
        <v>#N/A</v>
      </c>
      <c r="W1956" s="9" t="str">
        <f>VLOOKUP(Table1[[#This Row],[Port B]],traffic_types[],2,FALSE)</f>
        <v>HTTP</v>
      </c>
    </row>
    <row r="1957" spans="1:23" hidden="1" x14ac:dyDescent="0.6">
      <c r="A1957" t="s">
        <v>224</v>
      </c>
      <c r="B1957">
        <v>60072</v>
      </c>
      <c r="C1957" t="s">
        <v>303</v>
      </c>
      <c r="D1957">
        <v>40003</v>
      </c>
      <c r="E1957">
        <v>3</v>
      </c>
      <c r="F1957">
        <v>194</v>
      </c>
      <c r="G1957">
        <v>3</v>
      </c>
      <c r="H1957">
        <v>194</v>
      </c>
      <c r="I1957">
        <v>0</v>
      </c>
      <c r="J1957">
        <v>0</v>
      </c>
      <c r="K1957">
        <v>239.42792900000001</v>
      </c>
      <c r="L1957">
        <v>8.9990119999999898</v>
      </c>
      <c r="M1957">
        <v>172.46337709073001</v>
      </c>
      <c r="N1957">
        <v>0</v>
      </c>
      <c r="O1957" s="8" t="str">
        <f>formatIP(Table1[[#This Row],[Address A]])</f>
        <v>192.168.100.002</v>
      </c>
      <c r="P1957" s="8" t="str">
        <f>formatIP(Table1[[#This Row],[Address B]])</f>
        <v>157.056.052.014</v>
      </c>
      <c r="Q1957" s="8" t="e">
        <f>VLOOKUP(Table1[[#This Row],[Address A]],IP_Master[],4,FALSE)</f>
        <v>#N/A</v>
      </c>
      <c r="R1957" s="8" t="e">
        <f>VLOOKUP(Table1[[#This Row],[Address B]],IP_Master[],4,FALSE)</f>
        <v>#N/A</v>
      </c>
      <c r="S1957" s="8" t="e">
        <f>VLOOKUP(Table1[[#This Row],[Address A]],IP_Master[],2,FALSE)</f>
        <v>#N/A</v>
      </c>
      <c r="T1957" s="8" t="e">
        <f>VLOOKUP(Table1[[#This Row],[Address B]],IP_Master[],2,FALSE)</f>
        <v>#N/A</v>
      </c>
      <c r="U1957" s="9" t="e">
        <f>VLOOKUP(Table1[[#This Row],[Address A]],IP_Master[],3,FALSE)</f>
        <v>#N/A</v>
      </c>
      <c r="V1957" s="9" t="e">
        <f>VLOOKUP(Table1[[#This Row],[Address B]],IP_Master[],3,FALSE)</f>
        <v>#N/A</v>
      </c>
      <c r="W1957" s="9" t="e">
        <f>VLOOKUP(Table1[[#This Row],[Port B]],traffic_types[],2,FALSE)</f>
        <v>#N/A</v>
      </c>
    </row>
    <row r="1958" spans="1:23" x14ac:dyDescent="0.6">
      <c r="A1958" t="s">
        <v>224</v>
      </c>
      <c r="B1958">
        <v>60073</v>
      </c>
      <c r="C1958" t="s">
        <v>302</v>
      </c>
      <c r="D1958">
        <v>443</v>
      </c>
      <c r="E1958">
        <v>3</v>
      </c>
      <c r="F1958">
        <v>194</v>
      </c>
      <c r="G1958">
        <v>3</v>
      </c>
      <c r="H1958">
        <v>194</v>
      </c>
      <c r="I1958">
        <v>0</v>
      </c>
      <c r="J1958">
        <v>0</v>
      </c>
      <c r="K1958">
        <v>240.02735699999999</v>
      </c>
      <c r="L1958">
        <v>9.0306160000000109</v>
      </c>
      <c r="M1958">
        <v>171.859815543037</v>
      </c>
      <c r="N1958">
        <v>0</v>
      </c>
      <c r="O1958" s="8" t="str">
        <f>formatIP(Table1[[#This Row],[Address A]])</f>
        <v>192.168.100.002</v>
      </c>
      <c r="P1958" s="8" t="str">
        <f>formatIP(Table1[[#This Row],[Address B]])</f>
        <v>111.221.077.153</v>
      </c>
      <c r="Q1958" s="8" t="e">
        <f>VLOOKUP(Table1[[#This Row],[Address A]],IP_Master[],4,FALSE)</f>
        <v>#N/A</v>
      </c>
      <c r="R1958" s="8" t="e">
        <f>VLOOKUP(Table1[[#This Row],[Address B]],IP_Master[],4,FALSE)</f>
        <v>#N/A</v>
      </c>
      <c r="S1958" s="8" t="e">
        <f>VLOOKUP(Table1[[#This Row],[Address A]],IP_Master[],2,FALSE)</f>
        <v>#N/A</v>
      </c>
      <c r="T1958" s="8" t="e">
        <f>VLOOKUP(Table1[[#This Row],[Address B]],IP_Master[],2,FALSE)</f>
        <v>#N/A</v>
      </c>
      <c r="U1958" s="9" t="e">
        <f>VLOOKUP(Table1[[#This Row],[Address A]],IP_Master[],3,FALSE)</f>
        <v>#N/A</v>
      </c>
      <c r="V1958" s="9" t="e">
        <f>VLOOKUP(Table1[[#This Row],[Address B]],IP_Master[],3,FALSE)</f>
        <v>#N/A</v>
      </c>
      <c r="W1958" s="9" t="str">
        <f>VLOOKUP(Table1[[#This Row],[Port B]],traffic_types[],2,FALSE)</f>
        <v>HTTP/S</v>
      </c>
    </row>
    <row r="1959" spans="1:23" hidden="1" x14ac:dyDescent="0.6">
      <c r="A1959" t="s">
        <v>224</v>
      </c>
      <c r="B1959">
        <v>60074</v>
      </c>
      <c r="C1959" t="s">
        <v>304</v>
      </c>
      <c r="D1959">
        <v>40020</v>
      </c>
      <c r="E1959">
        <v>3</v>
      </c>
      <c r="F1959">
        <v>194</v>
      </c>
      <c r="G1959">
        <v>3</v>
      </c>
      <c r="H1959">
        <v>194</v>
      </c>
      <c r="I1959">
        <v>0</v>
      </c>
      <c r="J1959">
        <v>0</v>
      </c>
      <c r="K1959">
        <v>240.45764500000001</v>
      </c>
      <c r="L1959">
        <v>9.0002909999999794</v>
      </c>
      <c r="M1959">
        <v>172.438868921016</v>
      </c>
      <c r="N1959">
        <v>0</v>
      </c>
      <c r="O1959" s="8" t="str">
        <f>formatIP(Table1[[#This Row],[Address A]])</f>
        <v>192.168.100.002</v>
      </c>
      <c r="P1959" s="8" t="str">
        <f>formatIP(Table1[[#This Row],[Address B]])</f>
        <v>111.221.077.150</v>
      </c>
      <c r="Q1959" s="8" t="e">
        <f>VLOOKUP(Table1[[#This Row],[Address A]],IP_Master[],4,FALSE)</f>
        <v>#N/A</v>
      </c>
      <c r="R1959" s="8" t="e">
        <f>VLOOKUP(Table1[[#This Row],[Address B]],IP_Master[],4,FALSE)</f>
        <v>#N/A</v>
      </c>
      <c r="S1959" s="8" t="e">
        <f>VLOOKUP(Table1[[#This Row],[Address A]],IP_Master[],2,FALSE)</f>
        <v>#N/A</v>
      </c>
      <c r="T1959" s="8" t="e">
        <f>VLOOKUP(Table1[[#This Row],[Address B]],IP_Master[],2,FALSE)</f>
        <v>#N/A</v>
      </c>
      <c r="U1959" s="9" t="e">
        <f>VLOOKUP(Table1[[#This Row],[Address A]],IP_Master[],3,FALSE)</f>
        <v>#N/A</v>
      </c>
      <c r="V1959" s="9" t="e">
        <f>VLOOKUP(Table1[[#This Row],[Address B]],IP_Master[],3,FALSE)</f>
        <v>#N/A</v>
      </c>
      <c r="W1959" s="9" t="e">
        <f>VLOOKUP(Table1[[#This Row],[Port B]],traffic_types[],2,FALSE)</f>
        <v>#N/A</v>
      </c>
    </row>
    <row r="1960" spans="1:23" x14ac:dyDescent="0.6">
      <c r="A1960" t="s">
        <v>224</v>
      </c>
      <c r="B1960">
        <v>60075</v>
      </c>
      <c r="C1960" t="s">
        <v>303</v>
      </c>
      <c r="D1960">
        <v>443</v>
      </c>
      <c r="E1960">
        <v>3</v>
      </c>
      <c r="F1960">
        <v>194</v>
      </c>
      <c r="G1960">
        <v>3</v>
      </c>
      <c r="H1960">
        <v>194</v>
      </c>
      <c r="I1960">
        <v>0</v>
      </c>
      <c r="J1960">
        <v>0</v>
      </c>
      <c r="K1960">
        <v>241.04722899999999</v>
      </c>
      <c r="L1960">
        <v>9.000731</v>
      </c>
      <c r="M1960">
        <v>172.430439260989</v>
      </c>
      <c r="N1960">
        <v>0</v>
      </c>
      <c r="O1960" s="8" t="str">
        <f>formatIP(Table1[[#This Row],[Address A]])</f>
        <v>192.168.100.002</v>
      </c>
      <c r="P1960" s="8" t="str">
        <f>formatIP(Table1[[#This Row],[Address B]])</f>
        <v>157.056.052.014</v>
      </c>
      <c r="Q1960" s="8" t="e">
        <f>VLOOKUP(Table1[[#This Row],[Address A]],IP_Master[],4,FALSE)</f>
        <v>#N/A</v>
      </c>
      <c r="R1960" s="8" t="e">
        <f>VLOOKUP(Table1[[#This Row],[Address B]],IP_Master[],4,FALSE)</f>
        <v>#N/A</v>
      </c>
      <c r="S1960" s="8" t="e">
        <f>VLOOKUP(Table1[[#This Row],[Address A]],IP_Master[],2,FALSE)</f>
        <v>#N/A</v>
      </c>
      <c r="T1960" s="8" t="e">
        <f>VLOOKUP(Table1[[#This Row],[Address B]],IP_Master[],2,FALSE)</f>
        <v>#N/A</v>
      </c>
      <c r="U1960" s="9" t="e">
        <f>VLOOKUP(Table1[[#This Row],[Address A]],IP_Master[],3,FALSE)</f>
        <v>#N/A</v>
      </c>
      <c r="V1960" s="9" t="e">
        <f>VLOOKUP(Table1[[#This Row],[Address B]],IP_Master[],3,FALSE)</f>
        <v>#N/A</v>
      </c>
      <c r="W1960" s="9" t="str">
        <f>VLOOKUP(Table1[[#This Row],[Port B]],traffic_types[],2,FALSE)</f>
        <v>HTTP/S</v>
      </c>
    </row>
    <row r="1961" spans="1:23" x14ac:dyDescent="0.6">
      <c r="A1961" t="s">
        <v>224</v>
      </c>
      <c r="B1961">
        <v>60076</v>
      </c>
      <c r="C1961" t="s">
        <v>302</v>
      </c>
      <c r="D1961">
        <v>80</v>
      </c>
      <c r="E1961">
        <v>3</v>
      </c>
      <c r="F1961">
        <v>194</v>
      </c>
      <c r="G1961">
        <v>3</v>
      </c>
      <c r="H1961">
        <v>194</v>
      </c>
      <c r="I1961">
        <v>0</v>
      </c>
      <c r="J1961">
        <v>0</v>
      </c>
      <c r="K1961">
        <v>241.63728</v>
      </c>
      <c r="L1961">
        <v>9.0003900000000101</v>
      </c>
      <c r="M1961">
        <v>172.43697217565</v>
      </c>
      <c r="N1961">
        <v>0</v>
      </c>
      <c r="O1961" s="8" t="str">
        <f>formatIP(Table1[[#This Row],[Address A]])</f>
        <v>192.168.100.002</v>
      </c>
      <c r="P1961" s="8" t="str">
        <f>formatIP(Table1[[#This Row],[Address B]])</f>
        <v>111.221.077.153</v>
      </c>
      <c r="Q1961" s="8" t="e">
        <f>VLOOKUP(Table1[[#This Row],[Address A]],IP_Master[],4,FALSE)</f>
        <v>#N/A</v>
      </c>
      <c r="R1961" s="8" t="e">
        <f>VLOOKUP(Table1[[#This Row],[Address B]],IP_Master[],4,FALSE)</f>
        <v>#N/A</v>
      </c>
      <c r="S1961" s="8" t="e">
        <f>VLOOKUP(Table1[[#This Row],[Address A]],IP_Master[],2,FALSE)</f>
        <v>#N/A</v>
      </c>
      <c r="T1961" s="8" t="e">
        <f>VLOOKUP(Table1[[#This Row],[Address B]],IP_Master[],2,FALSE)</f>
        <v>#N/A</v>
      </c>
      <c r="U1961" s="9" t="e">
        <f>VLOOKUP(Table1[[#This Row],[Address A]],IP_Master[],3,FALSE)</f>
        <v>#N/A</v>
      </c>
      <c r="V1961" s="9" t="e">
        <f>VLOOKUP(Table1[[#This Row],[Address B]],IP_Master[],3,FALSE)</f>
        <v>#N/A</v>
      </c>
      <c r="W1961" s="9" t="str">
        <f>VLOOKUP(Table1[[#This Row],[Port B]],traffic_types[],2,FALSE)</f>
        <v>HTTP</v>
      </c>
    </row>
    <row r="1962" spans="1:23" x14ac:dyDescent="0.6">
      <c r="A1962" t="s">
        <v>224</v>
      </c>
      <c r="B1962">
        <v>60077</v>
      </c>
      <c r="C1962" t="s">
        <v>304</v>
      </c>
      <c r="D1962">
        <v>443</v>
      </c>
      <c r="E1962">
        <v>3</v>
      </c>
      <c r="F1962">
        <v>194</v>
      </c>
      <c r="G1962">
        <v>3</v>
      </c>
      <c r="H1962">
        <v>194</v>
      </c>
      <c r="I1962">
        <v>0</v>
      </c>
      <c r="J1962">
        <v>0</v>
      </c>
      <c r="K1962">
        <v>242.07744700000001</v>
      </c>
      <c r="L1962">
        <v>9.0004480000000093</v>
      </c>
      <c r="M1962">
        <v>172.435860970476</v>
      </c>
      <c r="N1962">
        <v>0</v>
      </c>
      <c r="O1962" s="8" t="str">
        <f>formatIP(Table1[[#This Row],[Address A]])</f>
        <v>192.168.100.002</v>
      </c>
      <c r="P1962" s="8" t="str">
        <f>formatIP(Table1[[#This Row],[Address B]])</f>
        <v>111.221.077.150</v>
      </c>
      <c r="Q1962" s="8" t="e">
        <f>VLOOKUP(Table1[[#This Row],[Address A]],IP_Master[],4,FALSE)</f>
        <v>#N/A</v>
      </c>
      <c r="R1962" s="8" t="e">
        <f>VLOOKUP(Table1[[#This Row],[Address B]],IP_Master[],4,FALSE)</f>
        <v>#N/A</v>
      </c>
      <c r="S1962" s="8" t="e">
        <f>VLOOKUP(Table1[[#This Row],[Address A]],IP_Master[],2,FALSE)</f>
        <v>#N/A</v>
      </c>
      <c r="T1962" s="8" t="e">
        <f>VLOOKUP(Table1[[#This Row],[Address B]],IP_Master[],2,FALSE)</f>
        <v>#N/A</v>
      </c>
      <c r="U1962" s="9" t="e">
        <f>VLOOKUP(Table1[[#This Row],[Address A]],IP_Master[],3,FALSE)</f>
        <v>#N/A</v>
      </c>
      <c r="V1962" s="9" t="e">
        <f>VLOOKUP(Table1[[#This Row],[Address B]],IP_Master[],3,FALSE)</f>
        <v>#N/A</v>
      </c>
      <c r="W1962" s="9" t="str">
        <f>VLOOKUP(Table1[[#This Row],[Port B]],traffic_types[],2,FALSE)</f>
        <v>HTTP/S</v>
      </c>
    </row>
    <row r="1963" spans="1:23" x14ac:dyDescent="0.6">
      <c r="A1963" t="s">
        <v>224</v>
      </c>
      <c r="B1963">
        <v>60078</v>
      </c>
      <c r="C1963" t="s">
        <v>303</v>
      </c>
      <c r="D1963">
        <v>80</v>
      </c>
      <c r="E1963">
        <v>3</v>
      </c>
      <c r="F1963">
        <v>194</v>
      </c>
      <c r="G1963">
        <v>3</v>
      </c>
      <c r="H1963">
        <v>194</v>
      </c>
      <c r="I1963">
        <v>0</v>
      </c>
      <c r="J1963">
        <v>0</v>
      </c>
      <c r="K1963">
        <v>242.65731600000001</v>
      </c>
      <c r="L1963">
        <v>9.0025369999999896</v>
      </c>
      <c r="M1963">
        <v>172.39584797041101</v>
      </c>
      <c r="N1963">
        <v>0</v>
      </c>
      <c r="O1963" s="8" t="str">
        <f>formatIP(Table1[[#This Row],[Address A]])</f>
        <v>192.168.100.002</v>
      </c>
      <c r="P1963" s="8" t="str">
        <f>formatIP(Table1[[#This Row],[Address B]])</f>
        <v>157.056.052.014</v>
      </c>
      <c r="Q1963" s="8" t="e">
        <f>VLOOKUP(Table1[[#This Row],[Address A]],IP_Master[],4,FALSE)</f>
        <v>#N/A</v>
      </c>
      <c r="R1963" s="8" t="e">
        <f>VLOOKUP(Table1[[#This Row],[Address B]],IP_Master[],4,FALSE)</f>
        <v>#N/A</v>
      </c>
      <c r="S1963" s="8" t="e">
        <f>VLOOKUP(Table1[[#This Row],[Address A]],IP_Master[],2,FALSE)</f>
        <v>#N/A</v>
      </c>
      <c r="T1963" s="8" t="e">
        <f>VLOOKUP(Table1[[#This Row],[Address B]],IP_Master[],2,FALSE)</f>
        <v>#N/A</v>
      </c>
      <c r="U1963" s="9" t="e">
        <f>VLOOKUP(Table1[[#This Row],[Address A]],IP_Master[],3,FALSE)</f>
        <v>#N/A</v>
      </c>
      <c r="V1963" s="9" t="e">
        <f>VLOOKUP(Table1[[#This Row],[Address B]],IP_Master[],3,FALSE)</f>
        <v>#N/A</v>
      </c>
      <c r="W1963" s="9" t="str">
        <f>VLOOKUP(Table1[[#This Row],[Port B]],traffic_types[],2,FALSE)</f>
        <v>HTTP</v>
      </c>
    </row>
    <row r="1964" spans="1:23" x14ac:dyDescent="0.6">
      <c r="A1964" t="s">
        <v>224</v>
      </c>
      <c r="B1964">
        <v>60079</v>
      </c>
      <c r="C1964" t="s">
        <v>304</v>
      </c>
      <c r="D1964">
        <v>80</v>
      </c>
      <c r="E1964">
        <v>3</v>
      </c>
      <c r="F1964">
        <v>194</v>
      </c>
      <c r="G1964">
        <v>3</v>
      </c>
      <c r="H1964">
        <v>194</v>
      </c>
      <c r="I1964">
        <v>0</v>
      </c>
      <c r="J1964">
        <v>0</v>
      </c>
      <c r="K1964">
        <v>243.68742399999999</v>
      </c>
      <c r="L1964">
        <v>9.0302410000000197</v>
      </c>
      <c r="M1964">
        <v>171.86695238809199</v>
      </c>
      <c r="N1964">
        <v>0</v>
      </c>
      <c r="O1964" s="8" t="str">
        <f>formatIP(Table1[[#This Row],[Address A]])</f>
        <v>192.168.100.002</v>
      </c>
      <c r="P1964" s="8" t="str">
        <f>formatIP(Table1[[#This Row],[Address B]])</f>
        <v>111.221.077.150</v>
      </c>
      <c r="Q1964" s="8" t="e">
        <f>VLOOKUP(Table1[[#This Row],[Address A]],IP_Master[],4,FALSE)</f>
        <v>#N/A</v>
      </c>
      <c r="R1964" s="8" t="e">
        <f>VLOOKUP(Table1[[#This Row],[Address B]],IP_Master[],4,FALSE)</f>
        <v>#N/A</v>
      </c>
      <c r="S1964" s="8" t="e">
        <f>VLOOKUP(Table1[[#This Row],[Address A]],IP_Master[],2,FALSE)</f>
        <v>#N/A</v>
      </c>
      <c r="T1964" s="8" t="e">
        <f>VLOOKUP(Table1[[#This Row],[Address B]],IP_Master[],2,FALSE)</f>
        <v>#N/A</v>
      </c>
      <c r="U1964" s="9" t="e">
        <f>VLOOKUP(Table1[[#This Row],[Address A]],IP_Master[],3,FALSE)</f>
        <v>#N/A</v>
      </c>
      <c r="V1964" s="9" t="e">
        <f>VLOOKUP(Table1[[#This Row],[Address B]],IP_Master[],3,FALSE)</f>
        <v>#N/A</v>
      </c>
      <c r="W1964" s="9" t="str">
        <f>VLOOKUP(Table1[[#This Row],[Port B]],traffic_types[],2,FALSE)</f>
        <v>HTTP</v>
      </c>
    </row>
    <row r="1965" spans="1:23" x14ac:dyDescent="0.6">
      <c r="A1965" t="s">
        <v>224</v>
      </c>
      <c r="B1965">
        <v>60080</v>
      </c>
      <c r="C1965" t="s">
        <v>245</v>
      </c>
      <c r="D1965">
        <v>443</v>
      </c>
      <c r="E1965">
        <v>3</v>
      </c>
      <c r="F1965">
        <v>194</v>
      </c>
      <c r="G1965">
        <v>3</v>
      </c>
      <c r="H1965">
        <v>194</v>
      </c>
      <c r="I1965">
        <v>0</v>
      </c>
      <c r="J1965">
        <v>0</v>
      </c>
      <c r="K1965">
        <v>250.76113699999999</v>
      </c>
      <c r="L1965">
        <v>9.0011750000000195</v>
      </c>
      <c r="M1965">
        <v>172.42193380308601</v>
      </c>
      <c r="N1965">
        <v>0</v>
      </c>
      <c r="O1965" s="8" t="str">
        <f>formatIP(Table1[[#This Row],[Address A]])</f>
        <v>192.168.100.002</v>
      </c>
      <c r="P1965" s="8" t="str">
        <f>formatIP(Table1[[#This Row],[Address B]])</f>
        <v>085.025.103.030</v>
      </c>
      <c r="Q1965" s="8" t="e">
        <f>VLOOKUP(Table1[[#This Row],[Address A]],IP_Master[],4,FALSE)</f>
        <v>#N/A</v>
      </c>
      <c r="R1965" s="8" t="e">
        <f>VLOOKUP(Table1[[#This Row],[Address B]],IP_Master[],4,FALSE)</f>
        <v>#N/A</v>
      </c>
      <c r="S1965" s="8" t="e">
        <f>VLOOKUP(Table1[[#This Row],[Address A]],IP_Master[],2,FALSE)</f>
        <v>#N/A</v>
      </c>
      <c r="T1965" s="8" t="e">
        <f>VLOOKUP(Table1[[#This Row],[Address B]],IP_Master[],2,FALSE)</f>
        <v>#N/A</v>
      </c>
      <c r="U1965" s="9" t="e">
        <f>VLOOKUP(Table1[[#This Row],[Address A]],IP_Master[],3,FALSE)</f>
        <v>#N/A</v>
      </c>
      <c r="V1965" s="9" t="e">
        <f>VLOOKUP(Table1[[#This Row],[Address B]],IP_Master[],3,FALSE)</f>
        <v>#N/A</v>
      </c>
      <c r="W1965" s="9" t="str">
        <f>VLOOKUP(Table1[[#This Row],[Port B]],traffic_types[],2,FALSE)</f>
        <v>HTTP/S</v>
      </c>
    </row>
    <row r="1966" spans="1:23" x14ac:dyDescent="0.6">
      <c r="A1966" t="s">
        <v>224</v>
      </c>
      <c r="B1966">
        <v>60081</v>
      </c>
      <c r="C1966" t="s">
        <v>245</v>
      </c>
      <c r="D1966">
        <v>80</v>
      </c>
      <c r="E1966">
        <v>3</v>
      </c>
      <c r="F1966">
        <v>194</v>
      </c>
      <c r="G1966">
        <v>3</v>
      </c>
      <c r="H1966">
        <v>194</v>
      </c>
      <c r="I1966">
        <v>0</v>
      </c>
      <c r="J1966">
        <v>0</v>
      </c>
      <c r="K1966">
        <v>252.76109299999999</v>
      </c>
      <c r="L1966">
        <v>9.0012660000000206</v>
      </c>
      <c r="M1966">
        <v>172.420190670956</v>
      </c>
      <c r="N1966">
        <v>0</v>
      </c>
      <c r="O1966" s="8" t="str">
        <f>formatIP(Table1[[#This Row],[Address A]])</f>
        <v>192.168.100.002</v>
      </c>
      <c r="P1966" s="8" t="str">
        <f>formatIP(Table1[[#This Row],[Address B]])</f>
        <v>085.025.103.030</v>
      </c>
      <c r="Q1966" s="8" t="e">
        <f>VLOOKUP(Table1[[#This Row],[Address A]],IP_Master[],4,FALSE)</f>
        <v>#N/A</v>
      </c>
      <c r="R1966" s="8" t="e">
        <f>VLOOKUP(Table1[[#This Row],[Address B]],IP_Master[],4,FALSE)</f>
        <v>#N/A</v>
      </c>
      <c r="S1966" s="8" t="e">
        <f>VLOOKUP(Table1[[#This Row],[Address A]],IP_Master[],2,FALSE)</f>
        <v>#N/A</v>
      </c>
      <c r="T1966" s="8" t="e">
        <f>VLOOKUP(Table1[[#This Row],[Address B]],IP_Master[],2,FALSE)</f>
        <v>#N/A</v>
      </c>
      <c r="U1966" s="9" t="e">
        <f>VLOOKUP(Table1[[#This Row],[Address A]],IP_Master[],3,FALSE)</f>
        <v>#N/A</v>
      </c>
      <c r="V1966" s="9" t="e">
        <f>VLOOKUP(Table1[[#This Row],[Address B]],IP_Master[],3,FALSE)</f>
        <v>#N/A</v>
      </c>
      <c r="W1966" s="9" t="str">
        <f>VLOOKUP(Table1[[#This Row],[Port B]],traffic_types[],2,FALSE)</f>
        <v>HTTP</v>
      </c>
    </row>
    <row r="1967" spans="1:23" hidden="1" x14ac:dyDescent="0.6">
      <c r="A1967" t="s">
        <v>224</v>
      </c>
      <c r="B1967">
        <v>60082</v>
      </c>
      <c r="C1967" t="s">
        <v>305</v>
      </c>
      <c r="D1967">
        <v>12350</v>
      </c>
      <c r="E1967">
        <v>3</v>
      </c>
      <c r="F1967">
        <v>194</v>
      </c>
      <c r="G1967">
        <v>3</v>
      </c>
      <c r="H1967">
        <v>194</v>
      </c>
      <c r="I1967">
        <v>0</v>
      </c>
      <c r="J1967">
        <v>0</v>
      </c>
      <c r="K1967">
        <v>287.79367400000001</v>
      </c>
      <c r="L1967">
        <v>9.0000069999999806</v>
      </c>
      <c r="M1967">
        <v>172.44431032109199</v>
      </c>
      <c r="N1967">
        <v>0</v>
      </c>
      <c r="O1967" s="8" t="str">
        <f>formatIP(Table1[[#This Row],[Address A]])</f>
        <v>192.168.100.002</v>
      </c>
      <c r="P1967" s="8" t="str">
        <f>formatIP(Table1[[#This Row],[Address B]])</f>
        <v>091.190.218.059</v>
      </c>
      <c r="Q1967" s="8" t="e">
        <f>VLOOKUP(Table1[[#This Row],[Address A]],IP_Master[],4,FALSE)</f>
        <v>#N/A</v>
      </c>
      <c r="R1967" s="8" t="e">
        <f>VLOOKUP(Table1[[#This Row],[Address B]],IP_Master[],4,FALSE)</f>
        <v>#N/A</v>
      </c>
      <c r="S1967" s="8" t="e">
        <f>VLOOKUP(Table1[[#This Row],[Address A]],IP_Master[],2,FALSE)</f>
        <v>#N/A</v>
      </c>
      <c r="T1967" s="8" t="e">
        <f>VLOOKUP(Table1[[#This Row],[Address B]],IP_Master[],2,FALSE)</f>
        <v>#N/A</v>
      </c>
      <c r="U1967" s="9" t="e">
        <f>VLOOKUP(Table1[[#This Row],[Address A]],IP_Master[],3,FALSE)</f>
        <v>#N/A</v>
      </c>
      <c r="V1967" s="9" t="e">
        <f>VLOOKUP(Table1[[#This Row],[Address B]],IP_Master[],3,FALSE)</f>
        <v>#N/A</v>
      </c>
      <c r="W1967" s="9" t="e">
        <f>VLOOKUP(Table1[[#This Row],[Port B]],traffic_types[],2,FALSE)</f>
        <v>#N/A</v>
      </c>
    </row>
    <row r="1968" spans="1:23" x14ac:dyDescent="0.6">
      <c r="A1968" t="s">
        <v>224</v>
      </c>
      <c r="B1968">
        <v>60083</v>
      </c>
      <c r="C1968" t="s">
        <v>305</v>
      </c>
      <c r="D1968">
        <v>443</v>
      </c>
      <c r="E1968">
        <v>3</v>
      </c>
      <c r="F1968">
        <v>194</v>
      </c>
      <c r="G1968">
        <v>3</v>
      </c>
      <c r="H1968">
        <v>194</v>
      </c>
      <c r="I1968">
        <v>0</v>
      </c>
      <c r="J1968">
        <v>0</v>
      </c>
      <c r="K1968">
        <v>289.41313200000002</v>
      </c>
      <c r="L1968">
        <v>9.0005719999999805</v>
      </c>
      <c r="M1968">
        <v>172.433485338488</v>
      </c>
      <c r="N1968">
        <v>0</v>
      </c>
      <c r="O1968" s="8" t="str">
        <f>formatIP(Table1[[#This Row],[Address A]])</f>
        <v>192.168.100.002</v>
      </c>
      <c r="P1968" s="8" t="str">
        <f>formatIP(Table1[[#This Row],[Address B]])</f>
        <v>091.190.218.059</v>
      </c>
      <c r="Q1968" s="8" t="e">
        <f>VLOOKUP(Table1[[#This Row],[Address A]],IP_Master[],4,FALSE)</f>
        <v>#N/A</v>
      </c>
      <c r="R1968" s="8" t="e">
        <f>VLOOKUP(Table1[[#This Row],[Address B]],IP_Master[],4,FALSE)</f>
        <v>#N/A</v>
      </c>
      <c r="S1968" s="8" t="e">
        <f>VLOOKUP(Table1[[#This Row],[Address A]],IP_Master[],2,FALSE)</f>
        <v>#N/A</v>
      </c>
      <c r="T1968" s="8" t="e">
        <f>VLOOKUP(Table1[[#This Row],[Address B]],IP_Master[],2,FALSE)</f>
        <v>#N/A</v>
      </c>
      <c r="U1968" s="9" t="e">
        <f>VLOOKUP(Table1[[#This Row],[Address A]],IP_Master[],3,FALSE)</f>
        <v>#N/A</v>
      </c>
      <c r="V1968" s="9" t="e">
        <f>VLOOKUP(Table1[[#This Row],[Address B]],IP_Master[],3,FALSE)</f>
        <v>#N/A</v>
      </c>
      <c r="W1968" s="9" t="str">
        <f>VLOOKUP(Table1[[#This Row],[Port B]],traffic_types[],2,FALSE)</f>
        <v>HTTP/S</v>
      </c>
    </row>
    <row r="1969" spans="1:23" x14ac:dyDescent="0.6">
      <c r="A1969" t="s">
        <v>224</v>
      </c>
      <c r="B1969">
        <v>60084</v>
      </c>
      <c r="C1969" t="s">
        <v>305</v>
      </c>
      <c r="D1969">
        <v>80</v>
      </c>
      <c r="E1969">
        <v>3</v>
      </c>
      <c r="F1969">
        <v>194</v>
      </c>
      <c r="G1969">
        <v>3</v>
      </c>
      <c r="H1969">
        <v>194</v>
      </c>
      <c r="I1969">
        <v>0</v>
      </c>
      <c r="J1969">
        <v>0</v>
      </c>
      <c r="K1969">
        <v>291.03304400000002</v>
      </c>
      <c r="L1969">
        <v>9.0005539999999709</v>
      </c>
      <c r="M1969">
        <v>172.43383018423199</v>
      </c>
      <c r="N1969">
        <v>0</v>
      </c>
      <c r="O1969" s="8" t="str">
        <f>formatIP(Table1[[#This Row],[Address A]])</f>
        <v>192.168.100.002</v>
      </c>
      <c r="P1969" s="8" t="str">
        <f>formatIP(Table1[[#This Row],[Address B]])</f>
        <v>091.190.218.059</v>
      </c>
      <c r="Q1969" s="8" t="e">
        <f>VLOOKUP(Table1[[#This Row],[Address A]],IP_Master[],4,FALSE)</f>
        <v>#N/A</v>
      </c>
      <c r="R1969" s="8" t="e">
        <f>VLOOKUP(Table1[[#This Row],[Address B]],IP_Master[],4,FALSE)</f>
        <v>#N/A</v>
      </c>
      <c r="S1969" s="8" t="e">
        <f>VLOOKUP(Table1[[#This Row],[Address A]],IP_Master[],2,FALSE)</f>
        <v>#N/A</v>
      </c>
      <c r="T1969" s="8" t="e">
        <f>VLOOKUP(Table1[[#This Row],[Address B]],IP_Master[],2,FALSE)</f>
        <v>#N/A</v>
      </c>
      <c r="U1969" s="9" t="e">
        <f>VLOOKUP(Table1[[#This Row],[Address A]],IP_Master[],3,FALSE)</f>
        <v>#N/A</v>
      </c>
      <c r="V1969" s="9" t="e">
        <f>VLOOKUP(Table1[[#This Row],[Address B]],IP_Master[],3,FALSE)</f>
        <v>#N/A</v>
      </c>
      <c r="W1969" s="9" t="str">
        <f>VLOOKUP(Table1[[#This Row],[Port B]],traffic_types[],2,FALSE)</f>
        <v>HTTP</v>
      </c>
    </row>
    <row r="1970" spans="1:23" x14ac:dyDescent="0.6">
      <c r="A1970" t="s">
        <v>224</v>
      </c>
      <c r="B1970">
        <v>60085</v>
      </c>
      <c r="C1970" t="s">
        <v>232</v>
      </c>
      <c r="D1970">
        <v>443</v>
      </c>
      <c r="E1970">
        <v>3</v>
      </c>
      <c r="F1970">
        <v>194</v>
      </c>
      <c r="G1970">
        <v>3</v>
      </c>
      <c r="H1970">
        <v>194</v>
      </c>
      <c r="I1970">
        <v>0</v>
      </c>
      <c r="J1970">
        <v>0</v>
      </c>
      <c r="K1970">
        <v>312.50470200000001</v>
      </c>
      <c r="L1970">
        <v>8.9908140000000003</v>
      </c>
      <c r="M1970">
        <v>172.62063257008799</v>
      </c>
      <c r="N1970">
        <v>0</v>
      </c>
      <c r="O1970" s="8" t="str">
        <f>formatIP(Table1[[#This Row],[Address A]])</f>
        <v>192.168.100.002</v>
      </c>
      <c r="P1970" s="8" t="str">
        <f>formatIP(Table1[[#This Row],[Address B]])</f>
        <v>103.043.075.140</v>
      </c>
      <c r="Q1970" s="8" t="e">
        <f>VLOOKUP(Table1[[#This Row],[Address A]],IP_Master[],4,FALSE)</f>
        <v>#N/A</v>
      </c>
      <c r="R1970" s="8" t="e">
        <f>VLOOKUP(Table1[[#This Row],[Address B]],IP_Master[],4,FALSE)</f>
        <v>#N/A</v>
      </c>
      <c r="S1970" s="8" t="e">
        <f>VLOOKUP(Table1[[#This Row],[Address A]],IP_Master[],2,FALSE)</f>
        <v>#N/A</v>
      </c>
      <c r="T1970" s="8" t="e">
        <f>VLOOKUP(Table1[[#This Row],[Address B]],IP_Master[],2,FALSE)</f>
        <v>#N/A</v>
      </c>
      <c r="U1970" s="9" t="e">
        <f>VLOOKUP(Table1[[#This Row],[Address A]],IP_Master[],3,FALSE)</f>
        <v>#N/A</v>
      </c>
      <c r="V1970" s="9" t="e">
        <f>VLOOKUP(Table1[[#This Row],[Address B]],IP_Master[],3,FALSE)</f>
        <v>#N/A</v>
      </c>
      <c r="W1970" s="9" t="str">
        <f>VLOOKUP(Table1[[#This Row],[Port B]],traffic_types[],2,FALSE)</f>
        <v>HTTP/S</v>
      </c>
    </row>
    <row r="1971" spans="1:23" x14ac:dyDescent="0.6">
      <c r="A1971" t="s">
        <v>224</v>
      </c>
      <c r="B1971">
        <v>60086</v>
      </c>
      <c r="C1971" t="s">
        <v>232</v>
      </c>
      <c r="D1971">
        <v>80</v>
      </c>
      <c r="E1971">
        <v>3</v>
      </c>
      <c r="F1971">
        <v>194</v>
      </c>
      <c r="G1971">
        <v>3</v>
      </c>
      <c r="H1971">
        <v>194</v>
      </c>
      <c r="I1971">
        <v>0</v>
      </c>
      <c r="J1971">
        <v>0</v>
      </c>
      <c r="K1971">
        <v>314.49585200000001</v>
      </c>
      <c r="L1971">
        <v>9.0096830000000008</v>
      </c>
      <c r="M1971">
        <v>172.25911277899601</v>
      </c>
      <c r="N1971">
        <v>0</v>
      </c>
      <c r="O1971" s="8" t="str">
        <f>formatIP(Table1[[#This Row],[Address A]])</f>
        <v>192.168.100.002</v>
      </c>
      <c r="P1971" s="8" t="str">
        <f>formatIP(Table1[[#This Row],[Address B]])</f>
        <v>103.043.075.140</v>
      </c>
      <c r="Q1971" s="8" t="e">
        <f>VLOOKUP(Table1[[#This Row],[Address A]],IP_Master[],4,FALSE)</f>
        <v>#N/A</v>
      </c>
      <c r="R1971" s="8" t="e">
        <f>VLOOKUP(Table1[[#This Row],[Address B]],IP_Master[],4,FALSE)</f>
        <v>#N/A</v>
      </c>
      <c r="S1971" s="8" t="e">
        <f>VLOOKUP(Table1[[#This Row],[Address A]],IP_Master[],2,FALSE)</f>
        <v>#N/A</v>
      </c>
      <c r="T1971" s="8" t="e">
        <f>VLOOKUP(Table1[[#This Row],[Address B]],IP_Master[],2,FALSE)</f>
        <v>#N/A</v>
      </c>
      <c r="U1971" s="9" t="e">
        <f>VLOOKUP(Table1[[#This Row],[Address A]],IP_Master[],3,FALSE)</f>
        <v>#N/A</v>
      </c>
      <c r="V1971" s="9" t="e">
        <f>VLOOKUP(Table1[[#This Row],[Address B]],IP_Master[],3,FALSE)</f>
        <v>#N/A</v>
      </c>
      <c r="W1971" s="9" t="str">
        <f>VLOOKUP(Table1[[#This Row],[Port B]],traffic_types[],2,FALSE)</f>
        <v>HTTP</v>
      </c>
    </row>
    <row r="1972" spans="1:23" x14ac:dyDescent="0.6">
      <c r="A1972" t="s">
        <v>224</v>
      </c>
      <c r="B1972">
        <v>60087</v>
      </c>
      <c r="C1972" t="s">
        <v>241</v>
      </c>
      <c r="D1972">
        <v>443</v>
      </c>
      <c r="E1972">
        <v>3</v>
      </c>
      <c r="F1972">
        <v>194</v>
      </c>
      <c r="G1972">
        <v>3</v>
      </c>
      <c r="H1972">
        <v>194</v>
      </c>
      <c r="I1972">
        <v>0</v>
      </c>
      <c r="J1972">
        <v>0</v>
      </c>
      <c r="K1972">
        <v>328.527672</v>
      </c>
      <c r="L1972">
        <v>8.9997180000000299</v>
      </c>
      <c r="M1972">
        <v>172.44984787301101</v>
      </c>
      <c r="N1972">
        <v>0</v>
      </c>
      <c r="O1972" s="8" t="str">
        <f>formatIP(Table1[[#This Row],[Address A]])</f>
        <v>192.168.100.002</v>
      </c>
      <c r="P1972" s="8" t="str">
        <f>formatIP(Table1[[#This Row],[Address B]])</f>
        <v>078.046.049.023</v>
      </c>
      <c r="Q1972" s="8" t="e">
        <f>VLOOKUP(Table1[[#This Row],[Address A]],IP_Master[],4,FALSE)</f>
        <v>#N/A</v>
      </c>
      <c r="R1972" s="8" t="e">
        <f>VLOOKUP(Table1[[#This Row],[Address B]],IP_Master[],4,FALSE)</f>
        <v>#N/A</v>
      </c>
      <c r="S1972" s="8" t="e">
        <f>VLOOKUP(Table1[[#This Row],[Address A]],IP_Master[],2,FALSE)</f>
        <v>#N/A</v>
      </c>
      <c r="T1972" s="8" t="e">
        <f>VLOOKUP(Table1[[#This Row],[Address B]],IP_Master[],2,FALSE)</f>
        <v>#N/A</v>
      </c>
      <c r="U1972" s="9" t="e">
        <f>VLOOKUP(Table1[[#This Row],[Address A]],IP_Master[],3,FALSE)</f>
        <v>#N/A</v>
      </c>
      <c r="V1972" s="9" t="e">
        <f>VLOOKUP(Table1[[#This Row],[Address B]],IP_Master[],3,FALSE)</f>
        <v>#N/A</v>
      </c>
      <c r="W1972" s="9" t="str">
        <f>VLOOKUP(Table1[[#This Row],[Port B]],traffic_types[],2,FALSE)</f>
        <v>HTTP/S</v>
      </c>
    </row>
    <row r="1973" spans="1:23" x14ac:dyDescent="0.6">
      <c r="A1973" t="s">
        <v>224</v>
      </c>
      <c r="B1973">
        <v>60088</v>
      </c>
      <c r="C1973" t="s">
        <v>241</v>
      </c>
      <c r="D1973">
        <v>80</v>
      </c>
      <c r="E1973">
        <v>3</v>
      </c>
      <c r="F1973">
        <v>194</v>
      </c>
      <c r="G1973">
        <v>3</v>
      </c>
      <c r="H1973">
        <v>194</v>
      </c>
      <c r="I1973">
        <v>0</v>
      </c>
      <c r="J1973">
        <v>0</v>
      </c>
      <c r="K1973">
        <v>330.52778499999999</v>
      </c>
      <c r="L1973">
        <v>8.9990389999999802</v>
      </c>
      <c r="M1973">
        <v>172.46285964534701</v>
      </c>
      <c r="N1973">
        <v>0</v>
      </c>
      <c r="O1973" s="8" t="str">
        <f>formatIP(Table1[[#This Row],[Address A]])</f>
        <v>192.168.100.002</v>
      </c>
      <c r="P1973" s="8" t="str">
        <f>formatIP(Table1[[#This Row],[Address B]])</f>
        <v>078.046.049.023</v>
      </c>
      <c r="Q1973" s="8" t="e">
        <f>VLOOKUP(Table1[[#This Row],[Address A]],IP_Master[],4,FALSE)</f>
        <v>#N/A</v>
      </c>
      <c r="R1973" s="8" t="e">
        <f>VLOOKUP(Table1[[#This Row],[Address B]],IP_Master[],4,FALSE)</f>
        <v>#N/A</v>
      </c>
      <c r="S1973" s="8" t="e">
        <f>VLOOKUP(Table1[[#This Row],[Address A]],IP_Master[],2,FALSE)</f>
        <v>#N/A</v>
      </c>
      <c r="T1973" s="8" t="e">
        <f>VLOOKUP(Table1[[#This Row],[Address B]],IP_Master[],2,FALSE)</f>
        <v>#N/A</v>
      </c>
      <c r="U1973" s="9" t="e">
        <f>VLOOKUP(Table1[[#This Row],[Address A]],IP_Master[],3,FALSE)</f>
        <v>#N/A</v>
      </c>
      <c r="V1973" s="9" t="e">
        <f>VLOOKUP(Table1[[#This Row],[Address B]],IP_Master[],3,FALSE)</f>
        <v>#N/A</v>
      </c>
      <c r="W1973" s="9" t="str">
        <f>VLOOKUP(Table1[[#This Row],[Port B]],traffic_types[],2,FALSE)</f>
        <v>HTTP</v>
      </c>
    </row>
    <row r="1974" spans="1:23" hidden="1" x14ac:dyDescent="0.6">
      <c r="A1974" t="s">
        <v>224</v>
      </c>
      <c r="B1974">
        <v>60089</v>
      </c>
      <c r="C1974" t="s">
        <v>306</v>
      </c>
      <c r="D1974">
        <v>33033</v>
      </c>
      <c r="E1974">
        <v>3</v>
      </c>
      <c r="F1974">
        <v>194</v>
      </c>
      <c r="G1974">
        <v>3</v>
      </c>
      <c r="H1974">
        <v>194</v>
      </c>
      <c r="I1974">
        <v>0</v>
      </c>
      <c r="J1974">
        <v>0</v>
      </c>
      <c r="K1974">
        <v>332.85863499999999</v>
      </c>
      <c r="L1974">
        <v>8.9988660000000191</v>
      </c>
      <c r="M1974">
        <v>172.46617518251699</v>
      </c>
      <c r="N1974">
        <v>0</v>
      </c>
      <c r="O1974" s="8" t="str">
        <f>formatIP(Table1[[#This Row],[Address A]])</f>
        <v>192.168.100.002</v>
      </c>
      <c r="P1974" s="8" t="str">
        <f>formatIP(Table1[[#This Row],[Address B]])</f>
        <v>111.221.077.146</v>
      </c>
      <c r="Q1974" s="8" t="e">
        <f>VLOOKUP(Table1[[#This Row],[Address A]],IP_Master[],4,FALSE)</f>
        <v>#N/A</v>
      </c>
      <c r="R1974" s="8" t="e">
        <f>VLOOKUP(Table1[[#This Row],[Address B]],IP_Master[],4,FALSE)</f>
        <v>#N/A</v>
      </c>
      <c r="S1974" s="8" t="e">
        <f>VLOOKUP(Table1[[#This Row],[Address A]],IP_Master[],2,FALSE)</f>
        <v>#N/A</v>
      </c>
      <c r="T1974" s="8" t="e">
        <f>VLOOKUP(Table1[[#This Row],[Address B]],IP_Master[],2,FALSE)</f>
        <v>#N/A</v>
      </c>
      <c r="U1974" s="9" t="e">
        <f>VLOOKUP(Table1[[#This Row],[Address A]],IP_Master[],3,FALSE)</f>
        <v>#N/A</v>
      </c>
      <c r="V1974" s="9" t="e">
        <f>VLOOKUP(Table1[[#This Row],[Address B]],IP_Master[],3,FALSE)</f>
        <v>#N/A</v>
      </c>
      <c r="W1974" s="9" t="e">
        <f>VLOOKUP(Table1[[#This Row],[Port B]],traffic_types[],2,FALSE)</f>
        <v>#N/A</v>
      </c>
    </row>
    <row r="1975" spans="1:23" x14ac:dyDescent="0.6">
      <c r="A1975" t="s">
        <v>224</v>
      </c>
      <c r="B1975">
        <v>60090</v>
      </c>
      <c r="C1975" t="s">
        <v>306</v>
      </c>
      <c r="D1975">
        <v>443</v>
      </c>
      <c r="E1975">
        <v>3</v>
      </c>
      <c r="F1975">
        <v>194</v>
      </c>
      <c r="G1975">
        <v>3</v>
      </c>
      <c r="H1975">
        <v>194</v>
      </c>
      <c r="I1975">
        <v>0</v>
      </c>
      <c r="J1975">
        <v>0</v>
      </c>
      <c r="K1975">
        <v>334.47788700000001</v>
      </c>
      <c r="L1975">
        <v>8.9995339999999793</v>
      </c>
      <c r="M1975">
        <v>172.453373696905</v>
      </c>
      <c r="N1975">
        <v>0</v>
      </c>
      <c r="O1975" s="8" t="str">
        <f>formatIP(Table1[[#This Row],[Address A]])</f>
        <v>192.168.100.002</v>
      </c>
      <c r="P1975" s="8" t="str">
        <f>formatIP(Table1[[#This Row],[Address B]])</f>
        <v>111.221.077.146</v>
      </c>
      <c r="Q1975" s="8" t="e">
        <f>VLOOKUP(Table1[[#This Row],[Address A]],IP_Master[],4,FALSE)</f>
        <v>#N/A</v>
      </c>
      <c r="R1975" s="8" t="e">
        <f>VLOOKUP(Table1[[#This Row],[Address B]],IP_Master[],4,FALSE)</f>
        <v>#N/A</v>
      </c>
      <c r="S1975" s="8" t="e">
        <f>VLOOKUP(Table1[[#This Row],[Address A]],IP_Master[],2,FALSE)</f>
        <v>#N/A</v>
      </c>
      <c r="T1975" s="8" t="e">
        <f>VLOOKUP(Table1[[#This Row],[Address B]],IP_Master[],2,FALSE)</f>
        <v>#N/A</v>
      </c>
      <c r="U1975" s="9" t="e">
        <f>VLOOKUP(Table1[[#This Row],[Address A]],IP_Master[],3,FALSE)</f>
        <v>#N/A</v>
      </c>
      <c r="V1975" s="9" t="e">
        <f>VLOOKUP(Table1[[#This Row],[Address B]],IP_Master[],3,FALSE)</f>
        <v>#N/A</v>
      </c>
      <c r="W1975" s="9" t="str">
        <f>VLOOKUP(Table1[[#This Row],[Port B]],traffic_types[],2,FALSE)</f>
        <v>HTTP/S</v>
      </c>
    </row>
    <row r="1976" spans="1:23" x14ac:dyDescent="0.6">
      <c r="A1976" t="s">
        <v>224</v>
      </c>
      <c r="B1976">
        <v>60091</v>
      </c>
      <c r="C1976" t="s">
        <v>306</v>
      </c>
      <c r="D1976">
        <v>80</v>
      </c>
      <c r="E1976">
        <v>3</v>
      </c>
      <c r="F1976">
        <v>194</v>
      </c>
      <c r="G1976">
        <v>3</v>
      </c>
      <c r="H1976">
        <v>194</v>
      </c>
      <c r="I1976">
        <v>0</v>
      </c>
      <c r="J1976">
        <v>0</v>
      </c>
      <c r="K1976">
        <v>336.09790700000002</v>
      </c>
      <c r="L1976">
        <v>9.0004819999999803</v>
      </c>
      <c r="M1976">
        <v>172.43520958099799</v>
      </c>
      <c r="N1976">
        <v>0</v>
      </c>
      <c r="O1976" s="8" t="str">
        <f>formatIP(Table1[[#This Row],[Address A]])</f>
        <v>192.168.100.002</v>
      </c>
      <c r="P1976" s="8" t="str">
        <f>formatIP(Table1[[#This Row],[Address B]])</f>
        <v>111.221.077.146</v>
      </c>
      <c r="Q1976" s="8" t="e">
        <f>VLOOKUP(Table1[[#This Row],[Address A]],IP_Master[],4,FALSE)</f>
        <v>#N/A</v>
      </c>
      <c r="R1976" s="8" t="e">
        <f>VLOOKUP(Table1[[#This Row],[Address B]],IP_Master[],4,FALSE)</f>
        <v>#N/A</v>
      </c>
      <c r="S1976" s="8" t="e">
        <f>VLOOKUP(Table1[[#This Row],[Address A]],IP_Master[],2,FALSE)</f>
        <v>#N/A</v>
      </c>
      <c r="T1976" s="8" t="e">
        <f>VLOOKUP(Table1[[#This Row],[Address B]],IP_Master[],2,FALSE)</f>
        <v>#N/A</v>
      </c>
      <c r="U1976" s="9" t="e">
        <f>VLOOKUP(Table1[[#This Row],[Address A]],IP_Master[],3,FALSE)</f>
        <v>#N/A</v>
      </c>
      <c r="V1976" s="9" t="e">
        <f>VLOOKUP(Table1[[#This Row],[Address B]],IP_Master[],3,FALSE)</f>
        <v>#N/A</v>
      </c>
      <c r="W1976" s="9" t="str">
        <f>VLOOKUP(Table1[[#This Row],[Port B]],traffic_types[],2,FALSE)</f>
        <v>HTTP</v>
      </c>
    </row>
    <row r="1977" spans="1:23" x14ac:dyDescent="0.6">
      <c r="A1977" t="s">
        <v>224</v>
      </c>
      <c r="B1977">
        <v>60092</v>
      </c>
      <c r="C1977" t="s">
        <v>245</v>
      </c>
      <c r="D1977">
        <v>443</v>
      </c>
      <c r="E1977">
        <v>3</v>
      </c>
      <c r="F1977">
        <v>194</v>
      </c>
      <c r="G1977">
        <v>3</v>
      </c>
      <c r="H1977">
        <v>194</v>
      </c>
      <c r="I1977">
        <v>0</v>
      </c>
      <c r="J1977">
        <v>0</v>
      </c>
      <c r="K1977">
        <v>344.53837800000002</v>
      </c>
      <c r="L1977">
        <v>9.0056080000000005</v>
      </c>
      <c r="M1977">
        <v>172.337059307934</v>
      </c>
      <c r="N1977">
        <v>0</v>
      </c>
      <c r="O1977" s="8" t="str">
        <f>formatIP(Table1[[#This Row],[Address A]])</f>
        <v>192.168.100.002</v>
      </c>
      <c r="P1977" s="8" t="str">
        <f>formatIP(Table1[[#This Row],[Address B]])</f>
        <v>085.025.103.030</v>
      </c>
      <c r="Q1977" s="8" t="e">
        <f>VLOOKUP(Table1[[#This Row],[Address A]],IP_Master[],4,FALSE)</f>
        <v>#N/A</v>
      </c>
      <c r="R1977" s="8" t="e">
        <f>VLOOKUP(Table1[[#This Row],[Address B]],IP_Master[],4,FALSE)</f>
        <v>#N/A</v>
      </c>
      <c r="S1977" s="8" t="e">
        <f>VLOOKUP(Table1[[#This Row],[Address A]],IP_Master[],2,FALSE)</f>
        <v>#N/A</v>
      </c>
      <c r="T1977" s="8" t="e">
        <f>VLOOKUP(Table1[[#This Row],[Address B]],IP_Master[],2,FALSE)</f>
        <v>#N/A</v>
      </c>
      <c r="U1977" s="9" t="e">
        <f>VLOOKUP(Table1[[#This Row],[Address A]],IP_Master[],3,FALSE)</f>
        <v>#N/A</v>
      </c>
      <c r="V1977" s="9" t="e">
        <f>VLOOKUP(Table1[[#This Row],[Address B]],IP_Master[],3,FALSE)</f>
        <v>#N/A</v>
      </c>
      <c r="W1977" s="9" t="str">
        <f>VLOOKUP(Table1[[#This Row],[Port B]],traffic_types[],2,FALSE)</f>
        <v>HTTP/S</v>
      </c>
    </row>
    <row r="1978" spans="1:23" x14ac:dyDescent="0.6">
      <c r="A1978" t="s">
        <v>224</v>
      </c>
      <c r="B1978">
        <v>60093</v>
      </c>
      <c r="C1978" t="s">
        <v>245</v>
      </c>
      <c r="D1978">
        <v>80</v>
      </c>
      <c r="E1978">
        <v>3</v>
      </c>
      <c r="F1978">
        <v>194</v>
      </c>
      <c r="G1978">
        <v>3</v>
      </c>
      <c r="H1978">
        <v>194</v>
      </c>
      <c r="I1978">
        <v>0</v>
      </c>
      <c r="J1978">
        <v>0</v>
      </c>
      <c r="K1978">
        <v>346.53857900000003</v>
      </c>
      <c r="L1978">
        <v>9.0111309999999794</v>
      </c>
      <c r="M1978">
        <v>172.23143243617301</v>
      </c>
      <c r="N1978">
        <v>0</v>
      </c>
      <c r="O1978" s="8" t="str">
        <f>formatIP(Table1[[#This Row],[Address A]])</f>
        <v>192.168.100.002</v>
      </c>
      <c r="P1978" s="8" t="str">
        <f>formatIP(Table1[[#This Row],[Address B]])</f>
        <v>085.025.103.030</v>
      </c>
      <c r="Q1978" s="8" t="e">
        <f>VLOOKUP(Table1[[#This Row],[Address A]],IP_Master[],4,FALSE)</f>
        <v>#N/A</v>
      </c>
      <c r="R1978" s="8" t="e">
        <f>VLOOKUP(Table1[[#This Row],[Address B]],IP_Master[],4,FALSE)</f>
        <v>#N/A</v>
      </c>
      <c r="S1978" s="8" t="e">
        <f>VLOOKUP(Table1[[#This Row],[Address A]],IP_Master[],2,FALSE)</f>
        <v>#N/A</v>
      </c>
      <c r="T1978" s="8" t="e">
        <f>VLOOKUP(Table1[[#This Row],[Address B]],IP_Master[],2,FALSE)</f>
        <v>#N/A</v>
      </c>
      <c r="U1978" s="9" t="e">
        <f>VLOOKUP(Table1[[#This Row],[Address A]],IP_Master[],3,FALSE)</f>
        <v>#N/A</v>
      </c>
      <c r="V1978" s="9" t="e">
        <f>VLOOKUP(Table1[[#This Row],[Address B]],IP_Master[],3,FALSE)</f>
        <v>#N/A</v>
      </c>
      <c r="W1978" s="9" t="str">
        <f>VLOOKUP(Table1[[#This Row],[Port B]],traffic_types[],2,FALSE)</f>
        <v>HTTP</v>
      </c>
    </row>
    <row r="1979" spans="1:23" hidden="1" x14ac:dyDescent="0.6">
      <c r="A1979" t="s">
        <v>224</v>
      </c>
      <c r="B1979">
        <v>60094</v>
      </c>
      <c r="C1979" t="s">
        <v>307</v>
      </c>
      <c r="D1979">
        <v>40034</v>
      </c>
      <c r="E1979">
        <v>3</v>
      </c>
      <c r="F1979">
        <v>194</v>
      </c>
      <c r="G1979">
        <v>3</v>
      </c>
      <c r="H1979">
        <v>194</v>
      </c>
      <c r="I1979">
        <v>0</v>
      </c>
      <c r="J1979">
        <v>0</v>
      </c>
      <c r="K1979">
        <v>347.861133</v>
      </c>
      <c r="L1979">
        <v>8.9961400000000307</v>
      </c>
      <c r="M1979">
        <v>172.51843568463801</v>
      </c>
      <c r="N1979">
        <v>0</v>
      </c>
      <c r="O1979" s="8" t="str">
        <f>formatIP(Table1[[#This Row],[Address A]])</f>
        <v>192.168.100.002</v>
      </c>
      <c r="P1979" s="8" t="str">
        <f>formatIP(Table1[[#This Row],[Address B]])</f>
        <v>157.055.130.174</v>
      </c>
      <c r="Q1979" s="8" t="e">
        <f>VLOOKUP(Table1[[#This Row],[Address A]],IP_Master[],4,FALSE)</f>
        <v>#N/A</v>
      </c>
      <c r="R1979" s="8" t="e">
        <f>VLOOKUP(Table1[[#This Row],[Address B]],IP_Master[],4,FALSE)</f>
        <v>#N/A</v>
      </c>
      <c r="S1979" s="8" t="e">
        <f>VLOOKUP(Table1[[#This Row],[Address A]],IP_Master[],2,FALSE)</f>
        <v>#N/A</v>
      </c>
      <c r="T1979" s="8" t="e">
        <f>VLOOKUP(Table1[[#This Row],[Address B]],IP_Master[],2,FALSE)</f>
        <v>#N/A</v>
      </c>
      <c r="U1979" s="9" t="e">
        <f>VLOOKUP(Table1[[#This Row],[Address A]],IP_Master[],3,FALSE)</f>
        <v>#N/A</v>
      </c>
      <c r="V1979" s="9" t="e">
        <f>VLOOKUP(Table1[[#This Row],[Address B]],IP_Master[],3,FALSE)</f>
        <v>#N/A</v>
      </c>
      <c r="W1979" s="9" t="e">
        <f>VLOOKUP(Table1[[#This Row],[Port B]],traffic_types[],2,FALSE)</f>
        <v>#N/A</v>
      </c>
    </row>
    <row r="1980" spans="1:23" hidden="1" x14ac:dyDescent="0.6">
      <c r="A1980" t="s">
        <v>224</v>
      </c>
      <c r="B1980">
        <v>60095</v>
      </c>
      <c r="C1980" t="s">
        <v>308</v>
      </c>
      <c r="D1980">
        <v>40031</v>
      </c>
      <c r="E1980">
        <v>3</v>
      </c>
      <c r="F1980">
        <v>194</v>
      </c>
      <c r="G1980">
        <v>3</v>
      </c>
      <c r="H1980">
        <v>194</v>
      </c>
      <c r="I1980">
        <v>0</v>
      </c>
      <c r="J1980">
        <v>0</v>
      </c>
      <c r="K1980">
        <v>347.862098</v>
      </c>
      <c r="L1980">
        <v>8.9951780000000099</v>
      </c>
      <c r="M1980">
        <v>172.53688587374199</v>
      </c>
      <c r="N1980">
        <v>0</v>
      </c>
      <c r="O1980" s="8" t="str">
        <f>formatIP(Table1[[#This Row],[Address A]])</f>
        <v>192.168.100.002</v>
      </c>
      <c r="P1980" s="8" t="str">
        <f>formatIP(Table1[[#This Row],[Address B]])</f>
        <v>157.055.056.176</v>
      </c>
      <c r="Q1980" s="8" t="e">
        <f>VLOOKUP(Table1[[#This Row],[Address A]],IP_Master[],4,FALSE)</f>
        <v>#N/A</v>
      </c>
      <c r="R1980" s="8" t="e">
        <f>VLOOKUP(Table1[[#This Row],[Address B]],IP_Master[],4,FALSE)</f>
        <v>#N/A</v>
      </c>
      <c r="S1980" s="8" t="e">
        <f>VLOOKUP(Table1[[#This Row],[Address A]],IP_Master[],2,FALSE)</f>
        <v>#N/A</v>
      </c>
      <c r="T1980" s="8" t="e">
        <f>VLOOKUP(Table1[[#This Row],[Address B]],IP_Master[],2,FALSE)</f>
        <v>#N/A</v>
      </c>
      <c r="U1980" s="9" t="e">
        <f>VLOOKUP(Table1[[#This Row],[Address A]],IP_Master[],3,FALSE)</f>
        <v>#N/A</v>
      </c>
      <c r="V1980" s="9" t="e">
        <f>VLOOKUP(Table1[[#This Row],[Address B]],IP_Master[],3,FALSE)</f>
        <v>#N/A</v>
      </c>
      <c r="W1980" s="9" t="e">
        <f>VLOOKUP(Table1[[#This Row],[Port B]],traffic_types[],2,FALSE)</f>
        <v>#N/A</v>
      </c>
    </row>
    <row r="1981" spans="1:23" x14ac:dyDescent="0.6">
      <c r="A1981" t="s">
        <v>224</v>
      </c>
      <c r="B1981">
        <v>60096</v>
      </c>
      <c r="C1981" t="s">
        <v>307</v>
      </c>
      <c r="D1981">
        <v>443</v>
      </c>
      <c r="E1981">
        <v>3</v>
      </c>
      <c r="F1981">
        <v>194</v>
      </c>
      <c r="G1981">
        <v>3</v>
      </c>
      <c r="H1981">
        <v>194</v>
      </c>
      <c r="I1981">
        <v>0</v>
      </c>
      <c r="J1981">
        <v>0</v>
      </c>
      <c r="K1981">
        <v>349.47873700000002</v>
      </c>
      <c r="L1981">
        <v>8.9996989999999606</v>
      </c>
      <c r="M1981">
        <v>172.450211945978</v>
      </c>
      <c r="N1981">
        <v>0</v>
      </c>
      <c r="O1981" s="8" t="str">
        <f>formatIP(Table1[[#This Row],[Address A]])</f>
        <v>192.168.100.002</v>
      </c>
      <c r="P1981" s="8" t="str">
        <f>formatIP(Table1[[#This Row],[Address B]])</f>
        <v>157.055.130.174</v>
      </c>
      <c r="Q1981" s="8" t="e">
        <f>VLOOKUP(Table1[[#This Row],[Address A]],IP_Master[],4,FALSE)</f>
        <v>#N/A</v>
      </c>
      <c r="R1981" s="8" t="e">
        <f>VLOOKUP(Table1[[#This Row],[Address B]],IP_Master[],4,FALSE)</f>
        <v>#N/A</v>
      </c>
      <c r="S1981" s="8" t="e">
        <f>VLOOKUP(Table1[[#This Row],[Address A]],IP_Master[],2,FALSE)</f>
        <v>#N/A</v>
      </c>
      <c r="T1981" s="8" t="e">
        <f>VLOOKUP(Table1[[#This Row],[Address B]],IP_Master[],2,FALSE)</f>
        <v>#N/A</v>
      </c>
      <c r="U1981" s="9" t="e">
        <f>VLOOKUP(Table1[[#This Row],[Address A]],IP_Master[],3,FALSE)</f>
        <v>#N/A</v>
      </c>
      <c r="V1981" s="9" t="e">
        <f>VLOOKUP(Table1[[#This Row],[Address B]],IP_Master[],3,FALSE)</f>
        <v>#N/A</v>
      </c>
      <c r="W1981" s="9" t="str">
        <f>VLOOKUP(Table1[[#This Row],[Port B]],traffic_types[],2,FALSE)</f>
        <v>HTTP/S</v>
      </c>
    </row>
    <row r="1982" spans="1:23" x14ac:dyDescent="0.6">
      <c r="A1982" t="s">
        <v>224</v>
      </c>
      <c r="B1982">
        <v>60097</v>
      </c>
      <c r="C1982" t="s">
        <v>308</v>
      </c>
      <c r="D1982">
        <v>443</v>
      </c>
      <c r="E1982">
        <v>3</v>
      </c>
      <c r="F1982">
        <v>194</v>
      </c>
      <c r="G1982">
        <v>3</v>
      </c>
      <c r="H1982">
        <v>194</v>
      </c>
      <c r="I1982">
        <v>0</v>
      </c>
      <c r="J1982">
        <v>0</v>
      </c>
      <c r="K1982">
        <v>349.47873900000002</v>
      </c>
      <c r="L1982">
        <v>8.9996939999999803</v>
      </c>
      <c r="M1982">
        <v>172.45030775490901</v>
      </c>
      <c r="N1982">
        <v>0</v>
      </c>
      <c r="O1982" s="8" t="str">
        <f>formatIP(Table1[[#This Row],[Address A]])</f>
        <v>192.168.100.002</v>
      </c>
      <c r="P1982" s="8" t="str">
        <f>formatIP(Table1[[#This Row],[Address B]])</f>
        <v>157.055.056.176</v>
      </c>
      <c r="Q1982" s="8" t="e">
        <f>VLOOKUP(Table1[[#This Row],[Address A]],IP_Master[],4,FALSE)</f>
        <v>#N/A</v>
      </c>
      <c r="R1982" s="8" t="e">
        <f>VLOOKUP(Table1[[#This Row],[Address B]],IP_Master[],4,FALSE)</f>
        <v>#N/A</v>
      </c>
      <c r="S1982" s="8" t="e">
        <f>VLOOKUP(Table1[[#This Row],[Address A]],IP_Master[],2,FALSE)</f>
        <v>#N/A</v>
      </c>
      <c r="T1982" s="8" t="e">
        <f>VLOOKUP(Table1[[#This Row],[Address B]],IP_Master[],2,FALSE)</f>
        <v>#N/A</v>
      </c>
      <c r="U1982" s="9" t="e">
        <f>VLOOKUP(Table1[[#This Row],[Address A]],IP_Master[],3,FALSE)</f>
        <v>#N/A</v>
      </c>
      <c r="V1982" s="9" t="e">
        <f>VLOOKUP(Table1[[#This Row],[Address B]],IP_Master[],3,FALSE)</f>
        <v>#N/A</v>
      </c>
      <c r="W1982" s="9" t="str">
        <f>VLOOKUP(Table1[[#This Row],[Port B]],traffic_types[],2,FALSE)</f>
        <v>HTTP/S</v>
      </c>
    </row>
    <row r="1983" spans="1:23" x14ac:dyDescent="0.6">
      <c r="A1983" t="s">
        <v>224</v>
      </c>
      <c r="B1983">
        <v>60098</v>
      </c>
      <c r="C1983" t="s">
        <v>307</v>
      </c>
      <c r="D1983">
        <v>80</v>
      </c>
      <c r="E1983">
        <v>3</v>
      </c>
      <c r="F1983">
        <v>194</v>
      </c>
      <c r="G1983">
        <v>3</v>
      </c>
      <c r="H1983">
        <v>194</v>
      </c>
      <c r="I1983">
        <v>0</v>
      </c>
      <c r="J1983">
        <v>0</v>
      </c>
      <c r="K1983">
        <v>351.08874500000002</v>
      </c>
      <c r="L1983">
        <v>8.9994769999999598</v>
      </c>
      <c r="M1983">
        <v>172.45446596507901</v>
      </c>
      <c r="N1983">
        <v>0</v>
      </c>
      <c r="O1983" s="8" t="str">
        <f>formatIP(Table1[[#This Row],[Address A]])</f>
        <v>192.168.100.002</v>
      </c>
      <c r="P1983" s="8" t="str">
        <f>formatIP(Table1[[#This Row],[Address B]])</f>
        <v>157.055.130.174</v>
      </c>
      <c r="Q1983" s="8" t="e">
        <f>VLOOKUP(Table1[[#This Row],[Address A]],IP_Master[],4,FALSE)</f>
        <v>#N/A</v>
      </c>
      <c r="R1983" s="8" t="e">
        <f>VLOOKUP(Table1[[#This Row],[Address B]],IP_Master[],4,FALSE)</f>
        <v>#N/A</v>
      </c>
      <c r="S1983" s="8" t="e">
        <f>VLOOKUP(Table1[[#This Row],[Address A]],IP_Master[],2,FALSE)</f>
        <v>#N/A</v>
      </c>
      <c r="T1983" s="8" t="e">
        <f>VLOOKUP(Table1[[#This Row],[Address B]],IP_Master[],2,FALSE)</f>
        <v>#N/A</v>
      </c>
      <c r="U1983" s="9" t="e">
        <f>VLOOKUP(Table1[[#This Row],[Address A]],IP_Master[],3,FALSE)</f>
        <v>#N/A</v>
      </c>
      <c r="V1983" s="9" t="e">
        <f>VLOOKUP(Table1[[#This Row],[Address B]],IP_Master[],3,FALSE)</f>
        <v>#N/A</v>
      </c>
      <c r="W1983" s="9" t="str">
        <f>VLOOKUP(Table1[[#This Row],[Port B]],traffic_types[],2,FALSE)</f>
        <v>HTTP</v>
      </c>
    </row>
    <row r="1984" spans="1:23" x14ac:dyDescent="0.6">
      <c r="A1984" t="s">
        <v>224</v>
      </c>
      <c r="B1984">
        <v>60099</v>
      </c>
      <c r="C1984" t="s">
        <v>308</v>
      </c>
      <c r="D1984">
        <v>80</v>
      </c>
      <c r="E1984">
        <v>3</v>
      </c>
      <c r="F1984">
        <v>194</v>
      </c>
      <c r="G1984">
        <v>3</v>
      </c>
      <c r="H1984">
        <v>194</v>
      </c>
      <c r="I1984">
        <v>0</v>
      </c>
      <c r="J1984">
        <v>0</v>
      </c>
      <c r="K1984">
        <v>351.08874900000001</v>
      </c>
      <c r="L1984">
        <v>8.9994750000000199</v>
      </c>
      <c r="M1984">
        <v>172.45450429052801</v>
      </c>
      <c r="N1984">
        <v>0</v>
      </c>
      <c r="O1984" s="8" t="str">
        <f>formatIP(Table1[[#This Row],[Address A]])</f>
        <v>192.168.100.002</v>
      </c>
      <c r="P1984" s="8" t="str">
        <f>formatIP(Table1[[#This Row],[Address B]])</f>
        <v>157.055.056.176</v>
      </c>
      <c r="Q1984" s="8" t="e">
        <f>VLOOKUP(Table1[[#This Row],[Address A]],IP_Master[],4,FALSE)</f>
        <v>#N/A</v>
      </c>
      <c r="R1984" s="8" t="e">
        <f>VLOOKUP(Table1[[#This Row],[Address B]],IP_Master[],4,FALSE)</f>
        <v>#N/A</v>
      </c>
      <c r="S1984" s="8" t="e">
        <f>VLOOKUP(Table1[[#This Row],[Address A]],IP_Master[],2,FALSE)</f>
        <v>#N/A</v>
      </c>
      <c r="T1984" s="8" t="e">
        <f>VLOOKUP(Table1[[#This Row],[Address B]],IP_Master[],2,FALSE)</f>
        <v>#N/A</v>
      </c>
      <c r="U1984" s="9" t="e">
        <f>VLOOKUP(Table1[[#This Row],[Address A]],IP_Master[],3,FALSE)</f>
        <v>#N/A</v>
      </c>
      <c r="V1984" s="9" t="e">
        <f>VLOOKUP(Table1[[#This Row],[Address B]],IP_Master[],3,FALSE)</f>
        <v>#N/A</v>
      </c>
      <c r="W1984" s="9" t="str">
        <f>VLOOKUP(Table1[[#This Row],[Port B]],traffic_types[],2,FALSE)</f>
        <v>HTTP</v>
      </c>
    </row>
    <row r="1985" spans="1:23" hidden="1" x14ac:dyDescent="0.6">
      <c r="A1985" t="s">
        <v>224</v>
      </c>
      <c r="B1985">
        <v>60100</v>
      </c>
      <c r="C1985" t="s">
        <v>309</v>
      </c>
      <c r="D1985">
        <v>12350</v>
      </c>
      <c r="E1985">
        <v>3</v>
      </c>
      <c r="F1985">
        <v>194</v>
      </c>
      <c r="G1985">
        <v>3</v>
      </c>
      <c r="H1985">
        <v>194</v>
      </c>
      <c r="I1985">
        <v>0</v>
      </c>
      <c r="J1985">
        <v>0</v>
      </c>
      <c r="K1985">
        <v>359.81068399999998</v>
      </c>
      <c r="L1985">
        <v>8.9991810000000196</v>
      </c>
      <c r="M1985">
        <v>172.46013831703101</v>
      </c>
      <c r="N1985">
        <v>0</v>
      </c>
      <c r="O1985" s="8" t="str">
        <f>formatIP(Table1[[#This Row],[Address A]])</f>
        <v>192.168.100.002</v>
      </c>
      <c r="P1985" s="8" t="str">
        <f>formatIP(Table1[[#This Row],[Address B]])</f>
        <v>091.190.219.044</v>
      </c>
      <c r="Q1985" s="8" t="e">
        <f>VLOOKUP(Table1[[#This Row],[Address A]],IP_Master[],4,FALSE)</f>
        <v>#N/A</v>
      </c>
      <c r="R1985" s="8" t="e">
        <f>VLOOKUP(Table1[[#This Row],[Address B]],IP_Master[],4,FALSE)</f>
        <v>#N/A</v>
      </c>
      <c r="S1985" s="8" t="e">
        <f>VLOOKUP(Table1[[#This Row],[Address A]],IP_Master[],2,FALSE)</f>
        <v>#N/A</v>
      </c>
      <c r="T1985" s="8" t="e">
        <f>VLOOKUP(Table1[[#This Row],[Address B]],IP_Master[],2,FALSE)</f>
        <v>#N/A</v>
      </c>
      <c r="U1985" s="9" t="e">
        <f>VLOOKUP(Table1[[#This Row],[Address A]],IP_Master[],3,FALSE)</f>
        <v>#N/A</v>
      </c>
      <c r="V1985" s="9" t="e">
        <f>VLOOKUP(Table1[[#This Row],[Address B]],IP_Master[],3,FALSE)</f>
        <v>#N/A</v>
      </c>
      <c r="W1985" s="9" t="e">
        <f>VLOOKUP(Table1[[#This Row],[Port B]],traffic_types[],2,FALSE)</f>
        <v>#N/A</v>
      </c>
    </row>
    <row r="1986" spans="1:23" hidden="1" x14ac:dyDescent="0.6">
      <c r="A1986" t="s">
        <v>224</v>
      </c>
      <c r="B1986">
        <v>60101</v>
      </c>
      <c r="C1986" t="s">
        <v>310</v>
      </c>
      <c r="D1986">
        <v>40017</v>
      </c>
      <c r="E1986">
        <v>3</v>
      </c>
      <c r="F1986">
        <v>194</v>
      </c>
      <c r="G1986">
        <v>3</v>
      </c>
      <c r="H1986">
        <v>194</v>
      </c>
      <c r="I1986">
        <v>0</v>
      </c>
      <c r="J1986">
        <v>0</v>
      </c>
      <c r="K1986">
        <v>360.02174500000001</v>
      </c>
      <c r="L1986">
        <v>8.9975139999999705</v>
      </c>
      <c r="M1986">
        <v>172.49209059302399</v>
      </c>
      <c r="N1986">
        <v>0</v>
      </c>
      <c r="O1986" s="8" t="str">
        <f>formatIP(Table1[[#This Row],[Address A]])</f>
        <v>192.168.100.002</v>
      </c>
      <c r="P1986" s="8" t="str">
        <f>formatIP(Table1[[#This Row],[Address B]])</f>
        <v>157.056.052.021</v>
      </c>
      <c r="Q1986" s="8" t="e">
        <f>VLOOKUP(Table1[[#This Row],[Address A]],IP_Master[],4,FALSE)</f>
        <v>#N/A</v>
      </c>
      <c r="R1986" s="8" t="e">
        <f>VLOOKUP(Table1[[#This Row],[Address B]],IP_Master[],4,FALSE)</f>
        <v>#N/A</v>
      </c>
      <c r="S1986" s="8" t="e">
        <f>VLOOKUP(Table1[[#This Row],[Address A]],IP_Master[],2,FALSE)</f>
        <v>#N/A</v>
      </c>
      <c r="T1986" s="8" t="e">
        <f>VLOOKUP(Table1[[#This Row],[Address B]],IP_Master[],2,FALSE)</f>
        <v>#N/A</v>
      </c>
      <c r="U1986" s="9" t="e">
        <f>VLOOKUP(Table1[[#This Row],[Address A]],IP_Master[],3,FALSE)</f>
        <v>#N/A</v>
      </c>
      <c r="V1986" s="9" t="e">
        <f>VLOOKUP(Table1[[#This Row],[Address B]],IP_Master[],3,FALSE)</f>
        <v>#N/A</v>
      </c>
      <c r="W1986" s="9" t="e">
        <f>VLOOKUP(Table1[[#This Row],[Port B]],traffic_types[],2,FALSE)</f>
        <v>#N/A</v>
      </c>
    </row>
    <row r="1987" spans="1:23" x14ac:dyDescent="0.6">
      <c r="A1987" t="s">
        <v>224</v>
      </c>
      <c r="B1987">
        <v>60102</v>
      </c>
      <c r="C1987" t="s">
        <v>309</v>
      </c>
      <c r="D1987">
        <v>443</v>
      </c>
      <c r="E1987">
        <v>3</v>
      </c>
      <c r="F1987">
        <v>194</v>
      </c>
      <c r="G1987">
        <v>3</v>
      </c>
      <c r="H1987">
        <v>194</v>
      </c>
      <c r="I1987">
        <v>0</v>
      </c>
      <c r="J1987">
        <v>0</v>
      </c>
      <c r="K1987">
        <v>361.43059599999998</v>
      </c>
      <c r="L1987">
        <v>8.9996710000000295</v>
      </c>
      <c r="M1987">
        <v>172.45074847736001</v>
      </c>
      <c r="N1987">
        <v>0</v>
      </c>
      <c r="O1987" s="8" t="str">
        <f>formatIP(Table1[[#This Row],[Address A]])</f>
        <v>192.168.100.002</v>
      </c>
      <c r="P1987" s="8" t="str">
        <f>formatIP(Table1[[#This Row],[Address B]])</f>
        <v>091.190.219.044</v>
      </c>
      <c r="Q1987" s="8" t="e">
        <f>VLOOKUP(Table1[[#This Row],[Address A]],IP_Master[],4,FALSE)</f>
        <v>#N/A</v>
      </c>
      <c r="R1987" s="8" t="e">
        <f>VLOOKUP(Table1[[#This Row],[Address B]],IP_Master[],4,FALSE)</f>
        <v>#N/A</v>
      </c>
      <c r="S1987" s="8" t="e">
        <f>VLOOKUP(Table1[[#This Row],[Address A]],IP_Master[],2,FALSE)</f>
        <v>#N/A</v>
      </c>
      <c r="T1987" s="8" t="e">
        <f>VLOOKUP(Table1[[#This Row],[Address B]],IP_Master[],2,FALSE)</f>
        <v>#N/A</v>
      </c>
      <c r="U1987" s="9" t="e">
        <f>VLOOKUP(Table1[[#This Row],[Address A]],IP_Master[],3,FALSE)</f>
        <v>#N/A</v>
      </c>
      <c r="V1987" s="9" t="e">
        <f>VLOOKUP(Table1[[#This Row],[Address B]],IP_Master[],3,FALSE)</f>
        <v>#N/A</v>
      </c>
      <c r="W1987" s="9" t="str">
        <f>VLOOKUP(Table1[[#This Row],[Port B]],traffic_types[],2,FALSE)</f>
        <v>HTTP/S</v>
      </c>
    </row>
    <row r="1988" spans="1:23" x14ac:dyDescent="0.6">
      <c r="A1988" t="s">
        <v>224</v>
      </c>
      <c r="B1988">
        <v>60103</v>
      </c>
      <c r="C1988" t="s">
        <v>310</v>
      </c>
      <c r="D1988">
        <v>443</v>
      </c>
      <c r="E1988">
        <v>3</v>
      </c>
      <c r="F1988">
        <v>194</v>
      </c>
      <c r="G1988">
        <v>3</v>
      </c>
      <c r="H1988">
        <v>194</v>
      </c>
      <c r="I1988">
        <v>0</v>
      </c>
      <c r="J1988">
        <v>0</v>
      </c>
      <c r="K1988">
        <v>361.63968399999999</v>
      </c>
      <c r="L1988">
        <v>9.0007070000000304</v>
      </c>
      <c r="M1988">
        <v>172.43089903937499</v>
      </c>
      <c r="N1988">
        <v>0</v>
      </c>
      <c r="O1988" s="8" t="str">
        <f>formatIP(Table1[[#This Row],[Address A]])</f>
        <v>192.168.100.002</v>
      </c>
      <c r="P1988" s="8" t="str">
        <f>formatIP(Table1[[#This Row],[Address B]])</f>
        <v>157.056.052.021</v>
      </c>
      <c r="Q1988" s="8" t="e">
        <f>VLOOKUP(Table1[[#This Row],[Address A]],IP_Master[],4,FALSE)</f>
        <v>#N/A</v>
      </c>
      <c r="R1988" s="8" t="e">
        <f>VLOOKUP(Table1[[#This Row],[Address B]],IP_Master[],4,FALSE)</f>
        <v>#N/A</v>
      </c>
      <c r="S1988" s="8" t="e">
        <f>VLOOKUP(Table1[[#This Row],[Address A]],IP_Master[],2,FALSE)</f>
        <v>#N/A</v>
      </c>
      <c r="T1988" s="8" t="e">
        <f>VLOOKUP(Table1[[#This Row],[Address B]],IP_Master[],2,FALSE)</f>
        <v>#N/A</v>
      </c>
      <c r="U1988" s="9" t="e">
        <f>VLOOKUP(Table1[[#This Row],[Address A]],IP_Master[],3,FALSE)</f>
        <v>#N/A</v>
      </c>
      <c r="V1988" s="9" t="e">
        <f>VLOOKUP(Table1[[#This Row],[Address B]],IP_Master[],3,FALSE)</f>
        <v>#N/A</v>
      </c>
      <c r="W1988" s="9" t="str">
        <f>VLOOKUP(Table1[[#This Row],[Port B]],traffic_types[],2,FALSE)</f>
        <v>HTTP/S</v>
      </c>
    </row>
    <row r="1989" spans="1:23" x14ac:dyDescent="0.6">
      <c r="A1989" t="s">
        <v>224</v>
      </c>
      <c r="B1989">
        <v>60104</v>
      </c>
      <c r="C1989" t="s">
        <v>309</v>
      </c>
      <c r="D1989">
        <v>80</v>
      </c>
      <c r="E1989">
        <v>3</v>
      </c>
      <c r="F1989">
        <v>194</v>
      </c>
      <c r="G1989">
        <v>3</v>
      </c>
      <c r="H1989">
        <v>194</v>
      </c>
      <c r="I1989">
        <v>0</v>
      </c>
      <c r="J1989">
        <v>0</v>
      </c>
      <c r="K1989">
        <v>363.03982999999999</v>
      </c>
      <c r="L1989">
        <v>9.0005050000000306</v>
      </c>
      <c r="M1989">
        <v>172.434768937965</v>
      </c>
      <c r="N1989">
        <v>0</v>
      </c>
      <c r="O1989" s="8" t="str">
        <f>formatIP(Table1[[#This Row],[Address A]])</f>
        <v>192.168.100.002</v>
      </c>
      <c r="P1989" s="8" t="str">
        <f>formatIP(Table1[[#This Row],[Address B]])</f>
        <v>091.190.219.044</v>
      </c>
      <c r="Q1989" s="8" t="e">
        <f>VLOOKUP(Table1[[#This Row],[Address A]],IP_Master[],4,FALSE)</f>
        <v>#N/A</v>
      </c>
      <c r="R1989" s="8" t="e">
        <f>VLOOKUP(Table1[[#This Row],[Address B]],IP_Master[],4,FALSE)</f>
        <v>#N/A</v>
      </c>
      <c r="S1989" s="8" t="e">
        <f>VLOOKUP(Table1[[#This Row],[Address A]],IP_Master[],2,FALSE)</f>
        <v>#N/A</v>
      </c>
      <c r="T1989" s="8" t="e">
        <f>VLOOKUP(Table1[[#This Row],[Address B]],IP_Master[],2,FALSE)</f>
        <v>#N/A</v>
      </c>
      <c r="U1989" s="9" t="e">
        <f>VLOOKUP(Table1[[#This Row],[Address A]],IP_Master[],3,FALSE)</f>
        <v>#N/A</v>
      </c>
      <c r="V1989" s="9" t="e">
        <f>VLOOKUP(Table1[[#This Row],[Address B]],IP_Master[],3,FALSE)</f>
        <v>#N/A</v>
      </c>
      <c r="W1989" s="9" t="str">
        <f>VLOOKUP(Table1[[#This Row],[Port B]],traffic_types[],2,FALSE)</f>
        <v>HTTP</v>
      </c>
    </row>
    <row r="1990" spans="1:23" x14ac:dyDescent="0.6">
      <c r="A1990" t="s">
        <v>224</v>
      </c>
      <c r="B1990">
        <v>60105</v>
      </c>
      <c r="C1990" t="s">
        <v>310</v>
      </c>
      <c r="D1990">
        <v>80</v>
      </c>
      <c r="E1990">
        <v>3</v>
      </c>
      <c r="F1990">
        <v>194</v>
      </c>
      <c r="G1990">
        <v>3</v>
      </c>
      <c r="H1990">
        <v>194</v>
      </c>
      <c r="I1990">
        <v>0</v>
      </c>
      <c r="J1990">
        <v>0</v>
      </c>
      <c r="K1990">
        <v>363.24986200000001</v>
      </c>
      <c r="L1990">
        <v>9.0003770000000092</v>
      </c>
      <c r="M1990">
        <v>172.437221240843</v>
      </c>
      <c r="N1990">
        <v>0</v>
      </c>
      <c r="O1990" s="8" t="str">
        <f>formatIP(Table1[[#This Row],[Address A]])</f>
        <v>192.168.100.002</v>
      </c>
      <c r="P1990" s="8" t="str">
        <f>formatIP(Table1[[#This Row],[Address B]])</f>
        <v>157.056.052.021</v>
      </c>
      <c r="Q1990" s="8" t="e">
        <f>VLOOKUP(Table1[[#This Row],[Address A]],IP_Master[],4,FALSE)</f>
        <v>#N/A</v>
      </c>
      <c r="R1990" s="8" t="e">
        <f>VLOOKUP(Table1[[#This Row],[Address B]],IP_Master[],4,FALSE)</f>
        <v>#N/A</v>
      </c>
      <c r="S1990" s="8" t="e">
        <f>VLOOKUP(Table1[[#This Row],[Address A]],IP_Master[],2,FALSE)</f>
        <v>#N/A</v>
      </c>
      <c r="T1990" s="8" t="e">
        <f>VLOOKUP(Table1[[#This Row],[Address B]],IP_Master[],2,FALSE)</f>
        <v>#N/A</v>
      </c>
      <c r="U1990" s="9" t="e">
        <f>VLOOKUP(Table1[[#This Row],[Address A]],IP_Master[],3,FALSE)</f>
        <v>#N/A</v>
      </c>
      <c r="V1990" s="9" t="e">
        <f>VLOOKUP(Table1[[#This Row],[Address B]],IP_Master[],3,FALSE)</f>
        <v>#N/A</v>
      </c>
      <c r="W1990" s="9" t="str">
        <f>VLOOKUP(Table1[[#This Row],[Port B]],traffic_types[],2,FALSE)</f>
        <v>HTTP</v>
      </c>
    </row>
    <row r="1991" spans="1:23" hidden="1" x14ac:dyDescent="0.6">
      <c r="A1991" t="s">
        <v>224</v>
      </c>
      <c r="B1991">
        <v>60106</v>
      </c>
      <c r="C1991" t="s">
        <v>311</v>
      </c>
      <c r="D1991">
        <v>40016</v>
      </c>
      <c r="E1991">
        <v>3</v>
      </c>
      <c r="F1991">
        <v>194</v>
      </c>
      <c r="G1991">
        <v>3</v>
      </c>
      <c r="H1991">
        <v>194</v>
      </c>
      <c r="I1991">
        <v>0</v>
      </c>
      <c r="J1991">
        <v>0</v>
      </c>
      <c r="K1991">
        <v>374.09278799999998</v>
      </c>
      <c r="L1991">
        <v>9.1829900000000197</v>
      </c>
      <c r="M1991">
        <v>169.008133516425</v>
      </c>
      <c r="N1991">
        <v>0</v>
      </c>
      <c r="O1991" s="8" t="str">
        <f>formatIP(Table1[[#This Row],[Address A]])</f>
        <v>192.168.100.002</v>
      </c>
      <c r="P1991" s="8" t="str">
        <f>formatIP(Table1[[#This Row],[Address B]])</f>
        <v>064.004.023.170</v>
      </c>
      <c r="Q1991" s="8" t="e">
        <f>VLOOKUP(Table1[[#This Row],[Address A]],IP_Master[],4,FALSE)</f>
        <v>#N/A</v>
      </c>
      <c r="R1991" s="8" t="e">
        <f>VLOOKUP(Table1[[#This Row],[Address B]],IP_Master[],4,FALSE)</f>
        <v>#N/A</v>
      </c>
      <c r="S1991" s="8" t="e">
        <f>VLOOKUP(Table1[[#This Row],[Address A]],IP_Master[],2,FALSE)</f>
        <v>#N/A</v>
      </c>
      <c r="T1991" s="8" t="e">
        <f>VLOOKUP(Table1[[#This Row],[Address B]],IP_Master[],2,FALSE)</f>
        <v>#N/A</v>
      </c>
      <c r="U1991" s="9" t="e">
        <f>VLOOKUP(Table1[[#This Row],[Address A]],IP_Master[],3,FALSE)</f>
        <v>#N/A</v>
      </c>
      <c r="V1991" s="9" t="e">
        <f>VLOOKUP(Table1[[#This Row],[Address B]],IP_Master[],3,FALSE)</f>
        <v>#N/A</v>
      </c>
      <c r="W1991" s="9" t="e">
        <f>VLOOKUP(Table1[[#This Row],[Port B]],traffic_types[],2,FALSE)</f>
        <v>#N/A</v>
      </c>
    </row>
    <row r="1992" spans="1:23" hidden="1" x14ac:dyDescent="0.6">
      <c r="A1992" t="s">
        <v>224</v>
      </c>
      <c r="B1992">
        <v>60107</v>
      </c>
      <c r="C1992" t="s">
        <v>312</v>
      </c>
      <c r="D1992">
        <v>40018</v>
      </c>
      <c r="E1992">
        <v>3</v>
      </c>
      <c r="F1992">
        <v>194</v>
      </c>
      <c r="G1992">
        <v>3</v>
      </c>
      <c r="H1992">
        <v>194</v>
      </c>
      <c r="I1992">
        <v>0</v>
      </c>
      <c r="J1992">
        <v>0</v>
      </c>
      <c r="K1992">
        <v>374.09388999999999</v>
      </c>
      <c r="L1992">
        <v>9.1818910000000091</v>
      </c>
      <c r="M1992">
        <v>169.028362458234</v>
      </c>
      <c r="N1992">
        <v>0</v>
      </c>
      <c r="O1992" s="8" t="str">
        <f>formatIP(Table1[[#This Row],[Address A]])</f>
        <v>192.168.100.002</v>
      </c>
      <c r="P1992" s="8" t="str">
        <f>formatIP(Table1[[#This Row],[Address B]])</f>
        <v>157.056.052.037</v>
      </c>
      <c r="Q1992" s="8" t="e">
        <f>VLOOKUP(Table1[[#This Row],[Address A]],IP_Master[],4,FALSE)</f>
        <v>#N/A</v>
      </c>
      <c r="R1992" s="8" t="e">
        <f>VLOOKUP(Table1[[#This Row],[Address B]],IP_Master[],4,FALSE)</f>
        <v>#N/A</v>
      </c>
      <c r="S1992" s="8" t="e">
        <f>VLOOKUP(Table1[[#This Row],[Address A]],IP_Master[],2,FALSE)</f>
        <v>#N/A</v>
      </c>
      <c r="T1992" s="8" t="e">
        <f>VLOOKUP(Table1[[#This Row],[Address B]],IP_Master[],2,FALSE)</f>
        <v>#N/A</v>
      </c>
      <c r="U1992" s="9" t="e">
        <f>VLOOKUP(Table1[[#This Row],[Address A]],IP_Master[],3,FALSE)</f>
        <v>#N/A</v>
      </c>
      <c r="V1992" s="9" t="e">
        <f>VLOOKUP(Table1[[#This Row],[Address B]],IP_Master[],3,FALSE)</f>
        <v>#N/A</v>
      </c>
      <c r="W1992" s="9" t="e">
        <f>VLOOKUP(Table1[[#This Row],[Port B]],traffic_types[],2,FALSE)</f>
        <v>#N/A</v>
      </c>
    </row>
    <row r="1993" spans="1:23" x14ac:dyDescent="0.6">
      <c r="A1993" t="s">
        <v>224</v>
      </c>
      <c r="B1993">
        <v>60108</v>
      </c>
      <c r="C1993" t="s">
        <v>311</v>
      </c>
      <c r="D1993">
        <v>443</v>
      </c>
      <c r="E1993">
        <v>3</v>
      </c>
      <c r="F1993">
        <v>194</v>
      </c>
      <c r="G1993">
        <v>3</v>
      </c>
      <c r="H1993">
        <v>194</v>
      </c>
      <c r="I1993">
        <v>0</v>
      </c>
      <c r="J1993">
        <v>0</v>
      </c>
      <c r="K1993">
        <v>375.71106400000002</v>
      </c>
      <c r="L1993">
        <v>9.1232919999999904</v>
      </c>
      <c r="M1993">
        <v>170.11403339934799</v>
      </c>
      <c r="N1993">
        <v>0</v>
      </c>
      <c r="O1993" s="8" t="str">
        <f>formatIP(Table1[[#This Row],[Address A]])</f>
        <v>192.168.100.002</v>
      </c>
      <c r="P1993" s="8" t="str">
        <f>formatIP(Table1[[#This Row],[Address B]])</f>
        <v>064.004.023.170</v>
      </c>
      <c r="Q1993" s="8" t="e">
        <f>VLOOKUP(Table1[[#This Row],[Address A]],IP_Master[],4,FALSE)</f>
        <v>#N/A</v>
      </c>
      <c r="R1993" s="8" t="e">
        <f>VLOOKUP(Table1[[#This Row],[Address B]],IP_Master[],4,FALSE)</f>
        <v>#N/A</v>
      </c>
      <c r="S1993" s="8" t="e">
        <f>VLOOKUP(Table1[[#This Row],[Address A]],IP_Master[],2,FALSE)</f>
        <v>#N/A</v>
      </c>
      <c r="T1993" s="8" t="e">
        <f>VLOOKUP(Table1[[#This Row],[Address B]],IP_Master[],2,FALSE)</f>
        <v>#N/A</v>
      </c>
      <c r="U1993" s="9" t="e">
        <f>VLOOKUP(Table1[[#This Row],[Address A]],IP_Master[],3,FALSE)</f>
        <v>#N/A</v>
      </c>
      <c r="V1993" s="9" t="e">
        <f>VLOOKUP(Table1[[#This Row],[Address B]],IP_Master[],3,FALSE)</f>
        <v>#N/A</v>
      </c>
      <c r="W1993" s="9" t="str">
        <f>VLOOKUP(Table1[[#This Row],[Port B]],traffic_types[],2,FALSE)</f>
        <v>HTTP/S</v>
      </c>
    </row>
    <row r="1994" spans="1:23" x14ac:dyDescent="0.6">
      <c r="A1994" t="s">
        <v>224</v>
      </c>
      <c r="B1994">
        <v>60109</v>
      </c>
      <c r="C1994" t="s">
        <v>312</v>
      </c>
      <c r="D1994">
        <v>443</v>
      </c>
      <c r="E1994">
        <v>3</v>
      </c>
      <c r="F1994">
        <v>194</v>
      </c>
      <c r="G1994">
        <v>3</v>
      </c>
      <c r="H1994">
        <v>194</v>
      </c>
      <c r="I1994">
        <v>0</v>
      </c>
      <c r="J1994">
        <v>0</v>
      </c>
      <c r="K1994">
        <v>375.71106700000001</v>
      </c>
      <c r="L1994">
        <v>9.1232880000000005</v>
      </c>
      <c r="M1994">
        <v>170.11410798387601</v>
      </c>
      <c r="N1994">
        <v>0</v>
      </c>
      <c r="O1994" s="8" t="str">
        <f>formatIP(Table1[[#This Row],[Address A]])</f>
        <v>192.168.100.002</v>
      </c>
      <c r="P1994" s="8" t="str">
        <f>formatIP(Table1[[#This Row],[Address B]])</f>
        <v>157.056.052.037</v>
      </c>
      <c r="Q1994" s="8" t="e">
        <f>VLOOKUP(Table1[[#This Row],[Address A]],IP_Master[],4,FALSE)</f>
        <v>#N/A</v>
      </c>
      <c r="R1994" s="8" t="e">
        <f>VLOOKUP(Table1[[#This Row],[Address B]],IP_Master[],4,FALSE)</f>
        <v>#N/A</v>
      </c>
      <c r="S1994" s="8" t="e">
        <f>VLOOKUP(Table1[[#This Row],[Address A]],IP_Master[],2,FALSE)</f>
        <v>#N/A</v>
      </c>
      <c r="T1994" s="8" t="e">
        <f>VLOOKUP(Table1[[#This Row],[Address B]],IP_Master[],2,FALSE)</f>
        <v>#N/A</v>
      </c>
      <c r="U1994" s="9" t="e">
        <f>VLOOKUP(Table1[[#This Row],[Address A]],IP_Master[],3,FALSE)</f>
        <v>#N/A</v>
      </c>
      <c r="V1994" s="9" t="e">
        <f>VLOOKUP(Table1[[#This Row],[Address B]],IP_Master[],3,FALSE)</f>
        <v>#N/A</v>
      </c>
      <c r="W1994" s="9" t="str">
        <f>VLOOKUP(Table1[[#This Row],[Port B]],traffic_types[],2,FALSE)</f>
        <v>HTTP/S</v>
      </c>
    </row>
    <row r="1995" spans="1:23" x14ac:dyDescent="0.6">
      <c r="A1995" t="s">
        <v>224</v>
      </c>
      <c r="B1995">
        <v>60110</v>
      </c>
      <c r="C1995" t="s">
        <v>311</v>
      </c>
      <c r="D1995">
        <v>80</v>
      </c>
      <c r="E1995">
        <v>3</v>
      </c>
      <c r="F1995">
        <v>194</v>
      </c>
      <c r="G1995">
        <v>3</v>
      </c>
      <c r="H1995">
        <v>194</v>
      </c>
      <c r="I1995">
        <v>0</v>
      </c>
      <c r="J1995">
        <v>0</v>
      </c>
      <c r="K1995">
        <v>377.33080000000001</v>
      </c>
      <c r="L1995">
        <v>8.9992780000000003</v>
      </c>
      <c r="M1995">
        <v>172.45827943086101</v>
      </c>
      <c r="N1995">
        <v>0</v>
      </c>
      <c r="O1995" s="8" t="str">
        <f>formatIP(Table1[[#This Row],[Address A]])</f>
        <v>192.168.100.002</v>
      </c>
      <c r="P1995" s="8" t="str">
        <f>formatIP(Table1[[#This Row],[Address B]])</f>
        <v>064.004.023.170</v>
      </c>
      <c r="Q1995" s="8" t="e">
        <f>VLOOKUP(Table1[[#This Row],[Address A]],IP_Master[],4,FALSE)</f>
        <v>#N/A</v>
      </c>
      <c r="R1995" s="8" t="e">
        <f>VLOOKUP(Table1[[#This Row],[Address B]],IP_Master[],4,FALSE)</f>
        <v>#N/A</v>
      </c>
      <c r="S1995" s="8" t="e">
        <f>VLOOKUP(Table1[[#This Row],[Address A]],IP_Master[],2,FALSE)</f>
        <v>#N/A</v>
      </c>
      <c r="T1995" s="8" t="e">
        <f>VLOOKUP(Table1[[#This Row],[Address B]],IP_Master[],2,FALSE)</f>
        <v>#N/A</v>
      </c>
      <c r="U1995" s="9" t="e">
        <f>VLOOKUP(Table1[[#This Row],[Address A]],IP_Master[],3,FALSE)</f>
        <v>#N/A</v>
      </c>
      <c r="V1995" s="9" t="e">
        <f>VLOOKUP(Table1[[#This Row],[Address B]],IP_Master[],3,FALSE)</f>
        <v>#N/A</v>
      </c>
      <c r="W1995" s="9" t="str">
        <f>VLOOKUP(Table1[[#This Row],[Port B]],traffic_types[],2,FALSE)</f>
        <v>HTTP</v>
      </c>
    </row>
    <row r="1996" spans="1:23" x14ac:dyDescent="0.6">
      <c r="A1996" t="s">
        <v>224</v>
      </c>
      <c r="B1996">
        <v>60111</v>
      </c>
      <c r="C1996" t="s">
        <v>312</v>
      </c>
      <c r="D1996">
        <v>80</v>
      </c>
      <c r="E1996">
        <v>3</v>
      </c>
      <c r="F1996">
        <v>194</v>
      </c>
      <c r="G1996">
        <v>3</v>
      </c>
      <c r="H1996">
        <v>194</v>
      </c>
      <c r="I1996">
        <v>0</v>
      </c>
      <c r="J1996">
        <v>0</v>
      </c>
      <c r="K1996">
        <v>377.330804</v>
      </c>
      <c r="L1996">
        <v>8.99927700000001</v>
      </c>
      <c r="M1996">
        <v>172.458298594431</v>
      </c>
      <c r="N1996">
        <v>0</v>
      </c>
      <c r="O1996" s="8" t="str">
        <f>formatIP(Table1[[#This Row],[Address A]])</f>
        <v>192.168.100.002</v>
      </c>
      <c r="P1996" s="8" t="str">
        <f>formatIP(Table1[[#This Row],[Address B]])</f>
        <v>157.056.052.037</v>
      </c>
      <c r="Q1996" s="8" t="e">
        <f>VLOOKUP(Table1[[#This Row],[Address A]],IP_Master[],4,FALSE)</f>
        <v>#N/A</v>
      </c>
      <c r="R1996" s="8" t="e">
        <f>VLOOKUP(Table1[[#This Row],[Address B]],IP_Master[],4,FALSE)</f>
        <v>#N/A</v>
      </c>
      <c r="S1996" s="8" t="e">
        <f>VLOOKUP(Table1[[#This Row],[Address A]],IP_Master[],2,FALSE)</f>
        <v>#N/A</v>
      </c>
      <c r="T1996" s="8" t="e">
        <f>VLOOKUP(Table1[[#This Row],[Address B]],IP_Master[],2,FALSE)</f>
        <v>#N/A</v>
      </c>
      <c r="U1996" s="9" t="e">
        <f>VLOOKUP(Table1[[#This Row],[Address A]],IP_Master[],3,FALSE)</f>
        <v>#N/A</v>
      </c>
      <c r="V1996" s="9" t="e">
        <f>VLOOKUP(Table1[[#This Row],[Address B]],IP_Master[],3,FALSE)</f>
        <v>#N/A</v>
      </c>
      <c r="W1996" s="9" t="str">
        <f>VLOOKUP(Table1[[#This Row],[Port B]],traffic_types[],2,FALSE)</f>
        <v>HTTP</v>
      </c>
    </row>
    <row r="1997" spans="1:23" hidden="1" x14ac:dyDescent="0.6">
      <c r="A1997" t="s">
        <v>224</v>
      </c>
      <c r="B1997">
        <v>60112</v>
      </c>
      <c r="C1997" t="s">
        <v>313</v>
      </c>
      <c r="D1997">
        <v>40032</v>
      </c>
      <c r="E1997">
        <v>3</v>
      </c>
      <c r="F1997">
        <v>194</v>
      </c>
      <c r="G1997">
        <v>3</v>
      </c>
      <c r="H1997">
        <v>194</v>
      </c>
      <c r="I1997">
        <v>0</v>
      </c>
      <c r="J1997">
        <v>0</v>
      </c>
      <c r="K1997">
        <v>386.237438</v>
      </c>
      <c r="L1997">
        <v>8.9146390000000206</v>
      </c>
      <c r="M1997">
        <v>174.09566444586201</v>
      </c>
      <c r="N1997">
        <v>0</v>
      </c>
      <c r="O1997" s="8" t="str">
        <f>formatIP(Table1[[#This Row],[Address A]])</f>
        <v>192.168.100.002</v>
      </c>
      <c r="P1997" s="8" t="str">
        <f>formatIP(Table1[[#This Row],[Address B]])</f>
        <v>065.055.223.031</v>
      </c>
      <c r="Q1997" s="8" t="e">
        <f>VLOOKUP(Table1[[#This Row],[Address A]],IP_Master[],4,FALSE)</f>
        <v>#N/A</v>
      </c>
      <c r="R1997" s="8" t="e">
        <f>VLOOKUP(Table1[[#This Row],[Address B]],IP_Master[],4,FALSE)</f>
        <v>#N/A</v>
      </c>
      <c r="S1997" s="8" t="e">
        <f>VLOOKUP(Table1[[#This Row],[Address A]],IP_Master[],2,FALSE)</f>
        <v>#N/A</v>
      </c>
      <c r="T1997" s="8" t="e">
        <f>VLOOKUP(Table1[[#This Row],[Address B]],IP_Master[],2,FALSE)</f>
        <v>#N/A</v>
      </c>
      <c r="U1997" s="9" t="e">
        <f>VLOOKUP(Table1[[#This Row],[Address A]],IP_Master[],3,FALSE)</f>
        <v>#N/A</v>
      </c>
      <c r="V1997" s="9" t="e">
        <f>VLOOKUP(Table1[[#This Row],[Address B]],IP_Master[],3,FALSE)</f>
        <v>#N/A</v>
      </c>
      <c r="W1997" s="9" t="e">
        <f>VLOOKUP(Table1[[#This Row],[Port B]],traffic_types[],2,FALSE)</f>
        <v>#N/A</v>
      </c>
    </row>
    <row r="1998" spans="1:23" x14ac:dyDescent="0.6">
      <c r="A1998" t="s">
        <v>224</v>
      </c>
      <c r="B1998">
        <v>60113</v>
      </c>
      <c r="C1998" t="s">
        <v>313</v>
      </c>
      <c r="D1998">
        <v>443</v>
      </c>
      <c r="E1998">
        <v>3</v>
      </c>
      <c r="F1998">
        <v>194</v>
      </c>
      <c r="G1998">
        <v>3</v>
      </c>
      <c r="H1998">
        <v>194</v>
      </c>
      <c r="I1998">
        <v>0</v>
      </c>
      <c r="J1998">
        <v>0</v>
      </c>
      <c r="K1998">
        <v>387.77174000000002</v>
      </c>
      <c r="L1998">
        <v>9.0006019999999598</v>
      </c>
      <c r="M1998">
        <v>172.432910598647</v>
      </c>
      <c r="N1998">
        <v>0</v>
      </c>
      <c r="O1998" s="8" t="str">
        <f>formatIP(Table1[[#This Row],[Address A]])</f>
        <v>192.168.100.002</v>
      </c>
      <c r="P1998" s="8" t="str">
        <f>formatIP(Table1[[#This Row],[Address B]])</f>
        <v>065.055.223.031</v>
      </c>
      <c r="Q1998" s="8" t="e">
        <f>VLOOKUP(Table1[[#This Row],[Address A]],IP_Master[],4,FALSE)</f>
        <v>#N/A</v>
      </c>
      <c r="R1998" s="8" t="e">
        <f>VLOOKUP(Table1[[#This Row],[Address B]],IP_Master[],4,FALSE)</f>
        <v>#N/A</v>
      </c>
      <c r="S1998" s="8" t="e">
        <f>VLOOKUP(Table1[[#This Row],[Address A]],IP_Master[],2,FALSE)</f>
        <v>#N/A</v>
      </c>
      <c r="T1998" s="8" t="e">
        <f>VLOOKUP(Table1[[#This Row],[Address B]],IP_Master[],2,FALSE)</f>
        <v>#N/A</v>
      </c>
      <c r="U1998" s="9" t="e">
        <f>VLOOKUP(Table1[[#This Row],[Address A]],IP_Master[],3,FALSE)</f>
        <v>#N/A</v>
      </c>
      <c r="V1998" s="9" t="e">
        <f>VLOOKUP(Table1[[#This Row],[Address B]],IP_Master[],3,FALSE)</f>
        <v>#N/A</v>
      </c>
      <c r="W1998" s="9" t="str">
        <f>VLOOKUP(Table1[[#This Row],[Port B]],traffic_types[],2,FALSE)</f>
        <v>HTTP/S</v>
      </c>
    </row>
    <row r="1999" spans="1:23" x14ac:dyDescent="0.6">
      <c r="A1999" t="s">
        <v>224</v>
      </c>
      <c r="B1999">
        <v>60114</v>
      </c>
      <c r="C1999" t="s">
        <v>313</v>
      </c>
      <c r="D1999">
        <v>80</v>
      </c>
      <c r="E1999">
        <v>3</v>
      </c>
      <c r="F1999">
        <v>194</v>
      </c>
      <c r="G1999">
        <v>3</v>
      </c>
      <c r="H1999">
        <v>194</v>
      </c>
      <c r="I1999">
        <v>0</v>
      </c>
      <c r="J1999">
        <v>0</v>
      </c>
      <c r="K1999">
        <v>389.39162399999998</v>
      </c>
      <c r="L1999">
        <v>9.0003890000000393</v>
      </c>
      <c r="M1999">
        <v>172.43699133448499</v>
      </c>
      <c r="N1999">
        <v>0</v>
      </c>
      <c r="O1999" s="8" t="str">
        <f>formatIP(Table1[[#This Row],[Address A]])</f>
        <v>192.168.100.002</v>
      </c>
      <c r="P1999" s="8" t="str">
        <f>formatIP(Table1[[#This Row],[Address B]])</f>
        <v>065.055.223.031</v>
      </c>
      <c r="Q1999" s="8" t="e">
        <f>VLOOKUP(Table1[[#This Row],[Address A]],IP_Master[],4,FALSE)</f>
        <v>#N/A</v>
      </c>
      <c r="R1999" s="8" t="e">
        <f>VLOOKUP(Table1[[#This Row],[Address B]],IP_Master[],4,FALSE)</f>
        <v>#N/A</v>
      </c>
      <c r="S1999" s="8" t="e">
        <f>VLOOKUP(Table1[[#This Row],[Address A]],IP_Master[],2,FALSE)</f>
        <v>#N/A</v>
      </c>
      <c r="T1999" s="8" t="e">
        <f>VLOOKUP(Table1[[#This Row],[Address B]],IP_Master[],2,FALSE)</f>
        <v>#N/A</v>
      </c>
      <c r="U1999" s="9" t="e">
        <f>VLOOKUP(Table1[[#This Row],[Address A]],IP_Master[],3,FALSE)</f>
        <v>#N/A</v>
      </c>
      <c r="V1999" s="9" t="e">
        <f>VLOOKUP(Table1[[#This Row],[Address B]],IP_Master[],3,FALSE)</f>
        <v>#N/A</v>
      </c>
      <c r="W1999" s="9" t="str">
        <f>VLOOKUP(Table1[[#This Row],[Port B]],traffic_types[],2,FALSE)</f>
        <v>HTTP</v>
      </c>
    </row>
    <row r="2000" spans="1:23" hidden="1" x14ac:dyDescent="0.6">
      <c r="A2000" t="s">
        <v>224</v>
      </c>
      <c r="B2000">
        <v>60115</v>
      </c>
      <c r="C2000" t="s">
        <v>314</v>
      </c>
      <c r="D2000">
        <v>40020</v>
      </c>
      <c r="E2000">
        <v>3</v>
      </c>
      <c r="F2000">
        <v>194</v>
      </c>
      <c r="G2000">
        <v>3</v>
      </c>
      <c r="H2000">
        <v>194</v>
      </c>
      <c r="I2000">
        <v>0</v>
      </c>
      <c r="J2000">
        <v>0</v>
      </c>
      <c r="K2000">
        <v>400.28421700000001</v>
      </c>
      <c r="L2000">
        <v>8.9977349999999792</v>
      </c>
      <c r="M2000">
        <v>172.487853887673</v>
      </c>
      <c r="N2000">
        <v>0</v>
      </c>
      <c r="O2000" s="8" t="str">
        <f>formatIP(Table1[[#This Row],[Address A]])</f>
        <v>192.168.100.002</v>
      </c>
      <c r="P2000" s="8" t="str">
        <f>formatIP(Table1[[#This Row],[Address B]])</f>
        <v>157.056.052.034</v>
      </c>
      <c r="Q2000" s="8" t="e">
        <f>VLOOKUP(Table1[[#This Row],[Address A]],IP_Master[],4,FALSE)</f>
        <v>#N/A</v>
      </c>
      <c r="R2000" s="8" t="e">
        <f>VLOOKUP(Table1[[#This Row],[Address B]],IP_Master[],4,FALSE)</f>
        <v>#N/A</v>
      </c>
      <c r="S2000" s="8" t="e">
        <f>VLOOKUP(Table1[[#This Row],[Address A]],IP_Master[],2,FALSE)</f>
        <v>#N/A</v>
      </c>
      <c r="T2000" s="8" t="e">
        <f>VLOOKUP(Table1[[#This Row],[Address B]],IP_Master[],2,FALSE)</f>
        <v>#N/A</v>
      </c>
      <c r="U2000" s="9" t="e">
        <f>VLOOKUP(Table1[[#This Row],[Address A]],IP_Master[],3,FALSE)</f>
        <v>#N/A</v>
      </c>
      <c r="V2000" s="9" t="e">
        <f>VLOOKUP(Table1[[#This Row],[Address B]],IP_Master[],3,FALSE)</f>
        <v>#N/A</v>
      </c>
      <c r="W2000" s="9" t="e">
        <f>VLOOKUP(Table1[[#This Row],[Port B]],traffic_types[],2,FALSE)</f>
        <v>#N/A</v>
      </c>
    </row>
    <row r="2001" spans="1:23" hidden="1" x14ac:dyDescent="0.6">
      <c r="A2001" t="s">
        <v>224</v>
      </c>
      <c r="B2001">
        <v>60116</v>
      </c>
      <c r="C2001" t="s">
        <v>315</v>
      </c>
      <c r="D2001">
        <v>40021</v>
      </c>
      <c r="E2001">
        <v>3</v>
      </c>
      <c r="F2001">
        <v>194</v>
      </c>
      <c r="G2001">
        <v>3</v>
      </c>
      <c r="H2001">
        <v>194</v>
      </c>
      <c r="I2001">
        <v>0</v>
      </c>
      <c r="J2001">
        <v>0</v>
      </c>
      <c r="K2001">
        <v>400.285326</v>
      </c>
      <c r="L2001">
        <v>8.9966289999999791</v>
      </c>
      <c r="M2001">
        <v>172.509058670754</v>
      </c>
      <c r="N2001">
        <v>0</v>
      </c>
      <c r="O2001" s="8" t="str">
        <f>formatIP(Table1[[#This Row],[Address A]])</f>
        <v>192.168.100.002</v>
      </c>
      <c r="P2001" s="8" t="str">
        <f>formatIP(Table1[[#This Row],[Address B]])</f>
        <v>157.056.052.025</v>
      </c>
      <c r="Q2001" s="8" t="e">
        <f>VLOOKUP(Table1[[#This Row],[Address A]],IP_Master[],4,FALSE)</f>
        <v>#N/A</v>
      </c>
      <c r="R2001" s="8" t="e">
        <f>VLOOKUP(Table1[[#This Row],[Address B]],IP_Master[],4,FALSE)</f>
        <v>#N/A</v>
      </c>
      <c r="S2001" s="8" t="e">
        <f>VLOOKUP(Table1[[#This Row],[Address A]],IP_Master[],2,FALSE)</f>
        <v>#N/A</v>
      </c>
      <c r="T2001" s="8" t="e">
        <f>VLOOKUP(Table1[[#This Row],[Address B]],IP_Master[],2,FALSE)</f>
        <v>#N/A</v>
      </c>
      <c r="U2001" s="9" t="e">
        <f>VLOOKUP(Table1[[#This Row],[Address A]],IP_Master[],3,FALSE)</f>
        <v>#N/A</v>
      </c>
      <c r="V2001" s="9" t="e">
        <f>VLOOKUP(Table1[[#This Row],[Address B]],IP_Master[],3,FALSE)</f>
        <v>#N/A</v>
      </c>
      <c r="W2001" s="9" t="e">
        <f>VLOOKUP(Table1[[#This Row],[Port B]],traffic_types[],2,FALSE)</f>
        <v>#N/A</v>
      </c>
    </row>
    <row r="2002" spans="1:23" x14ac:dyDescent="0.6">
      <c r="A2002" t="s">
        <v>224</v>
      </c>
      <c r="B2002">
        <v>60117</v>
      </c>
      <c r="C2002" t="s">
        <v>314</v>
      </c>
      <c r="D2002">
        <v>443</v>
      </c>
      <c r="E2002">
        <v>3</v>
      </c>
      <c r="F2002">
        <v>194</v>
      </c>
      <c r="G2002">
        <v>3</v>
      </c>
      <c r="H2002">
        <v>194</v>
      </c>
      <c r="I2002">
        <v>0</v>
      </c>
      <c r="J2002">
        <v>0</v>
      </c>
      <c r="K2002">
        <v>401.931892</v>
      </c>
      <c r="L2002">
        <v>8.9701850000000096</v>
      </c>
      <c r="M2002">
        <v>173.017613349111</v>
      </c>
      <c r="N2002">
        <v>0</v>
      </c>
      <c r="O2002" s="8" t="str">
        <f>formatIP(Table1[[#This Row],[Address A]])</f>
        <v>192.168.100.002</v>
      </c>
      <c r="P2002" s="8" t="str">
        <f>formatIP(Table1[[#This Row],[Address B]])</f>
        <v>157.056.052.034</v>
      </c>
      <c r="Q2002" s="8" t="e">
        <f>VLOOKUP(Table1[[#This Row],[Address A]],IP_Master[],4,FALSE)</f>
        <v>#N/A</v>
      </c>
      <c r="R2002" s="8" t="e">
        <f>VLOOKUP(Table1[[#This Row],[Address B]],IP_Master[],4,FALSE)</f>
        <v>#N/A</v>
      </c>
      <c r="S2002" s="8" t="e">
        <f>VLOOKUP(Table1[[#This Row],[Address A]],IP_Master[],2,FALSE)</f>
        <v>#N/A</v>
      </c>
      <c r="T2002" s="8" t="e">
        <f>VLOOKUP(Table1[[#This Row],[Address B]],IP_Master[],2,FALSE)</f>
        <v>#N/A</v>
      </c>
      <c r="U2002" s="9" t="e">
        <f>VLOOKUP(Table1[[#This Row],[Address A]],IP_Master[],3,FALSE)</f>
        <v>#N/A</v>
      </c>
      <c r="V2002" s="9" t="e">
        <f>VLOOKUP(Table1[[#This Row],[Address B]],IP_Master[],3,FALSE)</f>
        <v>#N/A</v>
      </c>
      <c r="W2002" s="9" t="str">
        <f>VLOOKUP(Table1[[#This Row],[Port B]],traffic_types[],2,FALSE)</f>
        <v>HTTP/S</v>
      </c>
    </row>
    <row r="2003" spans="1:23" x14ac:dyDescent="0.6">
      <c r="A2003" t="s">
        <v>224</v>
      </c>
      <c r="B2003">
        <v>60118</v>
      </c>
      <c r="C2003" t="s">
        <v>315</v>
      </c>
      <c r="D2003">
        <v>443</v>
      </c>
      <c r="E2003">
        <v>3</v>
      </c>
      <c r="F2003">
        <v>194</v>
      </c>
      <c r="G2003">
        <v>3</v>
      </c>
      <c r="H2003">
        <v>194</v>
      </c>
      <c r="I2003">
        <v>0</v>
      </c>
      <c r="J2003">
        <v>0</v>
      </c>
      <c r="K2003">
        <v>401.931895</v>
      </c>
      <c r="L2003">
        <v>8.9701779999999793</v>
      </c>
      <c r="M2003">
        <v>173.017748365752</v>
      </c>
      <c r="N2003">
        <v>0</v>
      </c>
      <c r="O2003" s="8" t="str">
        <f>formatIP(Table1[[#This Row],[Address A]])</f>
        <v>192.168.100.002</v>
      </c>
      <c r="P2003" s="8" t="str">
        <f>formatIP(Table1[[#This Row],[Address B]])</f>
        <v>157.056.052.025</v>
      </c>
      <c r="Q2003" s="8" t="e">
        <f>VLOOKUP(Table1[[#This Row],[Address A]],IP_Master[],4,FALSE)</f>
        <v>#N/A</v>
      </c>
      <c r="R2003" s="8" t="e">
        <f>VLOOKUP(Table1[[#This Row],[Address B]],IP_Master[],4,FALSE)</f>
        <v>#N/A</v>
      </c>
      <c r="S2003" s="8" t="e">
        <f>VLOOKUP(Table1[[#This Row],[Address A]],IP_Master[],2,FALSE)</f>
        <v>#N/A</v>
      </c>
      <c r="T2003" s="8" t="e">
        <f>VLOOKUP(Table1[[#This Row],[Address B]],IP_Master[],2,FALSE)</f>
        <v>#N/A</v>
      </c>
      <c r="U2003" s="9" t="e">
        <f>VLOOKUP(Table1[[#This Row],[Address A]],IP_Master[],3,FALSE)</f>
        <v>#N/A</v>
      </c>
      <c r="V2003" s="9" t="e">
        <f>VLOOKUP(Table1[[#This Row],[Address B]],IP_Master[],3,FALSE)</f>
        <v>#N/A</v>
      </c>
      <c r="W2003" s="9" t="str">
        <f>VLOOKUP(Table1[[#This Row],[Port B]],traffic_types[],2,FALSE)</f>
        <v>HTTP/S</v>
      </c>
    </row>
    <row r="2004" spans="1:23" x14ac:dyDescent="0.6">
      <c r="A2004" t="s">
        <v>224</v>
      </c>
      <c r="B2004">
        <v>60119</v>
      </c>
      <c r="C2004" t="s">
        <v>314</v>
      </c>
      <c r="D2004">
        <v>80</v>
      </c>
      <c r="E2004">
        <v>3</v>
      </c>
      <c r="F2004">
        <v>194</v>
      </c>
      <c r="G2004">
        <v>3</v>
      </c>
      <c r="H2004">
        <v>194</v>
      </c>
      <c r="I2004">
        <v>0</v>
      </c>
      <c r="J2004">
        <v>0</v>
      </c>
      <c r="K2004">
        <v>403.522966</v>
      </c>
      <c r="L2004">
        <v>8.9990870000000296</v>
      </c>
      <c r="M2004">
        <v>172.46193975010999</v>
      </c>
      <c r="N2004">
        <v>0</v>
      </c>
      <c r="O2004" s="8" t="str">
        <f>formatIP(Table1[[#This Row],[Address A]])</f>
        <v>192.168.100.002</v>
      </c>
      <c r="P2004" s="8" t="str">
        <f>formatIP(Table1[[#This Row],[Address B]])</f>
        <v>157.056.052.034</v>
      </c>
      <c r="Q2004" s="8" t="e">
        <f>VLOOKUP(Table1[[#This Row],[Address A]],IP_Master[],4,FALSE)</f>
        <v>#N/A</v>
      </c>
      <c r="R2004" s="8" t="e">
        <f>VLOOKUP(Table1[[#This Row],[Address B]],IP_Master[],4,FALSE)</f>
        <v>#N/A</v>
      </c>
      <c r="S2004" s="8" t="e">
        <f>VLOOKUP(Table1[[#This Row],[Address A]],IP_Master[],2,FALSE)</f>
        <v>#N/A</v>
      </c>
      <c r="T2004" s="8" t="e">
        <f>VLOOKUP(Table1[[#This Row],[Address B]],IP_Master[],2,FALSE)</f>
        <v>#N/A</v>
      </c>
      <c r="U2004" s="9" t="e">
        <f>VLOOKUP(Table1[[#This Row],[Address A]],IP_Master[],3,FALSE)</f>
        <v>#N/A</v>
      </c>
      <c r="V2004" s="9" t="e">
        <f>VLOOKUP(Table1[[#This Row],[Address B]],IP_Master[],3,FALSE)</f>
        <v>#N/A</v>
      </c>
      <c r="W2004" s="9" t="str">
        <f>VLOOKUP(Table1[[#This Row],[Port B]],traffic_types[],2,FALSE)</f>
        <v>HTTP</v>
      </c>
    </row>
    <row r="2005" spans="1:23" x14ac:dyDescent="0.6">
      <c r="A2005" t="s">
        <v>224</v>
      </c>
      <c r="B2005">
        <v>60120</v>
      </c>
      <c r="C2005" t="s">
        <v>315</v>
      </c>
      <c r="D2005">
        <v>80</v>
      </c>
      <c r="E2005">
        <v>3</v>
      </c>
      <c r="F2005">
        <v>194</v>
      </c>
      <c r="G2005">
        <v>3</v>
      </c>
      <c r="H2005">
        <v>194</v>
      </c>
      <c r="I2005">
        <v>0</v>
      </c>
      <c r="J2005">
        <v>0</v>
      </c>
      <c r="K2005">
        <v>403.52296899999999</v>
      </c>
      <c r="L2005">
        <v>8.9990870000000296</v>
      </c>
      <c r="M2005">
        <v>172.46193975010999</v>
      </c>
      <c r="N2005">
        <v>0</v>
      </c>
      <c r="O2005" s="8" t="str">
        <f>formatIP(Table1[[#This Row],[Address A]])</f>
        <v>192.168.100.002</v>
      </c>
      <c r="P2005" s="8" t="str">
        <f>formatIP(Table1[[#This Row],[Address B]])</f>
        <v>157.056.052.025</v>
      </c>
      <c r="Q2005" s="8" t="e">
        <f>VLOOKUP(Table1[[#This Row],[Address A]],IP_Master[],4,FALSE)</f>
        <v>#N/A</v>
      </c>
      <c r="R2005" s="8" t="e">
        <f>VLOOKUP(Table1[[#This Row],[Address B]],IP_Master[],4,FALSE)</f>
        <v>#N/A</v>
      </c>
      <c r="S2005" s="8" t="e">
        <f>VLOOKUP(Table1[[#This Row],[Address A]],IP_Master[],2,FALSE)</f>
        <v>#N/A</v>
      </c>
      <c r="T2005" s="8" t="e">
        <f>VLOOKUP(Table1[[#This Row],[Address B]],IP_Master[],2,FALSE)</f>
        <v>#N/A</v>
      </c>
      <c r="U2005" s="9" t="e">
        <f>VLOOKUP(Table1[[#This Row],[Address A]],IP_Master[],3,FALSE)</f>
        <v>#N/A</v>
      </c>
      <c r="V2005" s="9" t="e">
        <f>VLOOKUP(Table1[[#This Row],[Address B]],IP_Master[],3,FALSE)</f>
        <v>#N/A</v>
      </c>
      <c r="W2005" s="9" t="str">
        <f>VLOOKUP(Table1[[#This Row],[Port B]],traffic_types[],2,FALSE)</f>
        <v>HTTP</v>
      </c>
    </row>
    <row r="2006" spans="1:23" x14ac:dyDescent="0.6">
      <c r="A2006" t="s">
        <v>224</v>
      </c>
      <c r="B2006">
        <v>60121</v>
      </c>
      <c r="C2006" t="s">
        <v>232</v>
      </c>
      <c r="D2006">
        <v>443</v>
      </c>
      <c r="E2006">
        <v>3</v>
      </c>
      <c r="F2006">
        <v>194</v>
      </c>
      <c r="G2006">
        <v>3</v>
      </c>
      <c r="H2006">
        <v>194</v>
      </c>
      <c r="I2006">
        <v>0</v>
      </c>
      <c r="J2006">
        <v>0</v>
      </c>
      <c r="K2006">
        <v>404.30325499999998</v>
      </c>
      <c r="L2006">
        <v>8.9997500000000095</v>
      </c>
      <c r="M2006">
        <v>172.44923470096401</v>
      </c>
      <c r="N2006">
        <v>0</v>
      </c>
      <c r="O2006" s="8" t="str">
        <f>formatIP(Table1[[#This Row],[Address A]])</f>
        <v>192.168.100.002</v>
      </c>
      <c r="P2006" s="8" t="str">
        <f>formatIP(Table1[[#This Row],[Address B]])</f>
        <v>103.043.075.140</v>
      </c>
      <c r="Q2006" s="8" t="e">
        <f>VLOOKUP(Table1[[#This Row],[Address A]],IP_Master[],4,FALSE)</f>
        <v>#N/A</v>
      </c>
      <c r="R2006" s="8" t="e">
        <f>VLOOKUP(Table1[[#This Row],[Address B]],IP_Master[],4,FALSE)</f>
        <v>#N/A</v>
      </c>
      <c r="S2006" s="8" t="e">
        <f>VLOOKUP(Table1[[#This Row],[Address A]],IP_Master[],2,FALSE)</f>
        <v>#N/A</v>
      </c>
      <c r="T2006" s="8" t="e">
        <f>VLOOKUP(Table1[[#This Row],[Address B]],IP_Master[],2,FALSE)</f>
        <v>#N/A</v>
      </c>
      <c r="U2006" s="9" t="e">
        <f>VLOOKUP(Table1[[#This Row],[Address A]],IP_Master[],3,FALSE)</f>
        <v>#N/A</v>
      </c>
      <c r="V2006" s="9" t="e">
        <f>VLOOKUP(Table1[[#This Row],[Address B]],IP_Master[],3,FALSE)</f>
        <v>#N/A</v>
      </c>
      <c r="W2006" s="9" t="str">
        <f>VLOOKUP(Table1[[#This Row],[Port B]],traffic_types[],2,FALSE)</f>
        <v>HTTP/S</v>
      </c>
    </row>
    <row r="2007" spans="1:23" x14ac:dyDescent="0.6">
      <c r="A2007" t="s">
        <v>224</v>
      </c>
      <c r="B2007">
        <v>60122</v>
      </c>
      <c r="C2007" t="s">
        <v>232</v>
      </c>
      <c r="D2007">
        <v>80</v>
      </c>
      <c r="E2007">
        <v>3</v>
      </c>
      <c r="F2007">
        <v>194</v>
      </c>
      <c r="G2007">
        <v>3</v>
      </c>
      <c r="H2007">
        <v>194</v>
      </c>
      <c r="I2007">
        <v>0</v>
      </c>
      <c r="J2007">
        <v>0</v>
      </c>
      <c r="K2007">
        <v>406.30287099999998</v>
      </c>
      <c r="L2007">
        <v>9.00014500000003</v>
      </c>
      <c r="M2007">
        <v>172.44166621759899</v>
      </c>
      <c r="N2007">
        <v>0</v>
      </c>
      <c r="O2007" s="8" t="str">
        <f>formatIP(Table1[[#This Row],[Address A]])</f>
        <v>192.168.100.002</v>
      </c>
      <c r="P2007" s="8" t="str">
        <f>formatIP(Table1[[#This Row],[Address B]])</f>
        <v>103.043.075.140</v>
      </c>
      <c r="Q2007" s="8" t="e">
        <f>VLOOKUP(Table1[[#This Row],[Address A]],IP_Master[],4,FALSE)</f>
        <v>#N/A</v>
      </c>
      <c r="R2007" s="8" t="e">
        <f>VLOOKUP(Table1[[#This Row],[Address B]],IP_Master[],4,FALSE)</f>
        <v>#N/A</v>
      </c>
      <c r="S2007" s="8" t="e">
        <f>VLOOKUP(Table1[[#This Row],[Address A]],IP_Master[],2,FALSE)</f>
        <v>#N/A</v>
      </c>
      <c r="T2007" s="8" t="e">
        <f>VLOOKUP(Table1[[#This Row],[Address B]],IP_Master[],2,FALSE)</f>
        <v>#N/A</v>
      </c>
      <c r="U2007" s="9" t="e">
        <f>VLOOKUP(Table1[[#This Row],[Address A]],IP_Master[],3,FALSE)</f>
        <v>#N/A</v>
      </c>
      <c r="V2007" s="9" t="e">
        <f>VLOOKUP(Table1[[#This Row],[Address B]],IP_Master[],3,FALSE)</f>
        <v>#N/A</v>
      </c>
      <c r="W2007" s="9" t="str">
        <f>VLOOKUP(Table1[[#This Row],[Port B]],traffic_types[],2,FALSE)</f>
        <v>HTTP</v>
      </c>
    </row>
    <row r="2008" spans="1:23" hidden="1" x14ac:dyDescent="0.6">
      <c r="A2008" t="s">
        <v>224</v>
      </c>
      <c r="B2008">
        <v>60123</v>
      </c>
      <c r="C2008" t="s">
        <v>316</v>
      </c>
      <c r="D2008">
        <v>12350</v>
      </c>
      <c r="E2008">
        <v>3</v>
      </c>
      <c r="F2008">
        <v>194</v>
      </c>
      <c r="G2008">
        <v>3</v>
      </c>
      <c r="H2008">
        <v>194</v>
      </c>
      <c r="I2008">
        <v>0</v>
      </c>
      <c r="J2008">
        <v>0</v>
      </c>
      <c r="K2008">
        <v>410.84405700000002</v>
      </c>
      <c r="L2008">
        <v>8.9989809999999597</v>
      </c>
      <c r="M2008">
        <v>172.46397119851801</v>
      </c>
      <c r="N2008">
        <v>0</v>
      </c>
      <c r="O2008" s="8" t="str">
        <f>formatIP(Table1[[#This Row],[Address A]])</f>
        <v>192.168.100.002</v>
      </c>
      <c r="P2008" s="8" t="str">
        <f>formatIP(Table1[[#This Row],[Address B]])</f>
        <v>091.190.218.066</v>
      </c>
      <c r="Q2008" s="8" t="e">
        <f>VLOOKUP(Table1[[#This Row],[Address A]],IP_Master[],4,FALSE)</f>
        <v>#N/A</v>
      </c>
      <c r="R2008" s="8" t="e">
        <f>VLOOKUP(Table1[[#This Row],[Address B]],IP_Master[],4,FALSE)</f>
        <v>#N/A</v>
      </c>
      <c r="S2008" s="8" t="e">
        <f>VLOOKUP(Table1[[#This Row],[Address A]],IP_Master[],2,FALSE)</f>
        <v>#N/A</v>
      </c>
      <c r="T2008" s="8" t="e">
        <f>VLOOKUP(Table1[[#This Row],[Address B]],IP_Master[],2,FALSE)</f>
        <v>#N/A</v>
      </c>
      <c r="U2008" s="9" t="e">
        <f>VLOOKUP(Table1[[#This Row],[Address A]],IP_Master[],3,FALSE)</f>
        <v>#N/A</v>
      </c>
      <c r="V2008" s="9" t="e">
        <f>VLOOKUP(Table1[[#This Row],[Address B]],IP_Master[],3,FALSE)</f>
        <v>#N/A</v>
      </c>
      <c r="W2008" s="9" t="e">
        <f>VLOOKUP(Table1[[#This Row],[Port B]],traffic_types[],2,FALSE)</f>
        <v>#N/A</v>
      </c>
    </row>
    <row r="2009" spans="1:23" hidden="1" x14ac:dyDescent="0.6">
      <c r="A2009" t="s">
        <v>224</v>
      </c>
      <c r="B2009">
        <v>60124</v>
      </c>
      <c r="C2009" t="s">
        <v>317</v>
      </c>
      <c r="D2009">
        <v>40024</v>
      </c>
      <c r="E2009">
        <v>3</v>
      </c>
      <c r="F2009">
        <v>194</v>
      </c>
      <c r="G2009">
        <v>3</v>
      </c>
      <c r="H2009">
        <v>194</v>
      </c>
      <c r="I2009">
        <v>0</v>
      </c>
      <c r="J2009">
        <v>0</v>
      </c>
      <c r="K2009">
        <v>412.42506200000003</v>
      </c>
      <c r="L2009">
        <v>8.9989779999999708</v>
      </c>
      <c r="M2009">
        <v>172.46402869303699</v>
      </c>
      <c r="N2009">
        <v>0</v>
      </c>
      <c r="O2009" s="8" t="str">
        <f>formatIP(Table1[[#This Row],[Address A]])</f>
        <v>192.168.100.002</v>
      </c>
      <c r="P2009" s="8" t="str">
        <f>formatIP(Table1[[#This Row],[Address B]])</f>
        <v>111.221.077.176</v>
      </c>
      <c r="Q2009" s="8" t="e">
        <f>VLOOKUP(Table1[[#This Row],[Address A]],IP_Master[],4,FALSE)</f>
        <v>#N/A</v>
      </c>
      <c r="R2009" s="8" t="e">
        <f>VLOOKUP(Table1[[#This Row],[Address B]],IP_Master[],4,FALSE)</f>
        <v>#N/A</v>
      </c>
      <c r="S2009" s="8" t="e">
        <f>VLOOKUP(Table1[[#This Row],[Address A]],IP_Master[],2,FALSE)</f>
        <v>#N/A</v>
      </c>
      <c r="T2009" s="8" t="e">
        <f>VLOOKUP(Table1[[#This Row],[Address B]],IP_Master[],2,FALSE)</f>
        <v>#N/A</v>
      </c>
      <c r="U2009" s="9" t="e">
        <f>VLOOKUP(Table1[[#This Row],[Address A]],IP_Master[],3,FALSE)</f>
        <v>#N/A</v>
      </c>
      <c r="V2009" s="9" t="e">
        <f>VLOOKUP(Table1[[#This Row],[Address B]],IP_Master[],3,FALSE)</f>
        <v>#N/A</v>
      </c>
      <c r="W2009" s="9" t="e">
        <f>VLOOKUP(Table1[[#This Row],[Port B]],traffic_types[],2,FALSE)</f>
        <v>#N/A</v>
      </c>
    </row>
    <row r="2010" spans="1:23" x14ac:dyDescent="0.6">
      <c r="A2010" t="s">
        <v>224</v>
      </c>
      <c r="B2010">
        <v>60125</v>
      </c>
      <c r="C2010" t="s">
        <v>316</v>
      </c>
      <c r="D2010">
        <v>443</v>
      </c>
      <c r="E2010">
        <v>3</v>
      </c>
      <c r="F2010">
        <v>194</v>
      </c>
      <c r="G2010">
        <v>3</v>
      </c>
      <c r="H2010">
        <v>194</v>
      </c>
      <c r="I2010">
        <v>0</v>
      </c>
      <c r="J2010">
        <v>0</v>
      </c>
      <c r="K2010">
        <v>412.463302</v>
      </c>
      <c r="L2010">
        <v>9.0006769999999996</v>
      </c>
      <c r="M2010">
        <v>172.431473765807</v>
      </c>
      <c r="N2010">
        <v>0</v>
      </c>
      <c r="O2010" s="8" t="str">
        <f>formatIP(Table1[[#This Row],[Address A]])</f>
        <v>192.168.100.002</v>
      </c>
      <c r="P2010" s="8" t="str">
        <f>formatIP(Table1[[#This Row],[Address B]])</f>
        <v>091.190.218.066</v>
      </c>
      <c r="Q2010" s="8" t="e">
        <f>VLOOKUP(Table1[[#This Row],[Address A]],IP_Master[],4,FALSE)</f>
        <v>#N/A</v>
      </c>
      <c r="R2010" s="8" t="e">
        <f>VLOOKUP(Table1[[#This Row],[Address B]],IP_Master[],4,FALSE)</f>
        <v>#N/A</v>
      </c>
      <c r="S2010" s="8" t="e">
        <f>VLOOKUP(Table1[[#This Row],[Address A]],IP_Master[],2,FALSE)</f>
        <v>#N/A</v>
      </c>
      <c r="T2010" s="8" t="e">
        <f>VLOOKUP(Table1[[#This Row],[Address B]],IP_Master[],2,FALSE)</f>
        <v>#N/A</v>
      </c>
      <c r="U2010" s="9" t="e">
        <f>VLOOKUP(Table1[[#This Row],[Address A]],IP_Master[],3,FALSE)</f>
        <v>#N/A</v>
      </c>
      <c r="V2010" s="9" t="e">
        <f>VLOOKUP(Table1[[#This Row],[Address B]],IP_Master[],3,FALSE)</f>
        <v>#N/A</v>
      </c>
      <c r="W2010" s="9" t="str">
        <f>VLOOKUP(Table1[[#This Row],[Port B]],traffic_types[],2,FALSE)</f>
        <v>HTTP/S</v>
      </c>
    </row>
    <row r="2011" spans="1:23" x14ac:dyDescent="0.6">
      <c r="A2011" t="s">
        <v>224</v>
      </c>
      <c r="B2011">
        <v>60126</v>
      </c>
      <c r="C2011" t="s">
        <v>317</v>
      </c>
      <c r="D2011">
        <v>443</v>
      </c>
      <c r="E2011">
        <v>3</v>
      </c>
      <c r="F2011">
        <v>194</v>
      </c>
      <c r="G2011">
        <v>3</v>
      </c>
      <c r="H2011">
        <v>194</v>
      </c>
      <c r="I2011">
        <v>0</v>
      </c>
      <c r="J2011">
        <v>0</v>
      </c>
      <c r="K2011">
        <v>414.04348099999999</v>
      </c>
      <c r="L2011">
        <v>9.0004220000000092</v>
      </c>
      <c r="M2011">
        <v>172.436359095162</v>
      </c>
      <c r="N2011">
        <v>0</v>
      </c>
      <c r="O2011" s="8" t="str">
        <f>formatIP(Table1[[#This Row],[Address A]])</f>
        <v>192.168.100.002</v>
      </c>
      <c r="P2011" s="8" t="str">
        <f>formatIP(Table1[[#This Row],[Address B]])</f>
        <v>111.221.077.176</v>
      </c>
      <c r="Q2011" s="8" t="e">
        <f>VLOOKUP(Table1[[#This Row],[Address A]],IP_Master[],4,FALSE)</f>
        <v>#N/A</v>
      </c>
      <c r="R2011" s="8" t="e">
        <f>VLOOKUP(Table1[[#This Row],[Address B]],IP_Master[],4,FALSE)</f>
        <v>#N/A</v>
      </c>
      <c r="S2011" s="8" t="e">
        <f>VLOOKUP(Table1[[#This Row],[Address A]],IP_Master[],2,FALSE)</f>
        <v>#N/A</v>
      </c>
      <c r="T2011" s="8" t="e">
        <f>VLOOKUP(Table1[[#This Row],[Address B]],IP_Master[],2,FALSE)</f>
        <v>#N/A</v>
      </c>
      <c r="U2011" s="9" t="e">
        <f>VLOOKUP(Table1[[#This Row],[Address A]],IP_Master[],3,FALSE)</f>
        <v>#N/A</v>
      </c>
      <c r="V2011" s="9" t="e">
        <f>VLOOKUP(Table1[[#This Row],[Address B]],IP_Master[],3,FALSE)</f>
        <v>#N/A</v>
      </c>
      <c r="W2011" s="9" t="str">
        <f>VLOOKUP(Table1[[#This Row],[Port B]],traffic_types[],2,FALSE)</f>
        <v>HTTP/S</v>
      </c>
    </row>
    <row r="2012" spans="1:23" x14ac:dyDescent="0.6">
      <c r="A2012" t="s">
        <v>224</v>
      </c>
      <c r="B2012">
        <v>60127</v>
      </c>
      <c r="C2012" t="s">
        <v>316</v>
      </c>
      <c r="D2012">
        <v>80</v>
      </c>
      <c r="E2012">
        <v>3</v>
      </c>
      <c r="F2012">
        <v>194</v>
      </c>
      <c r="G2012">
        <v>3</v>
      </c>
      <c r="H2012">
        <v>194</v>
      </c>
      <c r="I2012">
        <v>0</v>
      </c>
      <c r="J2012">
        <v>0</v>
      </c>
      <c r="K2012">
        <v>414.08336500000001</v>
      </c>
      <c r="L2012">
        <v>9.0006789999999892</v>
      </c>
      <c r="M2012">
        <v>172.43143545059201</v>
      </c>
      <c r="N2012">
        <v>0</v>
      </c>
      <c r="O2012" s="8" t="str">
        <f>formatIP(Table1[[#This Row],[Address A]])</f>
        <v>192.168.100.002</v>
      </c>
      <c r="P2012" s="8" t="str">
        <f>formatIP(Table1[[#This Row],[Address B]])</f>
        <v>091.190.218.066</v>
      </c>
      <c r="Q2012" s="8" t="e">
        <f>VLOOKUP(Table1[[#This Row],[Address A]],IP_Master[],4,FALSE)</f>
        <v>#N/A</v>
      </c>
      <c r="R2012" s="8" t="e">
        <f>VLOOKUP(Table1[[#This Row],[Address B]],IP_Master[],4,FALSE)</f>
        <v>#N/A</v>
      </c>
      <c r="S2012" s="8" t="e">
        <f>VLOOKUP(Table1[[#This Row],[Address A]],IP_Master[],2,FALSE)</f>
        <v>#N/A</v>
      </c>
      <c r="T2012" s="8" t="e">
        <f>VLOOKUP(Table1[[#This Row],[Address B]],IP_Master[],2,FALSE)</f>
        <v>#N/A</v>
      </c>
      <c r="U2012" s="9" t="e">
        <f>VLOOKUP(Table1[[#This Row],[Address A]],IP_Master[],3,FALSE)</f>
        <v>#N/A</v>
      </c>
      <c r="V2012" s="9" t="e">
        <f>VLOOKUP(Table1[[#This Row],[Address B]],IP_Master[],3,FALSE)</f>
        <v>#N/A</v>
      </c>
      <c r="W2012" s="9" t="str">
        <f>VLOOKUP(Table1[[#This Row],[Port B]],traffic_types[],2,FALSE)</f>
        <v>HTTP</v>
      </c>
    </row>
    <row r="2013" spans="1:23" x14ac:dyDescent="0.6">
      <c r="A2013" t="s">
        <v>224</v>
      </c>
      <c r="B2013">
        <v>60128</v>
      </c>
      <c r="C2013" t="s">
        <v>317</v>
      </c>
      <c r="D2013">
        <v>80</v>
      </c>
      <c r="E2013">
        <v>3</v>
      </c>
      <c r="F2013">
        <v>194</v>
      </c>
      <c r="G2013">
        <v>3</v>
      </c>
      <c r="H2013">
        <v>194</v>
      </c>
      <c r="I2013">
        <v>0</v>
      </c>
      <c r="J2013">
        <v>0</v>
      </c>
      <c r="K2013">
        <v>415.66356500000001</v>
      </c>
      <c r="L2013">
        <v>9.0003800000000105</v>
      </c>
      <c r="M2013">
        <v>172.43716376419599</v>
      </c>
      <c r="N2013">
        <v>0</v>
      </c>
      <c r="O2013" s="8" t="str">
        <f>formatIP(Table1[[#This Row],[Address A]])</f>
        <v>192.168.100.002</v>
      </c>
      <c r="P2013" s="8" t="str">
        <f>formatIP(Table1[[#This Row],[Address B]])</f>
        <v>111.221.077.176</v>
      </c>
      <c r="Q2013" s="8" t="e">
        <f>VLOOKUP(Table1[[#This Row],[Address A]],IP_Master[],4,FALSE)</f>
        <v>#N/A</v>
      </c>
      <c r="R2013" s="8" t="e">
        <f>VLOOKUP(Table1[[#This Row],[Address B]],IP_Master[],4,FALSE)</f>
        <v>#N/A</v>
      </c>
      <c r="S2013" s="8" t="e">
        <f>VLOOKUP(Table1[[#This Row],[Address A]],IP_Master[],2,FALSE)</f>
        <v>#N/A</v>
      </c>
      <c r="T2013" s="8" t="e">
        <f>VLOOKUP(Table1[[#This Row],[Address B]],IP_Master[],2,FALSE)</f>
        <v>#N/A</v>
      </c>
      <c r="U2013" s="9" t="e">
        <f>VLOOKUP(Table1[[#This Row],[Address A]],IP_Master[],3,FALSE)</f>
        <v>#N/A</v>
      </c>
      <c r="V2013" s="9" t="e">
        <f>VLOOKUP(Table1[[#This Row],[Address B]],IP_Master[],3,FALSE)</f>
        <v>#N/A</v>
      </c>
      <c r="W2013" s="9" t="str">
        <f>VLOOKUP(Table1[[#This Row],[Port B]],traffic_types[],2,FALSE)</f>
        <v>HTTP</v>
      </c>
    </row>
    <row r="2014" spans="1:23" x14ac:dyDescent="0.6">
      <c r="A2014" t="s">
        <v>224</v>
      </c>
      <c r="B2014">
        <v>60129</v>
      </c>
      <c r="C2014" t="s">
        <v>241</v>
      </c>
      <c r="D2014">
        <v>443</v>
      </c>
      <c r="E2014">
        <v>3</v>
      </c>
      <c r="F2014">
        <v>194</v>
      </c>
      <c r="G2014">
        <v>3</v>
      </c>
      <c r="H2014">
        <v>194</v>
      </c>
      <c r="I2014">
        <v>0</v>
      </c>
      <c r="J2014">
        <v>0</v>
      </c>
      <c r="K2014">
        <v>420.30521099999999</v>
      </c>
      <c r="L2014">
        <v>8.9987639999999907</v>
      </c>
      <c r="M2014">
        <v>172.468130067641</v>
      </c>
      <c r="N2014">
        <v>0</v>
      </c>
      <c r="O2014" s="8" t="str">
        <f>formatIP(Table1[[#This Row],[Address A]])</f>
        <v>192.168.100.002</v>
      </c>
      <c r="P2014" s="8" t="str">
        <f>formatIP(Table1[[#This Row],[Address B]])</f>
        <v>078.046.049.023</v>
      </c>
      <c r="Q2014" s="8" t="e">
        <f>VLOOKUP(Table1[[#This Row],[Address A]],IP_Master[],4,FALSE)</f>
        <v>#N/A</v>
      </c>
      <c r="R2014" s="8" t="e">
        <f>VLOOKUP(Table1[[#This Row],[Address B]],IP_Master[],4,FALSE)</f>
        <v>#N/A</v>
      </c>
      <c r="S2014" s="8" t="e">
        <f>VLOOKUP(Table1[[#This Row],[Address A]],IP_Master[],2,FALSE)</f>
        <v>#N/A</v>
      </c>
      <c r="T2014" s="8" t="e">
        <f>VLOOKUP(Table1[[#This Row],[Address B]],IP_Master[],2,FALSE)</f>
        <v>#N/A</v>
      </c>
      <c r="U2014" s="9" t="e">
        <f>VLOOKUP(Table1[[#This Row],[Address A]],IP_Master[],3,FALSE)</f>
        <v>#N/A</v>
      </c>
      <c r="V2014" s="9" t="e">
        <f>VLOOKUP(Table1[[#This Row],[Address B]],IP_Master[],3,FALSE)</f>
        <v>#N/A</v>
      </c>
      <c r="W2014" s="9" t="str">
        <f>VLOOKUP(Table1[[#This Row],[Port B]],traffic_types[],2,FALSE)</f>
        <v>HTTP/S</v>
      </c>
    </row>
    <row r="2015" spans="1:23" x14ac:dyDescent="0.6">
      <c r="A2015" t="s">
        <v>224</v>
      </c>
      <c r="B2015">
        <v>60130</v>
      </c>
      <c r="C2015" t="s">
        <v>241</v>
      </c>
      <c r="D2015">
        <v>80</v>
      </c>
      <c r="E2015">
        <v>3</v>
      </c>
      <c r="F2015">
        <v>194</v>
      </c>
      <c r="G2015">
        <v>3</v>
      </c>
      <c r="H2015">
        <v>194</v>
      </c>
      <c r="I2015">
        <v>0</v>
      </c>
      <c r="J2015">
        <v>0</v>
      </c>
      <c r="K2015">
        <v>422.33343600000001</v>
      </c>
      <c r="L2015">
        <v>8.9804399999999909</v>
      </c>
      <c r="M2015">
        <v>172.82003999803999</v>
      </c>
      <c r="N2015">
        <v>0</v>
      </c>
      <c r="O2015" s="8" t="str">
        <f>formatIP(Table1[[#This Row],[Address A]])</f>
        <v>192.168.100.002</v>
      </c>
      <c r="P2015" s="8" t="str">
        <f>formatIP(Table1[[#This Row],[Address B]])</f>
        <v>078.046.049.023</v>
      </c>
      <c r="Q2015" s="8" t="e">
        <f>VLOOKUP(Table1[[#This Row],[Address A]],IP_Master[],4,FALSE)</f>
        <v>#N/A</v>
      </c>
      <c r="R2015" s="8" t="e">
        <f>VLOOKUP(Table1[[#This Row],[Address B]],IP_Master[],4,FALSE)</f>
        <v>#N/A</v>
      </c>
      <c r="S2015" s="8" t="e">
        <f>VLOOKUP(Table1[[#This Row],[Address A]],IP_Master[],2,FALSE)</f>
        <v>#N/A</v>
      </c>
      <c r="T2015" s="8" t="e">
        <f>VLOOKUP(Table1[[#This Row],[Address B]],IP_Master[],2,FALSE)</f>
        <v>#N/A</v>
      </c>
      <c r="U2015" s="9" t="e">
        <f>VLOOKUP(Table1[[#This Row],[Address A]],IP_Master[],3,FALSE)</f>
        <v>#N/A</v>
      </c>
      <c r="V2015" s="9" t="e">
        <f>VLOOKUP(Table1[[#This Row],[Address B]],IP_Master[],3,FALSE)</f>
        <v>#N/A</v>
      </c>
      <c r="W2015" s="9" t="str">
        <f>VLOOKUP(Table1[[#This Row],[Port B]],traffic_types[],2,FALSE)</f>
        <v>HTTP</v>
      </c>
    </row>
    <row r="2016" spans="1:23" hidden="1" x14ac:dyDescent="0.6">
      <c r="A2016" t="s">
        <v>224</v>
      </c>
      <c r="B2016">
        <v>60131</v>
      </c>
      <c r="C2016" t="s">
        <v>228</v>
      </c>
      <c r="D2016">
        <v>40003</v>
      </c>
      <c r="E2016">
        <v>3</v>
      </c>
      <c r="F2016">
        <v>194</v>
      </c>
      <c r="G2016">
        <v>3</v>
      </c>
      <c r="H2016">
        <v>194</v>
      </c>
      <c r="I2016">
        <v>0</v>
      </c>
      <c r="J2016">
        <v>0</v>
      </c>
      <c r="K2016">
        <v>426.57599699999997</v>
      </c>
      <c r="L2016">
        <v>8.9979110000000393</v>
      </c>
      <c r="M2016">
        <v>172.48448000874799</v>
      </c>
      <c r="N2016">
        <v>0</v>
      </c>
      <c r="O2016" s="8" t="str">
        <f>formatIP(Table1[[#This Row],[Address A]])</f>
        <v>192.168.100.002</v>
      </c>
      <c r="P2016" s="8" t="str">
        <f>formatIP(Table1[[#This Row],[Address B]])</f>
        <v>157.055.056.156</v>
      </c>
      <c r="Q2016" s="8" t="e">
        <f>VLOOKUP(Table1[[#This Row],[Address A]],IP_Master[],4,FALSE)</f>
        <v>#N/A</v>
      </c>
      <c r="R2016" s="8" t="e">
        <f>VLOOKUP(Table1[[#This Row],[Address B]],IP_Master[],4,FALSE)</f>
        <v>#N/A</v>
      </c>
      <c r="S2016" s="8" t="e">
        <f>VLOOKUP(Table1[[#This Row],[Address A]],IP_Master[],2,FALSE)</f>
        <v>#N/A</v>
      </c>
      <c r="T2016" s="8" t="e">
        <f>VLOOKUP(Table1[[#This Row],[Address B]],IP_Master[],2,FALSE)</f>
        <v>#N/A</v>
      </c>
      <c r="U2016" s="9" t="e">
        <f>VLOOKUP(Table1[[#This Row],[Address A]],IP_Master[],3,FALSE)</f>
        <v>#N/A</v>
      </c>
      <c r="V2016" s="9" t="e">
        <f>VLOOKUP(Table1[[#This Row],[Address B]],IP_Master[],3,FALSE)</f>
        <v>#N/A</v>
      </c>
      <c r="W2016" s="9" t="e">
        <f>VLOOKUP(Table1[[#This Row],[Port B]],traffic_types[],2,FALSE)</f>
        <v>#N/A</v>
      </c>
    </row>
    <row r="2017" spans="1:23" hidden="1" x14ac:dyDescent="0.6">
      <c r="A2017" t="s">
        <v>224</v>
      </c>
      <c r="B2017">
        <v>60132</v>
      </c>
      <c r="C2017" t="s">
        <v>227</v>
      </c>
      <c r="D2017">
        <v>40031</v>
      </c>
      <c r="E2017">
        <v>3</v>
      </c>
      <c r="F2017">
        <v>194</v>
      </c>
      <c r="G2017">
        <v>3</v>
      </c>
      <c r="H2017">
        <v>194</v>
      </c>
      <c r="I2017">
        <v>0</v>
      </c>
      <c r="J2017">
        <v>0</v>
      </c>
      <c r="K2017">
        <v>426.577046</v>
      </c>
      <c r="L2017">
        <v>8.9968600000000301</v>
      </c>
      <c r="M2017">
        <v>172.504629392921</v>
      </c>
      <c r="N2017">
        <v>0</v>
      </c>
      <c r="O2017" s="8" t="str">
        <f>formatIP(Table1[[#This Row],[Address A]])</f>
        <v>192.168.100.002</v>
      </c>
      <c r="P2017" s="8" t="str">
        <f>formatIP(Table1[[#This Row],[Address B]])</f>
        <v>157.055.235.176</v>
      </c>
      <c r="Q2017" s="8" t="e">
        <f>VLOOKUP(Table1[[#This Row],[Address A]],IP_Master[],4,FALSE)</f>
        <v>#N/A</v>
      </c>
      <c r="R2017" s="8" t="e">
        <f>VLOOKUP(Table1[[#This Row],[Address B]],IP_Master[],4,FALSE)</f>
        <v>#N/A</v>
      </c>
      <c r="S2017" s="8" t="e">
        <f>VLOOKUP(Table1[[#This Row],[Address A]],IP_Master[],2,FALSE)</f>
        <v>#N/A</v>
      </c>
      <c r="T2017" s="8" t="e">
        <f>VLOOKUP(Table1[[#This Row],[Address B]],IP_Master[],2,FALSE)</f>
        <v>#N/A</v>
      </c>
      <c r="U2017" s="9" t="e">
        <f>VLOOKUP(Table1[[#This Row],[Address A]],IP_Master[],3,FALSE)</f>
        <v>#N/A</v>
      </c>
      <c r="V2017" s="9" t="e">
        <f>VLOOKUP(Table1[[#This Row],[Address B]],IP_Master[],3,FALSE)</f>
        <v>#N/A</v>
      </c>
      <c r="W2017" s="9" t="e">
        <f>VLOOKUP(Table1[[#This Row],[Port B]],traffic_types[],2,FALSE)</f>
        <v>#N/A</v>
      </c>
    </row>
    <row r="2018" spans="1:23" x14ac:dyDescent="0.6">
      <c r="A2018" t="s">
        <v>224</v>
      </c>
      <c r="B2018">
        <v>60133</v>
      </c>
      <c r="C2018" t="s">
        <v>228</v>
      </c>
      <c r="D2018">
        <v>443</v>
      </c>
      <c r="E2018">
        <v>3</v>
      </c>
      <c r="F2018">
        <v>194</v>
      </c>
      <c r="G2018">
        <v>3</v>
      </c>
      <c r="H2018">
        <v>194</v>
      </c>
      <c r="I2018">
        <v>0</v>
      </c>
      <c r="J2018">
        <v>0</v>
      </c>
      <c r="K2018">
        <v>428.22424699999999</v>
      </c>
      <c r="L2018">
        <v>8.9695360000000104</v>
      </c>
      <c r="M2018">
        <v>173.03013221642701</v>
      </c>
      <c r="N2018">
        <v>0</v>
      </c>
      <c r="O2018" s="8" t="str">
        <f>formatIP(Table1[[#This Row],[Address A]])</f>
        <v>192.168.100.002</v>
      </c>
      <c r="P2018" s="8" t="str">
        <f>formatIP(Table1[[#This Row],[Address B]])</f>
        <v>157.055.056.156</v>
      </c>
      <c r="Q2018" s="8" t="e">
        <f>VLOOKUP(Table1[[#This Row],[Address A]],IP_Master[],4,FALSE)</f>
        <v>#N/A</v>
      </c>
      <c r="R2018" s="8" t="e">
        <f>VLOOKUP(Table1[[#This Row],[Address B]],IP_Master[],4,FALSE)</f>
        <v>#N/A</v>
      </c>
      <c r="S2018" s="8" t="e">
        <f>VLOOKUP(Table1[[#This Row],[Address A]],IP_Master[],2,FALSE)</f>
        <v>#N/A</v>
      </c>
      <c r="T2018" s="8" t="e">
        <f>VLOOKUP(Table1[[#This Row],[Address B]],IP_Master[],2,FALSE)</f>
        <v>#N/A</v>
      </c>
      <c r="U2018" s="9" t="e">
        <f>VLOOKUP(Table1[[#This Row],[Address A]],IP_Master[],3,FALSE)</f>
        <v>#N/A</v>
      </c>
      <c r="V2018" s="9" t="e">
        <f>VLOOKUP(Table1[[#This Row],[Address B]],IP_Master[],3,FALSE)</f>
        <v>#N/A</v>
      </c>
      <c r="W2018" s="9" t="str">
        <f>VLOOKUP(Table1[[#This Row],[Port B]],traffic_types[],2,FALSE)</f>
        <v>HTTP/S</v>
      </c>
    </row>
    <row r="2019" spans="1:23" x14ac:dyDescent="0.6">
      <c r="A2019" t="s">
        <v>224</v>
      </c>
      <c r="B2019">
        <v>60134</v>
      </c>
      <c r="C2019" t="s">
        <v>227</v>
      </c>
      <c r="D2019">
        <v>443</v>
      </c>
      <c r="E2019">
        <v>3</v>
      </c>
      <c r="F2019">
        <v>194</v>
      </c>
      <c r="G2019">
        <v>3</v>
      </c>
      <c r="H2019">
        <v>194</v>
      </c>
      <c r="I2019">
        <v>0</v>
      </c>
      <c r="J2019">
        <v>0</v>
      </c>
      <c r="K2019">
        <v>428.22424899999999</v>
      </c>
      <c r="L2019">
        <v>8.9695320000000205</v>
      </c>
      <c r="M2019">
        <v>173.03020937993199</v>
      </c>
      <c r="N2019">
        <v>0</v>
      </c>
      <c r="O2019" s="8" t="str">
        <f>formatIP(Table1[[#This Row],[Address A]])</f>
        <v>192.168.100.002</v>
      </c>
      <c r="P2019" s="8" t="str">
        <f>formatIP(Table1[[#This Row],[Address B]])</f>
        <v>157.055.235.176</v>
      </c>
      <c r="Q2019" s="8" t="e">
        <f>VLOOKUP(Table1[[#This Row],[Address A]],IP_Master[],4,FALSE)</f>
        <v>#N/A</v>
      </c>
      <c r="R2019" s="8" t="e">
        <f>VLOOKUP(Table1[[#This Row],[Address B]],IP_Master[],4,FALSE)</f>
        <v>#N/A</v>
      </c>
      <c r="S2019" s="8" t="e">
        <f>VLOOKUP(Table1[[#This Row],[Address A]],IP_Master[],2,FALSE)</f>
        <v>#N/A</v>
      </c>
      <c r="T2019" s="8" t="e">
        <f>VLOOKUP(Table1[[#This Row],[Address B]],IP_Master[],2,FALSE)</f>
        <v>#N/A</v>
      </c>
      <c r="U2019" s="9" t="e">
        <f>VLOOKUP(Table1[[#This Row],[Address A]],IP_Master[],3,FALSE)</f>
        <v>#N/A</v>
      </c>
      <c r="V2019" s="9" t="e">
        <f>VLOOKUP(Table1[[#This Row],[Address B]],IP_Master[],3,FALSE)</f>
        <v>#N/A</v>
      </c>
      <c r="W2019" s="9" t="str">
        <f>VLOOKUP(Table1[[#This Row],[Port B]],traffic_types[],2,FALSE)</f>
        <v>HTTP/S</v>
      </c>
    </row>
    <row r="2020" spans="1:23" x14ac:dyDescent="0.6">
      <c r="A2020" t="s">
        <v>224</v>
      </c>
      <c r="B2020">
        <v>60135</v>
      </c>
      <c r="C2020" t="s">
        <v>228</v>
      </c>
      <c r="D2020">
        <v>80</v>
      </c>
      <c r="E2020">
        <v>3</v>
      </c>
      <c r="F2020">
        <v>194</v>
      </c>
      <c r="G2020">
        <v>3</v>
      </c>
      <c r="H2020">
        <v>194</v>
      </c>
      <c r="I2020">
        <v>0</v>
      </c>
      <c r="J2020">
        <v>0</v>
      </c>
      <c r="K2020">
        <v>429.814615</v>
      </c>
      <c r="L2020">
        <v>8.9992679999999705</v>
      </c>
      <c r="M2020">
        <v>172.45847106675799</v>
      </c>
      <c r="N2020">
        <v>0</v>
      </c>
      <c r="O2020" s="8" t="str">
        <f>formatIP(Table1[[#This Row],[Address A]])</f>
        <v>192.168.100.002</v>
      </c>
      <c r="P2020" s="8" t="str">
        <f>formatIP(Table1[[#This Row],[Address B]])</f>
        <v>157.055.056.156</v>
      </c>
      <c r="Q2020" s="8" t="e">
        <f>VLOOKUP(Table1[[#This Row],[Address A]],IP_Master[],4,FALSE)</f>
        <v>#N/A</v>
      </c>
      <c r="R2020" s="8" t="e">
        <f>VLOOKUP(Table1[[#This Row],[Address B]],IP_Master[],4,FALSE)</f>
        <v>#N/A</v>
      </c>
      <c r="S2020" s="8" t="e">
        <f>VLOOKUP(Table1[[#This Row],[Address A]],IP_Master[],2,FALSE)</f>
        <v>#N/A</v>
      </c>
      <c r="T2020" s="8" t="e">
        <f>VLOOKUP(Table1[[#This Row],[Address B]],IP_Master[],2,FALSE)</f>
        <v>#N/A</v>
      </c>
      <c r="U2020" s="9" t="e">
        <f>VLOOKUP(Table1[[#This Row],[Address A]],IP_Master[],3,FALSE)</f>
        <v>#N/A</v>
      </c>
      <c r="V2020" s="9" t="e">
        <f>VLOOKUP(Table1[[#This Row],[Address B]],IP_Master[],3,FALSE)</f>
        <v>#N/A</v>
      </c>
      <c r="W2020" s="9" t="str">
        <f>VLOOKUP(Table1[[#This Row],[Port B]],traffic_types[],2,FALSE)</f>
        <v>HTTP</v>
      </c>
    </row>
    <row r="2021" spans="1:23" x14ac:dyDescent="0.6">
      <c r="A2021" t="s">
        <v>224</v>
      </c>
      <c r="B2021">
        <v>60136</v>
      </c>
      <c r="C2021" t="s">
        <v>227</v>
      </c>
      <c r="D2021">
        <v>80</v>
      </c>
      <c r="E2021">
        <v>3</v>
      </c>
      <c r="F2021">
        <v>194</v>
      </c>
      <c r="G2021">
        <v>3</v>
      </c>
      <c r="H2021">
        <v>194</v>
      </c>
      <c r="I2021">
        <v>0</v>
      </c>
      <c r="J2021">
        <v>0</v>
      </c>
      <c r="K2021">
        <v>429.814616</v>
      </c>
      <c r="L2021">
        <v>8.9992720000000208</v>
      </c>
      <c r="M2021">
        <v>172.45839441234801</v>
      </c>
      <c r="N2021">
        <v>0</v>
      </c>
      <c r="O2021" s="8" t="str">
        <f>formatIP(Table1[[#This Row],[Address A]])</f>
        <v>192.168.100.002</v>
      </c>
      <c r="P2021" s="8" t="str">
        <f>formatIP(Table1[[#This Row],[Address B]])</f>
        <v>157.055.235.176</v>
      </c>
      <c r="Q2021" s="8" t="e">
        <f>VLOOKUP(Table1[[#This Row],[Address A]],IP_Master[],4,FALSE)</f>
        <v>#N/A</v>
      </c>
      <c r="R2021" s="8" t="e">
        <f>VLOOKUP(Table1[[#This Row],[Address B]],IP_Master[],4,FALSE)</f>
        <v>#N/A</v>
      </c>
      <c r="S2021" s="8" t="e">
        <f>VLOOKUP(Table1[[#This Row],[Address A]],IP_Master[],2,FALSE)</f>
        <v>#N/A</v>
      </c>
      <c r="T2021" s="8" t="e">
        <f>VLOOKUP(Table1[[#This Row],[Address B]],IP_Master[],2,FALSE)</f>
        <v>#N/A</v>
      </c>
      <c r="U2021" s="9" t="e">
        <f>VLOOKUP(Table1[[#This Row],[Address A]],IP_Master[],3,FALSE)</f>
        <v>#N/A</v>
      </c>
      <c r="V2021" s="9" t="e">
        <f>VLOOKUP(Table1[[#This Row],[Address B]],IP_Master[],3,FALSE)</f>
        <v>#N/A</v>
      </c>
      <c r="W2021" s="9" t="str">
        <f>VLOOKUP(Table1[[#This Row],[Port B]],traffic_types[],2,FALSE)</f>
        <v>HTTP</v>
      </c>
    </row>
    <row r="2022" spans="1:23" x14ac:dyDescent="0.6">
      <c r="A2022" t="s">
        <v>224</v>
      </c>
      <c r="B2022">
        <v>60137</v>
      </c>
      <c r="C2022" t="s">
        <v>245</v>
      </c>
      <c r="D2022">
        <v>443</v>
      </c>
      <c r="E2022">
        <v>3</v>
      </c>
      <c r="F2022">
        <v>194</v>
      </c>
      <c r="G2022">
        <v>3</v>
      </c>
      <c r="H2022">
        <v>194</v>
      </c>
      <c r="I2022">
        <v>0</v>
      </c>
      <c r="J2022">
        <v>0</v>
      </c>
      <c r="K2022">
        <v>436.37757599999998</v>
      </c>
      <c r="L2022">
        <v>9.0083040000000096</v>
      </c>
      <c r="M2022">
        <v>172.285482372708</v>
      </c>
      <c r="N2022">
        <v>0</v>
      </c>
      <c r="O2022" s="8" t="str">
        <f>formatIP(Table1[[#This Row],[Address A]])</f>
        <v>192.168.100.002</v>
      </c>
      <c r="P2022" s="8" t="str">
        <f>formatIP(Table1[[#This Row],[Address B]])</f>
        <v>085.025.103.030</v>
      </c>
      <c r="Q2022" s="8" t="e">
        <f>VLOOKUP(Table1[[#This Row],[Address A]],IP_Master[],4,FALSE)</f>
        <v>#N/A</v>
      </c>
      <c r="R2022" s="8" t="e">
        <f>VLOOKUP(Table1[[#This Row],[Address B]],IP_Master[],4,FALSE)</f>
        <v>#N/A</v>
      </c>
      <c r="S2022" s="8" t="e">
        <f>VLOOKUP(Table1[[#This Row],[Address A]],IP_Master[],2,FALSE)</f>
        <v>#N/A</v>
      </c>
      <c r="T2022" s="8" t="e">
        <f>VLOOKUP(Table1[[#This Row],[Address B]],IP_Master[],2,FALSE)</f>
        <v>#N/A</v>
      </c>
      <c r="U2022" s="9" t="e">
        <f>VLOOKUP(Table1[[#This Row],[Address A]],IP_Master[],3,FALSE)</f>
        <v>#N/A</v>
      </c>
      <c r="V2022" s="9" t="e">
        <f>VLOOKUP(Table1[[#This Row],[Address B]],IP_Master[],3,FALSE)</f>
        <v>#N/A</v>
      </c>
      <c r="W2022" s="9" t="str">
        <f>VLOOKUP(Table1[[#This Row],[Port B]],traffic_types[],2,FALSE)</f>
        <v>HTTP/S</v>
      </c>
    </row>
    <row r="2023" spans="1:23" x14ac:dyDescent="0.6">
      <c r="A2023" t="s">
        <v>224</v>
      </c>
      <c r="B2023">
        <v>60138</v>
      </c>
      <c r="C2023" t="s">
        <v>245</v>
      </c>
      <c r="D2023">
        <v>80</v>
      </c>
      <c r="E2023">
        <v>3</v>
      </c>
      <c r="F2023">
        <v>194</v>
      </c>
      <c r="G2023">
        <v>3</v>
      </c>
      <c r="H2023">
        <v>194</v>
      </c>
      <c r="I2023">
        <v>0</v>
      </c>
      <c r="J2023">
        <v>0</v>
      </c>
      <c r="K2023">
        <v>438.38641699999999</v>
      </c>
      <c r="L2023">
        <v>9.0095229999999997</v>
      </c>
      <c r="M2023">
        <v>172.262171926305</v>
      </c>
      <c r="N2023">
        <v>0</v>
      </c>
      <c r="O2023" s="8" t="str">
        <f>formatIP(Table1[[#This Row],[Address A]])</f>
        <v>192.168.100.002</v>
      </c>
      <c r="P2023" s="8" t="str">
        <f>formatIP(Table1[[#This Row],[Address B]])</f>
        <v>085.025.103.030</v>
      </c>
      <c r="Q2023" s="8" t="e">
        <f>VLOOKUP(Table1[[#This Row],[Address A]],IP_Master[],4,FALSE)</f>
        <v>#N/A</v>
      </c>
      <c r="R2023" s="8" t="e">
        <f>VLOOKUP(Table1[[#This Row],[Address B]],IP_Master[],4,FALSE)</f>
        <v>#N/A</v>
      </c>
      <c r="S2023" s="8" t="e">
        <f>VLOOKUP(Table1[[#This Row],[Address A]],IP_Master[],2,FALSE)</f>
        <v>#N/A</v>
      </c>
      <c r="T2023" s="8" t="e">
        <f>VLOOKUP(Table1[[#This Row],[Address B]],IP_Master[],2,FALSE)</f>
        <v>#N/A</v>
      </c>
      <c r="U2023" s="9" t="e">
        <f>VLOOKUP(Table1[[#This Row],[Address A]],IP_Master[],3,FALSE)</f>
        <v>#N/A</v>
      </c>
      <c r="V2023" s="9" t="e">
        <f>VLOOKUP(Table1[[#This Row],[Address B]],IP_Master[],3,FALSE)</f>
        <v>#N/A</v>
      </c>
      <c r="W2023" s="9" t="str">
        <f>VLOOKUP(Table1[[#This Row],[Port B]],traffic_types[],2,FALSE)</f>
        <v>HTTP</v>
      </c>
    </row>
    <row r="2024" spans="1:23" hidden="1" x14ac:dyDescent="0.6">
      <c r="A2024" t="s">
        <v>224</v>
      </c>
      <c r="B2024">
        <v>60139</v>
      </c>
      <c r="C2024" t="s">
        <v>318</v>
      </c>
      <c r="D2024">
        <v>40003</v>
      </c>
      <c r="E2024">
        <v>3</v>
      </c>
      <c r="F2024">
        <v>194</v>
      </c>
      <c r="G2024">
        <v>3</v>
      </c>
      <c r="H2024">
        <v>194</v>
      </c>
      <c r="I2024">
        <v>0</v>
      </c>
      <c r="J2024">
        <v>0</v>
      </c>
      <c r="K2024">
        <v>438.61681099999998</v>
      </c>
      <c r="L2024">
        <v>9.0092190000000301</v>
      </c>
      <c r="M2024">
        <v>172.26798460554599</v>
      </c>
      <c r="N2024">
        <v>0</v>
      </c>
      <c r="O2024" s="8" t="str">
        <f>formatIP(Table1[[#This Row],[Address A]])</f>
        <v>192.168.100.002</v>
      </c>
      <c r="P2024" s="8" t="str">
        <f>formatIP(Table1[[#This Row],[Address B]])</f>
        <v>065.055.223.014</v>
      </c>
      <c r="Q2024" s="8" t="e">
        <f>VLOOKUP(Table1[[#This Row],[Address A]],IP_Master[],4,FALSE)</f>
        <v>#N/A</v>
      </c>
      <c r="R2024" s="8" t="e">
        <f>VLOOKUP(Table1[[#This Row],[Address B]],IP_Master[],4,FALSE)</f>
        <v>#N/A</v>
      </c>
      <c r="S2024" s="8" t="e">
        <f>VLOOKUP(Table1[[#This Row],[Address A]],IP_Master[],2,FALSE)</f>
        <v>#N/A</v>
      </c>
      <c r="T2024" s="8" t="e">
        <f>VLOOKUP(Table1[[#This Row],[Address B]],IP_Master[],2,FALSE)</f>
        <v>#N/A</v>
      </c>
      <c r="U2024" s="9" t="e">
        <f>VLOOKUP(Table1[[#This Row],[Address A]],IP_Master[],3,FALSE)</f>
        <v>#N/A</v>
      </c>
      <c r="V2024" s="9" t="e">
        <f>VLOOKUP(Table1[[#This Row],[Address B]],IP_Master[],3,FALSE)</f>
        <v>#N/A</v>
      </c>
      <c r="W2024" s="9" t="e">
        <f>VLOOKUP(Table1[[#This Row],[Port B]],traffic_types[],2,FALSE)</f>
        <v>#N/A</v>
      </c>
    </row>
    <row r="2025" spans="1:23" x14ac:dyDescent="0.6">
      <c r="A2025" t="s">
        <v>224</v>
      </c>
      <c r="B2025">
        <v>60140</v>
      </c>
      <c r="C2025" t="s">
        <v>318</v>
      </c>
      <c r="D2025">
        <v>443</v>
      </c>
      <c r="E2025">
        <v>3</v>
      </c>
      <c r="F2025">
        <v>194</v>
      </c>
      <c r="G2025">
        <v>3</v>
      </c>
      <c r="H2025">
        <v>194</v>
      </c>
      <c r="I2025">
        <v>0</v>
      </c>
      <c r="J2025">
        <v>0</v>
      </c>
      <c r="K2025">
        <v>440.23547400000001</v>
      </c>
      <c r="L2025">
        <v>9.0005009999999892</v>
      </c>
      <c r="M2025">
        <v>172.43484557137501</v>
      </c>
      <c r="N2025">
        <v>0</v>
      </c>
      <c r="O2025" s="8" t="str">
        <f>formatIP(Table1[[#This Row],[Address A]])</f>
        <v>192.168.100.002</v>
      </c>
      <c r="P2025" s="8" t="str">
        <f>formatIP(Table1[[#This Row],[Address B]])</f>
        <v>065.055.223.014</v>
      </c>
      <c r="Q2025" s="8" t="e">
        <f>VLOOKUP(Table1[[#This Row],[Address A]],IP_Master[],4,FALSE)</f>
        <v>#N/A</v>
      </c>
      <c r="R2025" s="8" t="e">
        <f>VLOOKUP(Table1[[#This Row],[Address B]],IP_Master[],4,FALSE)</f>
        <v>#N/A</v>
      </c>
      <c r="S2025" s="8" t="e">
        <f>VLOOKUP(Table1[[#This Row],[Address A]],IP_Master[],2,FALSE)</f>
        <v>#N/A</v>
      </c>
      <c r="T2025" s="8" t="e">
        <f>VLOOKUP(Table1[[#This Row],[Address B]],IP_Master[],2,FALSE)</f>
        <v>#N/A</v>
      </c>
      <c r="U2025" s="9" t="e">
        <f>VLOOKUP(Table1[[#This Row],[Address A]],IP_Master[],3,FALSE)</f>
        <v>#N/A</v>
      </c>
      <c r="V2025" s="9" t="e">
        <f>VLOOKUP(Table1[[#This Row],[Address B]],IP_Master[],3,FALSE)</f>
        <v>#N/A</v>
      </c>
      <c r="W2025" s="9" t="str">
        <f>VLOOKUP(Table1[[#This Row],[Port B]],traffic_types[],2,FALSE)</f>
        <v>HTTP/S</v>
      </c>
    </row>
    <row r="2026" spans="1:23" x14ac:dyDescent="0.6">
      <c r="A2026" t="s">
        <v>224</v>
      </c>
      <c r="B2026">
        <v>60141</v>
      </c>
      <c r="C2026" t="s">
        <v>318</v>
      </c>
      <c r="D2026">
        <v>80</v>
      </c>
      <c r="E2026">
        <v>3</v>
      </c>
      <c r="F2026">
        <v>194</v>
      </c>
      <c r="G2026">
        <v>3</v>
      </c>
      <c r="H2026">
        <v>194</v>
      </c>
      <c r="I2026">
        <v>0</v>
      </c>
      <c r="J2026">
        <v>0</v>
      </c>
      <c r="K2026">
        <v>441.85535299999998</v>
      </c>
      <c r="L2026">
        <v>9.0005199999999892</v>
      </c>
      <c r="M2026">
        <v>172.43448156328799</v>
      </c>
      <c r="N2026">
        <v>0</v>
      </c>
      <c r="O2026" s="8" t="str">
        <f>formatIP(Table1[[#This Row],[Address A]])</f>
        <v>192.168.100.002</v>
      </c>
      <c r="P2026" s="8" t="str">
        <f>formatIP(Table1[[#This Row],[Address B]])</f>
        <v>065.055.223.014</v>
      </c>
      <c r="Q2026" s="8" t="e">
        <f>VLOOKUP(Table1[[#This Row],[Address A]],IP_Master[],4,FALSE)</f>
        <v>#N/A</v>
      </c>
      <c r="R2026" s="8" t="e">
        <f>VLOOKUP(Table1[[#This Row],[Address B]],IP_Master[],4,FALSE)</f>
        <v>#N/A</v>
      </c>
      <c r="S2026" s="8" t="e">
        <f>VLOOKUP(Table1[[#This Row],[Address A]],IP_Master[],2,FALSE)</f>
        <v>#N/A</v>
      </c>
      <c r="T2026" s="8" t="e">
        <f>VLOOKUP(Table1[[#This Row],[Address B]],IP_Master[],2,FALSE)</f>
        <v>#N/A</v>
      </c>
      <c r="U2026" s="9" t="e">
        <f>VLOOKUP(Table1[[#This Row],[Address A]],IP_Master[],3,FALSE)</f>
        <v>#N/A</v>
      </c>
      <c r="V2026" s="9" t="e">
        <f>VLOOKUP(Table1[[#This Row],[Address B]],IP_Master[],3,FALSE)</f>
        <v>#N/A</v>
      </c>
      <c r="W2026" s="9" t="str">
        <f>VLOOKUP(Table1[[#This Row],[Port B]],traffic_types[],2,FALSE)</f>
        <v>HTTP</v>
      </c>
    </row>
    <row r="2027" spans="1:23" hidden="1" x14ac:dyDescent="0.6">
      <c r="A2027" t="s">
        <v>224</v>
      </c>
      <c r="B2027">
        <v>60142</v>
      </c>
      <c r="C2027" t="s">
        <v>231</v>
      </c>
      <c r="D2027">
        <v>40035</v>
      </c>
      <c r="E2027">
        <v>3</v>
      </c>
      <c r="F2027">
        <v>194</v>
      </c>
      <c r="G2027">
        <v>3</v>
      </c>
      <c r="H2027">
        <v>194</v>
      </c>
      <c r="I2027">
        <v>0</v>
      </c>
      <c r="J2027">
        <v>0</v>
      </c>
      <c r="K2027">
        <v>452.567612</v>
      </c>
      <c r="L2027">
        <v>9.0090749999999993</v>
      </c>
      <c r="M2027">
        <v>172.27073811684301</v>
      </c>
      <c r="N2027">
        <v>0</v>
      </c>
      <c r="O2027" s="8" t="str">
        <f>formatIP(Table1[[#This Row],[Address A]])</f>
        <v>192.168.100.002</v>
      </c>
      <c r="P2027" s="8" t="str">
        <f>formatIP(Table1[[#This Row],[Address B]])</f>
        <v>111.221.077.145</v>
      </c>
      <c r="Q2027" s="8" t="e">
        <f>VLOOKUP(Table1[[#This Row],[Address A]],IP_Master[],4,FALSE)</f>
        <v>#N/A</v>
      </c>
      <c r="R2027" s="8" t="e">
        <f>VLOOKUP(Table1[[#This Row],[Address B]],IP_Master[],4,FALSE)</f>
        <v>#N/A</v>
      </c>
      <c r="S2027" s="8" t="e">
        <f>VLOOKUP(Table1[[#This Row],[Address A]],IP_Master[],2,FALSE)</f>
        <v>#N/A</v>
      </c>
      <c r="T2027" s="8" t="e">
        <f>VLOOKUP(Table1[[#This Row],[Address B]],IP_Master[],2,FALSE)</f>
        <v>#N/A</v>
      </c>
      <c r="U2027" s="9" t="e">
        <f>VLOOKUP(Table1[[#This Row],[Address A]],IP_Master[],3,FALSE)</f>
        <v>#N/A</v>
      </c>
      <c r="V2027" s="9" t="e">
        <f>VLOOKUP(Table1[[#This Row],[Address B]],IP_Master[],3,FALSE)</f>
        <v>#N/A</v>
      </c>
      <c r="W2027" s="9" t="e">
        <f>VLOOKUP(Table1[[#This Row],[Port B]],traffic_types[],2,FALSE)</f>
        <v>#N/A</v>
      </c>
    </row>
    <row r="2028" spans="1:23" hidden="1" x14ac:dyDescent="0.6">
      <c r="A2028" t="s">
        <v>224</v>
      </c>
      <c r="B2028">
        <v>60143</v>
      </c>
      <c r="C2028" t="s">
        <v>239</v>
      </c>
      <c r="D2028">
        <v>40012</v>
      </c>
      <c r="E2028">
        <v>3</v>
      </c>
      <c r="F2028">
        <v>194</v>
      </c>
      <c r="G2028">
        <v>3</v>
      </c>
      <c r="H2028">
        <v>194</v>
      </c>
      <c r="I2028">
        <v>0</v>
      </c>
      <c r="J2028">
        <v>0</v>
      </c>
      <c r="K2028">
        <v>452.56875000000002</v>
      </c>
      <c r="L2028">
        <v>9.007949</v>
      </c>
      <c r="M2028">
        <v>172.292272081025</v>
      </c>
      <c r="N2028">
        <v>0</v>
      </c>
      <c r="O2028" s="8" t="str">
        <f>formatIP(Table1[[#This Row],[Address A]])</f>
        <v>192.168.100.002</v>
      </c>
      <c r="P2028" s="8" t="str">
        <f>formatIP(Table1[[#This Row],[Address B]])</f>
        <v>157.055.056.159</v>
      </c>
      <c r="Q2028" s="8" t="e">
        <f>VLOOKUP(Table1[[#This Row],[Address A]],IP_Master[],4,FALSE)</f>
        <v>#N/A</v>
      </c>
      <c r="R2028" s="8" t="e">
        <f>VLOOKUP(Table1[[#This Row],[Address B]],IP_Master[],4,FALSE)</f>
        <v>#N/A</v>
      </c>
      <c r="S2028" s="8" t="e">
        <f>VLOOKUP(Table1[[#This Row],[Address A]],IP_Master[],2,FALSE)</f>
        <v>#N/A</v>
      </c>
      <c r="T2028" s="8" t="e">
        <f>VLOOKUP(Table1[[#This Row],[Address B]],IP_Master[],2,FALSE)</f>
        <v>#N/A</v>
      </c>
      <c r="U2028" s="9" t="e">
        <f>VLOOKUP(Table1[[#This Row],[Address A]],IP_Master[],3,FALSE)</f>
        <v>#N/A</v>
      </c>
      <c r="V2028" s="9" t="e">
        <f>VLOOKUP(Table1[[#This Row],[Address B]],IP_Master[],3,FALSE)</f>
        <v>#N/A</v>
      </c>
      <c r="W2028" s="9" t="e">
        <f>VLOOKUP(Table1[[#This Row],[Port B]],traffic_types[],2,FALSE)</f>
        <v>#N/A</v>
      </c>
    </row>
    <row r="2029" spans="1:23" x14ac:dyDescent="0.6">
      <c r="A2029" t="s">
        <v>224</v>
      </c>
      <c r="B2029">
        <v>60144</v>
      </c>
      <c r="C2029" t="s">
        <v>231</v>
      </c>
      <c r="D2029">
        <v>443</v>
      </c>
      <c r="E2029">
        <v>3</v>
      </c>
      <c r="F2029">
        <v>194</v>
      </c>
      <c r="G2029">
        <v>3</v>
      </c>
      <c r="H2029">
        <v>194</v>
      </c>
      <c r="I2029">
        <v>0</v>
      </c>
      <c r="J2029">
        <v>0</v>
      </c>
      <c r="K2029">
        <v>454.18726700000002</v>
      </c>
      <c r="L2029">
        <v>9.02844899999997</v>
      </c>
      <c r="M2029">
        <v>171.90106517741901</v>
      </c>
      <c r="N2029">
        <v>0</v>
      </c>
      <c r="O2029" s="8" t="str">
        <f>formatIP(Table1[[#This Row],[Address A]])</f>
        <v>192.168.100.002</v>
      </c>
      <c r="P2029" s="8" t="str">
        <f>formatIP(Table1[[#This Row],[Address B]])</f>
        <v>111.221.077.145</v>
      </c>
      <c r="Q2029" s="8" t="e">
        <f>VLOOKUP(Table1[[#This Row],[Address A]],IP_Master[],4,FALSE)</f>
        <v>#N/A</v>
      </c>
      <c r="R2029" s="8" t="e">
        <f>VLOOKUP(Table1[[#This Row],[Address B]],IP_Master[],4,FALSE)</f>
        <v>#N/A</v>
      </c>
      <c r="S2029" s="8" t="e">
        <f>VLOOKUP(Table1[[#This Row],[Address A]],IP_Master[],2,FALSE)</f>
        <v>#N/A</v>
      </c>
      <c r="T2029" s="8" t="e">
        <f>VLOOKUP(Table1[[#This Row],[Address B]],IP_Master[],2,FALSE)</f>
        <v>#N/A</v>
      </c>
      <c r="U2029" s="9" t="e">
        <f>VLOOKUP(Table1[[#This Row],[Address A]],IP_Master[],3,FALSE)</f>
        <v>#N/A</v>
      </c>
      <c r="V2029" s="9" t="e">
        <f>VLOOKUP(Table1[[#This Row],[Address B]],IP_Master[],3,FALSE)</f>
        <v>#N/A</v>
      </c>
      <c r="W2029" s="9" t="str">
        <f>VLOOKUP(Table1[[#This Row],[Port B]],traffic_types[],2,FALSE)</f>
        <v>HTTP/S</v>
      </c>
    </row>
    <row r="2030" spans="1:23" x14ac:dyDescent="0.6">
      <c r="A2030" t="s">
        <v>224</v>
      </c>
      <c r="B2030">
        <v>60145</v>
      </c>
      <c r="C2030" t="s">
        <v>239</v>
      </c>
      <c r="D2030">
        <v>443</v>
      </c>
      <c r="E2030">
        <v>3</v>
      </c>
      <c r="F2030">
        <v>194</v>
      </c>
      <c r="G2030">
        <v>3</v>
      </c>
      <c r="H2030">
        <v>194</v>
      </c>
      <c r="I2030">
        <v>0</v>
      </c>
      <c r="J2030">
        <v>0</v>
      </c>
      <c r="K2030">
        <v>454.18727100000001</v>
      </c>
      <c r="L2030">
        <v>9.02844899999997</v>
      </c>
      <c r="M2030">
        <v>171.90106517741901</v>
      </c>
      <c r="N2030">
        <v>0</v>
      </c>
      <c r="O2030" s="8" t="str">
        <f>formatIP(Table1[[#This Row],[Address A]])</f>
        <v>192.168.100.002</v>
      </c>
      <c r="P2030" s="8" t="str">
        <f>formatIP(Table1[[#This Row],[Address B]])</f>
        <v>157.055.056.159</v>
      </c>
      <c r="Q2030" s="8" t="e">
        <f>VLOOKUP(Table1[[#This Row],[Address A]],IP_Master[],4,FALSE)</f>
        <v>#N/A</v>
      </c>
      <c r="R2030" s="8" t="e">
        <f>VLOOKUP(Table1[[#This Row],[Address B]],IP_Master[],4,FALSE)</f>
        <v>#N/A</v>
      </c>
      <c r="S2030" s="8" t="e">
        <f>VLOOKUP(Table1[[#This Row],[Address A]],IP_Master[],2,FALSE)</f>
        <v>#N/A</v>
      </c>
      <c r="T2030" s="8" t="e">
        <f>VLOOKUP(Table1[[#This Row],[Address B]],IP_Master[],2,FALSE)</f>
        <v>#N/A</v>
      </c>
      <c r="U2030" s="9" t="e">
        <f>VLOOKUP(Table1[[#This Row],[Address A]],IP_Master[],3,FALSE)</f>
        <v>#N/A</v>
      </c>
      <c r="V2030" s="9" t="e">
        <f>VLOOKUP(Table1[[#This Row],[Address B]],IP_Master[],3,FALSE)</f>
        <v>#N/A</v>
      </c>
      <c r="W2030" s="9" t="str">
        <f>VLOOKUP(Table1[[#This Row],[Port B]],traffic_types[],2,FALSE)</f>
        <v>HTTP/S</v>
      </c>
    </row>
    <row r="2031" spans="1:23" x14ac:dyDescent="0.6">
      <c r="A2031" t="s">
        <v>224</v>
      </c>
      <c r="B2031">
        <v>60146</v>
      </c>
      <c r="C2031" t="s">
        <v>231</v>
      </c>
      <c r="D2031">
        <v>80</v>
      </c>
      <c r="E2031">
        <v>3</v>
      </c>
      <c r="F2031">
        <v>194</v>
      </c>
      <c r="G2031">
        <v>3</v>
      </c>
      <c r="H2031">
        <v>194</v>
      </c>
      <c r="I2031">
        <v>0</v>
      </c>
      <c r="J2031">
        <v>0</v>
      </c>
      <c r="K2031">
        <v>455.80730399999999</v>
      </c>
      <c r="L2031">
        <v>8.99844000000002</v>
      </c>
      <c r="M2031">
        <v>172.47433999671</v>
      </c>
      <c r="N2031">
        <v>0</v>
      </c>
      <c r="O2031" s="8" t="str">
        <f>formatIP(Table1[[#This Row],[Address A]])</f>
        <v>192.168.100.002</v>
      </c>
      <c r="P2031" s="8" t="str">
        <f>formatIP(Table1[[#This Row],[Address B]])</f>
        <v>111.221.077.145</v>
      </c>
      <c r="Q2031" s="8" t="e">
        <f>VLOOKUP(Table1[[#This Row],[Address A]],IP_Master[],4,FALSE)</f>
        <v>#N/A</v>
      </c>
      <c r="R2031" s="8" t="e">
        <f>VLOOKUP(Table1[[#This Row],[Address B]],IP_Master[],4,FALSE)</f>
        <v>#N/A</v>
      </c>
      <c r="S2031" s="8" t="e">
        <f>VLOOKUP(Table1[[#This Row],[Address A]],IP_Master[],2,FALSE)</f>
        <v>#N/A</v>
      </c>
      <c r="T2031" s="8" t="e">
        <f>VLOOKUP(Table1[[#This Row],[Address B]],IP_Master[],2,FALSE)</f>
        <v>#N/A</v>
      </c>
      <c r="U2031" s="9" t="e">
        <f>VLOOKUP(Table1[[#This Row],[Address A]],IP_Master[],3,FALSE)</f>
        <v>#N/A</v>
      </c>
      <c r="V2031" s="9" t="e">
        <f>VLOOKUP(Table1[[#This Row],[Address B]],IP_Master[],3,FALSE)</f>
        <v>#N/A</v>
      </c>
      <c r="W2031" s="9" t="str">
        <f>VLOOKUP(Table1[[#This Row],[Port B]],traffic_types[],2,FALSE)</f>
        <v>HTTP</v>
      </c>
    </row>
    <row r="2032" spans="1:23" x14ac:dyDescent="0.6">
      <c r="A2032" t="s">
        <v>224</v>
      </c>
      <c r="B2032">
        <v>60147</v>
      </c>
      <c r="C2032" t="s">
        <v>239</v>
      </c>
      <c r="D2032">
        <v>80</v>
      </c>
      <c r="E2032">
        <v>3</v>
      </c>
      <c r="F2032">
        <v>194</v>
      </c>
      <c r="G2032">
        <v>3</v>
      </c>
      <c r="H2032">
        <v>194</v>
      </c>
      <c r="I2032">
        <v>0</v>
      </c>
      <c r="J2032">
        <v>0</v>
      </c>
      <c r="K2032">
        <v>455.80730399999999</v>
      </c>
      <c r="L2032">
        <v>8.9984410000000103</v>
      </c>
      <c r="M2032">
        <v>172.47432082957499</v>
      </c>
      <c r="N2032">
        <v>0</v>
      </c>
      <c r="O2032" s="8" t="str">
        <f>formatIP(Table1[[#This Row],[Address A]])</f>
        <v>192.168.100.002</v>
      </c>
      <c r="P2032" s="8" t="str">
        <f>formatIP(Table1[[#This Row],[Address B]])</f>
        <v>157.055.056.159</v>
      </c>
      <c r="Q2032" s="8" t="e">
        <f>VLOOKUP(Table1[[#This Row],[Address A]],IP_Master[],4,FALSE)</f>
        <v>#N/A</v>
      </c>
      <c r="R2032" s="8" t="e">
        <f>VLOOKUP(Table1[[#This Row],[Address B]],IP_Master[],4,FALSE)</f>
        <v>#N/A</v>
      </c>
      <c r="S2032" s="8" t="e">
        <f>VLOOKUP(Table1[[#This Row],[Address A]],IP_Master[],2,FALSE)</f>
        <v>#N/A</v>
      </c>
      <c r="T2032" s="8" t="e">
        <f>VLOOKUP(Table1[[#This Row],[Address B]],IP_Master[],2,FALSE)</f>
        <v>#N/A</v>
      </c>
      <c r="U2032" s="9" t="e">
        <f>VLOOKUP(Table1[[#This Row],[Address A]],IP_Master[],3,FALSE)</f>
        <v>#N/A</v>
      </c>
      <c r="V2032" s="9" t="e">
        <f>VLOOKUP(Table1[[#This Row],[Address B]],IP_Master[],3,FALSE)</f>
        <v>#N/A</v>
      </c>
      <c r="W2032" s="9" t="str">
        <f>VLOOKUP(Table1[[#This Row],[Port B]],traffic_types[],2,FALSE)</f>
        <v>HTTP</v>
      </c>
    </row>
    <row r="2033" spans="1:23" hidden="1" x14ac:dyDescent="0.6">
      <c r="A2033" t="s">
        <v>224</v>
      </c>
      <c r="B2033">
        <v>60148</v>
      </c>
      <c r="C2033" t="s">
        <v>246</v>
      </c>
      <c r="D2033">
        <v>40026</v>
      </c>
      <c r="E2033">
        <v>3</v>
      </c>
      <c r="F2033">
        <v>194</v>
      </c>
      <c r="G2033">
        <v>3</v>
      </c>
      <c r="H2033">
        <v>194</v>
      </c>
      <c r="I2033">
        <v>0</v>
      </c>
      <c r="J2033">
        <v>0</v>
      </c>
      <c r="K2033">
        <v>464.628198</v>
      </c>
      <c r="L2033">
        <v>8.9706699999999806</v>
      </c>
      <c r="M2033">
        <v>173.00825913783501</v>
      </c>
      <c r="N2033">
        <v>0</v>
      </c>
      <c r="O2033" s="8" t="str">
        <f>formatIP(Table1[[#This Row],[Address A]])</f>
        <v>192.168.100.002</v>
      </c>
      <c r="P2033" s="8" t="str">
        <f>formatIP(Table1[[#This Row],[Address B]])</f>
        <v>157.055.130.168</v>
      </c>
      <c r="Q2033" s="8" t="e">
        <f>VLOOKUP(Table1[[#This Row],[Address A]],IP_Master[],4,FALSE)</f>
        <v>#N/A</v>
      </c>
      <c r="R2033" s="8" t="e">
        <f>VLOOKUP(Table1[[#This Row],[Address B]],IP_Master[],4,FALSE)</f>
        <v>#N/A</v>
      </c>
      <c r="S2033" s="8" t="e">
        <f>VLOOKUP(Table1[[#This Row],[Address A]],IP_Master[],2,FALSE)</f>
        <v>#N/A</v>
      </c>
      <c r="T2033" s="8" t="e">
        <f>VLOOKUP(Table1[[#This Row],[Address B]],IP_Master[],2,FALSE)</f>
        <v>#N/A</v>
      </c>
      <c r="U2033" s="9" t="e">
        <f>VLOOKUP(Table1[[#This Row],[Address A]],IP_Master[],3,FALSE)</f>
        <v>#N/A</v>
      </c>
      <c r="V2033" s="9" t="e">
        <f>VLOOKUP(Table1[[#This Row],[Address B]],IP_Master[],3,FALSE)</f>
        <v>#N/A</v>
      </c>
      <c r="W2033" s="9" t="e">
        <f>VLOOKUP(Table1[[#This Row],[Port B]],traffic_types[],2,FALSE)</f>
        <v>#N/A</v>
      </c>
    </row>
    <row r="2034" spans="1:23" x14ac:dyDescent="0.6">
      <c r="A2034" t="s">
        <v>224</v>
      </c>
      <c r="B2034">
        <v>60149</v>
      </c>
      <c r="C2034" t="s">
        <v>246</v>
      </c>
      <c r="D2034">
        <v>443</v>
      </c>
      <c r="E2034">
        <v>3</v>
      </c>
      <c r="F2034">
        <v>194</v>
      </c>
      <c r="G2034">
        <v>3</v>
      </c>
      <c r="H2034">
        <v>194</v>
      </c>
      <c r="I2034">
        <v>0</v>
      </c>
      <c r="J2034">
        <v>0</v>
      </c>
      <c r="K2034">
        <v>466.21816200000001</v>
      </c>
      <c r="L2034">
        <v>9.0005810000000093</v>
      </c>
      <c r="M2034">
        <v>172.43331291613299</v>
      </c>
      <c r="N2034">
        <v>0</v>
      </c>
      <c r="O2034" s="8" t="str">
        <f>formatIP(Table1[[#This Row],[Address A]])</f>
        <v>192.168.100.002</v>
      </c>
      <c r="P2034" s="8" t="str">
        <f>formatIP(Table1[[#This Row],[Address B]])</f>
        <v>157.055.130.168</v>
      </c>
      <c r="Q2034" s="8" t="e">
        <f>VLOOKUP(Table1[[#This Row],[Address A]],IP_Master[],4,FALSE)</f>
        <v>#N/A</v>
      </c>
      <c r="R2034" s="8" t="e">
        <f>VLOOKUP(Table1[[#This Row],[Address B]],IP_Master[],4,FALSE)</f>
        <v>#N/A</v>
      </c>
      <c r="S2034" s="8" t="e">
        <f>VLOOKUP(Table1[[#This Row],[Address A]],IP_Master[],2,FALSE)</f>
        <v>#N/A</v>
      </c>
      <c r="T2034" s="8" t="e">
        <f>VLOOKUP(Table1[[#This Row],[Address B]],IP_Master[],2,FALSE)</f>
        <v>#N/A</v>
      </c>
      <c r="U2034" s="9" t="e">
        <f>VLOOKUP(Table1[[#This Row],[Address A]],IP_Master[],3,FALSE)</f>
        <v>#N/A</v>
      </c>
      <c r="V2034" s="9" t="e">
        <f>VLOOKUP(Table1[[#This Row],[Address B]],IP_Master[],3,FALSE)</f>
        <v>#N/A</v>
      </c>
      <c r="W2034" s="9" t="str">
        <f>VLOOKUP(Table1[[#This Row],[Port B]],traffic_types[],2,FALSE)</f>
        <v>HTTP/S</v>
      </c>
    </row>
    <row r="2035" spans="1:23" hidden="1" x14ac:dyDescent="0.6">
      <c r="A2035" t="s">
        <v>224</v>
      </c>
      <c r="B2035">
        <v>60150</v>
      </c>
      <c r="C2035" t="s">
        <v>233</v>
      </c>
      <c r="D2035">
        <v>12350</v>
      </c>
      <c r="E2035">
        <v>3</v>
      </c>
      <c r="F2035">
        <v>194</v>
      </c>
      <c r="G2035">
        <v>3</v>
      </c>
      <c r="H2035">
        <v>194</v>
      </c>
      <c r="I2035">
        <v>0</v>
      </c>
      <c r="J2035">
        <v>0</v>
      </c>
      <c r="K2035">
        <v>466.87856299999999</v>
      </c>
      <c r="L2035">
        <v>9.0000990000000307</v>
      </c>
      <c r="M2035">
        <v>172.44254757642</v>
      </c>
      <c r="N2035">
        <v>0</v>
      </c>
      <c r="O2035" s="8" t="str">
        <f>formatIP(Table1[[#This Row],[Address A]])</f>
        <v>192.168.100.002</v>
      </c>
      <c r="P2035" s="8" t="str">
        <f>formatIP(Table1[[#This Row],[Address B]])</f>
        <v>091.190.218.052</v>
      </c>
      <c r="Q2035" s="8" t="e">
        <f>VLOOKUP(Table1[[#This Row],[Address A]],IP_Master[],4,FALSE)</f>
        <v>#N/A</v>
      </c>
      <c r="R2035" s="8" t="e">
        <f>VLOOKUP(Table1[[#This Row],[Address B]],IP_Master[],4,FALSE)</f>
        <v>#N/A</v>
      </c>
      <c r="S2035" s="8" t="e">
        <f>VLOOKUP(Table1[[#This Row],[Address A]],IP_Master[],2,FALSE)</f>
        <v>#N/A</v>
      </c>
      <c r="T2035" s="8" t="e">
        <f>VLOOKUP(Table1[[#This Row],[Address B]],IP_Master[],2,FALSE)</f>
        <v>#N/A</v>
      </c>
      <c r="U2035" s="9" t="e">
        <f>VLOOKUP(Table1[[#This Row],[Address A]],IP_Master[],3,FALSE)</f>
        <v>#N/A</v>
      </c>
      <c r="V2035" s="9" t="e">
        <f>VLOOKUP(Table1[[#This Row],[Address B]],IP_Master[],3,FALSE)</f>
        <v>#N/A</v>
      </c>
      <c r="W2035" s="9" t="e">
        <f>VLOOKUP(Table1[[#This Row],[Port B]],traffic_types[],2,FALSE)</f>
        <v>#N/A</v>
      </c>
    </row>
    <row r="2036" spans="1:23" x14ac:dyDescent="0.6">
      <c r="A2036" t="s">
        <v>224</v>
      </c>
      <c r="B2036">
        <v>60151</v>
      </c>
      <c r="C2036" t="s">
        <v>246</v>
      </c>
      <c r="D2036">
        <v>80</v>
      </c>
      <c r="E2036">
        <v>3</v>
      </c>
      <c r="F2036">
        <v>194</v>
      </c>
      <c r="G2036">
        <v>3</v>
      </c>
      <c r="H2036">
        <v>194</v>
      </c>
      <c r="I2036">
        <v>0</v>
      </c>
      <c r="J2036">
        <v>0</v>
      </c>
      <c r="K2036">
        <v>467.83791400000001</v>
      </c>
      <c r="L2036">
        <v>8.9997169999999809</v>
      </c>
      <c r="M2036">
        <v>172.44986703470801</v>
      </c>
      <c r="N2036">
        <v>0</v>
      </c>
      <c r="O2036" s="8" t="str">
        <f>formatIP(Table1[[#This Row],[Address A]])</f>
        <v>192.168.100.002</v>
      </c>
      <c r="P2036" s="8" t="str">
        <f>formatIP(Table1[[#This Row],[Address B]])</f>
        <v>157.055.130.168</v>
      </c>
      <c r="Q2036" s="8" t="e">
        <f>VLOOKUP(Table1[[#This Row],[Address A]],IP_Master[],4,FALSE)</f>
        <v>#N/A</v>
      </c>
      <c r="R2036" s="8" t="e">
        <f>VLOOKUP(Table1[[#This Row],[Address B]],IP_Master[],4,FALSE)</f>
        <v>#N/A</v>
      </c>
      <c r="S2036" s="8" t="e">
        <f>VLOOKUP(Table1[[#This Row],[Address A]],IP_Master[],2,FALSE)</f>
        <v>#N/A</v>
      </c>
      <c r="T2036" s="8" t="e">
        <f>VLOOKUP(Table1[[#This Row],[Address B]],IP_Master[],2,FALSE)</f>
        <v>#N/A</v>
      </c>
      <c r="U2036" s="9" t="e">
        <f>VLOOKUP(Table1[[#This Row],[Address A]],IP_Master[],3,FALSE)</f>
        <v>#N/A</v>
      </c>
      <c r="V2036" s="9" t="e">
        <f>VLOOKUP(Table1[[#This Row],[Address B]],IP_Master[],3,FALSE)</f>
        <v>#N/A</v>
      </c>
      <c r="W2036" s="9" t="str">
        <f>VLOOKUP(Table1[[#This Row],[Port B]],traffic_types[],2,FALSE)</f>
        <v>HTTP</v>
      </c>
    </row>
    <row r="2037" spans="1:23" x14ac:dyDescent="0.6">
      <c r="A2037" t="s">
        <v>224</v>
      </c>
      <c r="B2037">
        <v>60152</v>
      </c>
      <c r="C2037" t="s">
        <v>233</v>
      </c>
      <c r="D2037">
        <v>443</v>
      </c>
      <c r="E2037">
        <v>3</v>
      </c>
      <c r="F2037">
        <v>194</v>
      </c>
      <c r="G2037">
        <v>3</v>
      </c>
      <c r="H2037">
        <v>194</v>
      </c>
      <c r="I2037">
        <v>0</v>
      </c>
      <c r="J2037">
        <v>0</v>
      </c>
      <c r="K2037">
        <v>468.49827800000003</v>
      </c>
      <c r="L2037">
        <v>9.0005599999999504</v>
      </c>
      <c r="M2037">
        <v>172.433715235497</v>
      </c>
      <c r="N2037">
        <v>0</v>
      </c>
      <c r="O2037" s="8" t="str">
        <f>formatIP(Table1[[#This Row],[Address A]])</f>
        <v>192.168.100.002</v>
      </c>
      <c r="P2037" s="8" t="str">
        <f>formatIP(Table1[[#This Row],[Address B]])</f>
        <v>091.190.218.052</v>
      </c>
      <c r="Q2037" s="8" t="e">
        <f>VLOOKUP(Table1[[#This Row],[Address A]],IP_Master[],4,FALSE)</f>
        <v>#N/A</v>
      </c>
      <c r="R2037" s="8" t="e">
        <f>VLOOKUP(Table1[[#This Row],[Address B]],IP_Master[],4,FALSE)</f>
        <v>#N/A</v>
      </c>
      <c r="S2037" s="8" t="e">
        <f>VLOOKUP(Table1[[#This Row],[Address A]],IP_Master[],2,FALSE)</f>
        <v>#N/A</v>
      </c>
      <c r="T2037" s="8" t="e">
        <f>VLOOKUP(Table1[[#This Row],[Address B]],IP_Master[],2,FALSE)</f>
        <v>#N/A</v>
      </c>
      <c r="U2037" s="9" t="e">
        <f>VLOOKUP(Table1[[#This Row],[Address A]],IP_Master[],3,FALSE)</f>
        <v>#N/A</v>
      </c>
      <c r="V2037" s="9" t="e">
        <f>VLOOKUP(Table1[[#This Row],[Address B]],IP_Master[],3,FALSE)</f>
        <v>#N/A</v>
      </c>
      <c r="W2037" s="9" t="str">
        <f>VLOOKUP(Table1[[#This Row],[Port B]],traffic_types[],2,FALSE)</f>
        <v>HTTP/S</v>
      </c>
    </row>
    <row r="2038" spans="1:23" x14ac:dyDescent="0.6">
      <c r="A2038" t="s">
        <v>224</v>
      </c>
      <c r="B2038">
        <v>60153</v>
      </c>
      <c r="C2038" t="s">
        <v>233</v>
      </c>
      <c r="D2038">
        <v>80</v>
      </c>
      <c r="E2038">
        <v>3</v>
      </c>
      <c r="F2038">
        <v>194</v>
      </c>
      <c r="G2038">
        <v>3</v>
      </c>
      <c r="H2038">
        <v>194</v>
      </c>
      <c r="I2038">
        <v>0</v>
      </c>
      <c r="J2038">
        <v>0</v>
      </c>
      <c r="K2038">
        <v>470.11791699999998</v>
      </c>
      <c r="L2038">
        <v>9.0007350000000201</v>
      </c>
      <c r="M2038">
        <v>172.430362631496</v>
      </c>
      <c r="N2038">
        <v>0</v>
      </c>
      <c r="O2038" s="8" t="str">
        <f>formatIP(Table1[[#This Row],[Address A]])</f>
        <v>192.168.100.002</v>
      </c>
      <c r="P2038" s="8" t="str">
        <f>formatIP(Table1[[#This Row],[Address B]])</f>
        <v>091.190.218.052</v>
      </c>
      <c r="Q2038" s="8" t="e">
        <f>VLOOKUP(Table1[[#This Row],[Address A]],IP_Master[],4,FALSE)</f>
        <v>#N/A</v>
      </c>
      <c r="R2038" s="8" t="e">
        <f>VLOOKUP(Table1[[#This Row],[Address B]],IP_Master[],4,FALSE)</f>
        <v>#N/A</v>
      </c>
      <c r="S2038" s="8" t="e">
        <f>VLOOKUP(Table1[[#This Row],[Address A]],IP_Master[],2,FALSE)</f>
        <v>#N/A</v>
      </c>
      <c r="T2038" s="8" t="e">
        <f>VLOOKUP(Table1[[#This Row],[Address B]],IP_Master[],2,FALSE)</f>
        <v>#N/A</v>
      </c>
      <c r="U2038" s="9" t="e">
        <f>VLOOKUP(Table1[[#This Row],[Address A]],IP_Master[],3,FALSE)</f>
        <v>#N/A</v>
      </c>
      <c r="V2038" s="9" t="e">
        <f>VLOOKUP(Table1[[#This Row],[Address B]],IP_Master[],3,FALSE)</f>
        <v>#N/A</v>
      </c>
      <c r="W2038" s="9" t="str">
        <f>VLOOKUP(Table1[[#This Row],[Port B]],traffic_types[],2,FALSE)</f>
        <v>HTTP</v>
      </c>
    </row>
    <row r="2039" spans="1:23" hidden="1" x14ac:dyDescent="0.6">
      <c r="A2039" t="s">
        <v>224</v>
      </c>
      <c r="B2039">
        <v>60154</v>
      </c>
      <c r="C2039" t="s">
        <v>258</v>
      </c>
      <c r="D2039">
        <v>40020</v>
      </c>
      <c r="E2039">
        <v>3</v>
      </c>
      <c r="F2039">
        <v>194</v>
      </c>
      <c r="G2039">
        <v>3</v>
      </c>
      <c r="H2039">
        <v>194</v>
      </c>
      <c r="I2039">
        <v>0</v>
      </c>
      <c r="J2039">
        <v>0</v>
      </c>
      <c r="K2039">
        <v>478.81055700000002</v>
      </c>
      <c r="L2039">
        <v>8.9982269999999893</v>
      </c>
      <c r="M2039">
        <v>172.478422693715</v>
      </c>
      <c r="N2039">
        <v>0</v>
      </c>
      <c r="O2039" s="8" t="str">
        <f>formatIP(Table1[[#This Row],[Address A]])</f>
        <v>192.168.100.002</v>
      </c>
      <c r="P2039" s="8" t="str">
        <f>formatIP(Table1[[#This Row],[Address B]])</f>
        <v>157.055.235.162</v>
      </c>
      <c r="Q2039" s="8" t="e">
        <f>VLOOKUP(Table1[[#This Row],[Address A]],IP_Master[],4,FALSE)</f>
        <v>#N/A</v>
      </c>
      <c r="R2039" s="8" t="e">
        <f>VLOOKUP(Table1[[#This Row],[Address B]],IP_Master[],4,FALSE)</f>
        <v>#N/A</v>
      </c>
      <c r="S2039" s="8" t="e">
        <f>VLOOKUP(Table1[[#This Row],[Address A]],IP_Master[],2,FALSE)</f>
        <v>#N/A</v>
      </c>
      <c r="T2039" s="8" t="e">
        <f>VLOOKUP(Table1[[#This Row],[Address B]],IP_Master[],2,FALSE)</f>
        <v>#N/A</v>
      </c>
      <c r="U2039" s="9" t="e">
        <f>VLOOKUP(Table1[[#This Row],[Address A]],IP_Master[],3,FALSE)</f>
        <v>#N/A</v>
      </c>
      <c r="V2039" s="9" t="e">
        <f>VLOOKUP(Table1[[#This Row],[Address B]],IP_Master[],3,FALSE)</f>
        <v>#N/A</v>
      </c>
      <c r="W2039" s="9" t="e">
        <f>VLOOKUP(Table1[[#This Row],[Port B]],traffic_types[],2,FALSE)</f>
        <v>#N/A</v>
      </c>
    </row>
    <row r="2040" spans="1:23" hidden="1" x14ac:dyDescent="0.6">
      <c r="A2040" t="s">
        <v>224</v>
      </c>
      <c r="B2040">
        <v>60155</v>
      </c>
      <c r="C2040" t="s">
        <v>253</v>
      </c>
      <c r="D2040">
        <v>40008</v>
      </c>
      <c r="E2040">
        <v>3</v>
      </c>
      <c r="F2040">
        <v>194</v>
      </c>
      <c r="G2040">
        <v>3</v>
      </c>
      <c r="H2040">
        <v>194</v>
      </c>
      <c r="I2040">
        <v>0</v>
      </c>
      <c r="J2040">
        <v>0</v>
      </c>
      <c r="K2040">
        <v>478.81056000000001</v>
      </c>
      <c r="L2040">
        <v>8.9982199999999999</v>
      </c>
      <c r="M2040">
        <v>172.478556870136</v>
      </c>
      <c r="N2040">
        <v>0</v>
      </c>
      <c r="O2040" s="8" t="str">
        <f>formatIP(Table1[[#This Row],[Address A]])</f>
        <v>192.168.100.002</v>
      </c>
      <c r="P2040" s="8" t="str">
        <f>formatIP(Table1[[#This Row],[Address B]])</f>
        <v>157.055.130.149</v>
      </c>
      <c r="Q2040" s="8" t="e">
        <f>VLOOKUP(Table1[[#This Row],[Address A]],IP_Master[],4,FALSE)</f>
        <v>#N/A</v>
      </c>
      <c r="R2040" s="8" t="e">
        <f>VLOOKUP(Table1[[#This Row],[Address B]],IP_Master[],4,FALSE)</f>
        <v>#N/A</v>
      </c>
      <c r="S2040" s="8" t="e">
        <f>VLOOKUP(Table1[[#This Row],[Address A]],IP_Master[],2,FALSE)</f>
        <v>#N/A</v>
      </c>
      <c r="T2040" s="8" t="e">
        <f>VLOOKUP(Table1[[#This Row],[Address B]],IP_Master[],2,FALSE)</f>
        <v>#N/A</v>
      </c>
      <c r="U2040" s="9" t="e">
        <f>VLOOKUP(Table1[[#This Row],[Address A]],IP_Master[],3,FALSE)</f>
        <v>#N/A</v>
      </c>
      <c r="V2040" s="9" t="e">
        <f>VLOOKUP(Table1[[#This Row],[Address B]],IP_Master[],3,FALSE)</f>
        <v>#N/A</v>
      </c>
      <c r="W2040" s="9" t="e">
        <f>VLOOKUP(Table1[[#This Row],[Port B]],traffic_types[],2,FALSE)</f>
        <v>#N/A</v>
      </c>
    </row>
    <row r="2041" spans="1:23" x14ac:dyDescent="0.6">
      <c r="A2041" t="s">
        <v>224</v>
      </c>
      <c r="B2041">
        <v>60156</v>
      </c>
      <c r="C2041" t="s">
        <v>258</v>
      </c>
      <c r="D2041">
        <v>443</v>
      </c>
      <c r="E2041">
        <v>3</v>
      </c>
      <c r="F2041">
        <v>194</v>
      </c>
      <c r="G2041">
        <v>3</v>
      </c>
      <c r="H2041">
        <v>194</v>
      </c>
      <c r="I2041">
        <v>0</v>
      </c>
      <c r="J2041">
        <v>0</v>
      </c>
      <c r="K2041">
        <v>480.42903799999999</v>
      </c>
      <c r="L2041">
        <v>9.0004290000000005</v>
      </c>
      <c r="M2041">
        <v>172.436224984387</v>
      </c>
      <c r="N2041">
        <v>0</v>
      </c>
      <c r="O2041" s="8" t="str">
        <f>formatIP(Table1[[#This Row],[Address A]])</f>
        <v>192.168.100.002</v>
      </c>
      <c r="P2041" s="8" t="str">
        <f>formatIP(Table1[[#This Row],[Address B]])</f>
        <v>157.055.235.162</v>
      </c>
      <c r="Q2041" s="8" t="e">
        <f>VLOOKUP(Table1[[#This Row],[Address A]],IP_Master[],4,FALSE)</f>
        <v>#N/A</v>
      </c>
      <c r="R2041" s="8" t="e">
        <f>VLOOKUP(Table1[[#This Row],[Address B]],IP_Master[],4,FALSE)</f>
        <v>#N/A</v>
      </c>
      <c r="S2041" s="8" t="e">
        <f>VLOOKUP(Table1[[#This Row],[Address A]],IP_Master[],2,FALSE)</f>
        <v>#N/A</v>
      </c>
      <c r="T2041" s="8" t="e">
        <f>VLOOKUP(Table1[[#This Row],[Address B]],IP_Master[],2,FALSE)</f>
        <v>#N/A</v>
      </c>
      <c r="U2041" s="9" t="e">
        <f>VLOOKUP(Table1[[#This Row],[Address A]],IP_Master[],3,FALSE)</f>
        <v>#N/A</v>
      </c>
      <c r="V2041" s="9" t="e">
        <f>VLOOKUP(Table1[[#This Row],[Address B]],IP_Master[],3,FALSE)</f>
        <v>#N/A</v>
      </c>
      <c r="W2041" s="9" t="str">
        <f>VLOOKUP(Table1[[#This Row],[Port B]],traffic_types[],2,FALSE)</f>
        <v>HTTP/S</v>
      </c>
    </row>
    <row r="2042" spans="1:23" x14ac:dyDescent="0.6">
      <c r="A2042" t="s">
        <v>224</v>
      </c>
      <c r="B2042">
        <v>60157</v>
      </c>
      <c r="C2042" t="s">
        <v>253</v>
      </c>
      <c r="D2042">
        <v>443</v>
      </c>
      <c r="E2042">
        <v>3</v>
      </c>
      <c r="F2042">
        <v>194</v>
      </c>
      <c r="G2042">
        <v>3</v>
      </c>
      <c r="H2042">
        <v>194</v>
      </c>
      <c r="I2042">
        <v>0</v>
      </c>
      <c r="J2042">
        <v>0</v>
      </c>
      <c r="K2042">
        <v>480.42904099999998</v>
      </c>
      <c r="L2042">
        <v>9.0004250000000106</v>
      </c>
      <c r="M2042">
        <v>172.43630161908999</v>
      </c>
      <c r="N2042">
        <v>0</v>
      </c>
      <c r="O2042" s="8" t="str">
        <f>formatIP(Table1[[#This Row],[Address A]])</f>
        <v>192.168.100.002</v>
      </c>
      <c r="P2042" s="8" t="str">
        <f>formatIP(Table1[[#This Row],[Address B]])</f>
        <v>157.055.130.149</v>
      </c>
      <c r="Q2042" s="8" t="e">
        <f>VLOOKUP(Table1[[#This Row],[Address A]],IP_Master[],4,FALSE)</f>
        <v>#N/A</v>
      </c>
      <c r="R2042" s="8" t="e">
        <f>VLOOKUP(Table1[[#This Row],[Address B]],IP_Master[],4,FALSE)</f>
        <v>#N/A</v>
      </c>
      <c r="S2042" s="8" t="e">
        <f>VLOOKUP(Table1[[#This Row],[Address A]],IP_Master[],2,FALSE)</f>
        <v>#N/A</v>
      </c>
      <c r="T2042" s="8" t="e">
        <f>VLOOKUP(Table1[[#This Row],[Address B]],IP_Master[],2,FALSE)</f>
        <v>#N/A</v>
      </c>
      <c r="U2042" s="9" t="e">
        <f>VLOOKUP(Table1[[#This Row],[Address A]],IP_Master[],3,FALSE)</f>
        <v>#N/A</v>
      </c>
      <c r="V2042" s="9" t="e">
        <f>VLOOKUP(Table1[[#This Row],[Address B]],IP_Master[],3,FALSE)</f>
        <v>#N/A</v>
      </c>
      <c r="W2042" s="9" t="str">
        <f>VLOOKUP(Table1[[#This Row],[Port B]],traffic_types[],2,FALSE)</f>
        <v>HTTP/S</v>
      </c>
    </row>
    <row r="2043" spans="1:23" x14ac:dyDescent="0.6">
      <c r="A2043" t="s">
        <v>224</v>
      </c>
      <c r="B2043">
        <v>60158</v>
      </c>
      <c r="C2043" t="s">
        <v>258</v>
      </c>
      <c r="D2043">
        <v>80</v>
      </c>
      <c r="E2043">
        <v>3</v>
      </c>
      <c r="F2043">
        <v>194</v>
      </c>
      <c r="G2043">
        <v>3</v>
      </c>
      <c r="H2043">
        <v>194</v>
      </c>
      <c r="I2043">
        <v>0</v>
      </c>
      <c r="J2043">
        <v>0</v>
      </c>
      <c r="K2043">
        <v>482.03912800000001</v>
      </c>
      <c r="L2043">
        <v>8.9995020000000103</v>
      </c>
      <c r="M2043">
        <v>172.45398689838601</v>
      </c>
      <c r="N2043">
        <v>0</v>
      </c>
      <c r="O2043" s="8" t="str">
        <f>formatIP(Table1[[#This Row],[Address A]])</f>
        <v>192.168.100.002</v>
      </c>
      <c r="P2043" s="8" t="str">
        <f>formatIP(Table1[[#This Row],[Address B]])</f>
        <v>157.055.235.162</v>
      </c>
      <c r="Q2043" s="8" t="e">
        <f>VLOOKUP(Table1[[#This Row],[Address A]],IP_Master[],4,FALSE)</f>
        <v>#N/A</v>
      </c>
      <c r="R2043" s="8" t="e">
        <f>VLOOKUP(Table1[[#This Row],[Address B]],IP_Master[],4,FALSE)</f>
        <v>#N/A</v>
      </c>
      <c r="S2043" s="8" t="e">
        <f>VLOOKUP(Table1[[#This Row],[Address A]],IP_Master[],2,FALSE)</f>
        <v>#N/A</v>
      </c>
      <c r="T2043" s="8" t="e">
        <f>VLOOKUP(Table1[[#This Row],[Address B]],IP_Master[],2,FALSE)</f>
        <v>#N/A</v>
      </c>
      <c r="U2043" s="9" t="e">
        <f>VLOOKUP(Table1[[#This Row],[Address A]],IP_Master[],3,FALSE)</f>
        <v>#N/A</v>
      </c>
      <c r="V2043" s="9" t="e">
        <f>VLOOKUP(Table1[[#This Row],[Address B]],IP_Master[],3,FALSE)</f>
        <v>#N/A</v>
      </c>
      <c r="W2043" s="9" t="str">
        <f>VLOOKUP(Table1[[#This Row],[Port B]],traffic_types[],2,FALSE)</f>
        <v>HTTP</v>
      </c>
    </row>
    <row r="2044" spans="1:23" x14ac:dyDescent="0.6">
      <c r="A2044" t="s">
        <v>224</v>
      </c>
      <c r="B2044">
        <v>60159</v>
      </c>
      <c r="C2044" t="s">
        <v>253</v>
      </c>
      <c r="D2044">
        <v>80</v>
      </c>
      <c r="E2044">
        <v>3</v>
      </c>
      <c r="F2044">
        <v>194</v>
      </c>
      <c r="G2044">
        <v>3</v>
      </c>
      <c r="H2044">
        <v>194</v>
      </c>
      <c r="I2044">
        <v>0</v>
      </c>
      <c r="J2044">
        <v>0</v>
      </c>
      <c r="K2044">
        <v>482.039129</v>
      </c>
      <c r="L2044">
        <v>8.9994970000000194</v>
      </c>
      <c r="M2044">
        <v>172.45408271151101</v>
      </c>
      <c r="N2044">
        <v>0</v>
      </c>
      <c r="O2044" s="8" t="str">
        <f>formatIP(Table1[[#This Row],[Address A]])</f>
        <v>192.168.100.002</v>
      </c>
      <c r="P2044" s="8" t="str">
        <f>formatIP(Table1[[#This Row],[Address B]])</f>
        <v>157.055.130.149</v>
      </c>
      <c r="Q2044" s="8" t="e">
        <f>VLOOKUP(Table1[[#This Row],[Address A]],IP_Master[],4,FALSE)</f>
        <v>#N/A</v>
      </c>
      <c r="R2044" s="8" t="e">
        <f>VLOOKUP(Table1[[#This Row],[Address B]],IP_Master[],4,FALSE)</f>
        <v>#N/A</v>
      </c>
      <c r="S2044" s="8" t="e">
        <f>VLOOKUP(Table1[[#This Row],[Address A]],IP_Master[],2,FALSE)</f>
        <v>#N/A</v>
      </c>
      <c r="T2044" s="8" t="e">
        <f>VLOOKUP(Table1[[#This Row],[Address B]],IP_Master[],2,FALSE)</f>
        <v>#N/A</v>
      </c>
      <c r="U2044" s="9" t="e">
        <f>VLOOKUP(Table1[[#This Row],[Address A]],IP_Master[],3,FALSE)</f>
        <v>#N/A</v>
      </c>
      <c r="V2044" s="9" t="e">
        <f>VLOOKUP(Table1[[#This Row],[Address B]],IP_Master[],3,FALSE)</f>
        <v>#N/A</v>
      </c>
      <c r="W2044" s="9" t="str">
        <f>VLOOKUP(Table1[[#This Row],[Port B]],traffic_types[],2,FALSE)</f>
        <v>HTTP</v>
      </c>
    </row>
    <row r="2045" spans="1:23" hidden="1" x14ac:dyDescent="0.6">
      <c r="A2045" t="s">
        <v>224</v>
      </c>
      <c r="B2045">
        <v>60160</v>
      </c>
      <c r="C2045" t="s">
        <v>257</v>
      </c>
      <c r="D2045">
        <v>40022</v>
      </c>
      <c r="E2045">
        <v>3</v>
      </c>
      <c r="F2045">
        <v>194</v>
      </c>
      <c r="G2045">
        <v>3</v>
      </c>
      <c r="H2045">
        <v>194</v>
      </c>
      <c r="I2045">
        <v>0</v>
      </c>
      <c r="J2045">
        <v>0</v>
      </c>
      <c r="K2045">
        <v>490.85116299999999</v>
      </c>
      <c r="L2045">
        <v>8.9992720000000208</v>
      </c>
      <c r="M2045">
        <v>172.45839441234801</v>
      </c>
      <c r="N2045">
        <v>0</v>
      </c>
      <c r="O2045" s="8" t="str">
        <f>formatIP(Table1[[#This Row],[Address A]])</f>
        <v>192.168.100.002</v>
      </c>
      <c r="P2045" s="8" t="str">
        <f>formatIP(Table1[[#This Row],[Address B]])</f>
        <v>111.221.077.140</v>
      </c>
      <c r="Q2045" s="8" t="e">
        <f>VLOOKUP(Table1[[#This Row],[Address A]],IP_Master[],4,FALSE)</f>
        <v>#N/A</v>
      </c>
      <c r="R2045" s="8" t="e">
        <f>VLOOKUP(Table1[[#This Row],[Address B]],IP_Master[],4,FALSE)</f>
        <v>#N/A</v>
      </c>
      <c r="S2045" s="8" t="e">
        <f>VLOOKUP(Table1[[#This Row],[Address A]],IP_Master[],2,FALSE)</f>
        <v>#N/A</v>
      </c>
      <c r="T2045" s="8" t="e">
        <f>VLOOKUP(Table1[[#This Row],[Address B]],IP_Master[],2,FALSE)</f>
        <v>#N/A</v>
      </c>
      <c r="U2045" s="9" t="e">
        <f>VLOOKUP(Table1[[#This Row],[Address A]],IP_Master[],3,FALSE)</f>
        <v>#N/A</v>
      </c>
      <c r="V2045" s="9" t="e">
        <f>VLOOKUP(Table1[[#This Row],[Address B]],IP_Master[],3,FALSE)</f>
        <v>#N/A</v>
      </c>
      <c r="W2045" s="9" t="e">
        <f>VLOOKUP(Table1[[#This Row],[Port B]],traffic_types[],2,FALSE)</f>
        <v>#N/A</v>
      </c>
    </row>
    <row r="2046" spans="1:23" x14ac:dyDescent="0.6">
      <c r="A2046" t="s">
        <v>224</v>
      </c>
      <c r="B2046">
        <v>60161</v>
      </c>
      <c r="C2046" t="s">
        <v>257</v>
      </c>
      <c r="D2046">
        <v>443</v>
      </c>
      <c r="E2046">
        <v>3</v>
      </c>
      <c r="F2046">
        <v>194</v>
      </c>
      <c r="G2046">
        <v>3</v>
      </c>
      <c r="H2046">
        <v>194</v>
      </c>
      <c r="I2046">
        <v>0</v>
      </c>
      <c r="J2046">
        <v>0</v>
      </c>
      <c r="K2046">
        <v>492.47007200000002</v>
      </c>
      <c r="L2046">
        <v>9.00057799999996</v>
      </c>
      <c r="M2046">
        <v>172.43337039021301</v>
      </c>
      <c r="N2046">
        <v>0</v>
      </c>
      <c r="O2046" s="8" t="str">
        <f>formatIP(Table1[[#This Row],[Address A]])</f>
        <v>192.168.100.002</v>
      </c>
      <c r="P2046" s="8" t="str">
        <f>formatIP(Table1[[#This Row],[Address B]])</f>
        <v>111.221.077.140</v>
      </c>
      <c r="Q2046" s="8" t="e">
        <f>VLOOKUP(Table1[[#This Row],[Address A]],IP_Master[],4,FALSE)</f>
        <v>#N/A</v>
      </c>
      <c r="R2046" s="8" t="e">
        <f>VLOOKUP(Table1[[#This Row],[Address B]],IP_Master[],4,FALSE)</f>
        <v>#N/A</v>
      </c>
      <c r="S2046" s="8" t="e">
        <f>VLOOKUP(Table1[[#This Row],[Address A]],IP_Master[],2,FALSE)</f>
        <v>#N/A</v>
      </c>
      <c r="T2046" s="8" t="e">
        <f>VLOOKUP(Table1[[#This Row],[Address B]],IP_Master[],2,FALSE)</f>
        <v>#N/A</v>
      </c>
      <c r="U2046" s="9" t="e">
        <f>VLOOKUP(Table1[[#This Row],[Address A]],IP_Master[],3,FALSE)</f>
        <v>#N/A</v>
      </c>
      <c r="V2046" s="9" t="e">
        <f>VLOOKUP(Table1[[#This Row],[Address B]],IP_Master[],3,FALSE)</f>
        <v>#N/A</v>
      </c>
      <c r="W2046" s="9" t="str">
        <f>VLOOKUP(Table1[[#This Row],[Port B]],traffic_types[],2,FALSE)</f>
        <v>HTTP/S</v>
      </c>
    </row>
    <row r="2047" spans="1:23" x14ac:dyDescent="0.6">
      <c r="A2047" t="s">
        <v>224</v>
      </c>
      <c r="B2047">
        <v>60162</v>
      </c>
      <c r="C2047" t="s">
        <v>257</v>
      </c>
      <c r="D2047">
        <v>80</v>
      </c>
      <c r="E2047">
        <v>3</v>
      </c>
      <c r="F2047">
        <v>194</v>
      </c>
      <c r="G2047">
        <v>3</v>
      </c>
      <c r="H2047">
        <v>194</v>
      </c>
      <c r="I2047">
        <v>0</v>
      </c>
      <c r="J2047">
        <v>0</v>
      </c>
      <c r="K2047">
        <v>494.08005800000001</v>
      </c>
      <c r="L2047">
        <v>9.0006070000000005</v>
      </c>
      <c r="M2047">
        <v>172.43281480904599</v>
      </c>
      <c r="N2047">
        <v>0</v>
      </c>
      <c r="O2047" s="8" t="str">
        <f>formatIP(Table1[[#This Row],[Address A]])</f>
        <v>192.168.100.002</v>
      </c>
      <c r="P2047" s="8" t="str">
        <f>formatIP(Table1[[#This Row],[Address B]])</f>
        <v>111.221.077.140</v>
      </c>
      <c r="Q2047" s="8" t="e">
        <f>VLOOKUP(Table1[[#This Row],[Address A]],IP_Master[],4,FALSE)</f>
        <v>#N/A</v>
      </c>
      <c r="R2047" s="8" t="e">
        <f>VLOOKUP(Table1[[#This Row],[Address B]],IP_Master[],4,FALSE)</f>
        <v>#N/A</v>
      </c>
      <c r="S2047" s="8" t="e">
        <f>VLOOKUP(Table1[[#This Row],[Address A]],IP_Master[],2,FALSE)</f>
        <v>#N/A</v>
      </c>
      <c r="T2047" s="8" t="e">
        <f>VLOOKUP(Table1[[#This Row],[Address B]],IP_Master[],2,FALSE)</f>
        <v>#N/A</v>
      </c>
      <c r="U2047" s="9" t="e">
        <f>VLOOKUP(Table1[[#This Row],[Address A]],IP_Master[],3,FALSE)</f>
        <v>#N/A</v>
      </c>
      <c r="V2047" s="9" t="e">
        <f>VLOOKUP(Table1[[#This Row],[Address B]],IP_Master[],3,FALSE)</f>
        <v>#N/A</v>
      </c>
      <c r="W2047" s="9" t="str">
        <f>VLOOKUP(Table1[[#This Row],[Port B]],traffic_types[],2,FALSE)</f>
        <v>HTTP</v>
      </c>
    </row>
    <row r="2048" spans="1:23" x14ac:dyDescent="0.6">
      <c r="A2048" t="s">
        <v>224</v>
      </c>
      <c r="B2048">
        <v>60163</v>
      </c>
      <c r="C2048" t="s">
        <v>232</v>
      </c>
      <c r="D2048">
        <v>443</v>
      </c>
      <c r="E2048">
        <v>3</v>
      </c>
      <c r="F2048">
        <v>194</v>
      </c>
      <c r="G2048">
        <v>3</v>
      </c>
      <c r="H2048">
        <v>194</v>
      </c>
      <c r="I2048">
        <v>0</v>
      </c>
      <c r="J2048">
        <v>0</v>
      </c>
      <c r="K2048">
        <v>499.37075299999998</v>
      </c>
      <c r="L2048">
        <v>8.97072800000001</v>
      </c>
      <c r="M2048">
        <v>173.0071405576</v>
      </c>
      <c r="N2048">
        <v>0</v>
      </c>
      <c r="O2048" s="8" t="str">
        <f>formatIP(Table1[[#This Row],[Address A]])</f>
        <v>192.168.100.002</v>
      </c>
      <c r="P2048" s="8" t="str">
        <f>formatIP(Table1[[#This Row],[Address B]])</f>
        <v>103.043.075.140</v>
      </c>
      <c r="Q2048" s="8" t="e">
        <f>VLOOKUP(Table1[[#This Row],[Address A]],IP_Master[],4,FALSE)</f>
        <v>#N/A</v>
      </c>
      <c r="R2048" s="8" t="e">
        <f>VLOOKUP(Table1[[#This Row],[Address B]],IP_Master[],4,FALSE)</f>
        <v>#N/A</v>
      </c>
      <c r="S2048" s="8" t="e">
        <f>VLOOKUP(Table1[[#This Row],[Address A]],IP_Master[],2,FALSE)</f>
        <v>#N/A</v>
      </c>
      <c r="T2048" s="8" t="e">
        <f>VLOOKUP(Table1[[#This Row],[Address B]],IP_Master[],2,FALSE)</f>
        <v>#N/A</v>
      </c>
      <c r="U2048" s="9" t="e">
        <f>VLOOKUP(Table1[[#This Row],[Address A]],IP_Master[],3,FALSE)</f>
        <v>#N/A</v>
      </c>
      <c r="V2048" s="9" t="e">
        <f>VLOOKUP(Table1[[#This Row],[Address B]],IP_Master[],3,FALSE)</f>
        <v>#N/A</v>
      </c>
      <c r="W2048" s="9" t="str">
        <f>VLOOKUP(Table1[[#This Row],[Port B]],traffic_types[],2,FALSE)</f>
        <v>HTTP/S</v>
      </c>
    </row>
    <row r="2049" spans="1:23" x14ac:dyDescent="0.6">
      <c r="A2049" t="s">
        <v>224</v>
      </c>
      <c r="B2049">
        <v>60164</v>
      </c>
      <c r="C2049" t="s">
        <v>232</v>
      </c>
      <c r="D2049">
        <v>80</v>
      </c>
      <c r="E2049">
        <v>3</v>
      </c>
      <c r="F2049">
        <v>194</v>
      </c>
      <c r="G2049">
        <v>3</v>
      </c>
      <c r="H2049">
        <v>194</v>
      </c>
      <c r="I2049">
        <v>0</v>
      </c>
      <c r="J2049">
        <v>0</v>
      </c>
      <c r="K2049">
        <v>501.34073899999999</v>
      </c>
      <c r="L2049">
        <v>9.0009800000000304</v>
      </c>
      <c r="M2049">
        <v>172.42566920490799</v>
      </c>
      <c r="N2049">
        <v>0</v>
      </c>
      <c r="O2049" s="8" t="str">
        <f>formatIP(Table1[[#This Row],[Address A]])</f>
        <v>192.168.100.002</v>
      </c>
      <c r="P2049" s="8" t="str">
        <f>formatIP(Table1[[#This Row],[Address B]])</f>
        <v>103.043.075.140</v>
      </c>
      <c r="Q2049" s="8" t="e">
        <f>VLOOKUP(Table1[[#This Row],[Address A]],IP_Master[],4,FALSE)</f>
        <v>#N/A</v>
      </c>
      <c r="R2049" s="8" t="e">
        <f>VLOOKUP(Table1[[#This Row],[Address B]],IP_Master[],4,FALSE)</f>
        <v>#N/A</v>
      </c>
      <c r="S2049" s="8" t="e">
        <f>VLOOKUP(Table1[[#This Row],[Address A]],IP_Master[],2,FALSE)</f>
        <v>#N/A</v>
      </c>
      <c r="T2049" s="8" t="e">
        <f>VLOOKUP(Table1[[#This Row],[Address B]],IP_Master[],2,FALSE)</f>
        <v>#N/A</v>
      </c>
      <c r="U2049" s="9" t="e">
        <f>VLOOKUP(Table1[[#This Row],[Address A]],IP_Master[],3,FALSE)</f>
        <v>#N/A</v>
      </c>
      <c r="V2049" s="9" t="e">
        <f>VLOOKUP(Table1[[#This Row],[Address B]],IP_Master[],3,FALSE)</f>
        <v>#N/A</v>
      </c>
      <c r="W2049" s="9" t="str">
        <f>VLOOKUP(Table1[[#This Row],[Port B]],traffic_types[],2,FALSE)</f>
        <v>HTTP</v>
      </c>
    </row>
    <row r="2050" spans="1:23" hidden="1" x14ac:dyDescent="0.6">
      <c r="A2050" t="s">
        <v>224</v>
      </c>
      <c r="B2050">
        <v>60165</v>
      </c>
      <c r="C2050" t="s">
        <v>268</v>
      </c>
      <c r="D2050">
        <v>40024</v>
      </c>
      <c r="E2050">
        <v>3</v>
      </c>
      <c r="F2050">
        <v>194</v>
      </c>
      <c r="G2050">
        <v>3</v>
      </c>
      <c r="H2050">
        <v>194</v>
      </c>
      <c r="I2050">
        <v>0</v>
      </c>
      <c r="J2050">
        <v>0</v>
      </c>
      <c r="K2050">
        <v>503.84176500000001</v>
      </c>
      <c r="L2050">
        <v>8.9988140000000403</v>
      </c>
      <c r="M2050">
        <v>172.46717178508101</v>
      </c>
      <c r="N2050">
        <v>0</v>
      </c>
      <c r="O2050" s="8" t="str">
        <f>formatIP(Table1[[#This Row],[Address A]])</f>
        <v>192.168.100.002</v>
      </c>
      <c r="P2050" s="8" t="str">
        <f>formatIP(Table1[[#This Row],[Address B]])</f>
        <v>157.055.235.165</v>
      </c>
      <c r="Q2050" s="8" t="e">
        <f>VLOOKUP(Table1[[#This Row],[Address A]],IP_Master[],4,FALSE)</f>
        <v>#N/A</v>
      </c>
      <c r="R2050" s="8" t="e">
        <f>VLOOKUP(Table1[[#This Row],[Address B]],IP_Master[],4,FALSE)</f>
        <v>#N/A</v>
      </c>
      <c r="S2050" s="8" t="e">
        <f>VLOOKUP(Table1[[#This Row],[Address A]],IP_Master[],2,FALSE)</f>
        <v>#N/A</v>
      </c>
      <c r="T2050" s="8" t="e">
        <f>VLOOKUP(Table1[[#This Row],[Address B]],IP_Master[],2,FALSE)</f>
        <v>#N/A</v>
      </c>
      <c r="U2050" s="9" t="e">
        <f>VLOOKUP(Table1[[#This Row],[Address A]],IP_Master[],3,FALSE)</f>
        <v>#N/A</v>
      </c>
      <c r="V2050" s="9" t="e">
        <f>VLOOKUP(Table1[[#This Row],[Address B]],IP_Master[],3,FALSE)</f>
        <v>#N/A</v>
      </c>
      <c r="W2050" s="9" t="e">
        <f>VLOOKUP(Table1[[#This Row],[Port B]],traffic_types[],2,FALSE)</f>
        <v>#N/A</v>
      </c>
    </row>
    <row r="2051" spans="1:23" hidden="1" x14ac:dyDescent="0.6">
      <c r="A2051" t="s">
        <v>224</v>
      </c>
      <c r="B2051">
        <v>60166</v>
      </c>
      <c r="C2051" t="s">
        <v>280</v>
      </c>
      <c r="D2051">
        <v>33033</v>
      </c>
      <c r="E2051">
        <v>3</v>
      </c>
      <c r="F2051">
        <v>194</v>
      </c>
      <c r="G2051">
        <v>3</v>
      </c>
      <c r="H2051">
        <v>194</v>
      </c>
      <c r="I2051">
        <v>0</v>
      </c>
      <c r="J2051">
        <v>0</v>
      </c>
      <c r="K2051">
        <v>503.841769</v>
      </c>
      <c r="L2051">
        <v>8.9988140000000403</v>
      </c>
      <c r="M2051">
        <v>172.46717178508101</v>
      </c>
      <c r="N2051">
        <v>0</v>
      </c>
      <c r="O2051" s="8" t="str">
        <f>formatIP(Table1[[#This Row],[Address A]])</f>
        <v>192.168.100.002</v>
      </c>
      <c r="P2051" s="8" t="str">
        <f>formatIP(Table1[[#This Row],[Address B]])</f>
        <v>157.056.052.018</v>
      </c>
      <c r="Q2051" s="8" t="e">
        <f>VLOOKUP(Table1[[#This Row],[Address A]],IP_Master[],4,FALSE)</f>
        <v>#N/A</v>
      </c>
      <c r="R2051" s="8" t="e">
        <f>VLOOKUP(Table1[[#This Row],[Address B]],IP_Master[],4,FALSE)</f>
        <v>#N/A</v>
      </c>
      <c r="S2051" s="8" t="e">
        <f>VLOOKUP(Table1[[#This Row],[Address A]],IP_Master[],2,FALSE)</f>
        <v>#N/A</v>
      </c>
      <c r="T2051" s="8" t="e">
        <f>VLOOKUP(Table1[[#This Row],[Address B]],IP_Master[],2,FALSE)</f>
        <v>#N/A</v>
      </c>
      <c r="U2051" s="9" t="e">
        <f>VLOOKUP(Table1[[#This Row],[Address A]],IP_Master[],3,FALSE)</f>
        <v>#N/A</v>
      </c>
      <c r="V2051" s="9" t="e">
        <f>VLOOKUP(Table1[[#This Row],[Address B]],IP_Master[],3,FALSE)</f>
        <v>#N/A</v>
      </c>
      <c r="W2051" s="9" t="e">
        <f>VLOOKUP(Table1[[#This Row],[Port B]],traffic_types[],2,FALSE)</f>
        <v>#N/A</v>
      </c>
    </row>
    <row r="2052" spans="1:23" x14ac:dyDescent="0.6">
      <c r="A2052" t="s">
        <v>224</v>
      </c>
      <c r="B2052">
        <v>60167</v>
      </c>
      <c r="C2052" t="s">
        <v>268</v>
      </c>
      <c r="D2052">
        <v>443</v>
      </c>
      <c r="E2052">
        <v>3</v>
      </c>
      <c r="F2052">
        <v>194</v>
      </c>
      <c r="G2052">
        <v>3</v>
      </c>
      <c r="H2052">
        <v>194</v>
      </c>
      <c r="I2052">
        <v>0</v>
      </c>
      <c r="J2052">
        <v>0</v>
      </c>
      <c r="K2052">
        <v>505.46101499999997</v>
      </c>
      <c r="L2052">
        <v>8.9996080000000802</v>
      </c>
      <c r="M2052">
        <v>172.451955685179</v>
      </c>
      <c r="N2052">
        <v>0</v>
      </c>
      <c r="O2052" s="8" t="str">
        <f>formatIP(Table1[[#This Row],[Address A]])</f>
        <v>192.168.100.002</v>
      </c>
      <c r="P2052" s="8" t="str">
        <f>formatIP(Table1[[#This Row],[Address B]])</f>
        <v>157.055.235.165</v>
      </c>
      <c r="Q2052" s="8" t="e">
        <f>VLOOKUP(Table1[[#This Row],[Address A]],IP_Master[],4,FALSE)</f>
        <v>#N/A</v>
      </c>
      <c r="R2052" s="8" t="e">
        <f>VLOOKUP(Table1[[#This Row],[Address B]],IP_Master[],4,FALSE)</f>
        <v>#N/A</v>
      </c>
      <c r="S2052" s="8" t="e">
        <f>VLOOKUP(Table1[[#This Row],[Address A]],IP_Master[],2,FALSE)</f>
        <v>#N/A</v>
      </c>
      <c r="T2052" s="8" t="e">
        <f>VLOOKUP(Table1[[#This Row],[Address B]],IP_Master[],2,FALSE)</f>
        <v>#N/A</v>
      </c>
      <c r="U2052" s="9" t="e">
        <f>VLOOKUP(Table1[[#This Row],[Address A]],IP_Master[],3,FALSE)</f>
        <v>#N/A</v>
      </c>
      <c r="V2052" s="9" t="e">
        <f>VLOOKUP(Table1[[#This Row],[Address B]],IP_Master[],3,FALSE)</f>
        <v>#N/A</v>
      </c>
      <c r="W2052" s="9" t="str">
        <f>VLOOKUP(Table1[[#This Row],[Port B]],traffic_types[],2,FALSE)</f>
        <v>HTTP/S</v>
      </c>
    </row>
    <row r="2053" spans="1:23" x14ac:dyDescent="0.6">
      <c r="A2053" t="s">
        <v>224</v>
      </c>
      <c r="B2053">
        <v>60168</v>
      </c>
      <c r="C2053" t="s">
        <v>280</v>
      </c>
      <c r="D2053">
        <v>443</v>
      </c>
      <c r="E2053">
        <v>3</v>
      </c>
      <c r="F2053">
        <v>194</v>
      </c>
      <c r="G2053">
        <v>3</v>
      </c>
      <c r="H2053">
        <v>194</v>
      </c>
      <c r="I2053">
        <v>0</v>
      </c>
      <c r="J2053">
        <v>0</v>
      </c>
      <c r="K2053">
        <v>505.46101900000002</v>
      </c>
      <c r="L2053">
        <v>8.9996070000000294</v>
      </c>
      <c r="M2053">
        <v>172.45197484734601</v>
      </c>
      <c r="N2053">
        <v>0</v>
      </c>
      <c r="O2053" s="8" t="str">
        <f>formatIP(Table1[[#This Row],[Address A]])</f>
        <v>192.168.100.002</v>
      </c>
      <c r="P2053" s="8" t="str">
        <f>formatIP(Table1[[#This Row],[Address B]])</f>
        <v>157.056.052.018</v>
      </c>
      <c r="Q2053" s="8" t="e">
        <f>VLOOKUP(Table1[[#This Row],[Address A]],IP_Master[],4,FALSE)</f>
        <v>#N/A</v>
      </c>
      <c r="R2053" s="8" t="e">
        <f>VLOOKUP(Table1[[#This Row],[Address B]],IP_Master[],4,FALSE)</f>
        <v>#N/A</v>
      </c>
      <c r="S2053" s="8" t="e">
        <f>VLOOKUP(Table1[[#This Row],[Address A]],IP_Master[],2,FALSE)</f>
        <v>#N/A</v>
      </c>
      <c r="T2053" s="8" t="e">
        <f>VLOOKUP(Table1[[#This Row],[Address B]],IP_Master[],2,FALSE)</f>
        <v>#N/A</v>
      </c>
      <c r="U2053" s="9" t="e">
        <f>VLOOKUP(Table1[[#This Row],[Address A]],IP_Master[],3,FALSE)</f>
        <v>#N/A</v>
      </c>
      <c r="V2053" s="9" t="e">
        <f>VLOOKUP(Table1[[#This Row],[Address B]],IP_Master[],3,FALSE)</f>
        <v>#N/A</v>
      </c>
      <c r="W2053" s="9" t="str">
        <f>VLOOKUP(Table1[[#This Row],[Port B]],traffic_types[],2,FALSE)</f>
        <v>HTTP/S</v>
      </c>
    </row>
    <row r="2054" spans="1:23" x14ac:dyDescent="0.6">
      <c r="A2054" t="s">
        <v>224</v>
      </c>
      <c r="B2054">
        <v>60169</v>
      </c>
      <c r="C2054" t="s">
        <v>268</v>
      </c>
      <c r="D2054">
        <v>80</v>
      </c>
      <c r="E2054">
        <v>3</v>
      </c>
      <c r="F2054">
        <v>194</v>
      </c>
      <c r="G2054">
        <v>3</v>
      </c>
      <c r="H2054">
        <v>194</v>
      </c>
      <c r="I2054">
        <v>0</v>
      </c>
      <c r="J2054">
        <v>0</v>
      </c>
      <c r="K2054">
        <v>507.07104900000002</v>
      </c>
      <c r="L2054">
        <v>8.9994000000000405</v>
      </c>
      <c r="M2054">
        <v>172.45594150721101</v>
      </c>
      <c r="N2054">
        <v>0</v>
      </c>
      <c r="O2054" s="8" t="str">
        <f>formatIP(Table1[[#This Row],[Address A]])</f>
        <v>192.168.100.002</v>
      </c>
      <c r="P2054" s="8" t="str">
        <f>formatIP(Table1[[#This Row],[Address B]])</f>
        <v>157.055.235.165</v>
      </c>
      <c r="Q2054" s="8" t="e">
        <f>VLOOKUP(Table1[[#This Row],[Address A]],IP_Master[],4,FALSE)</f>
        <v>#N/A</v>
      </c>
      <c r="R2054" s="8" t="e">
        <f>VLOOKUP(Table1[[#This Row],[Address B]],IP_Master[],4,FALSE)</f>
        <v>#N/A</v>
      </c>
      <c r="S2054" s="8" t="e">
        <f>VLOOKUP(Table1[[#This Row],[Address A]],IP_Master[],2,FALSE)</f>
        <v>#N/A</v>
      </c>
      <c r="T2054" s="8" t="e">
        <f>VLOOKUP(Table1[[#This Row],[Address B]],IP_Master[],2,FALSE)</f>
        <v>#N/A</v>
      </c>
      <c r="U2054" s="9" t="e">
        <f>VLOOKUP(Table1[[#This Row],[Address A]],IP_Master[],3,FALSE)</f>
        <v>#N/A</v>
      </c>
      <c r="V2054" s="9" t="e">
        <f>VLOOKUP(Table1[[#This Row],[Address B]],IP_Master[],3,FALSE)</f>
        <v>#N/A</v>
      </c>
      <c r="W2054" s="9" t="str">
        <f>VLOOKUP(Table1[[#This Row],[Port B]],traffic_types[],2,FALSE)</f>
        <v>HTTP</v>
      </c>
    </row>
    <row r="2055" spans="1:23" x14ac:dyDescent="0.6">
      <c r="A2055" t="s">
        <v>224</v>
      </c>
      <c r="B2055">
        <v>60170</v>
      </c>
      <c r="C2055" t="s">
        <v>280</v>
      </c>
      <c r="D2055">
        <v>80</v>
      </c>
      <c r="E2055">
        <v>3</v>
      </c>
      <c r="F2055">
        <v>194</v>
      </c>
      <c r="G2055">
        <v>3</v>
      </c>
      <c r="H2055">
        <v>194</v>
      </c>
      <c r="I2055">
        <v>0</v>
      </c>
      <c r="J2055">
        <v>0</v>
      </c>
      <c r="K2055">
        <v>507.07105200000001</v>
      </c>
      <c r="L2055">
        <v>8.9993960000000506</v>
      </c>
      <c r="M2055">
        <v>172.45601815943999</v>
      </c>
      <c r="N2055">
        <v>0</v>
      </c>
      <c r="O2055" s="8" t="str">
        <f>formatIP(Table1[[#This Row],[Address A]])</f>
        <v>192.168.100.002</v>
      </c>
      <c r="P2055" s="8" t="str">
        <f>formatIP(Table1[[#This Row],[Address B]])</f>
        <v>157.056.052.018</v>
      </c>
      <c r="Q2055" s="8" t="e">
        <f>VLOOKUP(Table1[[#This Row],[Address A]],IP_Master[],4,FALSE)</f>
        <v>#N/A</v>
      </c>
      <c r="R2055" s="8" t="e">
        <f>VLOOKUP(Table1[[#This Row],[Address B]],IP_Master[],4,FALSE)</f>
        <v>#N/A</v>
      </c>
      <c r="S2055" s="8" t="e">
        <f>VLOOKUP(Table1[[#This Row],[Address A]],IP_Master[],2,FALSE)</f>
        <v>#N/A</v>
      </c>
      <c r="T2055" s="8" t="e">
        <f>VLOOKUP(Table1[[#This Row],[Address B]],IP_Master[],2,FALSE)</f>
        <v>#N/A</v>
      </c>
      <c r="U2055" s="9" t="e">
        <f>VLOOKUP(Table1[[#This Row],[Address A]],IP_Master[],3,FALSE)</f>
        <v>#N/A</v>
      </c>
      <c r="V2055" s="9" t="e">
        <f>VLOOKUP(Table1[[#This Row],[Address B]],IP_Master[],3,FALSE)</f>
        <v>#N/A</v>
      </c>
      <c r="W2055" s="9" t="str">
        <f>VLOOKUP(Table1[[#This Row],[Port B]],traffic_types[],2,FALSE)</f>
        <v>HTTP</v>
      </c>
    </row>
    <row r="2056" spans="1:23" hidden="1" x14ac:dyDescent="0.6">
      <c r="A2056" t="s">
        <v>224</v>
      </c>
      <c r="B2056">
        <v>60171</v>
      </c>
      <c r="C2056" t="s">
        <v>254</v>
      </c>
      <c r="D2056">
        <v>12350</v>
      </c>
      <c r="E2056">
        <v>3</v>
      </c>
      <c r="F2056">
        <v>194</v>
      </c>
      <c r="G2056">
        <v>3</v>
      </c>
      <c r="H2056">
        <v>194</v>
      </c>
      <c r="I2056">
        <v>0</v>
      </c>
      <c r="J2056">
        <v>0</v>
      </c>
      <c r="K2056">
        <v>511.90231599999998</v>
      </c>
      <c r="L2056">
        <v>9.0002400000000193</v>
      </c>
      <c r="M2056">
        <v>172.43984604854899</v>
      </c>
      <c r="N2056">
        <v>0</v>
      </c>
      <c r="O2056" s="8" t="str">
        <f>formatIP(Table1[[#This Row],[Address A]])</f>
        <v>192.168.100.002</v>
      </c>
      <c r="P2056" s="8" t="str">
        <f>formatIP(Table1[[#This Row],[Address B]])</f>
        <v>091.190.218.057</v>
      </c>
      <c r="Q2056" s="8" t="e">
        <f>VLOOKUP(Table1[[#This Row],[Address A]],IP_Master[],4,FALSE)</f>
        <v>#N/A</v>
      </c>
      <c r="R2056" s="8" t="e">
        <f>VLOOKUP(Table1[[#This Row],[Address B]],IP_Master[],4,FALSE)</f>
        <v>#N/A</v>
      </c>
      <c r="S2056" s="8" t="e">
        <f>VLOOKUP(Table1[[#This Row],[Address A]],IP_Master[],2,FALSE)</f>
        <v>#N/A</v>
      </c>
      <c r="T2056" s="8" t="e">
        <f>VLOOKUP(Table1[[#This Row],[Address B]],IP_Master[],2,FALSE)</f>
        <v>#N/A</v>
      </c>
      <c r="U2056" s="9" t="e">
        <f>VLOOKUP(Table1[[#This Row],[Address A]],IP_Master[],3,FALSE)</f>
        <v>#N/A</v>
      </c>
      <c r="V2056" s="9" t="e">
        <f>VLOOKUP(Table1[[#This Row],[Address B]],IP_Master[],3,FALSE)</f>
        <v>#N/A</v>
      </c>
      <c r="W2056" s="9" t="e">
        <f>VLOOKUP(Table1[[#This Row],[Port B]],traffic_types[],2,FALSE)</f>
        <v>#N/A</v>
      </c>
    </row>
    <row r="2057" spans="1:23" x14ac:dyDescent="0.6">
      <c r="A2057" t="s">
        <v>224</v>
      </c>
      <c r="B2057">
        <v>60172</v>
      </c>
      <c r="C2057" t="s">
        <v>254</v>
      </c>
      <c r="D2057">
        <v>443</v>
      </c>
      <c r="E2057">
        <v>3</v>
      </c>
      <c r="F2057">
        <v>194</v>
      </c>
      <c r="G2057">
        <v>3</v>
      </c>
      <c r="H2057">
        <v>194</v>
      </c>
      <c r="I2057">
        <v>0</v>
      </c>
      <c r="J2057">
        <v>0</v>
      </c>
      <c r="K2057">
        <v>513.52204700000004</v>
      </c>
      <c r="L2057">
        <v>9.0003899999999195</v>
      </c>
      <c r="M2057">
        <v>172.43697217565199</v>
      </c>
      <c r="N2057">
        <v>0</v>
      </c>
      <c r="O2057" s="8" t="str">
        <f>formatIP(Table1[[#This Row],[Address A]])</f>
        <v>192.168.100.002</v>
      </c>
      <c r="P2057" s="8" t="str">
        <f>formatIP(Table1[[#This Row],[Address B]])</f>
        <v>091.190.218.057</v>
      </c>
      <c r="Q2057" s="8" t="e">
        <f>VLOOKUP(Table1[[#This Row],[Address A]],IP_Master[],4,FALSE)</f>
        <v>#N/A</v>
      </c>
      <c r="R2057" s="8" t="e">
        <f>VLOOKUP(Table1[[#This Row],[Address B]],IP_Master[],4,FALSE)</f>
        <v>#N/A</v>
      </c>
      <c r="S2057" s="8" t="e">
        <f>VLOOKUP(Table1[[#This Row],[Address A]],IP_Master[],2,FALSE)</f>
        <v>#N/A</v>
      </c>
      <c r="T2057" s="8" t="e">
        <f>VLOOKUP(Table1[[#This Row],[Address B]],IP_Master[],2,FALSE)</f>
        <v>#N/A</v>
      </c>
      <c r="U2057" s="9" t="e">
        <f>VLOOKUP(Table1[[#This Row],[Address A]],IP_Master[],3,FALSE)</f>
        <v>#N/A</v>
      </c>
      <c r="V2057" s="9" t="e">
        <f>VLOOKUP(Table1[[#This Row],[Address B]],IP_Master[],3,FALSE)</f>
        <v>#N/A</v>
      </c>
      <c r="W2057" s="9" t="str">
        <f>VLOOKUP(Table1[[#This Row],[Port B]],traffic_types[],2,FALSE)</f>
        <v>HTTP/S</v>
      </c>
    </row>
    <row r="2058" spans="1:23" x14ac:dyDescent="0.6">
      <c r="A2058" t="s">
        <v>224</v>
      </c>
      <c r="B2058">
        <v>60173</v>
      </c>
      <c r="C2058" t="s">
        <v>254</v>
      </c>
      <c r="D2058">
        <v>80</v>
      </c>
      <c r="E2058">
        <v>3</v>
      </c>
      <c r="F2058">
        <v>194</v>
      </c>
      <c r="G2058">
        <v>3</v>
      </c>
      <c r="H2058">
        <v>194</v>
      </c>
      <c r="I2058">
        <v>0</v>
      </c>
      <c r="J2058">
        <v>0</v>
      </c>
      <c r="K2058">
        <v>515.14209300000005</v>
      </c>
      <c r="L2058">
        <v>9.0081779999999299</v>
      </c>
      <c r="M2058">
        <v>172.28789217975199</v>
      </c>
      <c r="N2058">
        <v>0</v>
      </c>
      <c r="O2058" s="8" t="str">
        <f>formatIP(Table1[[#This Row],[Address A]])</f>
        <v>192.168.100.002</v>
      </c>
      <c r="P2058" s="8" t="str">
        <f>formatIP(Table1[[#This Row],[Address B]])</f>
        <v>091.190.218.057</v>
      </c>
      <c r="Q2058" s="8" t="e">
        <f>VLOOKUP(Table1[[#This Row],[Address A]],IP_Master[],4,FALSE)</f>
        <v>#N/A</v>
      </c>
      <c r="R2058" s="8" t="e">
        <f>VLOOKUP(Table1[[#This Row],[Address B]],IP_Master[],4,FALSE)</f>
        <v>#N/A</v>
      </c>
      <c r="S2058" s="8" t="e">
        <f>VLOOKUP(Table1[[#This Row],[Address A]],IP_Master[],2,FALSE)</f>
        <v>#N/A</v>
      </c>
      <c r="T2058" s="8" t="e">
        <f>VLOOKUP(Table1[[#This Row],[Address B]],IP_Master[],2,FALSE)</f>
        <v>#N/A</v>
      </c>
      <c r="U2058" s="9" t="e">
        <f>VLOOKUP(Table1[[#This Row],[Address A]],IP_Master[],3,FALSE)</f>
        <v>#N/A</v>
      </c>
      <c r="V2058" s="9" t="e">
        <f>VLOOKUP(Table1[[#This Row],[Address B]],IP_Master[],3,FALSE)</f>
        <v>#N/A</v>
      </c>
      <c r="W2058" s="9" t="str">
        <f>VLOOKUP(Table1[[#This Row],[Port B]],traffic_types[],2,FALSE)</f>
        <v>HTTP</v>
      </c>
    </row>
    <row r="2059" spans="1:23" x14ac:dyDescent="0.6">
      <c r="A2059" t="s">
        <v>224</v>
      </c>
      <c r="B2059">
        <v>60174</v>
      </c>
      <c r="C2059" t="s">
        <v>241</v>
      </c>
      <c r="D2059">
        <v>443</v>
      </c>
      <c r="E2059">
        <v>3</v>
      </c>
      <c r="F2059">
        <v>194</v>
      </c>
      <c r="G2059">
        <v>3</v>
      </c>
      <c r="H2059">
        <v>194</v>
      </c>
      <c r="I2059">
        <v>0</v>
      </c>
      <c r="J2059">
        <v>0</v>
      </c>
      <c r="K2059">
        <v>515.34280200000001</v>
      </c>
      <c r="L2059">
        <v>8.9997049999999508</v>
      </c>
      <c r="M2059">
        <v>172.450096975402</v>
      </c>
      <c r="N2059">
        <v>0</v>
      </c>
      <c r="O2059" s="8" t="str">
        <f>formatIP(Table1[[#This Row],[Address A]])</f>
        <v>192.168.100.002</v>
      </c>
      <c r="P2059" s="8" t="str">
        <f>formatIP(Table1[[#This Row],[Address B]])</f>
        <v>078.046.049.023</v>
      </c>
      <c r="Q2059" s="8" t="e">
        <f>VLOOKUP(Table1[[#This Row],[Address A]],IP_Master[],4,FALSE)</f>
        <v>#N/A</v>
      </c>
      <c r="R2059" s="8" t="e">
        <f>VLOOKUP(Table1[[#This Row],[Address B]],IP_Master[],4,FALSE)</f>
        <v>#N/A</v>
      </c>
      <c r="S2059" s="8" t="e">
        <f>VLOOKUP(Table1[[#This Row],[Address A]],IP_Master[],2,FALSE)</f>
        <v>#N/A</v>
      </c>
      <c r="T2059" s="8" t="e">
        <f>VLOOKUP(Table1[[#This Row],[Address B]],IP_Master[],2,FALSE)</f>
        <v>#N/A</v>
      </c>
      <c r="U2059" s="9" t="e">
        <f>VLOOKUP(Table1[[#This Row],[Address A]],IP_Master[],3,FALSE)</f>
        <v>#N/A</v>
      </c>
      <c r="V2059" s="9" t="e">
        <f>VLOOKUP(Table1[[#This Row],[Address B]],IP_Master[],3,FALSE)</f>
        <v>#N/A</v>
      </c>
      <c r="W2059" s="9" t="str">
        <f>VLOOKUP(Table1[[#This Row],[Port B]],traffic_types[],2,FALSE)</f>
        <v>HTTP/S</v>
      </c>
    </row>
    <row r="2060" spans="1:23" hidden="1" x14ac:dyDescent="0.6">
      <c r="A2060" t="s">
        <v>224</v>
      </c>
      <c r="B2060">
        <v>60175</v>
      </c>
      <c r="C2060" t="s">
        <v>277</v>
      </c>
      <c r="D2060">
        <v>40023</v>
      </c>
      <c r="E2060">
        <v>3</v>
      </c>
      <c r="F2060">
        <v>194</v>
      </c>
      <c r="G2060">
        <v>3</v>
      </c>
      <c r="H2060">
        <v>194</v>
      </c>
      <c r="I2060">
        <v>0</v>
      </c>
      <c r="J2060">
        <v>0</v>
      </c>
      <c r="K2060">
        <v>515.99283100000002</v>
      </c>
      <c r="L2060">
        <v>8.9996499999999706</v>
      </c>
      <c r="M2060">
        <v>172.45115087809</v>
      </c>
      <c r="N2060">
        <v>0</v>
      </c>
      <c r="O2060" s="8" t="str">
        <f>formatIP(Table1[[#This Row],[Address A]])</f>
        <v>192.168.100.002</v>
      </c>
      <c r="P2060" s="8" t="str">
        <f>formatIP(Table1[[#This Row],[Address B]])</f>
        <v>064.004.023.141</v>
      </c>
      <c r="Q2060" s="8" t="e">
        <f>VLOOKUP(Table1[[#This Row],[Address A]],IP_Master[],4,FALSE)</f>
        <v>#N/A</v>
      </c>
      <c r="R2060" s="8" t="e">
        <f>VLOOKUP(Table1[[#This Row],[Address B]],IP_Master[],4,FALSE)</f>
        <v>#N/A</v>
      </c>
      <c r="S2060" s="8" t="e">
        <f>VLOOKUP(Table1[[#This Row],[Address A]],IP_Master[],2,FALSE)</f>
        <v>#N/A</v>
      </c>
      <c r="T2060" s="8" t="e">
        <f>VLOOKUP(Table1[[#This Row],[Address B]],IP_Master[],2,FALSE)</f>
        <v>#N/A</v>
      </c>
      <c r="U2060" s="9" t="e">
        <f>VLOOKUP(Table1[[#This Row],[Address A]],IP_Master[],3,FALSE)</f>
        <v>#N/A</v>
      </c>
      <c r="V2060" s="9" t="e">
        <f>VLOOKUP(Table1[[#This Row],[Address B]],IP_Master[],3,FALSE)</f>
        <v>#N/A</v>
      </c>
      <c r="W2060" s="9" t="e">
        <f>VLOOKUP(Table1[[#This Row],[Port B]],traffic_types[],2,FALSE)</f>
        <v>#N/A</v>
      </c>
    </row>
    <row r="2061" spans="1:23" x14ac:dyDescent="0.6">
      <c r="A2061" t="s">
        <v>224</v>
      </c>
      <c r="B2061">
        <v>60176</v>
      </c>
      <c r="C2061" t="s">
        <v>241</v>
      </c>
      <c r="D2061">
        <v>80</v>
      </c>
      <c r="E2061">
        <v>3</v>
      </c>
      <c r="F2061">
        <v>194</v>
      </c>
      <c r="G2061">
        <v>3</v>
      </c>
      <c r="H2061">
        <v>194</v>
      </c>
      <c r="I2061">
        <v>0</v>
      </c>
      <c r="J2061">
        <v>0</v>
      </c>
      <c r="K2061">
        <v>517.34157000000005</v>
      </c>
      <c r="L2061">
        <v>9.0010519999999605</v>
      </c>
      <c r="M2061">
        <v>172.42428996077399</v>
      </c>
      <c r="N2061">
        <v>0</v>
      </c>
      <c r="O2061" s="8" t="str">
        <f>formatIP(Table1[[#This Row],[Address A]])</f>
        <v>192.168.100.002</v>
      </c>
      <c r="P2061" s="8" t="str">
        <f>formatIP(Table1[[#This Row],[Address B]])</f>
        <v>078.046.049.023</v>
      </c>
      <c r="Q2061" s="8" t="e">
        <f>VLOOKUP(Table1[[#This Row],[Address A]],IP_Master[],4,FALSE)</f>
        <v>#N/A</v>
      </c>
      <c r="R2061" s="8" t="e">
        <f>VLOOKUP(Table1[[#This Row],[Address B]],IP_Master[],4,FALSE)</f>
        <v>#N/A</v>
      </c>
      <c r="S2061" s="8" t="e">
        <f>VLOOKUP(Table1[[#This Row],[Address A]],IP_Master[],2,FALSE)</f>
        <v>#N/A</v>
      </c>
      <c r="T2061" s="8" t="e">
        <f>VLOOKUP(Table1[[#This Row],[Address B]],IP_Master[],2,FALSE)</f>
        <v>#N/A</v>
      </c>
      <c r="U2061" s="9" t="e">
        <f>VLOOKUP(Table1[[#This Row],[Address A]],IP_Master[],3,FALSE)</f>
        <v>#N/A</v>
      </c>
      <c r="V2061" s="9" t="e">
        <f>VLOOKUP(Table1[[#This Row],[Address B]],IP_Master[],3,FALSE)</f>
        <v>#N/A</v>
      </c>
      <c r="W2061" s="9" t="str">
        <f>VLOOKUP(Table1[[#This Row],[Port B]],traffic_types[],2,FALSE)</f>
        <v>HTTP</v>
      </c>
    </row>
    <row r="2062" spans="1:23" x14ac:dyDescent="0.6">
      <c r="A2062" t="s">
        <v>224</v>
      </c>
      <c r="B2062">
        <v>60177</v>
      </c>
      <c r="C2062" t="s">
        <v>277</v>
      </c>
      <c r="D2062">
        <v>443</v>
      </c>
      <c r="E2062">
        <v>3</v>
      </c>
      <c r="F2062">
        <v>194</v>
      </c>
      <c r="G2062">
        <v>3</v>
      </c>
      <c r="H2062">
        <v>194</v>
      </c>
      <c r="I2062">
        <v>0</v>
      </c>
      <c r="J2062">
        <v>0</v>
      </c>
      <c r="K2062">
        <v>517.64134799999999</v>
      </c>
      <c r="L2062">
        <v>8.9710870000000096</v>
      </c>
      <c r="M2062">
        <v>173.00021725349399</v>
      </c>
      <c r="N2062">
        <v>0</v>
      </c>
      <c r="O2062" s="8" t="str">
        <f>formatIP(Table1[[#This Row],[Address A]])</f>
        <v>192.168.100.002</v>
      </c>
      <c r="P2062" s="8" t="str">
        <f>formatIP(Table1[[#This Row],[Address B]])</f>
        <v>064.004.023.141</v>
      </c>
      <c r="Q2062" s="8" t="e">
        <f>VLOOKUP(Table1[[#This Row],[Address A]],IP_Master[],4,FALSE)</f>
        <v>#N/A</v>
      </c>
      <c r="R2062" s="8" t="e">
        <f>VLOOKUP(Table1[[#This Row],[Address B]],IP_Master[],4,FALSE)</f>
        <v>#N/A</v>
      </c>
      <c r="S2062" s="8" t="e">
        <f>VLOOKUP(Table1[[#This Row],[Address A]],IP_Master[],2,FALSE)</f>
        <v>#N/A</v>
      </c>
      <c r="T2062" s="8" t="e">
        <f>VLOOKUP(Table1[[#This Row],[Address B]],IP_Master[],2,FALSE)</f>
        <v>#N/A</v>
      </c>
      <c r="U2062" s="9" t="e">
        <f>VLOOKUP(Table1[[#This Row],[Address A]],IP_Master[],3,FALSE)</f>
        <v>#N/A</v>
      </c>
      <c r="V2062" s="9" t="e">
        <f>VLOOKUP(Table1[[#This Row],[Address B]],IP_Master[],3,FALSE)</f>
        <v>#N/A</v>
      </c>
      <c r="W2062" s="9" t="str">
        <f>VLOOKUP(Table1[[#This Row],[Port B]],traffic_types[],2,FALSE)</f>
        <v>HTTP/S</v>
      </c>
    </row>
    <row r="2063" spans="1:23" x14ac:dyDescent="0.6">
      <c r="A2063" t="s">
        <v>224</v>
      </c>
      <c r="B2063">
        <v>60178</v>
      </c>
      <c r="C2063" t="s">
        <v>277</v>
      </c>
      <c r="D2063">
        <v>80</v>
      </c>
      <c r="E2063">
        <v>3</v>
      </c>
      <c r="F2063">
        <v>194</v>
      </c>
      <c r="G2063">
        <v>3</v>
      </c>
      <c r="H2063">
        <v>194</v>
      </c>
      <c r="I2063">
        <v>0</v>
      </c>
      <c r="J2063">
        <v>0</v>
      </c>
      <c r="K2063">
        <v>519.23179900000002</v>
      </c>
      <c r="L2063">
        <v>9.0307480000000204</v>
      </c>
      <c r="M2063">
        <v>171.85730351461399</v>
      </c>
      <c r="N2063">
        <v>0</v>
      </c>
      <c r="O2063" s="8" t="str">
        <f>formatIP(Table1[[#This Row],[Address A]])</f>
        <v>192.168.100.002</v>
      </c>
      <c r="P2063" s="8" t="str">
        <f>formatIP(Table1[[#This Row],[Address B]])</f>
        <v>064.004.023.141</v>
      </c>
      <c r="Q2063" s="8" t="e">
        <f>VLOOKUP(Table1[[#This Row],[Address A]],IP_Master[],4,FALSE)</f>
        <v>#N/A</v>
      </c>
      <c r="R2063" s="8" t="e">
        <f>VLOOKUP(Table1[[#This Row],[Address B]],IP_Master[],4,FALSE)</f>
        <v>#N/A</v>
      </c>
      <c r="S2063" s="8" t="e">
        <f>VLOOKUP(Table1[[#This Row],[Address A]],IP_Master[],2,FALSE)</f>
        <v>#N/A</v>
      </c>
      <c r="T2063" s="8" t="e">
        <f>VLOOKUP(Table1[[#This Row],[Address B]],IP_Master[],2,FALSE)</f>
        <v>#N/A</v>
      </c>
      <c r="U2063" s="9" t="e">
        <f>VLOOKUP(Table1[[#This Row],[Address A]],IP_Master[],3,FALSE)</f>
        <v>#N/A</v>
      </c>
      <c r="V2063" s="9" t="e">
        <f>VLOOKUP(Table1[[#This Row],[Address B]],IP_Master[],3,FALSE)</f>
        <v>#N/A</v>
      </c>
      <c r="W2063" s="9" t="str">
        <f>VLOOKUP(Table1[[#This Row],[Port B]],traffic_types[],2,FALSE)</f>
        <v>HTTP</v>
      </c>
    </row>
    <row r="2064" spans="1:23" hidden="1" x14ac:dyDescent="0.6">
      <c r="A2064" t="s">
        <v>224</v>
      </c>
      <c r="B2064">
        <v>60179</v>
      </c>
      <c r="C2064" t="s">
        <v>290</v>
      </c>
      <c r="D2064">
        <v>40009</v>
      </c>
      <c r="E2064">
        <v>3</v>
      </c>
      <c r="F2064">
        <v>194</v>
      </c>
      <c r="G2064">
        <v>3</v>
      </c>
      <c r="H2064">
        <v>194</v>
      </c>
      <c r="I2064">
        <v>0</v>
      </c>
      <c r="J2064">
        <v>0</v>
      </c>
      <c r="K2064">
        <v>528.07350199999996</v>
      </c>
      <c r="L2064">
        <v>8.9989610000000102</v>
      </c>
      <c r="M2064">
        <v>172.46435449603601</v>
      </c>
      <c r="N2064">
        <v>0</v>
      </c>
      <c r="O2064" s="8" t="str">
        <f>formatIP(Table1[[#This Row],[Address A]])</f>
        <v>192.168.100.002</v>
      </c>
      <c r="P2064" s="8" t="str">
        <f>formatIP(Table1[[#This Row],[Address B]])</f>
        <v>065.055.223.035</v>
      </c>
      <c r="Q2064" s="8" t="e">
        <f>VLOOKUP(Table1[[#This Row],[Address A]],IP_Master[],4,FALSE)</f>
        <v>#N/A</v>
      </c>
      <c r="R2064" s="8" t="e">
        <f>VLOOKUP(Table1[[#This Row],[Address B]],IP_Master[],4,FALSE)</f>
        <v>#N/A</v>
      </c>
      <c r="S2064" s="8" t="e">
        <f>VLOOKUP(Table1[[#This Row],[Address A]],IP_Master[],2,FALSE)</f>
        <v>#N/A</v>
      </c>
      <c r="T2064" s="8" t="e">
        <f>VLOOKUP(Table1[[#This Row],[Address B]],IP_Master[],2,FALSE)</f>
        <v>#N/A</v>
      </c>
      <c r="U2064" s="9" t="e">
        <f>VLOOKUP(Table1[[#This Row],[Address A]],IP_Master[],3,FALSE)</f>
        <v>#N/A</v>
      </c>
      <c r="V2064" s="9" t="e">
        <f>VLOOKUP(Table1[[#This Row],[Address B]],IP_Master[],3,FALSE)</f>
        <v>#N/A</v>
      </c>
      <c r="W2064" s="9" t="e">
        <f>VLOOKUP(Table1[[#This Row],[Port B]],traffic_types[],2,FALSE)</f>
        <v>#N/A</v>
      </c>
    </row>
    <row r="2065" spans="1:23" hidden="1" x14ac:dyDescent="0.6">
      <c r="A2065" t="s">
        <v>224</v>
      </c>
      <c r="B2065">
        <v>60180</v>
      </c>
      <c r="C2065" t="s">
        <v>293</v>
      </c>
      <c r="D2065">
        <v>40005</v>
      </c>
      <c r="E2065">
        <v>3</v>
      </c>
      <c r="F2065">
        <v>194</v>
      </c>
      <c r="G2065">
        <v>3</v>
      </c>
      <c r="H2065">
        <v>194</v>
      </c>
      <c r="I2065">
        <v>0</v>
      </c>
      <c r="J2065">
        <v>0</v>
      </c>
      <c r="K2065">
        <v>528.07350599999995</v>
      </c>
      <c r="L2065">
        <v>8.9989590000000099</v>
      </c>
      <c r="M2065">
        <v>172.46439282588099</v>
      </c>
      <c r="N2065">
        <v>0</v>
      </c>
      <c r="O2065" s="8" t="str">
        <f>formatIP(Table1[[#This Row],[Address A]])</f>
        <v>192.168.100.002</v>
      </c>
      <c r="P2065" s="8" t="str">
        <f>formatIP(Table1[[#This Row],[Address B]])</f>
        <v>065.055.223.046</v>
      </c>
      <c r="Q2065" s="8" t="e">
        <f>VLOOKUP(Table1[[#This Row],[Address A]],IP_Master[],4,FALSE)</f>
        <v>#N/A</v>
      </c>
      <c r="R2065" s="8" t="e">
        <f>VLOOKUP(Table1[[#This Row],[Address B]],IP_Master[],4,FALSE)</f>
        <v>#N/A</v>
      </c>
      <c r="S2065" s="8" t="e">
        <f>VLOOKUP(Table1[[#This Row],[Address A]],IP_Master[],2,FALSE)</f>
        <v>#N/A</v>
      </c>
      <c r="T2065" s="8" t="e">
        <f>VLOOKUP(Table1[[#This Row],[Address B]],IP_Master[],2,FALSE)</f>
        <v>#N/A</v>
      </c>
      <c r="U2065" s="9" t="e">
        <f>VLOOKUP(Table1[[#This Row],[Address A]],IP_Master[],3,FALSE)</f>
        <v>#N/A</v>
      </c>
      <c r="V2065" s="9" t="e">
        <f>VLOOKUP(Table1[[#This Row],[Address B]],IP_Master[],3,FALSE)</f>
        <v>#N/A</v>
      </c>
      <c r="W2065" s="9" t="e">
        <f>VLOOKUP(Table1[[#This Row],[Port B]],traffic_types[],2,FALSE)</f>
        <v>#N/A</v>
      </c>
    </row>
    <row r="2066" spans="1:23" x14ac:dyDescent="0.6">
      <c r="A2066" t="s">
        <v>224</v>
      </c>
      <c r="B2066">
        <v>60181</v>
      </c>
      <c r="C2066" t="s">
        <v>290</v>
      </c>
      <c r="D2066">
        <v>443</v>
      </c>
      <c r="E2066">
        <v>3</v>
      </c>
      <c r="F2066">
        <v>194</v>
      </c>
      <c r="G2066">
        <v>3</v>
      </c>
      <c r="H2066">
        <v>194</v>
      </c>
      <c r="I2066">
        <v>0</v>
      </c>
      <c r="J2066">
        <v>0</v>
      </c>
      <c r="K2066">
        <v>529.69293500000003</v>
      </c>
      <c r="L2066">
        <v>8.9993259999999999</v>
      </c>
      <c r="M2066">
        <v>172.457359584485</v>
      </c>
      <c r="N2066">
        <v>0</v>
      </c>
      <c r="O2066" s="8" t="str">
        <f>formatIP(Table1[[#This Row],[Address A]])</f>
        <v>192.168.100.002</v>
      </c>
      <c r="P2066" s="8" t="str">
        <f>formatIP(Table1[[#This Row],[Address B]])</f>
        <v>065.055.223.035</v>
      </c>
      <c r="Q2066" s="8" t="e">
        <f>VLOOKUP(Table1[[#This Row],[Address A]],IP_Master[],4,FALSE)</f>
        <v>#N/A</v>
      </c>
      <c r="R2066" s="8" t="e">
        <f>VLOOKUP(Table1[[#This Row],[Address B]],IP_Master[],4,FALSE)</f>
        <v>#N/A</v>
      </c>
      <c r="S2066" s="8" t="e">
        <f>VLOOKUP(Table1[[#This Row],[Address A]],IP_Master[],2,FALSE)</f>
        <v>#N/A</v>
      </c>
      <c r="T2066" s="8" t="e">
        <f>VLOOKUP(Table1[[#This Row],[Address B]],IP_Master[],2,FALSE)</f>
        <v>#N/A</v>
      </c>
      <c r="U2066" s="9" t="e">
        <f>VLOOKUP(Table1[[#This Row],[Address A]],IP_Master[],3,FALSE)</f>
        <v>#N/A</v>
      </c>
      <c r="V2066" s="9" t="e">
        <f>VLOOKUP(Table1[[#This Row],[Address B]],IP_Master[],3,FALSE)</f>
        <v>#N/A</v>
      </c>
      <c r="W2066" s="9" t="str">
        <f>VLOOKUP(Table1[[#This Row],[Port B]],traffic_types[],2,FALSE)</f>
        <v>HTTP/S</v>
      </c>
    </row>
    <row r="2067" spans="1:23" x14ac:dyDescent="0.6">
      <c r="A2067" t="s">
        <v>224</v>
      </c>
      <c r="B2067">
        <v>60182</v>
      </c>
      <c r="C2067" t="s">
        <v>293</v>
      </c>
      <c r="D2067">
        <v>443</v>
      </c>
      <c r="E2067">
        <v>3</v>
      </c>
      <c r="F2067">
        <v>194</v>
      </c>
      <c r="G2067">
        <v>3</v>
      </c>
      <c r="H2067">
        <v>194</v>
      </c>
      <c r="I2067">
        <v>0</v>
      </c>
      <c r="J2067">
        <v>0</v>
      </c>
      <c r="K2067">
        <v>529.69293700000003</v>
      </c>
      <c r="L2067">
        <v>8.9993250000000007</v>
      </c>
      <c r="M2067">
        <v>172.45737874785101</v>
      </c>
      <c r="N2067">
        <v>0</v>
      </c>
      <c r="O2067" s="8" t="str">
        <f>formatIP(Table1[[#This Row],[Address A]])</f>
        <v>192.168.100.002</v>
      </c>
      <c r="P2067" s="8" t="str">
        <f>formatIP(Table1[[#This Row],[Address B]])</f>
        <v>065.055.223.046</v>
      </c>
      <c r="Q2067" s="8" t="e">
        <f>VLOOKUP(Table1[[#This Row],[Address A]],IP_Master[],4,FALSE)</f>
        <v>#N/A</v>
      </c>
      <c r="R2067" s="8" t="e">
        <f>VLOOKUP(Table1[[#This Row],[Address B]],IP_Master[],4,FALSE)</f>
        <v>#N/A</v>
      </c>
      <c r="S2067" s="8" t="e">
        <f>VLOOKUP(Table1[[#This Row],[Address A]],IP_Master[],2,FALSE)</f>
        <v>#N/A</v>
      </c>
      <c r="T2067" s="8" t="e">
        <f>VLOOKUP(Table1[[#This Row],[Address B]],IP_Master[],2,FALSE)</f>
        <v>#N/A</v>
      </c>
      <c r="U2067" s="9" t="e">
        <f>VLOOKUP(Table1[[#This Row],[Address A]],IP_Master[],3,FALSE)</f>
        <v>#N/A</v>
      </c>
      <c r="V2067" s="9" t="e">
        <f>VLOOKUP(Table1[[#This Row],[Address B]],IP_Master[],3,FALSE)</f>
        <v>#N/A</v>
      </c>
      <c r="W2067" s="9" t="str">
        <f>VLOOKUP(Table1[[#This Row],[Port B]],traffic_types[],2,FALSE)</f>
        <v>HTTP/S</v>
      </c>
    </row>
    <row r="2068" spans="1:23" x14ac:dyDescent="0.6">
      <c r="A2068" t="s">
        <v>224</v>
      </c>
      <c r="B2068">
        <v>60183</v>
      </c>
      <c r="C2068" t="s">
        <v>290</v>
      </c>
      <c r="D2068">
        <v>80</v>
      </c>
      <c r="E2068">
        <v>3</v>
      </c>
      <c r="F2068">
        <v>194</v>
      </c>
      <c r="G2068">
        <v>3</v>
      </c>
      <c r="H2068">
        <v>194</v>
      </c>
      <c r="I2068">
        <v>0</v>
      </c>
      <c r="J2068">
        <v>0</v>
      </c>
      <c r="K2068">
        <v>531.31284300000004</v>
      </c>
      <c r="L2068">
        <v>9.0005529999999698</v>
      </c>
      <c r="M2068">
        <v>172.433849342369</v>
      </c>
      <c r="N2068">
        <v>0</v>
      </c>
      <c r="O2068" s="8" t="str">
        <f>formatIP(Table1[[#This Row],[Address A]])</f>
        <v>192.168.100.002</v>
      </c>
      <c r="P2068" s="8" t="str">
        <f>formatIP(Table1[[#This Row],[Address B]])</f>
        <v>065.055.223.035</v>
      </c>
      <c r="Q2068" s="8" t="e">
        <f>VLOOKUP(Table1[[#This Row],[Address A]],IP_Master[],4,FALSE)</f>
        <v>#N/A</v>
      </c>
      <c r="R2068" s="8" t="e">
        <f>VLOOKUP(Table1[[#This Row],[Address B]],IP_Master[],4,FALSE)</f>
        <v>#N/A</v>
      </c>
      <c r="S2068" s="8" t="e">
        <f>VLOOKUP(Table1[[#This Row],[Address A]],IP_Master[],2,FALSE)</f>
        <v>#N/A</v>
      </c>
      <c r="T2068" s="8" t="e">
        <f>VLOOKUP(Table1[[#This Row],[Address B]],IP_Master[],2,FALSE)</f>
        <v>#N/A</v>
      </c>
      <c r="U2068" s="9" t="e">
        <f>VLOOKUP(Table1[[#This Row],[Address A]],IP_Master[],3,FALSE)</f>
        <v>#N/A</v>
      </c>
      <c r="V2068" s="9" t="e">
        <f>VLOOKUP(Table1[[#This Row],[Address B]],IP_Master[],3,FALSE)</f>
        <v>#N/A</v>
      </c>
      <c r="W2068" s="9" t="str">
        <f>VLOOKUP(Table1[[#This Row],[Port B]],traffic_types[],2,FALSE)</f>
        <v>HTTP</v>
      </c>
    </row>
    <row r="2069" spans="1:23" x14ac:dyDescent="0.6">
      <c r="A2069" t="s">
        <v>224</v>
      </c>
      <c r="B2069">
        <v>60184</v>
      </c>
      <c r="C2069" t="s">
        <v>293</v>
      </c>
      <c r="D2069">
        <v>80</v>
      </c>
      <c r="E2069">
        <v>3</v>
      </c>
      <c r="F2069">
        <v>194</v>
      </c>
      <c r="G2069">
        <v>3</v>
      </c>
      <c r="H2069">
        <v>194</v>
      </c>
      <c r="I2069">
        <v>0</v>
      </c>
      <c r="J2069">
        <v>0</v>
      </c>
      <c r="K2069">
        <v>531.31284700000003</v>
      </c>
      <c r="L2069">
        <v>9.0005539999999709</v>
      </c>
      <c r="M2069">
        <v>172.43383018423199</v>
      </c>
      <c r="N2069">
        <v>0</v>
      </c>
      <c r="O2069" s="8" t="str">
        <f>formatIP(Table1[[#This Row],[Address A]])</f>
        <v>192.168.100.002</v>
      </c>
      <c r="P2069" s="8" t="str">
        <f>formatIP(Table1[[#This Row],[Address B]])</f>
        <v>065.055.223.046</v>
      </c>
      <c r="Q2069" s="8" t="e">
        <f>VLOOKUP(Table1[[#This Row],[Address A]],IP_Master[],4,FALSE)</f>
        <v>#N/A</v>
      </c>
      <c r="R2069" s="8" t="e">
        <f>VLOOKUP(Table1[[#This Row],[Address B]],IP_Master[],4,FALSE)</f>
        <v>#N/A</v>
      </c>
      <c r="S2069" s="8" t="e">
        <f>VLOOKUP(Table1[[#This Row],[Address A]],IP_Master[],2,FALSE)</f>
        <v>#N/A</v>
      </c>
      <c r="T2069" s="8" t="e">
        <f>VLOOKUP(Table1[[#This Row],[Address B]],IP_Master[],2,FALSE)</f>
        <v>#N/A</v>
      </c>
      <c r="U2069" s="9" t="e">
        <f>VLOOKUP(Table1[[#This Row],[Address A]],IP_Master[],3,FALSE)</f>
        <v>#N/A</v>
      </c>
      <c r="V2069" s="9" t="e">
        <f>VLOOKUP(Table1[[#This Row],[Address B]],IP_Master[],3,FALSE)</f>
        <v>#N/A</v>
      </c>
      <c r="W2069" s="9" t="str">
        <f>VLOOKUP(Table1[[#This Row],[Port B]],traffic_types[],2,FALSE)</f>
        <v>HTTP</v>
      </c>
    </row>
    <row r="2070" spans="1:23" x14ac:dyDescent="0.6">
      <c r="A2070" t="s">
        <v>224</v>
      </c>
      <c r="B2070">
        <v>60185</v>
      </c>
      <c r="C2070" t="s">
        <v>245</v>
      </c>
      <c r="D2070">
        <v>443</v>
      </c>
      <c r="E2070">
        <v>3</v>
      </c>
      <c r="F2070">
        <v>194</v>
      </c>
      <c r="G2070">
        <v>3</v>
      </c>
      <c r="H2070">
        <v>194</v>
      </c>
      <c r="I2070">
        <v>0</v>
      </c>
      <c r="J2070">
        <v>0</v>
      </c>
      <c r="K2070">
        <v>531.34374300000002</v>
      </c>
      <c r="L2070">
        <v>9.0006529999999394</v>
      </c>
      <c r="M2070">
        <v>172.431933549711</v>
      </c>
      <c r="N2070">
        <v>0</v>
      </c>
      <c r="O2070" s="8" t="str">
        <f>formatIP(Table1[[#This Row],[Address A]])</f>
        <v>192.168.100.002</v>
      </c>
      <c r="P2070" s="8" t="str">
        <f>formatIP(Table1[[#This Row],[Address B]])</f>
        <v>085.025.103.030</v>
      </c>
      <c r="Q2070" s="8" t="e">
        <f>VLOOKUP(Table1[[#This Row],[Address A]],IP_Master[],4,FALSE)</f>
        <v>#N/A</v>
      </c>
      <c r="R2070" s="8" t="e">
        <f>VLOOKUP(Table1[[#This Row],[Address B]],IP_Master[],4,FALSE)</f>
        <v>#N/A</v>
      </c>
      <c r="S2070" s="8" t="e">
        <f>VLOOKUP(Table1[[#This Row],[Address A]],IP_Master[],2,FALSE)</f>
        <v>#N/A</v>
      </c>
      <c r="T2070" s="8" t="e">
        <f>VLOOKUP(Table1[[#This Row],[Address B]],IP_Master[],2,FALSE)</f>
        <v>#N/A</v>
      </c>
      <c r="U2070" s="9" t="e">
        <f>VLOOKUP(Table1[[#This Row],[Address A]],IP_Master[],3,FALSE)</f>
        <v>#N/A</v>
      </c>
      <c r="V2070" s="9" t="e">
        <f>VLOOKUP(Table1[[#This Row],[Address B]],IP_Master[],3,FALSE)</f>
        <v>#N/A</v>
      </c>
      <c r="W2070" s="9" t="str">
        <f>VLOOKUP(Table1[[#This Row],[Port B]],traffic_types[],2,FALSE)</f>
        <v>HTTP/S</v>
      </c>
    </row>
    <row r="2071" spans="1:23" x14ac:dyDescent="0.6">
      <c r="A2071" t="s">
        <v>224</v>
      </c>
      <c r="B2071">
        <v>60186</v>
      </c>
      <c r="C2071" t="s">
        <v>245</v>
      </c>
      <c r="D2071">
        <v>80</v>
      </c>
      <c r="E2071">
        <v>3</v>
      </c>
      <c r="F2071">
        <v>194</v>
      </c>
      <c r="G2071">
        <v>3</v>
      </c>
      <c r="H2071">
        <v>194</v>
      </c>
      <c r="I2071">
        <v>0</v>
      </c>
      <c r="J2071">
        <v>0</v>
      </c>
      <c r="K2071">
        <v>533.34463900000003</v>
      </c>
      <c r="L2071">
        <v>8.9998499999999204</v>
      </c>
      <c r="M2071">
        <v>172.44731856642201</v>
      </c>
      <c r="N2071">
        <v>0</v>
      </c>
      <c r="O2071" s="8" t="str">
        <f>formatIP(Table1[[#This Row],[Address A]])</f>
        <v>192.168.100.002</v>
      </c>
      <c r="P2071" s="8" t="str">
        <f>formatIP(Table1[[#This Row],[Address B]])</f>
        <v>085.025.103.030</v>
      </c>
      <c r="Q2071" s="8" t="e">
        <f>VLOOKUP(Table1[[#This Row],[Address A]],IP_Master[],4,FALSE)</f>
        <v>#N/A</v>
      </c>
      <c r="R2071" s="8" t="e">
        <f>VLOOKUP(Table1[[#This Row],[Address B]],IP_Master[],4,FALSE)</f>
        <v>#N/A</v>
      </c>
      <c r="S2071" s="8" t="e">
        <f>VLOOKUP(Table1[[#This Row],[Address A]],IP_Master[],2,FALSE)</f>
        <v>#N/A</v>
      </c>
      <c r="T2071" s="8" t="e">
        <f>VLOOKUP(Table1[[#This Row],[Address B]],IP_Master[],2,FALSE)</f>
        <v>#N/A</v>
      </c>
      <c r="U2071" s="9" t="e">
        <f>VLOOKUP(Table1[[#This Row],[Address A]],IP_Master[],3,FALSE)</f>
        <v>#N/A</v>
      </c>
      <c r="V2071" s="9" t="e">
        <f>VLOOKUP(Table1[[#This Row],[Address B]],IP_Master[],3,FALSE)</f>
        <v>#N/A</v>
      </c>
      <c r="W2071" s="9" t="str">
        <f>VLOOKUP(Table1[[#This Row],[Port B]],traffic_types[],2,FALSE)</f>
        <v>HTTP</v>
      </c>
    </row>
    <row r="2072" spans="1:23" hidden="1" x14ac:dyDescent="0.6">
      <c r="A2072" t="s">
        <v>224</v>
      </c>
      <c r="B2072">
        <v>60187</v>
      </c>
      <c r="C2072" t="s">
        <v>280</v>
      </c>
      <c r="D2072">
        <v>40034</v>
      </c>
      <c r="E2072">
        <v>3</v>
      </c>
      <c r="F2072">
        <v>194</v>
      </c>
      <c r="G2072">
        <v>3</v>
      </c>
      <c r="H2072">
        <v>194</v>
      </c>
      <c r="I2072">
        <v>0</v>
      </c>
      <c r="J2072">
        <v>0</v>
      </c>
      <c r="K2072">
        <v>542.08539599999995</v>
      </c>
      <c r="L2072">
        <v>8.9990020000000204</v>
      </c>
      <c r="M2072">
        <v>172.463568737955</v>
      </c>
      <c r="N2072">
        <v>0</v>
      </c>
      <c r="O2072" s="8" t="str">
        <f>formatIP(Table1[[#This Row],[Address A]])</f>
        <v>192.168.100.002</v>
      </c>
      <c r="P2072" s="8" t="str">
        <f>formatIP(Table1[[#This Row],[Address B]])</f>
        <v>157.056.052.018</v>
      </c>
      <c r="Q2072" s="8" t="e">
        <f>VLOOKUP(Table1[[#This Row],[Address A]],IP_Master[],4,FALSE)</f>
        <v>#N/A</v>
      </c>
      <c r="R2072" s="8" t="e">
        <f>VLOOKUP(Table1[[#This Row],[Address B]],IP_Master[],4,FALSE)</f>
        <v>#N/A</v>
      </c>
      <c r="S2072" s="8" t="e">
        <f>VLOOKUP(Table1[[#This Row],[Address A]],IP_Master[],2,FALSE)</f>
        <v>#N/A</v>
      </c>
      <c r="T2072" s="8" t="e">
        <f>VLOOKUP(Table1[[#This Row],[Address B]],IP_Master[],2,FALSE)</f>
        <v>#N/A</v>
      </c>
      <c r="U2072" s="9" t="e">
        <f>VLOOKUP(Table1[[#This Row],[Address A]],IP_Master[],3,FALSE)</f>
        <v>#N/A</v>
      </c>
      <c r="V2072" s="9" t="e">
        <f>VLOOKUP(Table1[[#This Row],[Address B]],IP_Master[],3,FALSE)</f>
        <v>#N/A</v>
      </c>
      <c r="W2072" s="9" t="e">
        <f>VLOOKUP(Table1[[#This Row],[Port B]],traffic_types[],2,FALSE)</f>
        <v>#N/A</v>
      </c>
    </row>
    <row r="2073" spans="1:23" x14ac:dyDescent="0.6">
      <c r="A2073" t="s">
        <v>224</v>
      </c>
      <c r="B2073">
        <v>60188</v>
      </c>
      <c r="C2073" t="s">
        <v>280</v>
      </c>
      <c r="D2073">
        <v>443</v>
      </c>
      <c r="E2073">
        <v>3</v>
      </c>
      <c r="F2073">
        <v>194</v>
      </c>
      <c r="G2073">
        <v>3</v>
      </c>
      <c r="H2073">
        <v>194</v>
      </c>
      <c r="I2073">
        <v>0</v>
      </c>
      <c r="J2073">
        <v>0</v>
      </c>
      <c r="K2073">
        <v>543.70476699999995</v>
      </c>
      <c r="L2073">
        <v>8.9996500000000896</v>
      </c>
      <c r="M2073">
        <v>172.45115087808799</v>
      </c>
      <c r="N2073">
        <v>0</v>
      </c>
      <c r="O2073" s="8" t="str">
        <f>formatIP(Table1[[#This Row],[Address A]])</f>
        <v>192.168.100.002</v>
      </c>
      <c r="P2073" s="8" t="str">
        <f>formatIP(Table1[[#This Row],[Address B]])</f>
        <v>157.056.052.018</v>
      </c>
      <c r="Q2073" s="8" t="e">
        <f>VLOOKUP(Table1[[#This Row],[Address A]],IP_Master[],4,FALSE)</f>
        <v>#N/A</v>
      </c>
      <c r="R2073" s="8" t="e">
        <f>VLOOKUP(Table1[[#This Row],[Address B]],IP_Master[],4,FALSE)</f>
        <v>#N/A</v>
      </c>
      <c r="S2073" s="8" t="e">
        <f>VLOOKUP(Table1[[#This Row],[Address A]],IP_Master[],2,FALSE)</f>
        <v>#N/A</v>
      </c>
      <c r="T2073" s="8" t="e">
        <f>VLOOKUP(Table1[[#This Row],[Address B]],IP_Master[],2,FALSE)</f>
        <v>#N/A</v>
      </c>
      <c r="U2073" s="9" t="e">
        <f>VLOOKUP(Table1[[#This Row],[Address A]],IP_Master[],3,FALSE)</f>
        <v>#N/A</v>
      </c>
      <c r="V2073" s="9" t="e">
        <f>VLOOKUP(Table1[[#This Row],[Address B]],IP_Master[],3,FALSE)</f>
        <v>#N/A</v>
      </c>
      <c r="W2073" s="9" t="str">
        <f>VLOOKUP(Table1[[#This Row],[Port B]],traffic_types[],2,FALSE)</f>
        <v>HTTP/S</v>
      </c>
    </row>
    <row r="2074" spans="1:23" x14ac:dyDescent="0.6">
      <c r="A2074" t="s">
        <v>224</v>
      </c>
      <c r="B2074">
        <v>60189</v>
      </c>
      <c r="C2074" t="s">
        <v>280</v>
      </c>
      <c r="D2074">
        <v>80</v>
      </c>
      <c r="E2074">
        <v>3</v>
      </c>
      <c r="F2074">
        <v>194</v>
      </c>
      <c r="G2074">
        <v>3</v>
      </c>
      <c r="H2074">
        <v>194</v>
      </c>
      <c r="I2074">
        <v>0</v>
      </c>
      <c r="J2074">
        <v>0</v>
      </c>
      <c r="K2074">
        <v>545.32483300000001</v>
      </c>
      <c r="L2074">
        <v>9.0004810000000397</v>
      </c>
      <c r="M2074">
        <v>172.43522873944099</v>
      </c>
      <c r="N2074">
        <v>0</v>
      </c>
      <c r="O2074" s="8" t="str">
        <f>formatIP(Table1[[#This Row],[Address A]])</f>
        <v>192.168.100.002</v>
      </c>
      <c r="P2074" s="8" t="str">
        <f>formatIP(Table1[[#This Row],[Address B]])</f>
        <v>157.056.052.018</v>
      </c>
      <c r="Q2074" s="8" t="e">
        <f>VLOOKUP(Table1[[#This Row],[Address A]],IP_Master[],4,FALSE)</f>
        <v>#N/A</v>
      </c>
      <c r="R2074" s="8" t="e">
        <f>VLOOKUP(Table1[[#This Row],[Address B]],IP_Master[],4,FALSE)</f>
        <v>#N/A</v>
      </c>
      <c r="S2074" s="8" t="e">
        <f>VLOOKUP(Table1[[#This Row],[Address A]],IP_Master[],2,FALSE)</f>
        <v>#N/A</v>
      </c>
      <c r="T2074" s="8" t="e">
        <f>VLOOKUP(Table1[[#This Row],[Address B]],IP_Master[],2,FALSE)</f>
        <v>#N/A</v>
      </c>
      <c r="U2074" s="9" t="e">
        <f>VLOOKUP(Table1[[#This Row],[Address A]],IP_Master[],3,FALSE)</f>
        <v>#N/A</v>
      </c>
      <c r="V2074" s="9" t="e">
        <f>VLOOKUP(Table1[[#This Row],[Address B]],IP_Master[],3,FALSE)</f>
        <v>#N/A</v>
      </c>
      <c r="W2074" s="9" t="str">
        <f>VLOOKUP(Table1[[#This Row],[Port B]],traffic_types[],2,FALSE)</f>
        <v>HTTP</v>
      </c>
    </row>
    <row r="2075" spans="1:23" hidden="1" x14ac:dyDescent="0.6">
      <c r="A2075" t="s">
        <v>224</v>
      </c>
      <c r="B2075">
        <v>60190</v>
      </c>
      <c r="C2075" t="s">
        <v>295</v>
      </c>
      <c r="D2075">
        <v>40028</v>
      </c>
      <c r="E2075">
        <v>3</v>
      </c>
      <c r="F2075">
        <v>194</v>
      </c>
      <c r="G2075">
        <v>3</v>
      </c>
      <c r="H2075">
        <v>194</v>
      </c>
      <c r="I2075">
        <v>0</v>
      </c>
      <c r="J2075">
        <v>0</v>
      </c>
      <c r="K2075">
        <v>554.116309</v>
      </c>
      <c r="L2075">
        <v>8.9978589999999503</v>
      </c>
      <c r="M2075">
        <v>172.485476822876</v>
      </c>
      <c r="N2075">
        <v>0</v>
      </c>
      <c r="O2075" s="8" t="str">
        <f>formatIP(Table1[[#This Row],[Address A]])</f>
        <v>192.168.100.002</v>
      </c>
      <c r="P2075" s="8" t="str">
        <f>formatIP(Table1[[#This Row],[Address B]])</f>
        <v>065.055.223.028</v>
      </c>
      <c r="Q2075" s="8" t="e">
        <f>VLOOKUP(Table1[[#This Row],[Address A]],IP_Master[],4,FALSE)</f>
        <v>#N/A</v>
      </c>
      <c r="R2075" s="8" t="e">
        <f>VLOOKUP(Table1[[#This Row],[Address B]],IP_Master[],4,FALSE)</f>
        <v>#N/A</v>
      </c>
      <c r="S2075" s="8" t="e">
        <f>VLOOKUP(Table1[[#This Row],[Address A]],IP_Master[],2,FALSE)</f>
        <v>#N/A</v>
      </c>
      <c r="T2075" s="8" t="e">
        <f>VLOOKUP(Table1[[#This Row],[Address B]],IP_Master[],2,FALSE)</f>
        <v>#N/A</v>
      </c>
      <c r="U2075" s="9" t="e">
        <f>VLOOKUP(Table1[[#This Row],[Address A]],IP_Master[],3,FALSE)</f>
        <v>#N/A</v>
      </c>
      <c r="V2075" s="9" t="e">
        <f>VLOOKUP(Table1[[#This Row],[Address B]],IP_Master[],3,FALSE)</f>
        <v>#N/A</v>
      </c>
      <c r="W2075" s="9" t="e">
        <f>VLOOKUP(Table1[[#This Row],[Port B]],traffic_types[],2,FALSE)</f>
        <v>#N/A</v>
      </c>
    </row>
    <row r="2076" spans="1:23" hidden="1" x14ac:dyDescent="0.6">
      <c r="A2076" t="s">
        <v>224</v>
      </c>
      <c r="B2076">
        <v>60191</v>
      </c>
      <c r="C2076" t="s">
        <v>319</v>
      </c>
      <c r="D2076">
        <v>40009</v>
      </c>
      <c r="E2076">
        <v>3</v>
      </c>
      <c r="F2076">
        <v>194</v>
      </c>
      <c r="G2076">
        <v>3</v>
      </c>
      <c r="H2076">
        <v>194</v>
      </c>
      <c r="I2076">
        <v>0</v>
      </c>
      <c r="J2076">
        <v>0</v>
      </c>
      <c r="K2076">
        <v>554.11631399999999</v>
      </c>
      <c r="L2076">
        <v>8.9978509999999705</v>
      </c>
      <c r="M2076">
        <v>172.48563017991799</v>
      </c>
      <c r="N2076">
        <v>0</v>
      </c>
      <c r="O2076" s="8" t="str">
        <f>formatIP(Table1[[#This Row],[Address A]])</f>
        <v>192.168.100.002</v>
      </c>
      <c r="P2076" s="8" t="str">
        <f>formatIP(Table1[[#This Row],[Address B]])</f>
        <v>157.055.056.154</v>
      </c>
      <c r="Q2076" s="8" t="e">
        <f>VLOOKUP(Table1[[#This Row],[Address A]],IP_Master[],4,FALSE)</f>
        <v>#N/A</v>
      </c>
      <c r="R2076" s="8" t="e">
        <f>VLOOKUP(Table1[[#This Row],[Address B]],IP_Master[],4,FALSE)</f>
        <v>#N/A</v>
      </c>
      <c r="S2076" s="8" t="e">
        <f>VLOOKUP(Table1[[#This Row],[Address A]],IP_Master[],2,FALSE)</f>
        <v>#N/A</v>
      </c>
      <c r="T2076" s="8" t="e">
        <f>VLOOKUP(Table1[[#This Row],[Address B]],IP_Master[],2,FALSE)</f>
        <v>#N/A</v>
      </c>
      <c r="U2076" s="9" t="e">
        <f>VLOOKUP(Table1[[#This Row],[Address A]],IP_Master[],3,FALSE)</f>
        <v>#N/A</v>
      </c>
      <c r="V2076" s="9" t="e">
        <f>VLOOKUP(Table1[[#This Row],[Address B]],IP_Master[],3,FALSE)</f>
        <v>#N/A</v>
      </c>
      <c r="W2076" s="9" t="e">
        <f>VLOOKUP(Table1[[#This Row],[Port B]],traffic_types[],2,FALSE)</f>
        <v>#N/A</v>
      </c>
    </row>
    <row r="2077" spans="1:23" x14ac:dyDescent="0.6">
      <c r="A2077" t="s">
        <v>224</v>
      </c>
      <c r="B2077">
        <v>60192</v>
      </c>
      <c r="C2077" t="s">
        <v>295</v>
      </c>
      <c r="D2077">
        <v>443</v>
      </c>
      <c r="E2077">
        <v>3</v>
      </c>
      <c r="F2077">
        <v>194</v>
      </c>
      <c r="G2077">
        <v>3</v>
      </c>
      <c r="H2077">
        <v>194</v>
      </c>
      <c r="I2077">
        <v>0</v>
      </c>
      <c r="J2077">
        <v>0</v>
      </c>
      <c r="K2077">
        <v>555.73576600000001</v>
      </c>
      <c r="L2077">
        <v>8.9984319999999798</v>
      </c>
      <c r="M2077">
        <v>172.47449333394999</v>
      </c>
      <c r="N2077">
        <v>0</v>
      </c>
      <c r="O2077" s="8" t="str">
        <f>formatIP(Table1[[#This Row],[Address A]])</f>
        <v>192.168.100.002</v>
      </c>
      <c r="P2077" s="8" t="str">
        <f>formatIP(Table1[[#This Row],[Address B]])</f>
        <v>065.055.223.028</v>
      </c>
      <c r="Q2077" s="8" t="e">
        <f>VLOOKUP(Table1[[#This Row],[Address A]],IP_Master[],4,FALSE)</f>
        <v>#N/A</v>
      </c>
      <c r="R2077" s="8" t="e">
        <f>VLOOKUP(Table1[[#This Row],[Address B]],IP_Master[],4,FALSE)</f>
        <v>#N/A</v>
      </c>
      <c r="S2077" s="8" t="e">
        <f>VLOOKUP(Table1[[#This Row],[Address A]],IP_Master[],2,FALSE)</f>
        <v>#N/A</v>
      </c>
      <c r="T2077" s="8" t="e">
        <f>VLOOKUP(Table1[[#This Row],[Address B]],IP_Master[],2,FALSE)</f>
        <v>#N/A</v>
      </c>
      <c r="U2077" s="9" t="e">
        <f>VLOOKUP(Table1[[#This Row],[Address A]],IP_Master[],3,FALSE)</f>
        <v>#N/A</v>
      </c>
      <c r="V2077" s="9" t="e">
        <f>VLOOKUP(Table1[[#This Row],[Address B]],IP_Master[],3,FALSE)</f>
        <v>#N/A</v>
      </c>
      <c r="W2077" s="9" t="str">
        <f>VLOOKUP(Table1[[#This Row],[Port B]],traffic_types[],2,FALSE)</f>
        <v>HTTP/S</v>
      </c>
    </row>
    <row r="2078" spans="1:23" x14ac:dyDescent="0.6">
      <c r="A2078" t="s">
        <v>224</v>
      </c>
      <c r="B2078">
        <v>60193</v>
      </c>
      <c r="C2078" t="s">
        <v>319</v>
      </c>
      <c r="D2078">
        <v>443</v>
      </c>
      <c r="E2078">
        <v>3</v>
      </c>
      <c r="F2078">
        <v>194</v>
      </c>
      <c r="G2078">
        <v>3</v>
      </c>
      <c r="H2078">
        <v>194</v>
      </c>
      <c r="I2078">
        <v>0</v>
      </c>
      <c r="J2078">
        <v>0</v>
      </c>
      <c r="K2078">
        <v>555.73595599999999</v>
      </c>
      <c r="L2078">
        <v>8.9982410000000108</v>
      </c>
      <c r="M2078">
        <v>172.478154341498</v>
      </c>
      <c r="N2078">
        <v>0</v>
      </c>
      <c r="O2078" s="8" t="str">
        <f>formatIP(Table1[[#This Row],[Address A]])</f>
        <v>192.168.100.002</v>
      </c>
      <c r="P2078" s="8" t="str">
        <f>formatIP(Table1[[#This Row],[Address B]])</f>
        <v>157.055.056.154</v>
      </c>
      <c r="Q2078" s="8" t="e">
        <f>VLOOKUP(Table1[[#This Row],[Address A]],IP_Master[],4,FALSE)</f>
        <v>#N/A</v>
      </c>
      <c r="R2078" s="8" t="e">
        <f>VLOOKUP(Table1[[#This Row],[Address B]],IP_Master[],4,FALSE)</f>
        <v>#N/A</v>
      </c>
      <c r="S2078" s="8" t="e">
        <f>VLOOKUP(Table1[[#This Row],[Address A]],IP_Master[],2,FALSE)</f>
        <v>#N/A</v>
      </c>
      <c r="T2078" s="8" t="e">
        <f>VLOOKUP(Table1[[#This Row],[Address B]],IP_Master[],2,FALSE)</f>
        <v>#N/A</v>
      </c>
      <c r="U2078" s="9" t="e">
        <f>VLOOKUP(Table1[[#This Row],[Address A]],IP_Master[],3,FALSE)</f>
        <v>#N/A</v>
      </c>
      <c r="V2078" s="9" t="e">
        <f>VLOOKUP(Table1[[#This Row],[Address B]],IP_Master[],3,FALSE)</f>
        <v>#N/A</v>
      </c>
      <c r="W2078" s="9" t="str">
        <f>VLOOKUP(Table1[[#This Row],[Port B]],traffic_types[],2,FALSE)</f>
        <v>HTTP/S</v>
      </c>
    </row>
    <row r="2079" spans="1:23" x14ac:dyDescent="0.6">
      <c r="A2079" t="s">
        <v>224</v>
      </c>
      <c r="B2079">
        <v>60194</v>
      </c>
      <c r="C2079" t="s">
        <v>295</v>
      </c>
      <c r="D2079">
        <v>80</v>
      </c>
      <c r="E2079">
        <v>3</v>
      </c>
      <c r="F2079">
        <v>194</v>
      </c>
      <c r="G2079">
        <v>3</v>
      </c>
      <c r="H2079">
        <v>194</v>
      </c>
      <c r="I2079">
        <v>0</v>
      </c>
      <c r="J2079">
        <v>0</v>
      </c>
      <c r="K2079">
        <v>557.35584500000004</v>
      </c>
      <c r="L2079">
        <v>8.9993839999999601</v>
      </c>
      <c r="M2079">
        <v>172.45624811653801</v>
      </c>
      <c r="N2079">
        <v>0</v>
      </c>
      <c r="O2079" s="8" t="str">
        <f>formatIP(Table1[[#This Row],[Address A]])</f>
        <v>192.168.100.002</v>
      </c>
      <c r="P2079" s="8" t="str">
        <f>formatIP(Table1[[#This Row],[Address B]])</f>
        <v>065.055.223.028</v>
      </c>
      <c r="Q2079" s="8" t="e">
        <f>VLOOKUP(Table1[[#This Row],[Address A]],IP_Master[],4,FALSE)</f>
        <v>#N/A</v>
      </c>
      <c r="R2079" s="8" t="e">
        <f>VLOOKUP(Table1[[#This Row],[Address B]],IP_Master[],4,FALSE)</f>
        <v>#N/A</v>
      </c>
      <c r="S2079" s="8" t="e">
        <f>VLOOKUP(Table1[[#This Row],[Address A]],IP_Master[],2,FALSE)</f>
        <v>#N/A</v>
      </c>
      <c r="T2079" s="8" t="e">
        <f>VLOOKUP(Table1[[#This Row],[Address B]],IP_Master[],2,FALSE)</f>
        <v>#N/A</v>
      </c>
      <c r="U2079" s="9" t="e">
        <f>VLOOKUP(Table1[[#This Row],[Address A]],IP_Master[],3,FALSE)</f>
        <v>#N/A</v>
      </c>
      <c r="V2079" s="9" t="e">
        <f>VLOOKUP(Table1[[#This Row],[Address B]],IP_Master[],3,FALSE)</f>
        <v>#N/A</v>
      </c>
      <c r="W2079" s="9" t="str">
        <f>VLOOKUP(Table1[[#This Row],[Port B]],traffic_types[],2,FALSE)</f>
        <v>HTTP</v>
      </c>
    </row>
    <row r="2080" spans="1:23" x14ac:dyDescent="0.6">
      <c r="A2080" t="s">
        <v>224</v>
      </c>
      <c r="B2080">
        <v>60195</v>
      </c>
      <c r="C2080" t="s">
        <v>319</v>
      </c>
      <c r="D2080">
        <v>80</v>
      </c>
      <c r="E2080">
        <v>3</v>
      </c>
      <c r="F2080">
        <v>194</v>
      </c>
      <c r="G2080">
        <v>3</v>
      </c>
      <c r="H2080">
        <v>194</v>
      </c>
      <c r="I2080">
        <v>0</v>
      </c>
      <c r="J2080">
        <v>0</v>
      </c>
      <c r="K2080">
        <v>557.35584600000004</v>
      </c>
      <c r="L2080">
        <v>8.9993839999999601</v>
      </c>
      <c r="M2080">
        <v>172.45624811653801</v>
      </c>
      <c r="N2080">
        <v>0</v>
      </c>
      <c r="O2080" s="8" t="str">
        <f>formatIP(Table1[[#This Row],[Address A]])</f>
        <v>192.168.100.002</v>
      </c>
      <c r="P2080" s="8" t="str">
        <f>formatIP(Table1[[#This Row],[Address B]])</f>
        <v>157.055.056.154</v>
      </c>
      <c r="Q2080" s="8" t="e">
        <f>VLOOKUP(Table1[[#This Row],[Address A]],IP_Master[],4,FALSE)</f>
        <v>#N/A</v>
      </c>
      <c r="R2080" s="8" t="e">
        <f>VLOOKUP(Table1[[#This Row],[Address B]],IP_Master[],4,FALSE)</f>
        <v>#N/A</v>
      </c>
      <c r="S2080" s="8" t="e">
        <f>VLOOKUP(Table1[[#This Row],[Address A]],IP_Master[],2,FALSE)</f>
        <v>#N/A</v>
      </c>
      <c r="T2080" s="8" t="e">
        <f>VLOOKUP(Table1[[#This Row],[Address B]],IP_Master[],2,FALSE)</f>
        <v>#N/A</v>
      </c>
      <c r="U2080" s="9" t="e">
        <f>VLOOKUP(Table1[[#This Row],[Address A]],IP_Master[],3,FALSE)</f>
        <v>#N/A</v>
      </c>
      <c r="V2080" s="9" t="e">
        <f>VLOOKUP(Table1[[#This Row],[Address B]],IP_Master[],3,FALSE)</f>
        <v>#N/A</v>
      </c>
      <c r="W2080" s="9" t="str">
        <f>VLOOKUP(Table1[[#This Row],[Port B]],traffic_types[],2,FALSE)</f>
        <v>HTTP</v>
      </c>
    </row>
    <row r="2081" spans="1:23" hidden="1" x14ac:dyDescent="0.6">
      <c r="A2081" t="s">
        <v>224</v>
      </c>
      <c r="B2081">
        <v>60196</v>
      </c>
      <c r="C2081" t="s">
        <v>270</v>
      </c>
      <c r="D2081">
        <v>12350</v>
      </c>
      <c r="E2081">
        <v>3</v>
      </c>
      <c r="F2081">
        <v>194</v>
      </c>
      <c r="G2081">
        <v>3</v>
      </c>
      <c r="H2081">
        <v>194</v>
      </c>
      <c r="I2081">
        <v>0</v>
      </c>
      <c r="J2081">
        <v>0</v>
      </c>
      <c r="K2081">
        <v>566.92716399999995</v>
      </c>
      <c r="L2081">
        <v>9.0001440000000894</v>
      </c>
      <c r="M2081">
        <v>172.441685377477</v>
      </c>
      <c r="N2081">
        <v>0</v>
      </c>
      <c r="O2081" s="8" t="str">
        <f>formatIP(Table1[[#This Row],[Address A]])</f>
        <v>192.168.100.002</v>
      </c>
      <c r="P2081" s="8" t="str">
        <f>formatIP(Table1[[#This Row],[Address B]])</f>
        <v>091.190.218.064</v>
      </c>
      <c r="Q2081" s="8" t="e">
        <f>VLOOKUP(Table1[[#This Row],[Address A]],IP_Master[],4,FALSE)</f>
        <v>#N/A</v>
      </c>
      <c r="R2081" s="8" t="e">
        <f>VLOOKUP(Table1[[#This Row],[Address B]],IP_Master[],4,FALSE)</f>
        <v>#N/A</v>
      </c>
      <c r="S2081" s="8" t="e">
        <f>VLOOKUP(Table1[[#This Row],[Address A]],IP_Master[],2,FALSE)</f>
        <v>#N/A</v>
      </c>
      <c r="T2081" s="8" t="e">
        <f>VLOOKUP(Table1[[#This Row],[Address B]],IP_Master[],2,FALSE)</f>
        <v>#N/A</v>
      </c>
      <c r="U2081" s="9" t="e">
        <f>VLOOKUP(Table1[[#This Row],[Address A]],IP_Master[],3,FALSE)</f>
        <v>#N/A</v>
      </c>
      <c r="V2081" s="9" t="e">
        <f>VLOOKUP(Table1[[#This Row],[Address B]],IP_Master[],3,FALSE)</f>
        <v>#N/A</v>
      </c>
      <c r="W2081" s="9" t="e">
        <f>VLOOKUP(Table1[[#This Row],[Port B]],traffic_types[],2,FALSE)</f>
        <v>#N/A</v>
      </c>
    </row>
    <row r="2082" spans="1:23" hidden="1" x14ac:dyDescent="0.6">
      <c r="A2082" t="s">
        <v>224</v>
      </c>
      <c r="B2082">
        <v>60197</v>
      </c>
      <c r="C2082" t="s">
        <v>320</v>
      </c>
      <c r="D2082">
        <v>40003</v>
      </c>
      <c r="E2082">
        <v>3</v>
      </c>
      <c r="F2082">
        <v>194</v>
      </c>
      <c r="G2082">
        <v>3</v>
      </c>
      <c r="H2082">
        <v>194</v>
      </c>
      <c r="I2082">
        <v>0</v>
      </c>
      <c r="J2082">
        <v>0</v>
      </c>
      <c r="K2082">
        <v>567.15795600000001</v>
      </c>
      <c r="L2082">
        <v>9.0045619999999609</v>
      </c>
      <c r="M2082">
        <v>172.35707855640399</v>
      </c>
      <c r="N2082">
        <v>0</v>
      </c>
      <c r="O2082" s="8" t="str">
        <f>formatIP(Table1[[#This Row],[Address A]])</f>
        <v>192.168.100.002</v>
      </c>
      <c r="P2082" s="8" t="str">
        <f>formatIP(Table1[[#This Row],[Address B]])</f>
        <v>157.055.235.170</v>
      </c>
      <c r="Q2082" s="8" t="e">
        <f>VLOOKUP(Table1[[#This Row],[Address A]],IP_Master[],4,FALSE)</f>
        <v>#N/A</v>
      </c>
      <c r="R2082" s="8" t="e">
        <f>VLOOKUP(Table1[[#This Row],[Address B]],IP_Master[],4,FALSE)</f>
        <v>#N/A</v>
      </c>
      <c r="S2082" s="8" t="e">
        <f>VLOOKUP(Table1[[#This Row],[Address A]],IP_Master[],2,FALSE)</f>
        <v>#N/A</v>
      </c>
      <c r="T2082" s="8" t="e">
        <f>VLOOKUP(Table1[[#This Row],[Address B]],IP_Master[],2,FALSE)</f>
        <v>#N/A</v>
      </c>
      <c r="U2082" s="9" t="e">
        <f>VLOOKUP(Table1[[#This Row],[Address A]],IP_Master[],3,FALSE)</f>
        <v>#N/A</v>
      </c>
      <c r="V2082" s="9" t="e">
        <f>VLOOKUP(Table1[[#This Row],[Address B]],IP_Master[],3,FALSE)</f>
        <v>#N/A</v>
      </c>
      <c r="W2082" s="9" t="e">
        <f>VLOOKUP(Table1[[#This Row],[Port B]],traffic_types[],2,FALSE)</f>
        <v>#N/A</v>
      </c>
    </row>
    <row r="2083" spans="1:23" x14ac:dyDescent="0.6">
      <c r="A2083" t="s">
        <v>224</v>
      </c>
      <c r="B2083">
        <v>60198</v>
      </c>
      <c r="C2083" t="s">
        <v>270</v>
      </c>
      <c r="D2083">
        <v>443</v>
      </c>
      <c r="E2083">
        <v>3</v>
      </c>
      <c r="F2083">
        <v>194</v>
      </c>
      <c r="G2083">
        <v>3</v>
      </c>
      <c r="H2083">
        <v>194</v>
      </c>
      <c r="I2083">
        <v>0</v>
      </c>
      <c r="J2083">
        <v>0</v>
      </c>
      <c r="K2083">
        <v>568.53778599999998</v>
      </c>
      <c r="L2083">
        <v>8.9994910000000292</v>
      </c>
      <c r="M2083">
        <v>172.454197687402</v>
      </c>
      <c r="N2083">
        <v>0</v>
      </c>
      <c r="O2083" s="8" t="str">
        <f>formatIP(Table1[[#This Row],[Address A]])</f>
        <v>192.168.100.002</v>
      </c>
      <c r="P2083" s="8" t="str">
        <f>formatIP(Table1[[#This Row],[Address B]])</f>
        <v>091.190.218.064</v>
      </c>
      <c r="Q2083" s="8" t="e">
        <f>VLOOKUP(Table1[[#This Row],[Address A]],IP_Master[],4,FALSE)</f>
        <v>#N/A</v>
      </c>
      <c r="R2083" s="8" t="e">
        <f>VLOOKUP(Table1[[#This Row],[Address B]],IP_Master[],4,FALSE)</f>
        <v>#N/A</v>
      </c>
      <c r="S2083" s="8" t="e">
        <f>VLOOKUP(Table1[[#This Row],[Address A]],IP_Master[],2,FALSE)</f>
        <v>#N/A</v>
      </c>
      <c r="T2083" s="8" t="e">
        <f>VLOOKUP(Table1[[#This Row],[Address B]],IP_Master[],2,FALSE)</f>
        <v>#N/A</v>
      </c>
      <c r="U2083" s="9" t="e">
        <f>VLOOKUP(Table1[[#This Row],[Address A]],IP_Master[],3,FALSE)</f>
        <v>#N/A</v>
      </c>
      <c r="V2083" s="9" t="e">
        <f>VLOOKUP(Table1[[#This Row],[Address B]],IP_Master[],3,FALSE)</f>
        <v>#N/A</v>
      </c>
      <c r="W2083" s="9" t="str">
        <f>VLOOKUP(Table1[[#This Row],[Port B]],traffic_types[],2,FALSE)</f>
        <v>HTTP/S</v>
      </c>
    </row>
    <row r="2084" spans="1:23" x14ac:dyDescent="0.6">
      <c r="A2084" t="s">
        <v>224</v>
      </c>
      <c r="B2084">
        <v>60199</v>
      </c>
      <c r="C2084" t="s">
        <v>320</v>
      </c>
      <c r="D2084">
        <v>443</v>
      </c>
      <c r="E2084">
        <v>3</v>
      </c>
      <c r="F2084">
        <v>194</v>
      </c>
      <c r="G2084">
        <v>3</v>
      </c>
      <c r="H2084">
        <v>194</v>
      </c>
      <c r="I2084">
        <v>0</v>
      </c>
      <c r="J2084">
        <v>0</v>
      </c>
      <c r="K2084">
        <v>568.77769000000001</v>
      </c>
      <c r="L2084">
        <v>8.9994319999999597</v>
      </c>
      <c r="M2084">
        <v>172.45532829183099</v>
      </c>
      <c r="N2084">
        <v>0</v>
      </c>
      <c r="O2084" s="8" t="str">
        <f>formatIP(Table1[[#This Row],[Address A]])</f>
        <v>192.168.100.002</v>
      </c>
      <c r="P2084" s="8" t="str">
        <f>formatIP(Table1[[#This Row],[Address B]])</f>
        <v>157.055.235.170</v>
      </c>
      <c r="Q2084" s="8" t="e">
        <f>VLOOKUP(Table1[[#This Row],[Address A]],IP_Master[],4,FALSE)</f>
        <v>#N/A</v>
      </c>
      <c r="R2084" s="8" t="e">
        <f>VLOOKUP(Table1[[#This Row],[Address B]],IP_Master[],4,FALSE)</f>
        <v>#N/A</v>
      </c>
      <c r="S2084" s="8" t="e">
        <f>VLOOKUP(Table1[[#This Row],[Address A]],IP_Master[],2,FALSE)</f>
        <v>#N/A</v>
      </c>
      <c r="T2084" s="8" t="e">
        <f>VLOOKUP(Table1[[#This Row],[Address B]],IP_Master[],2,FALSE)</f>
        <v>#N/A</v>
      </c>
      <c r="U2084" s="9" t="e">
        <f>VLOOKUP(Table1[[#This Row],[Address A]],IP_Master[],3,FALSE)</f>
        <v>#N/A</v>
      </c>
      <c r="V2084" s="9" t="e">
        <f>VLOOKUP(Table1[[#This Row],[Address B]],IP_Master[],3,FALSE)</f>
        <v>#N/A</v>
      </c>
      <c r="W2084" s="9" t="str">
        <f>VLOOKUP(Table1[[#This Row],[Port B]],traffic_types[],2,FALSE)</f>
        <v>HTTP/S</v>
      </c>
    </row>
    <row r="2085" spans="1:23" x14ac:dyDescent="0.6">
      <c r="A2085" t="s">
        <v>224</v>
      </c>
      <c r="B2085">
        <v>60200</v>
      </c>
      <c r="C2085" t="s">
        <v>270</v>
      </c>
      <c r="D2085">
        <v>80</v>
      </c>
      <c r="E2085">
        <v>3</v>
      </c>
      <c r="F2085">
        <v>194</v>
      </c>
      <c r="G2085">
        <v>3</v>
      </c>
      <c r="H2085">
        <v>194</v>
      </c>
      <c r="I2085">
        <v>0</v>
      </c>
      <c r="J2085">
        <v>0</v>
      </c>
      <c r="K2085">
        <v>570.16130299999998</v>
      </c>
      <c r="L2085">
        <v>8.9958639999999797</v>
      </c>
      <c r="M2085">
        <v>172.523728682426</v>
      </c>
      <c r="N2085">
        <v>0</v>
      </c>
      <c r="O2085" s="8" t="str">
        <f>formatIP(Table1[[#This Row],[Address A]])</f>
        <v>192.168.100.002</v>
      </c>
      <c r="P2085" s="8" t="str">
        <f>formatIP(Table1[[#This Row],[Address B]])</f>
        <v>091.190.218.064</v>
      </c>
      <c r="Q2085" s="8" t="e">
        <f>VLOOKUP(Table1[[#This Row],[Address A]],IP_Master[],4,FALSE)</f>
        <v>#N/A</v>
      </c>
      <c r="R2085" s="8" t="e">
        <f>VLOOKUP(Table1[[#This Row],[Address B]],IP_Master[],4,FALSE)</f>
        <v>#N/A</v>
      </c>
      <c r="S2085" s="8" t="e">
        <f>VLOOKUP(Table1[[#This Row],[Address A]],IP_Master[],2,FALSE)</f>
        <v>#N/A</v>
      </c>
      <c r="T2085" s="8" t="e">
        <f>VLOOKUP(Table1[[#This Row],[Address B]],IP_Master[],2,FALSE)</f>
        <v>#N/A</v>
      </c>
      <c r="U2085" s="9" t="e">
        <f>VLOOKUP(Table1[[#This Row],[Address A]],IP_Master[],3,FALSE)</f>
        <v>#N/A</v>
      </c>
      <c r="V2085" s="9" t="e">
        <f>VLOOKUP(Table1[[#This Row],[Address B]],IP_Master[],3,FALSE)</f>
        <v>#N/A</v>
      </c>
      <c r="W2085" s="9" t="str">
        <f>VLOOKUP(Table1[[#This Row],[Port B]],traffic_types[],2,FALSE)</f>
        <v>HTTP</v>
      </c>
    </row>
    <row r="2086" spans="1:23" x14ac:dyDescent="0.6">
      <c r="A2086" t="s">
        <v>224</v>
      </c>
      <c r="B2086">
        <v>60201</v>
      </c>
      <c r="C2086" t="s">
        <v>320</v>
      </c>
      <c r="D2086">
        <v>80</v>
      </c>
      <c r="E2086">
        <v>3</v>
      </c>
      <c r="F2086">
        <v>194</v>
      </c>
      <c r="G2086">
        <v>3</v>
      </c>
      <c r="H2086">
        <v>194</v>
      </c>
      <c r="I2086">
        <v>0</v>
      </c>
      <c r="J2086">
        <v>0</v>
      </c>
      <c r="K2086">
        <v>570.39776600000005</v>
      </c>
      <c r="L2086">
        <v>9.0003849999999392</v>
      </c>
      <c r="M2086">
        <v>172.43706796987101</v>
      </c>
      <c r="N2086">
        <v>0</v>
      </c>
      <c r="O2086" s="8" t="str">
        <f>formatIP(Table1[[#This Row],[Address A]])</f>
        <v>192.168.100.002</v>
      </c>
      <c r="P2086" s="8" t="str">
        <f>formatIP(Table1[[#This Row],[Address B]])</f>
        <v>157.055.235.170</v>
      </c>
      <c r="Q2086" s="8" t="e">
        <f>VLOOKUP(Table1[[#This Row],[Address A]],IP_Master[],4,FALSE)</f>
        <v>#N/A</v>
      </c>
      <c r="R2086" s="8" t="e">
        <f>VLOOKUP(Table1[[#This Row],[Address B]],IP_Master[],4,FALSE)</f>
        <v>#N/A</v>
      </c>
      <c r="S2086" s="8" t="e">
        <f>VLOOKUP(Table1[[#This Row],[Address A]],IP_Master[],2,FALSE)</f>
        <v>#N/A</v>
      </c>
      <c r="T2086" s="8" t="e">
        <f>VLOOKUP(Table1[[#This Row],[Address B]],IP_Master[],2,FALSE)</f>
        <v>#N/A</v>
      </c>
      <c r="U2086" s="9" t="e">
        <f>VLOOKUP(Table1[[#This Row],[Address A]],IP_Master[],3,FALSE)</f>
        <v>#N/A</v>
      </c>
      <c r="V2086" s="9" t="e">
        <f>VLOOKUP(Table1[[#This Row],[Address B]],IP_Master[],3,FALSE)</f>
        <v>#N/A</v>
      </c>
      <c r="W2086" s="9" t="str">
        <f>VLOOKUP(Table1[[#This Row],[Port B]],traffic_types[],2,FALSE)</f>
        <v>HTTP</v>
      </c>
    </row>
    <row r="2087" spans="1:23" hidden="1" x14ac:dyDescent="0.6">
      <c r="A2087" t="s">
        <v>224</v>
      </c>
      <c r="B2087">
        <v>60202</v>
      </c>
      <c r="C2087" t="s">
        <v>321</v>
      </c>
      <c r="D2087">
        <v>40009</v>
      </c>
      <c r="E2087">
        <v>3</v>
      </c>
      <c r="F2087">
        <v>194</v>
      </c>
      <c r="G2087">
        <v>3</v>
      </c>
      <c r="H2087">
        <v>194</v>
      </c>
      <c r="I2087">
        <v>0</v>
      </c>
      <c r="J2087">
        <v>0</v>
      </c>
      <c r="K2087">
        <v>579.34992599999998</v>
      </c>
      <c r="L2087">
        <v>9.0326320000000404</v>
      </c>
      <c r="M2087">
        <v>171.82145802020901</v>
      </c>
      <c r="N2087">
        <v>0</v>
      </c>
      <c r="O2087" s="8" t="str">
        <f>formatIP(Table1[[#This Row],[Address A]])</f>
        <v>192.168.100.002</v>
      </c>
      <c r="P2087" s="8" t="str">
        <f>formatIP(Table1[[#This Row],[Address B]])</f>
        <v>111.221.077.159</v>
      </c>
      <c r="Q2087" s="8" t="e">
        <f>VLOOKUP(Table1[[#This Row],[Address A]],IP_Master[],4,FALSE)</f>
        <v>#N/A</v>
      </c>
      <c r="R2087" s="8" t="e">
        <f>VLOOKUP(Table1[[#This Row],[Address B]],IP_Master[],4,FALSE)</f>
        <v>#N/A</v>
      </c>
      <c r="S2087" s="8" t="e">
        <f>VLOOKUP(Table1[[#This Row],[Address A]],IP_Master[],2,FALSE)</f>
        <v>#N/A</v>
      </c>
      <c r="T2087" s="8" t="e">
        <f>VLOOKUP(Table1[[#This Row],[Address B]],IP_Master[],2,FALSE)</f>
        <v>#N/A</v>
      </c>
      <c r="U2087" s="9" t="e">
        <f>VLOOKUP(Table1[[#This Row],[Address A]],IP_Master[],3,FALSE)</f>
        <v>#N/A</v>
      </c>
      <c r="V2087" s="9" t="e">
        <f>VLOOKUP(Table1[[#This Row],[Address B]],IP_Master[],3,FALSE)</f>
        <v>#N/A</v>
      </c>
      <c r="W2087" s="9" t="e">
        <f>VLOOKUP(Table1[[#This Row],[Port B]],traffic_types[],2,FALSE)</f>
        <v>#N/A</v>
      </c>
    </row>
    <row r="2088" spans="1:23" hidden="1" x14ac:dyDescent="0.6">
      <c r="A2088" t="s">
        <v>224</v>
      </c>
      <c r="B2088">
        <v>60203</v>
      </c>
      <c r="C2088" t="s">
        <v>322</v>
      </c>
      <c r="D2088">
        <v>40001</v>
      </c>
      <c r="E2088">
        <v>3</v>
      </c>
      <c r="F2088">
        <v>194</v>
      </c>
      <c r="G2088">
        <v>3</v>
      </c>
      <c r="H2088">
        <v>194</v>
      </c>
      <c r="I2088">
        <v>0</v>
      </c>
      <c r="J2088">
        <v>0</v>
      </c>
      <c r="K2088">
        <v>580.39940999999999</v>
      </c>
      <c r="L2088">
        <v>8.9997040000000705</v>
      </c>
      <c r="M2088">
        <v>172.45011613715201</v>
      </c>
      <c r="N2088">
        <v>0</v>
      </c>
      <c r="O2088" s="8" t="str">
        <f>formatIP(Table1[[#This Row],[Address A]])</f>
        <v>192.168.100.002</v>
      </c>
      <c r="P2088" s="8" t="str">
        <f>formatIP(Table1[[#This Row],[Address B]])</f>
        <v>157.055.235.160</v>
      </c>
      <c r="Q2088" s="8" t="e">
        <f>VLOOKUP(Table1[[#This Row],[Address A]],IP_Master[],4,FALSE)</f>
        <v>#N/A</v>
      </c>
      <c r="R2088" s="8" t="e">
        <f>VLOOKUP(Table1[[#This Row],[Address B]],IP_Master[],4,FALSE)</f>
        <v>#N/A</v>
      </c>
      <c r="S2088" s="8" t="e">
        <f>VLOOKUP(Table1[[#This Row],[Address A]],IP_Master[],2,FALSE)</f>
        <v>#N/A</v>
      </c>
      <c r="T2088" s="8" t="e">
        <f>VLOOKUP(Table1[[#This Row],[Address B]],IP_Master[],2,FALSE)</f>
        <v>#N/A</v>
      </c>
      <c r="U2088" s="9" t="e">
        <f>VLOOKUP(Table1[[#This Row],[Address A]],IP_Master[],3,FALSE)</f>
        <v>#N/A</v>
      </c>
      <c r="V2088" s="9" t="e">
        <f>VLOOKUP(Table1[[#This Row],[Address B]],IP_Master[],3,FALSE)</f>
        <v>#N/A</v>
      </c>
      <c r="W2088" s="9" t="e">
        <f>VLOOKUP(Table1[[#This Row],[Port B]],traffic_types[],2,FALSE)</f>
        <v>#N/A</v>
      </c>
    </row>
    <row r="2089" spans="1:23" x14ac:dyDescent="0.6">
      <c r="A2089" t="s">
        <v>224</v>
      </c>
      <c r="B2089">
        <v>60204</v>
      </c>
      <c r="C2089" t="s">
        <v>321</v>
      </c>
      <c r="D2089">
        <v>443</v>
      </c>
      <c r="E2089">
        <v>3</v>
      </c>
      <c r="F2089">
        <v>194</v>
      </c>
      <c r="G2089">
        <v>3</v>
      </c>
      <c r="H2089">
        <v>194</v>
      </c>
      <c r="I2089">
        <v>0</v>
      </c>
      <c r="J2089">
        <v>0</v>
      </c>
      <c r="K2089">
        <v>580.96868199999994</v>
      </c>
      <c r="L2089">
        <v>9.0004290000000502</v>
      </c>
      <c r="M2089">
        <v>172.436224984386</v>
      </c>
      <c r="N2089">
        <v>0</v>
      </c>
      <c r="O2089" s="8" t="str">
        <f>formatIP(Table1[[#This Row],[Address A]])</f>
        <v>192.168.100.002</v>
      </c>
      <c r="P2089" s="8" t="str">
        <f>formatIP(Table1[[#This Row],[Address B]])</f>
        <v>111.221.077.159</v>
      </c>
      <c r="Q2089" s="8" t="e">
        <f>VLOOKUP(Table1[[#This Row],[Address A]],IP_Master[],4,FALSE)</f>
        <v>#N/A</v>
      </c>
      <c r="R2089" s="8" t="e">
        <f>VLOOKUP(Table1[[#This Row],[Address B]],IP_Master[],4,FALSE)</f>
        <v>#N/A</v>
      </c>
      <c r="S2089" s="8" t="e">
        <f>VLOOKUP(Table1[[#This Row],[Address A]],IP_Master[],2,FALSE)</f>
        <v>#N/A</v>
      </c>
      <c r="T2089" s="8" t="e">
        <f>VLOOKUP(Table1[[#This Row],[Address B]],IP_Master[],2,FALSE)</f>
        <v>#N/A</v>
      </c>
      <c r="U2089" s="9" t="e">
        <f>VLOOKUP(Table1[[#This Row],[Address A]],IP_Master[],3,FALSE)</f>
        <v>#N/A</v>
      </c>
      <c r="V2089" s="9" t="e">
        <f>VLOOKUP(Table1[[#This Row],[Address B]],IP_Master[],3,FALSE)</f>
        <v>#N/A</v>
      </c>
      <c r="W2089" s="9" t="str">
        <f>VLOOKUP(Table1[[#This Row],[Port B]],traffic_types[],2,FALSE)</f>
        <v>HTTP/S</v>
      </c>
    </row>
    <row r="2090" spans="1:23" x14ac:dyDescent="0.6">
      <c r="A2090" t="s">
        <v>224</v>
      </c>
      <c r="B2090">
        <v>60205</v>
      </c>
      <c r="C2090" t="s">
        <v>322</v>
      </c>
      <c r="D2090">
        <v>443</v>
      </c>
      <c r="E2090">
        <v>3</v>
      </c>
      <c r="F2090">
        <v>194</v>
      </c>
      <c r="G2090">
        <v>3</v>
      </c>
      <c r="H2090">
        <v>194</v>
      </c>
      <c r="I2090">
        <v>0</v>
      </c>
      <c r="J2090">
        <v>0</v>
      </c>
      <c r="K2090">
        <v>582.01864</v>
      </c>
      <c r="L2090">
        <v>9.0004800000000404</v>
      </c>
      <c r="M2090">
        <v>172.43524789788901</v>
      </c>
      <c r="N2090">
        <v>0</v>
      </c>
      <c r="O2090" s="8" t="str">
        <f>formatIP(Table1[[#This Row],[Address A]])</f>
        <v>192.168.100.002</v>
      </c>
      <c r="P2090" s="8" t="str">
        <f>formatIP(Table1[[#This Row],[Address B]])</f>
        <v>157.055.235.160</v>
      </c>
      <c r="Q2090" s="8" t="e">
        <f>VLOOKUP(Table1[[#This Row],[Address A]],IP_Master[],4,FALSE)</f>
        <v>#N/A</v>
      </c>
      <c r="R2090" s="8" t="e">
        <f>VLOOKUP(Table1[[#This Row],[Address B]],IP_Master[],4,FALSE)</f>
        <v>#N/A</v>
      </c>
      <c r="S2090" s="8" t="e">
        <f>VLOOKUP(Table1[[#This Row],[Address A]],IP_Master[],2,FALSE)</f>
        <v>#N/A</v>
      </c>
      <c r="T2090" s="8" t="e">
        <f>VLOOKUP(Table1[[#This Row],[Address B]],IP_Master[],2,FALSE)</f>
        <v>#N/A</v>
      </c>
      <c r="U2090" s="9" t="e">
        <f>VLOOKUP(Table1[[#This Row],[Address A]],IP_Master[],3,FALSE)</f>
        <v>#N/A</v>
      </c>
      <c r="V2090" s="9" t="e">
        <f>VLOOKUP(Table1[[#This Row],[Address B]],IP_Master[],3,FALSE)</f>
        <v>#N/A</v>
      </c>
      <c r="W2090" s="9" t="str">
        <f>VLOOKUP(Table1[[#This Row],[Port B]],traffic_types[],2,FALSE)</f>
        <v>HTTP/S</v>
      </c>
    </row>
    <row r="2091" spans="1:23" x14ac:dyDescent="0.6">
      <c r="A2091" t="s">
        <v>224</v>
      </c>
      <c r="B2091">
        <v>60206</v>
      </c>
      <c r="C2091" t="s">
        <v>321</v>
      </c>
      <c r="D2091">
        <v>80</v>
      </c>
      <c r="E2091">
        <v>3</v>
      </c>
      <c r="F2091">
        <v>194</v>
      </c>
      <c r="G2091">
        <v>3</v>
      </c>
      <c r="H2091">
        <v>194</v>
      </c>
      <c r="I2091">
        <v>0</v>
      </c>
      <c r="J2091">
        <v>0</v>
      </c>
      <c r="K2091">
        <v>582.58852400000001</v>
      </c>
      <c r="L2091">
        <v>9.0006600000000407</v>
      </c>
      <c r="M2091">
        <v>172.431799445818</v>
      </c>
      <c r="N2091">
        <v>0</v>
      </c>
      <c r="O2091" s="8" t="str">
        <f>formatIP(Table1[[#This Row],[Address A]])</f>
        <v>192.168.100.002</v>
      </c>
      <c r="P2091" s="8" t="str">
        <f>formatIP(Table1[[#This Row],[Address B]])</f>
        <v>111.221.077.159</v>
      </c>
      <c r="Q2091" s="8" t="e">
        <f>VLOOKUP(Table1[[#This Row],[Address A]],IP_Master[],4,FALSE)</f>
        <v>#N/A</v>
      </c>
      <c r="R2091" s="8" t="e">
        <f>VLOOKUP(Table1[[#This Row],[Address B]],IP_Master[],4,FALSE)</f>
        <v>#N/A</v>
      </c>
      <c r="S2091" s="8" t="e">
        <f>VLOOKUP(Table1[[#This Row],[Address A]],IP_Master[],2,FALSE)</f>
        <v>#N/A</v>
      </c>
      <c r="T2091" s="8" t="e">
        <f>VLOOKUP(Table1[[#This Row],[Address B]],IP_Master[],2,FALSE)</f>
        <v>#N/A</v>
      </c>
      <c r="U2091" s="9" t="e">
        <f>VLOOKUP(Table1[[#This Row],[Address A]],IP_Master[],3,FALSE)</f>
        <v>#N/A</v>
      </c>
      <c r="V2091" s="9" t="e">
        <f>VLOOKUP(Table1[[#This Row],[Address B]],IP_Master[],3,FALSE)</f>
        <v>#N/A</v>
      </c>
      <c r="W2091" s="9" t="str">
        <f>VLOOKUP(Table1[[#This Row],[Port B]],traffic_types[],2,FALSE)</f>
        <v>HTTP</v>
      </c>
    </row>
    <row r="2092" spans="1:23" x14ac:dyDescent="0.6">
      <c r="A2092" t="s">
        <v>224</v>
      </c>
      <c r="B2092">
        <v>60207</v>
      </c>
      <c r="C2092" t="s">
        <v>322</v>
      </c>
      <c r="D2092">
        <v>80</v>
      </c>
      <c r="E2092">
        <v>3</v>
      </c>
      <c r="F2092">
        <v>194</v>
      </c>
      <c r="G2092">
        <v>3</v>
      </c>
      <c r="H2092">
        <v>194</v>
      </c>
      <c r="I2092">
        <v>0</v>
      </c>
      <c r="J2092">
        <v>0</v>
      </c>
      <c r="K2092">
        <v>583.63853700000004</v>
      </c>
      <c r="L2092">
        <v>9.0006079999999393</v>
      </c>
      <c r="M2092">
        <v>172.432795651139</v>
      </c>
      <c r="N2092">
        <v>0</v>
      </c>
      <c r="O2092" s="8" t="str">
        <f>formatIP(Table1[[#This Row],[Address A]])</f>
        <v>192.168.100.002</v>
      </c>
      <c r="P2092" s="8" t="str">
        <f>formatIP(Table1[[#This Row],[Address B]])</f>
        <v>157.055.235.160</v>
      </c>
      <c r="Q2092" s="8" t="e">
        <f>VLOOKUP(Table1[[#This Row],[Address A]],IP_Master[],4,FALSE)</f>
        <v>#N/A</v>
      </c>
      <c r="R2092" s="8" t="e">
        <f>VLOOKUP(Table1[[#This Row],[Address B]],IP_Master[],4,FALSE)</f>
        <v>#N/A</v>
      </c>
      <c r="S2092" s="8" t="e">
        <f>VLOOKUP(Table1[[#This Row],[Address A]],IP_Master[],2,FALSE)</f>
        <v>#N/A</v>
      </c>
      <c r="T2092" s="8" t="e">
        <f>VLOOKUP(Table1[[#This Row],[Address B]],IP_Master[],2,FALSE)</f>
        <v>#N/A</v>
      </c>
      <c r="U2092" s="9" t="e">
        <f>VLOOKUP(Table1[[#This Row],[Address A]],IP_Master[],3,FALSE)</f>
        <v>#N/A</v>
      </c>
      <c r="V2092" s="9" t="e">
        <f>VLOOKUP(Table1[[#This Row],[Address B]],IP_Master[],3,FALSE)</f>
        <v>#N/A</v>
      </c>
      <c r="W2092" s="9" t="str">
        <f>VLOOKUP(Table1[[#This Row],[Port B]],traffic_types[],2,FALSE)</f>
        <v>HTTP</v>
      </c>
    </row>
    <row r="2093" spans="1:23" hidden="1" x14ac:dyDescent="0.6">
      <c r="A2093" t="s">
        <v>224</v>
      </c>
      <c r="B2093">
        <v>60208</v>
      </c>
      <c r="C2093" t="s">
        <v>323</v>
      </c>
      <c r="D2093">
        <v>40035</v>
      </c>
      <c r="E2093">
        <v>3</v>
      </c>
      <c r="F2093">
        <v>194</v>
      </c>
      <c r="G2093">
        <v>3</v>
      </c>
      <c r="H2093">
        <v>194</v>
      </c>
      <c r="I2093">
        <v>0</v>
      </c>
      <c r="J2093">
        <v>0</v>
      </c>
      <c r="K2093">
        <v>591.50067899999999</v>
      </c>
      <c r="L2093">
        <v>8.9983660000000292</v>
      </c>
      <c r="M2093">
        <v>172.47575837657601</v>
      </c>
      <c r="N2093">
        <v>0</v>
      </c>
      <c r="O2093" s="8" t="str">
        <f>formatIP(Table1[[#This Row],[Address A]])</f>
        <v>192.168.100.002</v>
      </c>
      <c r="P2093" s="8" t="str">
        <f>formatIP(Table1[[#This Row],[Address B]])</f>
        <v>065.055.223.044</v>
      </c>
      <c r="Q2093" s="8" t="e">
        <f>VLOOKUP(Table1[[#This Row],[Address A]],IP_Master[],4,FALSE)</f>
        <v>#N/A</v>
      </c>
      <c r="R2093" s="8" t="e">
        <f>VLOOKUP(Table1[[#This Row],[Address B]],IP_Master[],4,FALSE)</f>
        <v>#N/A</v>
      </c>
      <c r="S2093" s="8" t="e">
        <f>VLOOKUP(Table1[[#This Row],[Address A]],IP_Master[],2,FALSE)</f>
        <v>#N/A</v>
      </c>
      <c r="T2093" s="8" t="e">
        <f>VLOOKUP(Table1[[#This Row],[Address B]],IP_Master[],2,FALSE)</f>
        <v>#N/A</v>
      </c>
      <c r="U2093" s="9" t="e">
        <f>VLOOKUP(Table1[[#This Row],[Address A]],IP_Master[],3,FALSE)</f>
        <v>#N/A</v>
      </c>
      <c r="V2093" s="9" t="e">
        <f>VLOOKUP(Table1[[#This Row],[Address B]],IP_Master[],3,FALSE)</f>
        <v>#N/A</v>
      </c>
      <c r="W2093" s="9" t="e">
        <f>VLOOKUP(Table1[[#This Row],[Port B]],traffic_types[],2,FALSE)</f>
        <v>#N/A</v>
      </c>
    </row>
    <row r="2094" spans="1:23" x14ac:dyDescent="0.6">
      <c r="A2094" t="s">
        <v>224</v>
      </c>
      <c r="B2094">
        <v>60209</v>
      </c>
      <c r="C2094" t="s">
        <v>323</v>
      </c>
      <c r="D2094">
        <v>443</v>
      </c>
      <c r="E2094">
        <v>3</v>
      </c>
      <c r="F2094">
        <v>194</v>
      </c>
      <c r="G2094">
        <v>3</v>
      </c>
      <c r="H2094">
        <v>194</v>
      </c>
      <c r="I2094">
        <v>0</v>
      </c>
      <c r="J2094">
        <v>0</v>
      </c>
      <c r="K2094">
        <v>593.11958900000002</v>
      </c>
      <c r="L2094">
        <v>9.0006389999999801</v>
      </c>
      <c r="M2094">
        <v>172.43220175811999</v>
      </c>
      <c r="N2094">
        <v>0</v>
      </c>
      <c r="O2094" s="8" t="str">
        <f>formatIP(Table1[[#This Row],[Address A]])</f>
        <v>192.168.100.002</v>
      </c>
      <c r="P2094" s="8" t="str">
        <f>formatIP(Table1[[#This Row],[Address B]])</f>
        <v>065.055.223.044</v>
      </c>
      <c r="Q2094" s="8" t="e">
        <f>VLOOKUP(Table1[[#This Row],[Address A]],IP_Master[],4,FALSE)</f>
        <v>#N/A</v>
      </c>
      <c r="R2094" s="8" t="e">
        <f>VLOOKUP(Table1[[#This Row],[Address B]],IP_Master[],4,FALSE)</f>
        <v>#N/A</v>
      </c>
      <c r="S2094" s="8" t="e">
        <f>VLOOKUP(Table1[[#This Row],[Address A]],IP_Master[],2,FALSE)</f>
        <v>#N/A</v>
      </c>
      <c r="T2094" s="8" t="e">
        <f>VLOOKUP(Table1[[#This Row],[Address B]],IP_Master[],2,FALSE)</f>
        <v>#N/A</v>
      </c>
      <c r="U2094" s="9" t="e">
        <f>VLOOKUP(Table1[[#This Row],[Address A]],IP_Master[],3,FALSE)</f>
        <v>#N/A</v>
      </c>
      <c r="V2094" s="9" t="e">
        <f>VLOOKUP(Table1[[#This Row],[Address B]],IP_Master[],3,FALSE)</f>
        <v>#N/A</v>
      </c>
      <c r="W2094" s="9" t="str">
        <f>VLOOKUP(Table1[[#This Row],[Port B]],traffic_types[],2,FALSE)</f>
        <v>HTTP/S</v>
      </c>
    </row>
    <row r="2095" spans="1:23" x14ac:dyDescent="0.6">
      <c r="A2095" t="s">
        <v>224</v>
      </c>
      <c r="B2095">
        <v>60210</v>
      </c>
      <c r="C2095" t="s">
        <v>323</v>
      </c>
      <c r="D2095">
        <v>80</v>
      </c>
      <c r="E2095">
        <v>3</v>
      </c>
      <c r="F2095">
        <v>194</v>
      </c>
      <c r="G2095">
        <v>3</v>
      </c>
      <c r="H2095">
        <v>194</v>
      </c>
      <c r="I2095">
        <v>0</v>
      </c>
      <c r="J2095">
        <v>0</v>
      </c>
      <c r="K2095">
        <v>594.75015599999995</v>
      </c>
      <c r="L2095">
        <v>8.99980800000003</v>
      </c>
      <c r="M2095">
        <v>172.448123337742</v>
      </c>
      <c r="N2095">
        <v>0</v>
      </c>
      <c r="O2095" s="8" t="str">
        <f>formatIP(Table1[[#This Row],[Address A]])</f>
        <v>192.168.100.002</v>
      </c>
      <c r="P2095" s="8" t="str">
        <f>formatIP(Table1[[#This Row],[Address B]])</f>
        <v>065.055.223.044</v>
      </c>
      <c r="Q2095" s="8" t="e">
        <f>VLOOKUP(Table1[[#This Row],[Address A]],IP_Master[],4,FALSE)</f>
        <v>#N/A</v>
      </c>
      <c r="R2095" s="8" t="e">
        <f>VLOOKUP(Table1[[#This Row],[Address B]],IP_Master[],4,FALSE)</f>
        <v>#N/A</v>
      </c>
      <c r="S2095" s="8" t="e">
        <f>VLOOKUP(Table1[[#This Row],[Address A]],IP_Master[],2,FALSE)</f>
        <v>#N/A</v>
      </c>
      <c r="T2095" s="8" t="e">
        <f>VLOOKUP(Table1[[#This Row],[Address B]],IP_Master[],2,FALSE)</f>
        <v>#N/A</v>
      </c>
      <c r="U2095" s="9" t="e">
        <f>VLOOKUP(Table1[[#This Row],[Address A]],IP_Master[],3,FALSE)</f>
        <v>#N/A</v>
      </c>
      <c r="V2095" s="9" t="e">
        <f>VLOOKUP(Table1[[#This Row],[Address B]],IP_Master[],3,FALSE)</f>
        <v>#N/A</v>
      </c>
      <c r="W2095" s="9" t="str">
        <f>VLOOKUP(Table1[[#This Row],[Port B]],traffic_types[],2,FALSE)</f>
        <v>HTTP</v>
      </c>
    </row>
    <row r="2096" spans="1:23" x14ac:dyDescent="0.6">
      <c r="A2096" t="s">
        <v>224</v>
      </c>
      <c r="B2096">
        <v>60211</v>
      </c>
      <c r="C2096" t="s">
        <v>232</v>
      </c>
      <c r="D2096">
        <v>443</v>
      </c>
      <c r="E2096">
        <v>3</v>
      </c>
      <c r="F2096">
        <v>194</v>
      </c>
      <c r="G2096">
        <v>3</v>
      </c>
      <c r="H2096">
        <v>194</v>
      </c>
      <c r="I2096">
        <v>0</v>
      </c>
      <c r="J2096">
        <v>0</v>
      </c>
      <c r="K2096">
        <v>602.50113299999998</v>
      </c>
      <c r="L2096">
        <v>8.9999480000000194</v>
      </c>
      <c r="M2096">
        <v>172.44544079587999</v>
      </c>
      <c r="N2096">
        <v>0</v>
      </c>
      <c r="O2096" s="8" t="str">
        <f>formatIP(Table1[[#This Row],[Address A]])</f>
        <v>192.168.100.002</v>
      </c>
      <c r="P2096" s="8" t="str">
        <f>formatIP(Table1[[#This Row],[Address B]])</f>
        <v>103.043.075.140</v>
      </c>
      <c r="Q2096" s="8" t="e">
        <f>VLOOKUP(Table1[[#This Row],[Address A]],IP_Master[],4,FALSE)</f>
        <v>#N/A</v>
      </c>
      <c r="R2096" s="8" t="e">
        <f>VLOOKUP(Table1[[#This Row],[Address B]],IP_Master[],4,FALSE)</f>
        <v>#N/A</v>
      </c>
      <c r="S2096" s="8" t="e">
        <f>VLOOKUP(Table1[[#This Row],[Address A]],IP_Master[],2,FALSE)</f>
        <v>#N/A</v>
      </c>
      <c r="T2096" s="8" t="e">
        <f>VLOOKUP(Table1[[#This Row],[Address B]],IP_Master[],2,FALSE)</f>
        <v>#N/A</v>
      </c>
      <c r="U2096" s="9" t="e">
        <f>VLOOKUP(Table1[[#This Row],[Address A]],IP_Master[],3,FALSE)</f>
        <v>#N/A</v>
      </c>
      <c r="V2096" s="9" t="e">
        <f>VLOOKUP(Table1[[#This Row],[Address B]],IP_Master[],3,FALSE)</f>
        <v>#N/A</v>
      </c>
      <c r="W2096" s="9" t="str">
        <f>VLOOKUP(Table1[[#This Row],[Port B]],traffic_types[],2,FALSE)</f>
        <v>HTTP/S</v>
      </c>
    </row>
    <row r="2097" spans="1:23" hidden="1" x14ac:dyDescent="0.6">
      <c r="A2097" t="s">
        <v>224</v>
      </c>
      <c r="B2097">
        <v>60212</v>
      </c>
      <c r="C2097" t="s">
        <v>324</v>
      </c>
      <c r="D2097">
        <v>40022</v>
      </c>
      <c r="E2097">
        <v>3</v>
      </c>
      <c r="F2097">
        <v>194</v>
      </c>
      <c r="G2097">
        <v>3</v>
      </c>
      <c r="H2097">
        <v>194</v>
      </c>
      <c r="I2097">
        <v>0</v>
      </c>
      <c r="J2097">
        <v>0</v>
      </c>
      <c r="K2097">
        <v>603.64158799999996</v>
      </c>
      <c r="L2097">
        <v>8.9994050000000207</v>
      </c>
      <c r="M2097">
        <v>172.45584569202001</v>
      </c>
      <c r="N2097">
        <v>0</v>
      </c>
      <c r="O2097" s="8" t="str">
        <f>formatIP(Table1[[#This Row],[Address A]])</f>
        <v>192.168.100.002</v>
      </c>
      <c r="P2097" s="8" t="str">
        <f>formatIP(Table1[[#This Row],[Address B]])</f>
        <v>111.221.077.151</v>
      </c>
      <c r="Q2097" s="8" t="e">
        <f>VLOOKUP(Table1[[#This Row],[Address A]],IP_Master[],4,FALSE)</f>
        <v>#N/A</v>
      </c>
      <c r="R2097" s="8" t="e">
        <f>VLOOKUP(Table1[[#This Row],[Address B]],IP_Master[],4,FALSE)</f>
        <v>#N/A</v>
      </c>
      <c r="S2097" s="8" t="e">
        <f>VLOOKUP(Table1[[#This Row],[Address A]],IP_Master[],2,FALSE)</f>
        <v>#N/A</v>
      </c>
      <c r="T2097" s="8" t="e">
        <f>VLOOKUP(Table1[[#This Row],[Address B]],IP_Master[],2,FALSE)</f>
        <v>#N/A</v>
      </c>
      <c r="U2097" s="9" t="e">
        <f>VLOOKUP(Table1[[#This Row],[Address A]],IP_Master[],3,FALSE)</f>
        <v>#N/A</v>
      </c>
      <c r="V2097" s="9" t="e">
        <f>VLOOKUP(Table1[[#This Row],[Address B]],IP_Master[],3,FALSE)</f>
        <v>#N/A</v>
      </c>
      <c r="W2097" s="9" t="e">
        <f>VLOOKUP(Table1[[#This Row],[Port B]],traffic_types[],2,FALSE)</f>
        <v>#N/A</v>
      </c>
    </row>
    <row r="2098" spans="1:23" x14ac:dyDescent="0.6">
      <c r="A2098" t="s">
        <v>224</v>
      </c>
      <c r="B2098">
        <v>60213</v>
      </c>
      <c r="C2098" t="s">
        <v>232</v>
      </c>
      <c r="D2098">
        <v>80</v>
      </c>
      <c r="E2098">
        <v>3</v>
      </c>
      <c r="F2098">
        <v>194</v>
      </c>
      <c r="G2098">
        <v>3</v>
      </c>
      <c r="H2098">
        <v>194</v>
      </c>
      <c r="I2098">
        <v>0</v>
      </c>
      <c r="J2098">
        <v>0</v>
      </c>
      <c r="K2098">
        <v>604.51140699999996</v>
      </c>
      <c r="L2098">
        <v>8.9996290000000307</v>
      </c>
      <c r="M2098">
        <v>172.451553280696</v>
      </c>
      <c r="N2098">
        <v>0</v>
      </c>
      <c r="O2098" s="8" t="str">
        <f>formatIP(Table1[[#This Row],[Address A]])</f>
        <v>192.168.100.002</v>
      </c>
      <c r="P2098" s="8" t="str">
        <f>formatIP(Table1[[#This Row],[Address B]])</f>
        <v>103.043.075.140</v>
      </c>
      <c r="Q2098" s="8" t="e">
        <f>VLOOKUP(Table1[[#This Row],[Address A]],IP_Master[],4,FALSE)</f>
        <v>#N/A</v>
      </c>
      <c r="R2098" s="8" t="e">
        <f>VLOOKUP(Table1[[#This Row],[Address B]],IP_Master[],4,FALSE)</f>
        <v>#N/A</v>
      </c>
      <c r="S2098" s="8" t="e">
        <f>VLOOKUP(Table1[[#This Row],[Address A]],IP_Master[],2,FALSE)</f>
        <v>#N/A</v>
      </c>
      <c r="T2098" s="8" t="e">
        <f>VLOOKUP(Table1[[#This Row],[Address B]],IP_Master[],2,FALSE)</f>
        <v>#N/A</v>
      </c>
      <c r="U2098" s="9" t="e">
        <f>VLOOKUP(Table1[[#This Row],[Address A]],IP_Master[],3,FALSE)</f>
        <v>#N/A</v>
      </c>
      <c r="V2098" s="9" t="e">
        <f>VLOOKUP(Table1[[#This Row],[Address B]],IP_Master[],3,FALSE)</f>
        <v>#N/A</v>
      </c>
      <c r="W2098" s="9" t="str">
        <f>VLOOKUP(Table1[[#This Row],[Port B]],traffic_types[],2,FALSE)</f>
        <v>HTTP</v>
      </c>
    </row>
    <row r="2099" spans="1:23" hidden="1" x14ac:dyDescent="0.6">
      <c r="A2099" t="s">
        <v>224</v>
      </c>
      <c r="B2099">
        <v>60214</v>
      </c>
      <c r="C2099" t="s">
        <v>325</v>
      </c>
      <c r="D2099">
        <v>40022</v>
      </c>
      <c r="E2099">
        <v>3</v>
      </c>
      <c r="F2099">
        <v>194</v>
      </c>
      <c r="G2099">
        <v>3</v>
      </c>
      <c r="H2099">
        <v>194</v>
      </c>
      <c r="I2099">
        <v>0</v>
      </c>
      <c r="J2099">
        <v>0</v>
      </c>
      <c r="K2099">
        <v>604.69159100000002</v>
      </c>
      <c r="L2099">
        <v>8.9993959999999298</v>
      </c>
      <c r="M2099">
        <v>172.45601815944201</v>
      </c>
      <c r="N2099">
        <v>0</v>
      </c>
      <c r="O2099" s="8" t="str">
        <f>formatIP(Table1[[#This Row],[Address A]])</f>
        <v>192.168.100.002</v>
      </c>
      <c r="P2099" s="8" t="str">
        <f>formatIP(Table1[[#This Row],[Address B]])</f>
        <v>064.004.023.151</v>
      </c>
      <c r="Q2099" s="8" t="e">
        <f>VLOOKUP(Table1[[#This Row],[Address A]],IP_Master[],4,FALSE)</f>
        <v>#N/A</v>
      </c>
      <c r="R2099" s="8" t="e">
        <f>VLOOKUP(Table1[[#This Row],[Address B]],IP_Master[],4,FALSE)</f>
        <v>#N/A</v>
      </c>
      <c r="S2099" s="8" t="e">
        <f>VLOOKUP(Table1[[#This Row],[Address A]],IP_Master[],2,FALSE)</f>
        <v>#N/A</v>
      </c>
      <c r="T2099" s="8" t="e">
        <f>VLOOKUP(Table1[[#This Row],[Address B]],IP_Master[],2,FALSE)</f>
        <v>#N/A</v>
      </c>
      <c r="U2099" s="9" t="e">
        <f>VLOOKUP(Table1[[#This Row],[Address A]],IP_Master[],3,FALSE)</f>
        <v>#N/A</v>
      </c>
      <c r="V2099" s="9" t="e">
        <f>VLOOKUP(Table1[[#This Row],[Address B]],IP_Master[],3,FALSE)</f>
        <v>#N/A</v>
      </c>
      <c r="W2099" s="9" t="e">
        <f>VLOOKUP(Table1[[#This Row],[Port B]],traffic_types[],2,FALSE)</f>
        <v>#N/A</v>
      </c>
    </row>
    <row r="2100" spans="1:23" x14ac:dyDescent="0.6">
      <c r="A2100" t="s">
        <v>224</v>
      </c>
      <c r="B2100">
        <v>60215</v>
      </c>
      <c r="C2100" t="s">
        <v>324</v>
      </c>
      <c r="D2100">
        <v>443</v>
      </c>
      <c r="E2100">
        <v>3</v>
      </c>
      <c r="F2100">
        <v>194</v>
      </c>
      <c r="G2100">
        <v>3</v>
      </c>
      <c r="H2100">
        <v>194</v>
      </c>
      <c r="I2100">
        <v>0</v>
      </c>
      <c r="J2100">
        <v>0</v>
      </c>
      <c r="K2100">
        <v>605.26060800000005</v>
      </c>
      <c r="L2100">
        <v>9.0003809999999493</v>
      </c>
      <c r="M2100">
        <v>172.43714460532399</v>
      </c>
      <c r="N2100">
        <v>0</v>
      </c>
      <c r="O2100" s="8" t="str">
        <f>formatIP(Table1[[#This Row],[Address A]])</f>
        <v>192.168.100.002</v>
      </c>
      <c r="P2100" s="8" t="str">
        <f>formatIP(Table1[[#This Row],[Address B]])</f>
        <v>111.221.077.151</v>
      </c>
      <c r="Q2100" s="8" t="e">
        <f>VLOOKUP(Table1[[#This Row],[Address A]],IP_Master[],4,FALSE)</f>
        <v>#N/A</v>
      </c>
      <c r="R2100" s="8" t="e">
        <f>VLOOKUP(Table1[[#This Row],[Address B]],IP_Master[],4,FALSE)</f>
        <v>#N/A</v>
      </c>
      <c r="S2100" s="8" t="e">
        <f>VLOOKUP(Table1[[#This Row],[Address A]],IP_Master[],2,FALSE)</f>
        <v>#N/A</v>
      </c>
      <c r="T2100" s="8" t="e">
        <f>VLOOKUP(Table1[[#This Row],[Address B]],IP_Master[],2,FALSE)</f>
        <v>#N/A</v>
      </c>
      <c r="U2100" s="9" t="e">
        <f>VLOOKUP(Table1[[#This Row],[Address A]],IP_Master[],3,FALSE)</f>
        <v>#N/A</v>
      </c>
      <c r="V2100" s="9" t="e">
        <f>VLOOKUP(Table1[[#This Row],[Address B]],IP_Master[],3,FALSE)</f>
        <v>#N/A</v>
      </c>
      <c r="W2100" s="9" t="str">
        <f>VLOOKUP(Table1[[#This Row],[Port B]],traffic_types[],2,FALSE)</f>
        <v>HTTP/S</v>
      </c>
    </row>
    <row r="2101" spans="1:23" x14ac:dyDescent="0.6">
      <c r="A2101" t="s">
        <v>224</v>
      </c>
      <c r="B2101">
        <v>60216</v>
      </c>
      <c r="C2101" t="s">
        <v>325</v>
      </c>
      <c r="D2101">
        <v>443</v>
      </c>
      <c r="E2101">
        <v>3</v>
      </c>
      <c r="F2101">
        <v>194</v>
      </c>
      <c r="G2101">
        <v>3</v>
      </c>
      <c r="H2101">
        <v>194</v>
      </c>
      <c r="I2101">
        <v>0</v>
      </c>
      <c r="J2101">
        <v>0</v>
      </c>
      <c r="K2101">
        <v>606.31054300000005</v>
      </c>
      <c r="L2101">
        <v>9.0005359999999008</v>
      </c>
      <c r="M2101">
        <v>172.43417503135601</v>
      </c>
      <c r="N2101">
        <v>0</v>
      </c>
      <c r="O2101" s="8" t="str">
        <f>formatIP(Table1[[#This Row],[Address A]])</f>
        <v>192.168.100.002</v>
      </c>
      <c r="P2101" s="8" t="str">
        <f>formatIP(Table1[[#This Row],[Address B]])</f>
        <v>064.004.023.151</v>
      </c>
      <c r="Q2101" s="8" t="e">
        <f>VLOOKUP(Table1[[#This Row],[Address A]],IP_Master[],4,FALSE)</f>
        <v>#N/A</v>
      </c>
      <c r="R2101" s="8" t="e">
        <f>VLOOKUP(Table1[[#This Row],[Address B]],IP_Master[],4,FALSE)</f>
        <v>#N/A</v>
      </c>
      <c r="S2101" s="8" t="e">
        <f>VLOOKUP(Table1[[#This Row],[Address A]],IP_Master[],2,FALSE)</f>
        <v>#N/A</v>
      </c>
      <c r="T2101" s="8" t="e">
        <f>VLOOKUP(Table1[[#This Row],[Address B]],IP_Master[],2,FALSE)</f>
        <v>#N/A</v>
      </c>
      <c r="U2101" s="9" t="e">
        <f>VLOOKUP(Table1[[#This Row],[Address A]],IP_Master[],3,FALSE)</f>
        <v>#N/A</v>
      </c>
      <c r="V2101" s="9" t="e">
        <f>VLOOKUP(Table1[[#This Row],[Address B]],IP_Master[],3,FALSE)</f>
        <v>#N/A</v>
      </c>
      <c r="W2101" s="9" t="str">
        <f>VLOOKUP(Table1[[#This Row],[Port B]],traffic_types[],2,FALSE)</f>
        <v>HTTP/S</v>
      </c>
    </row>
    <row r="2102" spans="1:23" x14ac:dyDescent="0.6">
      <c r="A2102" t="s">
        <v>224</v>
      </c>
      <c r="B2102">
        <v>60217</v>
      </c>
      <c r="C2102" t="s">
        <v>324</v>
      </c>
      <c r="D2102">
        <v>80</v>
      </c>
      <c r="E2102">
        <v>3</v>
      </c>
      <c r="F2102">
        <v>194</v>
      </c>
      <c r="G2102">
        <v>3</v>
      </c>
      <c r="H2102">
        <v>194</v>
      </c>
      <c r="I2102">
        <v>0</v>
      </c>
      <c r="J2102">
        <v>0</v>
      </c>
      <c r="K2102">
        <v>606.88044000000002</v>
      </c>
      <c r="L2102">
        <v>9.0003909999999205</v>
      </c>
      <c r="M2102">
        <v>172.43695301682001</v>
      </c>
      <c r="N2102">
        <v>0</v>
      </c>
      <c r="O2102" s="8" t="str">
        <f>formatIP(Table1[[#This Row],[Address A]])</f>
        <v>192.168.100.002</v>
      </c>
      <c r="P2102" s="8" t="str">
        <f>formatIP(Table1[[#This Row],[Address B]])</f>
        <v>111.221.077.151</v>
      </c>
      <c r="Q2102" s="8" t="e">
        <f>VLOOKUP(Table1[[#This Row],[Address A]],IP_Master[],4,FALSE)</f>
        <v>#N/A</v>
      </c>
      <c r="R2102" s="8" t="e">
        <f>VLOOKUP(Table1[[#This Row],[Address B]],IP_Master[],4,FALSE)</f>
        <v>#N/A</v>
      </c>
      <c r="S2102" s="8" t="e">
        <f>VLOOKUP(Table1[[#This Row],[Address A]],IP_Master[],2,FALSE)</f>
        <v>#N/A</v>
      </c>
      <c r="T2102" s="8" t="e">
        <f>VLOOKUP(Table1[[#This Row],[Address B]],IP_Master[],2,FALSE)</f>
        <v>#N/A</v>
      </c>
      <c r="U2102" s="9" t="e">
        <f>VLOOKUP(Table1[[#This Row],[Address A]],IP_Master[],3,FALSE)</f>
        <v>#N/A</v>
      </c>
      <c r="V2102" s="9" t="e">
        <f>VLOOKUP(Table1[[#This Row],[Address B]],IP_Master[],3,FALSE)</f>
        <v>#N/A</v>
      </c>
      <c r="W2102" s="9" t="str">
        <f>VLOOKUP(Table1[[#This Row],[Port B]],traffic_types[],2,FALSE)</f>
        <v>HTTP</v>
      </c>
    </row>
    <row r="2103" spans="1:23" x14ac:dyDescent="0.6">
      <c r="A2103" t="s">
        <v>224</v>
      </c>
      <c r="B2103">
        <v>60218</v>
      </c>
      <c r="C2103" t="s">
        <v>325</v>
      </c>
      <c r="D2103">
        <v>80</v>
      </c>
      <c r="E2103">
        <v>3</v>
      </c>
      <c r="F2103">
        <v>194</v>
      </c>
      <c r="G2103">
        <v>3</v>
      </c>
      <c r="H2103">
        <v>194</v>
      </c>
      <c r="I2103">
        <v>0</v>
      </c>
      <c r="J2103">
        <v>0</v>
      </c>
      <c r="K2103">
        <v>607.92055900000003</v>
      </c>
      <c r="L2103">
        <v>9.0003829999999407</v>
      </c>
      <c r="M2103">
        <v>172.43710628758899</v>
      </c>
      <c r="N2103">
        <v>0</v>
      </c>
      <c r="O2103" s="8" t="str">
        <f>formatIP(Table1[[#This Row],[Address A]])</f>
        <v>192.168.100.002</v>
      </c>
      <c r="P2103" s="8" t="str">
        <f>formatIP(Table1[[#This Row],[Address B]])</f>
        <v>064.004.023.151</v>
      </c>
      <c r="Q2103" s="8" t="e">
        <f>VLOOKUP(Table1[[#This Row],[Address A]],IP_Master[],4,FALSE)</f>
        <v>#N/A</v>
      </c>
      <c r="R2103" s="8" t="e">
        <f>VLOOKUP(Table1[[#This Row],[Address B]],IP_Master[],4,FALSE)</f>
        <v>#N/A</v>
      </c>
      <c r="S2103" s="8" t="e">
        <f>VLOOKUP(Table1[[#This Row],[Address A]],IP_Master[],2,FALSE)</f>
        <v>#N/A</v>
      </c>
      <c r="T2103" s="8" t="e">
        <f>VLOOKUP(Table1[[#This Row],[Address B]],IP_Master[],2,FALSE)</f>
        <v>#N/A</v>
      </c>
      <c r="U2103" s="9" t="e">
        <f>VLOOKUP(Table1[[#This Row],[Address A]],IP_Master[],3,FALSE)</f>
        <v>#N/A</v>
      </c>
      <c r="V2103" s="9" t="e">
        <f>VLOOKUP(Table1[[#This Row],[Address B]],IP_Master[],3,FALSE)</f>
        <v>#N/A</v>
      </c>
      <c r="W2103" s="9" t="str">
        <f>VLOOKUP(Table1[[#This Row],[Port B]],traffic_types[],2,FALSE)</f>
        <v>HTTP</v>
      </c>
    </row>
    <row r="2104" spans="1:23" hidden="1" x14ac:dyDescent="0.6">
      <c r="A2104" t="s">
        <v>224</v>
      </c>
      <c r="B2104">
        <v>60219</v>
      </c>
      <c r="C2104" t="s">
        <v>326</v>
      </c>
      <c r="D2104">
        <v>40020</v>
      </c>
      <c r="E2104">
        <v>3</v>
      </c>
      <c r="F2104">
        <v>194</v>
      </c>
      <c r="G2104">
        <v>3</v>
      </c>
      <c r="H2104">
        <v>194</v>
      </c>
      <c r="I2104">
        <v>0</v>
      </c>
      <c r="J2104">
        <v>0</v>
      </c>
      <c r="K2104">
        <v>615.79229099999998</v>
      </c>
      <c r="L2104">
        <v>8.9987489999999806</v>
      </c>
      <c r="M2104">
        <v>172.468417554485</v>
      </c>
      <c r="N2104">
        <v>0</v>
      </c>
      <c r="O2104" s="8" t="str">
        <f>formatIP(Table1[[#This Row],[Address A]])</f>
        <v>192.168.100.002</v>
      </c>
      <c r="P2104" s="8" t="str">
        <f>formatIP(Table1[[#This Row],[Address B]])</f>
        <v>157.055.130.170</v>
      </c>
      <c r="Q2104" s="8" t="e">
        <f>VLOOKUP(Table1[[#This Row],[Address A]],IP_Master[],4,FALSE)</f>
        <v>#N/A</v>
      </c>
      <c r="R2104" s="8" t="e">
        <f>VLOOKUP(Table1[[#This Row],[Address B]],IP_Master[],4,FALSE)</f>
        <v>#N/A</v>
      </c>
      <c r="S2104" s="8" t="e">
        <f>VLOOKUP(Table1[[#This Row],[Address A]],IP_Master[],2,FALSE)</f>
        <v>#N/A</v>
      </c>
      <c r="T2104" s="8" t="e">
        <f>VLOOKUP(Table1[[#This Row],[Address B]],IP_Master[],2,FALSE)</f>
        <v>#N/A</v>
      </c>
      <c r="U2104" s="9" t="e">
        <f>VLOOKUP(Table1[[#This Row],[Address A]],IP_Master[],3,FALSE)</f>
        <v>#N/A</v>
      </c>
      <c r="V2104" s="9" t="e">
        <f>VLOOKUP(Table1[[#This Row],[Address B]],IP_Master[],3,FALSE)</f>
        <v>#N/A</v>
      </c>
      <c r="W2104" s="9" t="e">
        <f>VLOOKUP(Table1[[#This Row],[Port B]],traffic_types[],2,FALSE)</f>
        <v>#N/A</v>
      </c>
    </row>
    <row r="2105" spans="1:23" x14ac:dyDescent="0.6">
      <c r="A2105" t="s">
        <v>224</v>
      </c>
      <c r="B2105">
        <v>60220</v>
      </c>
      <c r="C2105" t="s">
        <v>326</v>
      </c>
      <c r="D2105">
        <v>443</v>
      </c>
      <c r="E2105">
        <v>3</v>
      </c>
      <c r="F2105">
        <v>194</v>
      </c>
      <c r="G2105">
        <v>3</v>
      </c>
      <c r="H2105">
        <v>194</v>
      </c>
      <c r="I2105">
        <v>0</v>
      </c>
      <c r="J2105">
        <v>0</v>
      </c>
      <c r="K2105">
        <v>617.41134799999998</v>
      </c>
      <c r="L2105">
        <v>9.0005600000000605</v>
      </c>
      <c r="M2105">
        <v>172.43371523549499</v>
      </c>
      <c r="N2105">
        <v>0</v>
      </c>
      <c r="O2105" s="8" t="str">
        <f>formatIP(Table1[[#This Row],[Address A]])</f>
        <v>192.168.100.002</v>
      </c>
      <c r="P2105" s="8" t="str">
        <f>formatIP(Table1[[#This Row],[Address B]])</f>
        <v>157.055.130.170</v>
      </c>
      <c r="Q2105" s="8" t="e">
        <f>VLOOKUP(Table1[[#This Row],[Address A]],IP_Master[],4,FALSE)</f>
        <v>#N/A</v>
      </c>
      <c r="R2105" s="8" t="e">
        <f>VLOOKUP(Table1[[#This Row],[Address B]],IP_Master[],4,FALSE)</f>
        <v>#N/A</v>
      </c>
      <c r="S2105" s="8" t="e">
        <f>VLOOKUP(Table1[[#This Row],[Address A]],IP_Master[],2,FALSE)</f>
        <v>#N/A</v>
      </c>
      <c r="T2105" s="8" t="e">
        <f>VLOOKUP(Table1[[#This Row],[Address B]],IP_Master[],2,FALSE)</f>
        <v>#N/A</v>
      </c>
      <c r="U2105" s="9" t="e">
        <f>VLOOKUP(Table1[[#This Row],[Address A]],IP_Master[],3,FALSE)</f>
        <v>#N/A</v>
      </c>
      <c r="V2105" s="9" t="e">
        <f>VLOOKUP(Table1[[#This Row],[Address B]],IP_Master[],3,FALSE)</f>
        <v>#N/A</v>
      </c>
      <c r="W2105" s="9" t="str">
        <f>VLOOKUP(Table1[[#This Row],[Port B]],traffic_types[],2,FALSE)</f>
        <v>HTTP/S</v>
      </c>
    </row>
    <row r="2106" spans="1:23" hidden="1" x14ac:dyDescent="0.6">
      <c r="A2106" t="s">
        <v>224</v>
      </c>
      <c r="B2106">
        <v>60221</v>
      </c>
      <c r="C2106" t="s">
        <v>287</v>
      </c>
      <c r="D2106">
        <v>12350</v>
      </c>
      <c r="E2106">
        <v>3</v>
      </c>
      <c r="F2106">
        <v>194</v>
      </c>
      <c r="G2106">
        <v>3</v>
      </c>
      <c r="H2106">
        <v>194</v>
      </c>
      <c r="I2106">
        <v>0</v>
      </c>
      <c r="J2106">
        <v>0</v>
      </c>
      <c r="K2106">
        <v>617.97171000000003</v>
      </c>
      <c r="L2106">
        <v>9.0299029999999902</v>
      </c>
      <c r="M2106">
        <v>171.87338557235901</v>
      </c>
      <c r="N2106">
        <v>0</v>
      </c>
      <c r="O2106" s="8" t="str">
        <f>formatIP(Table1[[#This Row],[Address A]])</f>
        <v>192.168.100.002</v>
      </c>
      <c r="P2106" s="8" t="str">
        <f>formatIP(Table1[[#This Row],[Address B]])</f>
        <v>091.190.218.058</v>
      </c>
      <c r="Q2106" s="8" t="e">
        <f>VLOOKUP(Table1[[#This Row],[Address A]],IP_Master[],4,FALSE)</f>
        <v>#N/A</v>
      </c>
      <c r="R2106" s="8" t="e">
        <f>VLOOKUP(Table1[[#This Row],[Address B]],IP_Master[],4,FALSE)</f>
        <v>#N/A</v>
      </c>
      <c r="S2106" s="8" t="e">
        <f>VLOOKUP(Table1[[#This Row],[Address A]],IP_Master[],2,FALSE)</f>
        <v>#N/A</v>
      </c>
      <c r="T2106" s="8" t="e">
        <f>VLOOKUP(Table1[[#This Row],[Address B]],IP_Master[],2,FALSE)</f>
        <v>#N/A</v>
      </c>
      <c r="U2106" s="9" t="e">
        <f>VLOOKUP(Table1[[#This Row],[Address A]],IP_Master[],3,FALSE)</f>
        <v>#N/A</v>
      </c>
      <c r="V2106" s="9" t="e">
        <f>VLOOKUP(Table1[[#This Row],[Address B]],IP_Master[],3,FALSE)</f>
        <v>#N/A</v>
      </c>
      <c r="W2106" s="9" t="e">
        <f>VLOOKUP(Table1[[#This Row],[Port B]],traffic_types[],2,FALSE)</f>
        <v>#N/A</v>
      </c>
    </row>
    <row r="2107" spans="1:23" x14ac:dyDescent="0.6">
      <c r="A2107" t="s">
        <v>224</v>
      </c>
      <c r="B2107">
        <v>60222</v>
      </c>
      <c r="C2107" t="s">
        <v>241</v>
      </c>
      <c r="D2107">
        <v>443</v>
      </c>
      <c r="E2107">
        <v>3</v>
      </c>
      <c r="F2107">
        <v>194</v>
      </c>
      <c r="G2107">
        <v>3</v>
      </c>
      <c r="H2107">
        <v>194</v>
      </c>
      <c r="I2107">
        <v>0</v>
      </c>
      <c r="J2107">
        <v>0</v>
      </c>
      <c r="K2107">
        <v>618.51214000000004</v>
      </c>
      <c r="L2107">
        <v>9.02916999999991</v>
      </c>
      <c r="M2107">
        <v>171.88733848183301</v>
      </c>
      <c r="N2107">
        <v>0</v>
      </c>
      <c r="O2107" s="8" t="str">
        <f>formatIP(Table1[[#This Row],[Address A]])</f>
        <v>192.168.100.002</v>
      </c>
      <c r="P2107" s="8" t="str">
        <f>formatIP(Table1[[#This Row],[Address B]])</f>
        <v>078.046.049.023</v>
      </c>
      <c r="Q2107" s="8" t="e">
        <f>VLOOKUP(Table1[[#This Row],[Address A]],IP_Master[],4,FALSE)</f>
        <v>#N/A</v>
      </c>
      <c r="R2107" s="8" t="e">
        <f>VLOOKUP(Table1[[#This Row],[Address B]],IP_Master[],4,FALSE)</f>
        <v>#N/A</v>
      </c>
      <c r="S2107" s="8" t="e">
        <f>VLOOKUP(Table1[[#This Row],[Address A]],IP_Master[],2,FALSE)</f>
        <v>#N/A</v>
      </c>
      <c r="T2107" s="8" t="e">
        <f>VLOOKUP(Table1[[#This Row],[Address B]],IP_Master[],2,FALSE)</f>
        <v>#N/A</v>
      </c>
      <c r="U2107" s="9" t="e">
        <f>VLOOKUP(Table1[[#This Row],[Address A]],IP_Master[],3,FALSE)</f>
        <v>#N/A</v>
      </c>
      <c r="V2107" s="9" t="e">
        <f>VLOOKUP(Table1[[#This Row],[Address B]],IP_Master[],3,FALSE)</f>
        <v>#N/A</v>
      </c>
      <c r="W2107" s="9" t="str">
        <f>VLOOKUP(Table1[[#This Row],[Port B]],traffic_types[],2,FALSE)</f>
        <v>HTTP/S</v>
      </c>
    </row>
    <row r="2108" spans="1:23" x14ac:dyDescent="0.6">
      <c r="A2108" t="s">
        <v>224</v>
      </c>
      <c r="B2108">
        <v>60223</v>
      </c>
      <c r="C2108" t="s">
        <v>326</v>
      </c>
      <c r="D2108">
        <v>80</v>
      </c>
      <c r="E2108">
        <v>3</v>
      </c>
      <c r="F2108">
        <v>194</v>
      </c>
      <c r="G2108">
        <v>3</v>
      </c>
      <c r="H2108">
        <v>194</v>
      </c>
      <c r="I2108">
        <v>0</v>
      </c>
      <c r="J2108">
        <v>0</v>
      </c>
      <c r="K2108">
        <v>619.02140699999995</v>
      </c>
      <c r="L2108">
        <v>9.0005550000000802</v>
      </c>
      <c r="M2108">
        <v>172.43381102609601</v>
      </c>
      <c r="N2108">
        <v>0</v>
      </c>
      <c r="O2108" s="8" t="str">
        <f>formatIP(Table1[[#This Row],[Address A]])</f>
        <v>192.168.100.002</v>
      </c>
      <c r="P2108" s="8" t="str">
        <f>formatIP(Table1[[#This Row],[Address B]])</f>
        <v>157.055.130.170</v>
      </c>
      <c r="Q2108" s="8" t="e">
        <f>VLOOKUP(Table1[[#This Row],[Address A]],IP_Master[],4,FALSE)</f>
        <v>#N/A</v>
      </c>
      <c r="R2108" s="8" t="e">
        <f>VLOOKUP(Table1[[#This Row],[Address B]],IP_Master[],4,FALSE)</f>
        <v>#N/A</v>
      </c>
      <c r="S2108" s="8" t="e">
        <f>VLOOKUP(Table1[[#This Row],[Address A]],IP_Master[],2,FALSE)</f>
        <v>#N/A</v>
      </c>
      <c r="T2108" s="8" t="e">
        <f>VLOOKUP(Table1[[#This Row],[Address B]],IP_Master[],2,FALSE)</f>
        <v>#N/A</v>
      </c>
      <c r="U2108" s="9" t="e">
        <f>VLOOKUP(Table1[[#This Row],[Address A]],IP_Master[],3,FALSE)</f>
        <v>#N/A</v>
      </c>
      <c r="V2108" s="9" t="e">
        <f>VLOOKUP(Table1[[#This Row],[Address B]],IP_Master[],3,FALSE)</f>
        <v>#N/A</v>
      </c>
      <c r="W2108" s="9" t="str">
        <f>VLOOKUP(Table1[[#This Row],[Port B]],traffic_types[],2,FALSE)</f>
        <v>HTTP</v>
      </c>
    </row>
    <row r="2109" spans="1:23" x14ac:dyDescent="0.6">
      <c r="A2109" t="s">
        <v>224</v>
      </c>
      <c r="B2109">
        <v>60224</v>
      </c>
      <c r="C2109" t="s">
        <v>287</v>
      </c>
      <c r="D2109">
        <v>443</v>
      </c>
      <c r="E2109">
        <v>3</v>
      </c>
      <c r="F2109">
        <v>194</v>
      </c>
      <c r="G2109">
        <v>3</v>
      </c>
      <c r="H2109">
        <v>194</v>
      </c>
      <c r="I2109">
        <v>0</v>
      </c>
      <c r="J2109">
        <v>0</v>
      </c>
      <c r="K2109">
        <v>619.59133799999995</v>
      </c>
      <c r="L2109">
        <v>9.0103280000000705</v>
      </c>
      <c r="M2109">
        <v>172.246781693184</v>
      </c>
      <c r="N2109">
        <v>0</v>
      </c>
      <c r="O2109" s="8" t="str">
        <f>formatIP(Table1[[#This Row],[Address A]])</f>
        <v>192.168.100.002</v>
      </c>
      <c r="P2109" s="8" t="str">
        <f>formatIP(Table1[[#This Row],[Address B]])</f>
        <v>091.190.218.058</v>
      </c>
      <c r="Q2109" s="8" t="e">
        <f>VLOOKUP(Table1[[#This Row],[Address A]],IP_Master[],4,FALSE)</f>
        <v>#N/A</v>
      </c>
      <c r="R2109" s="8" t="e">
        <f>VLOOKUP(Table1[[#This Row],[Address B]],IP_Master[],4,FALSE)</f>
        <v>#N/A</v>
      </c>
      <c r="S2109" s="8" t="e">
        <f>VLOOKUP(Table1[[#This Row],[Address A]],IP_Master[],2,FALSE)</f>
        <v>#N/A</v>
      </c>
      <c r="T2109" s="8" t="e">
        <f>VLOOKUP(Table1[[#This Row],[Address B]],IP_Master[],2,FALSE)</f>
        <v>#N/A</v>
      </c>
      <c r="U2109" s="9" t="e">
        <f>VLOOKUP(Table1[[#This Row],[Address A]],IP_Master[],3,FALSE)</f>
        <v>#N/A</v>
      </c>
      <c r="V2109" s="9" t="e">
        <f>VLOOKUP(Table1[[#This Row],[Address B]],IP_Master[],3,FALSE)</f>
        <v>#N/A</v>
      </c>
      <c r="W2109" s="9" t="str">
        <f>VLOOKUP(Table1[[#This Row],[Port B]],traffic_types[],2,FALSE)</f>
        <v>HTTP/S</v>
      </c>
    </row>
    <row r="2110" spans="1:23" x14ac:dyDescent="0.6">
      <c r="A2110" t="s">
        <v>224</v>
      </c>
      <c r="B2110">
        <v>60225</v>
      </c>
      <c r="C2110" t="s">
        <v>241</v>
      </c>
      <c r="D2110">
        <v>80</v>
      </c>
      <c r="E2110">
        <v>3</v>
      </c>
      <c r="F2110">
        <v>194</v>
      </c>
      <c r="G2110">
        <v>3</v>
      </c>
      <c r="H2110">
        <v>194</v>
      </c>
      <c r="I2110">
        <v>0</v>
      </c>
      <c r="J2110">
        <v>0</v>
      </c>
      <c r="K2110">
        <v>620.51199599999995</v>
      </c>
      <c r="L2110">
        <v>8.9997220000000198</v>
      </c>
      <c r="M2110">
        <v>172.44977122626599</v>
      </c>
      <c r="N2110">
        <v>0</v>
      </c>
      <c r="O2110" s="8" t="str">
        <f>formatIP(Table1[[#This Row],[Address A]])</f>
        <v>192.168.100.002</v>
      </c>
      <c r="P2110" s="8" t="str">
        <f>formatIP(Table1[[#This Row],[Address B]])</f>
        <v>078.046.049.023</v>
      </c>
      <c r="Q2110" s="8" t="e">
        <f>VLOOKUP(Table1[[#This Row],[Address A]],IP_Master[],4,FALSE)</f>
        <v>#N/A</v>
      </c>
      <c r="R2110" s="8" t="e">
        <f>VLOOKUP(Table1[[#This Row],[Address B]],IP_Master[],4,FALSE)</f>
        <v>#N/A</v>
      </c>
      <c r="S2110" s="8" t="e">
        <f>VLOOKUP(Table1[[#This Row],[Address A]],IP_Master[],2,FALSE)</f>
        <v>#N/A</v>
      </c>
      <c r="T2110" s="8" t="e">
        <f>VLOOKUP(Table1[[#This Row],[Address B]],IP_Master[],2,FALSE)</f>
        <v>#N/A</v>
      </c>
      <c r="U2110" s="9" t="e">
        <f>VLOOKUP(Table1[[#This Row],[Address A]],IP_Master[],3,FALSE)</f>
        <v>#N/A</v>
      </c>
      <c r="V2110" s="9" t="e">
        <f>VLOOKUP(Table1[[#This Row],[Address B]],IP_Master[],3,FALSE)</f>
        <v>#N/A</v>
      </c>
      <c r="W2110" s="9" t="str">
        <f>VLOOKUP(Table1[[#This Row],[Port B]],traffic_types[],2,FALSE)</f>
        <v>HTTP</v>
      </c>
    </row>
    <row r="2111" spans="1:23" x14ac:dyDescent="0.6">
      <c r="A2111" t="s">
        <v>224</v>
      </c>
      <c r="B2111">
        <v>60226</v>
      </c>
      <c r="C2111" t="s">
        <v>287</v>
      </c>
      <c r="D2111">
        <v>80</v>
      </c>
      <c r="E2111">
        <v>3</v>
      </c>
      <c r="F2111">
        <v>194</v>
      </c>
      <c r="G2111">
        <v>3</v>
      </c>
      <c r="H2111">
        <v>194</v>
      </c>
      <c r="I2111">
        <v>0</v>
      </c>
      <c r="J2111">
        <v>0</v>
      </c>
      <c r="K2111">
        <v>621.20139200000006</v>
      </c>
      <c r="L2111">
        <v>9.0005649999999395</v>
      </c>
      <c r="M2111">
        <v>172.43361944500299</v>
      </c>
      <c r="N2111">
        <v>0</v>
      </c>
      <c r="O2111" s="8" t="str">
        <f>formatIP(Table1[[#This Row],[Address A]])</f>
        <v>192.168.100.002</v>
      </c>
      <c r="P2111" s="8" t="str">
        <f>formatIP(Table1[[#This Row],[Address B]])</f>
        <v>091.190.218.058</v>
      </c>
      <c r="Q2111" s="8" t="e">
        <f>VLOOKUP(Table1[[#This Row],[Address A]],IP_Master[],4,FALSE)</f>
        <v>#N/A</v>
      </c>
      <c r="R2111" s="8" t="e">
        <f>VLOOKUP(Table1[[#This Row],[Address B]],IP_Master[],4,FALSE)</f>
        <v>#N/A</v>
      </c>
      <c r="S2111" s="8" t="e">
        <f>VLOOKUP(Table1[[#This Row],[Address A]],IP_Master[],2,FALSE)</f>
        <v>#N/A</v>
      </c>
      <c r="T2111" s="8" t="e">
        <f>VLOOKUP(Table1[[#This Row],[Address B]],IP_Master[],2,FALSE)</f>
        <v>#N/A</v>
      </c>
      <c r="U2111" s="9" t="e">
        <f>VLOOKUP(Table1[[#This Row],[Address A]],IP_Master[],3,FALSE)</f>
        <v>#N/A</v>
      </c>
      <c r="V2111" s="9" t="e">
        <f>VLOOKUP(Table1[[#This Row],[Address B]],IP_Master[],3,FALSE)</f>
        <v>#N/A</v>
      </c>
      <c r="W2111" s="9" t="str">
        <f>VLOOKUP(Table1[[#This Row],[Port B]],traffic_types[],2,FALSE)</f>
        <v>HTTP</v>
      </c>
    </row>
    <row r="2112" spans="1:23" hidden="1" x14ac:dyDescent="0.6">
      <c r="A2112" t="s">
        <v>224</v>
      </c>
      <c r="B2112">
        <v>60227</v>
      </c>
      <c r="C2112" t="s">
        <v>236</v>
      </c>
      <c r="D2112">
        <v>40026</v>
      </c>
      <c r="E2112">
        <v>3</v>
      </c>
      <c r="F2112">
        <v>194</v>
      </c>
      <c r="G2112">
        <v>3</v>
      </c>
      <c r="H2112">
        <v>194</v>
      </c>
      <c r="I2112">
        <v>0</v>
      </c>
      <c r="J2112">
        <v>0</v>
      </c>
      <c r="K2112">
        <v>627.98303499999997</v>
      </c>
      <c r="L2112">
        <v>9.0007170000000105</v>
      </c>
      <c r="M2112">
        <v>172.43070746474999</v>
      </c>
      <c r="N2112">
        <v>0</v>
      </c>
      <c r="O2112" s="8" t="str">
        <f>formatIP(Table1[[#This Row],[Address A]])</f>
        <v>192.168.100.002</v>
      </c>
      <c r="P2112" s="8" t="str">
        <f>formatIP(Table1[[#This Row],[Address B]])</f>
        <v>157.055.056.146</v>
      </c>
      <c r="Q2112" s="8" t="e">
        <f>VLOOKUP(Table1[[#This Row],[Address A]],IP_Master[],4,FALSE)</f>
        <v>#N/A</v>
      </c>
      <c r="R2112" s="8" t="e">
        <f>VLOOKUP(Table1[[#This Row],[Address B]],IP_Master[],4,FALSE)</f>
        <v>#N/A</v>
      </c>
      <c r="S2112" s="8" t="e">
        <f>VLOOKUP(Table1[[#This Row],[Address A]],IP_Master[],2,FALSE)</f>
        <v>#N/A</v>
      </c>
      <c r="T2112" s="8" t="e">
        <f>VLOOKUP(Table1[[#This Row],[Address B]],IP_Master[],2,FALSE)</f>
        <v>#N/A</v>
      </c>
      <c r="U2112" s="9" t="e">
        <f>VLOOKUP(Table1[[#This Row],[Address A]],IP_Master[],3,FALSE)</f>
        <v>#N/A</v>
      </c>
      <c r="V2112" s="9" t="e">
        <f>VLOOKUP(Table1[[#This Row],[Address B]],IP_Master[],3,FALSE)</f>
        <v>#N/A</v>
      </c>
      <c r="W2112" s="9" t="e">
        <f>VLOOKUP(Table1[[#This Row],[Port B]],traffic_types[],2,FALSE)</f>
        <v>#N/A</v>
      </c>
    </row>
    <row r="2113" spans="1:23" hidden="1" x14ac:dyDescent="0.6">
      <c r="A2113" t="s">
        <v>224</v>
      </c>
      <c r="B2113">
        <v>60228</v>
      </c>
      <c r="C2113" t="s">
        <v>327</v>
      </c>
      <c r="D2113">
        <v>40023</v>
      </c>
      <c r="E2113">
        <v>3</v>
      </c>
      <c r="F2113">
        <v>194</v>
      </c>
      <c r="G2113">
        <v>3</v>
      </c>
      <c r="H2113">
        <v>194</v>
      </c>
      <c r="I2113">
        <v>0</v>
      </c>
      <c r="J2113">
        <v>0</v>
      </c>
      <c r="K2113">
        <v>629.02336500000001</v>
      </c>
      <c r="L2113">
        <v>8.9996539999999605</v>
      </c>
      <c r="M2113">
        <v>172.451074230188</v>
      </c>
      <c r="N2113">
        <v>0</v>
      </c>
      <c r="O2113" s="8" t="str">
        <f>formatIP(Table1[[#This Row],[Address A]])</f>
        <v>192.168.100.002</v>
      </c>
      <c r="P2113" s="8" t="str">
        <f>formatIP(Table1[[#This Row],[Address B]])</f>
        <v>157.055.235.151</v>
      </c>
      <c r="Q2113" s="8" t="e">
        <f>VLOOKUP(Table1[[#This Row],[Address A]],IP_Master[],4,FALSE)</f>
        <v>#N/A</v>
      </c>
      <c r="R2113" s="8" t="e">
        <f>VLOOKUP(Table1[[#This Row],[Address B]],IP_Master[],4,FALSE)</f>
        <v>#N/A</v>
      </c>
      <c r="S2113" s="8" t="e">
        <f>VLOOKUP(Table1[[#This Row],[Address A]],IP_Master[],2,FALSE)</f>
        <v>#N/A</v>
      </c>
      <c r="T2113" s="8" t="e">
        <f>VLOOKUP(Table1[[#This Row],[Address B]],IP_Master[],2,FALSE)</f>
        <v>#N/A</v>
      </c>
      <c r="U2113" s="9" t="e">
        <f>VLOOKUP(Table1[[#This Row],[Address A]],IP_Master[],3,FALSE)</f>
        <v>#N/A</v>
      </c>
      <c r="V2113" s="9" t="e">
        <f>VLOOKUP(Table1[[#This Row],[Address B]],IP_Master[],3,FALSE)</f>
        <v>#N/A</v>
      </c>
      <c r="W2113" s="9" t="e">
        <f>VLOOKUP(Table1[[#This Row],[Port B]],traffic_types[],2,FALSE)</f>
        <v>#N/A</v>
      </c>
    </row>
    <row r="2114" spans="1:23" x14ac:dyDescent="0.6">
      <c r="A2114" t="s">
        <v>224</v>
      </c>
      <c r="B2114">
        <v>60229</v>
      </c>
      <c r="C2114" t="s">
        <v>236</v>
      </c>
      <c r="D2114">
        <v>443</v>
      </c>
      <c r="E2114">
        <v>3</v>
      </c>
      <c r="F2114">
        <v>194</v>
      </c>
      <c r="G2114">
        <v>3</v>
      </c>
      <c r="H2114">
        <v>194</v>
      </c>
      <c r="I2114">
        <v>0</v>
      </c>
      <c r="J2114">
        <v>0</v>
      </c>
      <c r="K2114">
        <v>629.60248799999999</v>
      </c>
      <c r="L2114">
        <v>9.0002610000000196</v>
      </c>
      <c r="M2114">
        <v>172.43944370057699</v>
      </c>
      <c r="N2114">
        <v>0</v>
      </c>
      <c r="O2114" s="8" t="str">
        <f>formatIP(Table1[[#This Row],[Address A]])</f>
        <v>192.168.100.002</v>
      </c>
      <c r="P2114" s="8" t="str">
        <f>formatIP(Table1[[#This Row],[Address B]])</f>
        <v>157.055.056.146</v>
      </c>
      <c r="Q2114" s="8" t="e">
        <f>VLOOKUP(Table1[[#This Row],[Address A]],IP_Master[],4,FALSE)</f>
        <v>#N/A</v>
      </c>
      <c r="R2114" s="8" t="e">
        <f>VLOOKUP(Table1[[#This Row],[Address B]],IP_Master[],4,FALSE)</f>
        <v>#N/A</v>
      </c>
      <c r="S2114" s="8" t="e">
        <f>VLOOKUP(Table1[[#This Row],[Address A]],IP_Master[],2,FALSE)</f>
        <v>#N/A</v>
      </c>
      <c r="T2114" s="8" t="e">
        <f>VLOOKUP(Table1[[#This Row],[Address B]],IP_Master[],2,FALSE)</f>
        <v>#N/A</v>
      </c>
      <c r="U2114" s="9" t="e">
        <f>VLOOKUP(Table1[[#This Row],[Address A]],IP_Master[],3,FALSE)</f>
        <v>#N/A</v>
      </c>
      <c r="V2114" s="9" t="e">
        <f>VLOOKUP(Table1[[#This Row],[Address B]],IP_Master[],3,FALSE)</f>
        <v>#N/A</v>
      </c>
      <c r="W2114" s="9" t="str">
        <f>VLOOKUP(Table1[[#This Row],[Port B]],traffic_types[],2,FALSE)</f>
        <v>HTTP/S</v>
      </c>
    </row>
    <row r="2115" spans="1:23" x14ac:dyDescent="0.6">
      <c r="A2115" t="s">
        <v>224</v>
      </c>
      <c r="B2115">
        <v>60230</v>
      </c>
      <c r="C2115" t="s">
        <v>327</v>
      </c>
      <c r="D2115">
        <v>443</v>
      </c>
      <c r="E2115">
        <v>3</v>
      </c>
      <c r="F2115">
        <v>194</v>
      </c>
      <c r="G2115">
        <v>3</v>
      </c>
      <c r="H2115">
        <v>194</v>
      </c>
      <c r="I2115">
        <v>0</v>
      </c>
      <c r="J2115">
        <v>0</v>
      </c>
      <c r="K2115">
        <v>630.64232400000003</v>
      </c>
      <c r="L2115">
        <v>9.00049999999999</v>
      </c>
      <c r="M2115">
        <v>172.434864729737</v>
      </c>
      <c r="N2115">
        <v>0</v>
      </c>
      <c r="O2115" s="8" t="str">
        <f>formatIP(Table1[[#This Row],[Address A]])</f>
        <v>192.168.100.002</v>
      </c>
      <c r="P2115" s="8" t="str">
        <f>formatIP(Table1[[#This Row],[Address B]])</f>
        <v>157.055.235.151</v>
      </c>
      <c r="Q2115" s="8" t="e">
        <f>VLOOKUP(Table1[[#This Row],[Address A]],IP_Master[],4,FALSE)</f>
        <v>#N/A</v>
      </c>
      <c r="R2115" s="8" t="e">
        <f>VLOOKUP(Table1[[#This Row],[Address B]],IP_Master[],4,FALSE)</f>
        <v>#N/A</v>
      </c>
      <c r="S2115" s="8" t="e">
        <f>VLOOKUP(Table1[[#This Row],[Address A]],IP_Master[],2,FALSE)</f>
        <v>#N/A</v>
      </c>
      <c r="T2115" s="8" t="e">
        <f>VLOOKUP(Table1[[#This Row],[Address B]],IP_Master[],2,FALSE)</f>
        <v>#N/A</v>
      </c>
      <c r="U2115" s="9" t="e">
        <f>VLOOKUP(Table1[[#This Row],[Address A]],IP_Master[],3,FALSE)</f>
        <v>#N/A</v>
      </c>
      <c r="V2115" s="9" t="e">
        <f>VLOOKUP(Table1[[#This Row],[Address B]],IP_Master[],3,FALSE)</f>
        <v>#N/A</v>
      </c>
      <c r="W2115" s="9" t="str">
        <f>VLOOKUP(Table1[[#This Row],[Port B]],traffic_types[],2,FALSE)</f>
        <v>HTTP/S</v>
      </c>
    </row>
    <row r="2116" spans="1:23" x14ac:dyDescent="0.6">
      <c r="A2116" t="s">
        <v>224</v>
      </c>
      <c r="B2116">
        <v>60231</v>
      </c>
      <c r="C2116" t="s">
        <v>236</v>
      </c>
      <c r="D2116">
        <v>80</v>
      </c>
      <c r="E2116">
        <v>3</v>
      </c>
      <c r="F2116">
        <v>194</v>
      </c>
      <c r="G2116">
        <v>3</v>
      </c>
      <c r="H2116">
        <v>194</v>
      </c>
      <c r="I2116">
        <v>0</v>
      </c>
      <c r="J2116">
        <v>0</v>
      </c>
      <c r="K2116">
        <v>631.21238200000005</v>
      </c>
      <c r="L2116">
        <v>9.0004649999999593</v>
      </c>
      <c r="M2116">
        <v>172.43553527512299</v>
      </c>
      <c r="N2116">
        <v>0</v>
      </c>
      <c r="O2116" s="8" t="str">
        <f>formatIP(Table1[[#This Row],[Address A]])</f>
        <v>192.168.100.002</v>
      </c>
      <c r="P2116" s="8" t="str">
        <f>formatIP(Table1[[#This Row],[Address B]])</f>
        <v>157.055.056.146</v>
      </c>
      <c r="Q2116" s="8" t="e">
        <f>VLOOKUP(Table1[[#This Row],[Address A]],IP_Master[],4,FALSE)</f>
        <v>#N/A</v>
      </c>
      <c r="R2116" s="8" t="e">
        <f>VLOOKUP(Table1[[#This Row],[Address B]],IP_Master[],4,FALSE)</f>
        <v>#N/A</v>
      </c>
      <c r="S2116" s="8" t="e">
        <f>VLOOKUP(Table1[[#This Row],[Address A]],IP_Master[],2,FALSE)</f>
        <v>#N/A</v>
      </c>
      <c r="T2116" s="8" t="e">
        <f>VLOOKUP(Table1[[#This Row],[Address B]],IP_Master[],2,FALSE)</f>
        <v>#N/A</v>
      </c>
      <c r="U2116" s="9" t="e">
        <f>VLOOKUP(Table1[[#This Row],[Address A]],IP_Master[],3,FALSE)</f>
        <v>#N/A</v>
      </c>
      <c r="V2116" s="9" t="e">
        <f>VLOOKUP(Table1[[#This Row],[Address B]],IP_Master[],3,FALSE)</f>
        <v>#N/A</v>
      </c>
      <c r="W2116" s="9" t="str">
        <f>VLOOKUP(Table1[[#This Row],[Port B]],traffic_types[],2,FALSE)</f>
        <v>HTTP</v>
      </c>
    </row>
    <row r="2117" spans="1:23" x14ac:dyDescent="0.6">
      <c r="A2117" t="s">
        <v>224</v>
      </c>
      <c r="B2117">
        <v>60232</v>
      </c>
      <c r="C2117" t="s">
        <v>327</v>
      </c>
      <c r="D2117">
        <v>80</v>
      </c>
      <c r="E2117">
        <v>3</v>
      </c>
      <c r="F2117">
        <v>194</v>
      </c>
      <c r="G2117">
        <v>3</v>
      </c>
      <c r="H2117">
        <v>194</v>
      </c>
      <c r="I2117">
        <v>0</v>
      </c>
      <c r="J2117">
        <v>0</v>
      </c>
      <c r="K2117">
        <v>632.25232100000005</v>
      </c>
      <c r="L2117">
        <v>9.0005609999999496</v>
      </c>
      <c r="M2117">
        <v>172.43369607739001</v>
      </c>
      <c r="N2117">
        <v>0</v>
      </c>
      <c r="O2117" s="8" t="str">
        <f>formatIP(Table1[[#This Row],[Address A]])</f>
        <v>192.168.100.002</v>
      </c>
      <c r="P2117" s="8" t="str">
        <f>formatIP(Table1[[#This Row],[Address B]])</f>
        <v>157.055.235.151</v>
      </c>
      <c r="Q2117" s="8" t="e">
        <f>VLOOKUP(Table1[[#This Row],[Address A]],IP_Master[],4,FALSE)</f>
        <v>#N/A</v>
      </c>
      <c r="R2117" s="8" t="e">
        <f>VLOOKUP(Table1[[#This Row],[Address B]],IP_Master[],4,FALSE)</f>
        <v>#N/A</v>
      </c>
      <c r="S2117" s="8" t="e">
        <f>VLOOKUP(Table1[[#This Row],[Address A]],IP_Master[],2,FALSE)</f>
        <v>#N/A</v>
      </c>
      <c r="T2117" s="8" t="e">
        <f>VLOOKUP(Table1[[#This Row],[Address B]],IP_Master[],2,FALSE)</f>
        <v>#N/A</v>
      </c>
      <c r="U2117" s="9" t="e">
        <f>VLOOKUP(Table1[[#This Row],[Address A]],IP_Master[],3,FALSE)</f>
        <v>#N/A</v>
      </c>
      <c r="V2117" s="9" t="e">
        <f>VLOOKUP(Table1[[#This Row],[Address B]],IP_Master[],3,FALSE)</f>
        <v>#N/A</v>
      </c>
      <c r="W2117" s="9" t="str">
        <f>VLOOKUP(Table1[[#This Row],[Port B]],traffic_types[],2,FALSE)</f>
        <v>HTTP</v>
      </c>
    </row>
    <row r="2118" spans="1:23" x14ac:dyDescent="0.6">
      <c r="A2118" t="s">
        <v>224</v>
      </c>
      <c r="B2118">
        <v>60233</v>
      </c>
      <c r="C2118" t="s">
        <v>245</v>
      </c>
      <c r="D2118">
        <v>443</v>
      </c>
      <c r="E2118">
        <v>3</v>
      </c>
      <c r="F2118">
        <v>194</v>
      </c>
      <c r="G2118">
        <v>3</v>
      </c>
      <c r="H2118">
        <v>194</v>
      </c>
      <c r="I2118">
        <v>0</v>
      </c>
      <c r="J2118">
        <v>0</v>
      </c>
      <c r="K2118">
        <v>634.51403400000004</v>
      </c>
      <c r="L2118">
        <v>8.9988769999999896</v>
      </c>
      <c r="M2118">
        <v>172.46596436422001</v>
      </c>
      <c r="N2118">
        <v>0</v>
      </c>
      <c r="O2118" s="8" t="str">
        <f>formatIP(Table1[[#This Row],[Address A]])</f>
        <v>192.168.100.002</v>
      </c>
      <c r="P2118" s="8" t="str">
        <f>formatIP(Table1[[#This Row],[Address B]])</f>
        <v>085.025.103.030</v>
      </c>
      <c r="Q2118" s="8" t="e">
        <f>VLOOKUP(Table1[[#This Row],[Address A]],IP_Master[],4,FALSE)</f>
        <v>#N/A</v>
      </c>
      <c r="R2118" s="8" t="e">
        <f>VLOOKUP(Table1[[#This Row],[Address B]],IP_Master[],4,FALSE)</f>
        <v>#N/A</v>
      </c>
      <c r="S2118" s="8" t="e">
        <f>VLOOKUP(Table1[[#This Row],[Address A]],IP_Master[],2,FALSE)</f>
        <v>#N/A</v>
      </c>
      <c r="T2118" s="8" t="e">
        <f>VLOOKUP(Table1[[#This Row],[Address B]],IP_Master[],2,FALSE)</f>
        <v>#N/A</v>
      </c>
      <c r="U2118" s="9" t="e">
        <f>VLOOKUP(Table1[[#This Row],[Address A]],IP_Master[],3,FALSE)</f>
        <v>#N/A</v>
      </c>
      <c r="V2118" s="9" t="e">
        <f>VLOOKUP(Table1[[#This Row],[Address B]],IP_Master[],3,FALSE)</f>
        <v>#N/A</v>
      </c>
      <c r="W2118" s="9" t="str">
        <f>VLOOKUP(Table1[[#This Row],[Port B]],traffic_types[],2,FALSE)</f>
        <v>HTTP/S</v>
      </c>
    </row>
    <row r="2119" spans="1:23" x14ac:dyDescent="0.6">
      <c r="A2119" t="s">
        <v>224</v>
      </c>
      <c r="B2119">
        <v>60234</v>
      </c>
      <c r="C2119" t="s">
        <v>245</v>
      </c>
      <c r="D2119">
        <v>80</v>
      </c>
      <c r="E2119">
        <v>3</v>
      </c>
      <c r="F2119">
        <v>194</v>
      </c>
      <c r="G2119">
        <v>3</v>
      </c>
      <c r="H2119">
        <v>194</v>
      </c>
      <c r="I2119">
        <v>0</v>
      </c>
      <c r="J2119">
        <v>0</v>
      </c>
      <c r="K2119">
        <v>636.51410299999998</v>
      </c>
      <c r="L2119">
        <v>9.0279390000000603</v>
      </c>
      <c r="M2119">
        <v>171.910776091862</v>
      </c>
      <c r="N2119">
        <v>0</v>
      </c>
      <c r="O2119" s="8" t="str">
        <f>formatIP(Table1[[#This Row],[Address A]])</f>
        <v>192.168.100.002</v>
      </c>
      <c r="P2119" s="8" t="str">
        <f>formatIP(Table1[[#This Row],[Address B]])</f>
        <v>085.025.103.030</v>
      </c>
      <c r="Q2119" s="8" t="e">
        <f>VLOOKUP(Table1[[#This Row],[Address A]],IP_Master[],4,FALSE)</f>
        <v>#N/A</v>
      </c>
      <c r="R2119" s="8" t="e">
        <f>VLOOKUP(Table1[[#This Row],[Address B]],IP_Master[],4,FALSE)</f>
        <v>#N/A</v>
      </c>
      <c r="S2119" s="8" t="e">
        <f>VLOOKUP(Table1[[#This Row],[Address A]],IP_Master[],2,FALSE)</f>
        <v>#N/A</v>
      </c>
      <c r="T2119" s="8" t="e">
        <f>VLOOKUP(Table1[[#This Row],[Address B]],IP_Master[],2,FALSE)</f>
        <v>#N/A</v>
      </c>
      <c r="U2119" s="9" t="e">
        <f>VLOOKUP(Table1[[#This Row],[Address A]],IP_Master[],3,FALSE)</f>
        <v>#N/A</v>
      </c>
      <c r="V2119" s="9" t="e">
        <f>VLOOKUP(Table1[[#This Row],[Address B]],IP_Master[],3,FALSE)</f>
        <v>#N/A</v>
      </c>
      <c r="W2119" s="9" t="str">
        <f>VLOOKUP(Table1[[#This Row],[Port B]],traffic_types[],2,FALSE)</f>
        <v>HTTP</v>
      </c>
    </row>
    <row r="2120" spans="1:23" hidden="1" x14ac:dyDescent="0.6">
      <c r="A2120" t="s">
        <v>224</v>
      </c>
      <c r="B2120">
        <v>60235</v>
      </c>
      <c r="C2120" t="s">
        <v>328</v>
      </c>
      <c r="D2120">
        <v>40017</v>
      </c>
      <c r="E2120">
        <v>3</v>
      </c>
      <c r="F2120">
        <v>194</v>
      </c>
      <c r="G2120">
        <v>3</v>
      </c>
      <c r="H2120">
        <v>194</v>
      </c>
      <c r="I2120">
        <v>0</v>
      </c>
      <c r="J2120">
        <v>0</v>
      </c>
      <c r="K2120">
        <v>640.12460299999998</v>
      </c>
      <c r="L2120">
        <v>8.9994050000000207</v>
      </c>
      <c r="M2120">
        <v>172.45584569202001</v>
      </c>
      <c r="N2120">
        <v>0</v>
      </c>
      <c r="O2120" s="8" t="str">
        <f>formatIP(Table1[[#This Row],[Address A]])</f>
        <v>192.168.100.002</v>
      </c>
      <c r="P2120" s="8" t="str">
        <f>formatIP(Table1[[#This Row],[Address B]])</f>
        <v>157.055.235.164</v>
      </c>
      <c r="Q2120" s="8" t="e">
        <f>VLOOKUP(Table1[[#This Row],[Address A]],IP_Master[],4,FALSE)</f>
        <v>#N/A</v>
      </c>
      <c r="R2120" s="8" t="e">
        <f>VLOOKUP(Table1[[#This Row],[Address B]],IP_Master[],4,FALSE)</f>
        <v>#N/A</v>
      </c>
      <c r="S2120" s="8" t="e">
        <f>VLOOKUP(Table1[[#This Row],[Address A]],IP_Master[],2,FALSE)</f>
        <v>#N/A</v>
      </c>
      <c r="T2120" s="8" t="e">
        <f>VLOOKUP(Table1[[#This Row],[Address B]],IP_Master[],2,FALSE)</f>
        <v>#N/A</v>
      </c>
      <c r="U2120" s="9" t="e">
        <f>VLOOKUP(Table1[[#This Row],[Address A]],IP_Master[],3,FALSE)</f>
        <v>#N/A</v>
      </c>
      <c r="V2120" s="9" t="e">
        <f>VLOOKUP(Table1[[#This Row],[Address B]],IP_Master[],3,FALSE)</f>
        <v>#N/A</v>
      </c>
      <c r="W2120" s="9" t="e">
        <f>VLOOKUP(Table1[[#This Row],[Port B]],traffic_types[],2,FALSE)</f>
        <v>#N/A</v>
      </c>
    </row>
    <row r="2121" spans="1:23" x14ac:dyDescent="0.6">
      <c r="A2121" t="s">
        <v>224</v>
      </c>
      <c r="B2121">
        <v>60236</v>
      </c>
      <c r="C2121" t="s">
        <v>328</v>
      </c>
      <c r="D2121">
        <v>443</v>
      </c>
      <c r="E2121">
        <v>3</v>
      </c>
      <c r="F2121">
        <v>194</v>
      </c>
      <c r="G2121">
        <v>3</v>
      </c>
      <c r="H2121">
        <v>194</v>
      </c>
      <c r="I2121">
        <v>0</v>
      </c>
      <c r="J2121">
        <v>0</v>
      </c>
      <c r="K2121">
        <v>641.74988599999995</v>
      </c>
      <c r="L2121">
        <v>9.0001700000000309</v>
      </c>
      <c r="M2121">
        <v>172.44118722201901</v>
      </c>
      <c r="N2121">
        <v>0</v>
      </c>
      <c r="O2121" s="8" t="str">
        <f>formatIP(Table1[[#This Row],[Address A]])</f>
        <v>192.168.100.002</v>
      </c>
      <c r="P2121" s="8" t="str">
        <f>formatIP(Table1[[#This Row],[Address B]])</f>
        <v>157.055.235.164</v>
      </c>
      <c r="Q2121" s="8" t="e">
        <f>VLOOKUP(Table1[[#This Row],[Address A]],IP_Master[],4,FALSE)</f>
        <v>#N/A</v>
      </c>
      <c r="R2121" s="8" t="e">
        <f>VLOOKUP(Table1[[#This Row],[Address B]],IP_Master[],4,FALSE)</f>
        <v>#N/A</v>
      </c>
      <c r="S2121" s="8" t="e">
        <f>VLOOKUP(Table1[[#This Row],[Address A]],IP_Master[],2,FALSE)</f>
        <v>#N/A</v>
      </c>
      <c r="T2121" s="8" t="e">
        <f>VLOOKUP(Table1[[#This Row],[Address B]],IP_Master[],2,FALSE)</f>
        <v>#N/A</v>
      </c>
      <c r="U2121" s="9" t="e">
        <f>VLOOKUP(Table1[[#This Row],[Address A]],IP_Master[],3,FALSE)</f>
        <v>#N/A</v>
      </c>
      <c r="V2121" s="9" t="e">
        <f>VLOOKUP(Table1[[#This Row],[Address B]],IP_Master[],3,FALSE)</f>
        <v>#N/A</v>
      </c>
      <c r="W2121" s="9" t="str">
        <f>VLOOKUP(Table1[[#This Row],[Port B]],traffic_types[],2,FALSE)</f>
        <v>HTTP/S</v>
      </c>
    </row>
    <row r="2122" spans="1:23" x14ac:dyDescent="0.6">
      <c r="A2122" t="s">
        <v>224</v>
      </c>
      <c r="B2122">
        <v>60237</v>
      </c>
      <c r="C2122" t="s">
        <v>328</v>
      </c>
      <c r="D2122">
        <v>80</v>
      </c>
      <c r="E2122">
        <v>3</v>
      </c>
      <c r="F2122">
        <v>194</v>
      </c>
      <c r="G2122">
        <v>3</v>
      </c>
      <c r="H2122">
        <v>194</v>
      </c>
      <c r="I2122">
        <v>0</v>
      </c>
      <c r="J2122">
        <v>0</v>
      </c>
      <c r="K2122">
        <v>643.36361499999998</v>
      </c>
      <c r="L2122">
        <v>9.0001740000000208</v>
      </c>
      <c r="M2122">
        <v>172.44111058297301</v>
      </c>
      <c r="N2122">
        <v>0</v>
      </c>
      <c r="O2122" s="8" t="str">
        <f>formatIP(Table1[[#This Row],[Address A]])</f>
        <v>192.168.100.002</v>
      </c>
      <c r="P2122" s="8" t="str">
        <f>formatIP(Table1[[#This Row],[Address B]])</f>
        <v>157.055.235.164</v>
      </c>
      <c r="Q2122" s="8" t="e">
        <f>VLOOKUP(Table1[[#This Row],[Address A]],IP_Master[],4,FALSE)</f>
        <v>#N/A</v>
      </c>
      <c r="R2122" s="8" t="e">
        <f>VLOOKUP(Table1[[#This Row],[Address B]],IP_Master[],4,FALSE)</f>
        <v>#N/A</v>
      </c>
      <c r="S2122" s="8" t="e">
        <f>VLOOKUP(Table1[[#This Row],[Address A]],IP_Master[],2,FALSE)</f>
        <v>#N/A</v>
      </c>
      <c r="T2122" s="8" t="e">
        <f>VLOOKUP(Table1[[#This Row],[Address B]],IP_Master[],2,FALSE)</f>
        <v>#N/A</v>
      </c>
      <c r="U2122" s="9" t="e">
        <f>VLOOKUP(Table1[[#This Row],[Address A]],IP_Master[],3,FALSE)</f>
        <v>#N/A</v>
      </c>
      <c r="V2122" s="9" t="e">
        <f>VLOOKUP(Table1[[#This Row],[Address B]],IP_Master[],3,FALSE)</f>
        <v>#N/A</v>
      </c>
      <c r="W2122" s="9" t="str">
        <f>VLOOKUP(Table1[[#This Row],[Port B]],traffic_types[],2,FALSE)</f>
        <v>HTTP</v>
      </c>
    </row>
    <row r="2123" spans="1:23" hidden="1" x14ac:dyDescent="0.6">
      <c r="A2123" t="s">
        <v>224</v>
      </c>
      <c r="B2123">
        <v>60238</v>
      </c>
      <c r="C2123" t="s">
        <v>329</v>
      </c>
      <c r="D2123">
        <v>40004</v>
      </c>
      <c r="E2123">
        <v>3</v>
      </c>
      <c r="F2123">
        <v>194</v>
      </c>
      <c r="G2123">
        <v>3</v>
      </c>
      <c r="H2123">
        <v>194</v>
      </c>
      <c r="I2123">
        <v>0</v>
      </c>
      <c r="J2123">
        <v>0</v>
      </c>
      <c r="K2123">
        <v>652.41518699999995</v>
      </c>
      <c r="L2123">
        <v>8.9996120000000701</v>
      </c>
      <c r="M2123">
        <v>172.45187903656199</v>
      </c>
      <c r="N2123">
        <v>0</v>
      </c>
      <c r="O2123" s="8" t="str">
        <f>formatIP(Table1[[#This Row],[Address A]])</f>
        <v>192.168.100.002</v>
      </c>
      <c r="P2123" s="8" t="str">
        <f>formatIP(Table1[[#This Row],[Address B]])</f>
        <v>157.055.235.168</v>
      </c>
      <c r="Q2123" s="8" t="e">
        <f>VLOOKUP(Table1[[#This Row],[Address A]],IP_Master[],4,FALSE)</f>
        <v>#N/A</v>
      </c>
      <c r="R2123" s="8" t="e">
        <f>VLOOKUP(Table1[[#This Row],[Address B]],IP_Master[],4,FALSE)</f>
        <v>#N/A</v>
      </c>
      <c r="S2123" s="8" t="e">
        <f>VLOOKUP(Table1[[#This Row],[Address A]],IP_Master[],2,FALSE)</f>
        <v>#N/A</v>
      </c>
      <c r="T2123" s="8" t="e">
        <f>VLOOKUP(Table1[[#This Row],[Address B]],IP_Master[],2,FALSE)</f>
        <v>#N/A</v>
      </c>
      <c r="U2123" s="9" t="e">
        <f>VLOOKUP(Table1[[#This Row],[Address A]],IP_Master[],3,FALSE)</f>
        <v>#N/A</v>
      </c>
      <c r="V2123" s="9" t="e">
        <f>VLOOKUP(Table1[[#This Row],[Address B]],IP_Master[],3,FALSE)</f>
        <v>#N/A</v>
      </c>
      <c r="W2123" s="9" t="e">
        <f>VLOOKUP(Table1[[#This Row],[Port B]],traffic_types[],2,FALSE)</f>
        <v>#N/A</v>
      </c>
    </row>
    <row r="2124" spans="1:23" hidden="1" x14ac:dyDescent="0.6">
      <c r="A2124" t="s">
        <v>224</v>
      </c>
      <c r="B2124">
        <v>60239</v>
      </c>
      <c r="C2124" t="s">
        <v>330</v>
      </c>
      <c r="D2124">
        <v>40034</v>
      </c>
      <c r="E2124">
        <v>3</v>
      </c>
      <c r="F2124">
        <v>194</v>
      </c>
      <c r="G2124">
        <v>3</v>
      </c>
      <c r="H2124">
        <v>194</v>
      </c>
      <c r="I2124">
        <v>0</v>
      </c>
      <c r="J2124">
        <v>0</v>
      </c>
      <c r="K2124">
        <v>653.45518200000004</v>
      </c>
      <c r="L2124">
        <v>8.9997189999999101</v>
      </c>
      <c r="M2124">
        <v>172.44982871132001</v>
      </c>
      <c r="N2124">
        <v>0</v>
      </c>
      <c r="O2124" s="8" t="str">
        <f>formatIP(Table1[[#This Row],[Address A]])</f>
        <v>192.168.100.002</v>
      </c>
      <c r="P2124" s="8" t="str">
        <f>formatIP(Table1[[#This Row],[Address B]])</f>
        <v>157.055.130.172</v>
      </c>
      <c r="Q2124" s="8" t="e">
        <f>VLOOKUP(Table1[[#This Row],[Address A]],IP_Master[],4,FALSE)</f>
        <v>#N/A</v>
      </c>
      <c r="R2124" s="8" t="e">
        <f>VLOOKUP(Table1[[#This Row],[Address B]],IP_Master[],4,FALSE)</f>
        <v>#N/A</v>
      </c>
      <c r="S2124" s="8" t="e">
        <f>VLOOKUP(Table1[[#This Row],[Address A]],IP_Master[],2,FALSE)</f>
        <v>#N/A</v>
      </c>
      <c r="T2124" s="8" t="e">
        <f>VLOOKUP(Table1[[#This Row],[Address B]],IP_Master[],2,FALSE)</f>
        <v>#N/A</v>
      </c>
      <c r="U2124" s="9" t="e">
        <f>VLOOKUP(Table1[[#This Row],[Address A]],IP_Master[],3,FALSE)</f>
        <v>#N/A</v>
      </c>
      <c r="V2124" s="9" t="e">
        <f>VLOOKUP(Table1[[#This Row],[Address B]],IP_Master[],3,FALSE)</f>
        <v>#N/A</v>
      </c>
      <c r="W2124" s="9" t="e">
        <f>VLOOKUP(Table1[[#This Row],[Port B]],traffic_types[],2,FALSE)</f>
        <v>#N/A</v>
      </c>
    </row>
    <row r="2125" spans="1:23" x14ac:dyDescent="0.6">
      <c r="A2125" t="s">
        <v>224</v>
      </c>
      <c r="B2125">
        <v>60240</v>
      </c>
      <c r="C2125" t="s">
        <v>329</v>
      </c>
      <c r="D2125">
        <v>443</v>
      </c>
      <c r="E2125">
        <v>3</v>
      </c>
      <c r="F2125">
        <v>194</v>
      </c>
      <c r="G2125">
        <v>3</v>
      </c>
      <c r="H2125">
        <v>194</v>
      </c>
      <c r="I2125">
        <v>0</v>
      </c>
      <c r="J2125">
        <v>0</v>
      </c>
      <c r="K2125">
        <v>654.03427199999999</v>
      </c>
      <c r="L2125">
        <v>9.0005600000000605</v>
      </c>
      <c r="M2125">
        <v>172.43371523549499</v>
      </c>
      <c r="N2125">
        <v>0</v>
      </c>
      <c r="O2125" s="8" t="str">
        <f>formatIP(Table1[[#This Row],[Address A]])</f>
        <v>192.168.100.002</v>
      </c>
      <c r="P2125" s="8" t="str">
        <f>formatIP(Table1[[#This Row],[Address B]])</f>
        <v>157.055.235.168</v>
      </c>
      <c r="Q2125" s="8" t="e">
        <f>VLOOKUP(Table1[[#This Row],[Address A]],IP_Master[],4,FALSE)</f>
        <v>#N/A</v>
      </c>
      <c r="R2125" s="8" t="e">
        <f>VLOOKUP(Table1[[#This Row],[Address B]],IP_Master[],4,FALSE)</f>
        <v>#N/A</v>
      </c>
      <c r="S2125" s="8" t="e">
        <f>VLOOKUP(Table1[[#This Row],[Address A]],IP_Master[],2,FALSE)</f>
        <v>#N/A</v>
      </c>
      <c r="T2125" s="8" t="e">
        <f>VLOOKUP(Table1[[#This Row],[Address B]],IP_Master[],2,FALSE)</f>
        <v>#N/A</v>
      </c>
      <c r="U2125" s="9" t="e">
        <f>VLOOKUP(Table1[[#This Row],[Address A]],IP_Master[],3,FALSE)</f>
        <v>#N/A</v>
      </c>
      <c r="V2125" s="9" t="e">
        <f>VLOOKUP(Table1[[#This Row],[Address B]],IP_Master[],3,FALSE)</f>
        <v>#N/A</v>
      </c>
      <c r="W2125" s="9" t="str">
        <f>VLOOKUP(Table1[[#This Row],[Port B]],traffic_types[],2,FALSE)</f>
        <v>HTTP/S</v>
      </c>
    </row>
    <row r="2126" spans="1:23" x14ac:dyDescent="0.6">
      <c r="A2126" t="s">
        <v>224</v>
      </c>
      <c r="B2126">
        <v>60241</v>
      </c>
      <c r="C2126" t="s">
        <v>330</v>
      </c>
      <c r="D2126">
        <v>443</v>
      </c>
      <c r="E2126">
        <v>3</v>
      </c>
      <c r="F2126">
        <v>194</v>
      </c>
      <c r="G2126">
        <v>3</v>
      </c>
      <c r="H2126">
        <v>194</v>
      </c>
      <c r="I2126">
        <v>0</v>
      </c>
      <c r="J2126">
        <v>0</v>
      </c>
      <c r="K2126">
        <v>655.07410500000003</v>
      </c>
      <c r="L2126">
        <v>9.0017329999999394</v>
      </c>
      <c r="M2126">
        <v>172.41124570124501</v>
      </c>
      <c r="N2126">
        <v>0</v>
      </c>
      <c r="O2126" s="8" t="str">
        <f>formatIP(Table1[[#This Row],[Address A]])</f>
        <v>192.168.100.002</v>
      </c>
      <c r="P2126" s="8" t="str">
        <f>formatIP(Table1[[#This Row],[Address B]])</f>
        <v>157.055.130.172</v>
      </c>
      <c r="Q2126" s="8" t="e">
        <f>VLOOKUP(Table1[[#This Row],[Address A]],IP_Master[],4,FALSE)</f>
        <v>#N/A</v>
      </c>
      <c r="R2126" s="8" t="e">
        <f>VLOOKUP(Table1[[#This Row],[Address B]],IP_Master[],4,FALSE)</f>
        <v>#N/A</v>
      </c>
      <c r="S2126" s="8" t="e">
        <f>VLOOKUP(Table1[[#This Row],[Address A]],IP_Master[],2,FALSE)</f>
        <v>#N/A</v>
      </c>
      <c r="T2126" s="8" t="e">
        <f>VLOOKUP(Table1[[#This Row],[Address B]],IP_Master[],2,FALSE)</f>
        <v>#N/A</v>
      </c>
      <c r="U2126" s="9" t="e">
        <f>VLOOKUP(Table1[[#This Row],[Address A]],IP_Master[],3,FALSE)</f>
        <v>#N/A</v>
      </c>
      <c r="V2126" s="9" t="e">
        <f>VLOOKUP(Table1[[#This Row],[Address B]],IP_Master[],3,FALSE)</f>
        <v>#N/A</v>
      </c>
      <c r="W2126" s="9" t="str">
        <f>VLOOKUP(Table1[[#This Row],[Port B]],traffic_types[],2,FALSE)</f>
        <v>HTTP/S</v>
      </c>
    </row>
    <row r="2127" spans="1:23" x14ac:dyDescent="0.6">
      <c r="A2127" t="s">
        <v>224</v>
      </c>
      <c r="B2127">
        <v>60242</v>
      </c>
      <c r="C2127" t="s">
        <v>329</v>
      </c>
      <c r="D2127">
        <v>80</v>
      </c>
      <c r="E2127">
        <v>3</v>
      </c>
      <c r="F2127">
        <v>194</v>
      </c>
      <c r="G2127">
        <v>3</v>
      </c>
      <c r="H2127">
        <v>194</v>
      </c>
      <c r="I2127">
        <v>0</v>
      </c>
      <c r="J2127">
        <v>0</v>
      </c>
      <c r="K2127">
        <v>655.65417100000002</v>
      </c>
      <c r="L2127">
        <v>9.0015949999999503</v>
      </c>
      <c r="M2127">
        <v>172.41388887191701</v>
      </c>
      <c r="N2127">
        <v>0</v>
      </c>
      <c r="O2127" s="8" t="str">
        <f>formatIP(Table1[[#This Row],[Address A]])</f>
        <v>192.168.100.002</v>
      </c>
      <c r="P2127" s="8" t="str">
        <f>formatIP(Table1[[#This Row],[Address B]])</f>
        <v>157.055.235.168</v>
      </c>
      <c r="Q2127" s="8" t="e">
        <f>VLOOKUP(Table1[[#This Row],[Address A]],IP_Master[],4,FALSE)</f>
        <v>#N/A</v>
      </c>
      <c r="R2127" s="8" t="e">
        <f>VLOOKUP(Table1[[#This Row],[Address B]],IP_Master[],4,FALSE)</f>
        <v>#N/A</v>
      </c>
      <c r="S2127" s="8" t="e">
        <f>VLOOKUP(Table1[[#This Row],[Address A]],IP_Master[],2,FALSE)</f>
        <v>#N/A</v>
      </c>
      <c r="T2127" s="8" t="e">
        <f>VLOOKUP(Table1[[#This Row],[Address B]],IP_Master[],2,FALSE)</f>
        <v>#N/A</v>
      </c>
      <c r="U2127" s="9" t="e">
        <f>VLOOKUP(Table1[[#This Row],[Address A]],IP_Master[],3,FALSE)</f>
        <v>#N/A</v>
      </c>
      <c r="V2127" s="9" t="e">
        <f>VLOOKUP(Table1[[#This Row],[Address B]],IP_Master[],3,FALSE)</f>
        <v>#N/A</v>
      </c>
      <c r="W2127" s="9" t="str">
        <f>VLOOKUP(Table1[[#This Row],[Port B]],traffic_types[],2,FALSE)</f>
        <v>HTTP</v>
      </c>
    </row>
    <row r="2128" spans="1:23" x14ac:dyDescent="0.6">
      <c r="A2128" t="s">
        <v>224</v>
      </c>
      <c r="B2128">
        <v>60243</v>
      </c>
      <c r="C2128" t="s">
        <v>330</v>
      </c>
      <c r="D2128">
        <v>80</v>
      </c>
      <c r="E2128">
        <v>3</v>
      </c>
      <c r="F2128">
        <v>194</v>
      </c>
      <c r="G2128">
        <v>3</v>
      </c>
      <c r="H2128">
        <v>194</v>
      </c>
      <c r="I2128">
        <v>0</v>
      </c>
      <c r="J2128">
        <v>0</v>
      </c>
      <c r="K2128">
        <v>656.69482800000003</v>
      </c>
      <c r="L2128">
        <v>9.0010229999999201</v>
      </c>
      <c r="M2128">
        <v>172.42484548700901</v>
      </c>
      <c r="N2128">
        <v>0</v>
      </c>
      <c r="O2128" s="8" t="str">
        <f>formatIP(Table1[[#This Row],[Address A]])</f>
        <v>192.168.100.002</v>
      </c>
      <c r="P2128" s="8" t="str">
        <f>formatIP(Table1[[#This Row],[Address B]])</f>
        <v>157.055.130.172</v>
      </c>
      <c r="Q2128" s="8" t="e">
        <f>VLOOKUP(Table1[[#This Row],[Address A]],IP_Master[],4,FALSE)</f>
        <v>#N/A</v>
      </c>
      <c r="R2128" s="8" t="e">
        <f>VLOOKUP(Table1[[#This Row],[Address B]],IP_Master[],4,FALSE)</f>
        <v>#N/A</v>
      </c>
      <c r="S2128" s="8" t="e">
        <f>VLOOKUP(Table1[[#This Row],[Address A]],IP_Master[],2,FALSE)</f>
        <v>#N/A</v>
      </c>
      <c r="T2128" s="8" t="e">
        <f>VLOOKUP(Table1[[#This Row],[Address B]],IP_Master[],2,FALSE)</f>
        <v>#N/A</v>
      </c>
      <c r="U2128" s="9" t="e">
        <f>VLOOKUP(Table1[[#This Row],[Address A]],IP_Master[],3,FALSE)</f>
        <v>#N/A</v>
      </c>
      <c r="V2128" s="9" t="e">
        <f>VLOOKUP(Table1[[#This Row],[Address B]],IP_Master[],3,FALSE)</f>
        <v>#N/A</v>
      </c>
      <c r="W2128" s="9" t="str">
        <f>VLOOKUP(Table1[[#This Row],[Port B]],traffic_types[],2,FALSE)</f>
        <v>HTTP</v>
      </c>
    </row>
    <row r="2129" spans="1:23" hidden="1" x14ac:dyDescent="0.6">
      <c r="A2129" t="s">
        <v>224</v>
      </c>
      <c r="B2129">
        <v>60244</v>
      </c>
      <c r="C2129" t="s">
        <v>331</v>
      </c>
      <c r="D2129">
        <v>40015</v>
      </c>
      <c r="E2129">
        <v>3</v>
      </c>
      <c r="F2129">
        <v>194</v>
      </c>
      <c r="G2129">
        <v>3</v>
      </c>
      <c r="H2129">
        <v>194</v>
      </c>
      <c r="I2129">
        <v>0</v>
      </c>
      <c r="J2129">
        <v>0</v>
      </c>
      <c r="K2129">
        <v>664.66733499999998</v>
      </c>
      <c r="L2129">
        <v>9.0083450000000802</v>
      </c>
      <c r="M2129">
        <v>172.28469824368301</v>
      </c>
      <c r="N2129">
        <v>0</v>
      </c>
      <c r="O2129" s="8" t="str">
        <f>formatIP(Table1[[#This Row],[Address A]])</f>
        <v>192.168.100.002</v>
      </c>
      <c r="P2129" s="8" t="str">
        <f>formatIP(Table1[[#This Row],[Address B]])</f>
        <v>157.055.056.149</v>
      </c>
      <c r="Q2129" s="8" t="e">
        <f>VLOOKUP(Table1[[#This Row],[Address A]],IP_Master[],4,FALSE)</f>
        <v>#N/A</v>
      </c>
      <c r="R2129" s="8" t="e">
        <f>VLOOKUP(Table1[[#This Row],[Address B]],IP_Master[],4,FALSE)</f>
        <v>#N/A</v>
      </c>
      <c r="S2129" s="8" t="e">
        <f>VLOOKUP(Table1[[#This Row],[Address A]],IP_Master[],2,FALSE)</f>
        <v>#N/A</v>
      </c>
      <c r="T2129" s="8" t="e">
        <f>VLOOKUP(Table1[[#This Row],[Address B]],IP_Master[],2,FALSE)</f>
        <v>#N/A</v>
      </c>
      <c r="U2129" s="9" t="e">
        <f>VLOOKUP(Table1[[#This Row],[Address A]],IP_Master[],3,FALSE)</f>
        <v>#N/A</v>
      </c>
      <c r="V2129" s="9" t="e">
        <f>VLOOKUP(Table1[[#This Row],[Address B]],IP_Master[],3,FALSE)</f>
        <v>#N/A</v>
      </c>
      <c r="W2129" s="9" t="e">
        <f>VLOOKUP(Table1[[#This Row],[Port B]],traffic_types[],2,FALSE)</f>
        <v>#N/A</v>
      </c>
    </row>
    <row r="2130" spans="1:23" hidden="1" x14ac:dyDescent="0.6">
      <c r="A2130" t="s">
        <v>224</v>
      </c>
      <c r="B2130">
        <v>60245</v>
      </c>
      <c r="C2130" t="s">
        <v>301</v>
      </c>
      <c r="D2130">
        <v>12350</v>
      </c>
      <c r="E2130">
        <v>3</v>
      </c>
      <c r="F2130">
        <v>194</v>
      </c>
      <c r="G2130">
        <v>3</v>
      </c>
      <c r="H2130">
        <v>194</v>
      </c>
      <c r="I2130">
        <v>0</v>
      </c>
      <c r="J2130">
        <v>0</v>
      </c>
      <c r="K2130">
        <v>665.97664999999995</v>
      </c>
      <c r="L2130">
        <v>8.9999460000000209</v>
      </c>
      <c r="M2130">
        <v>172.445479117319</v>
      </c>
      <c r="N2130">
        <v>0</v>
      </c>
      <c r="O2130" s="8" t="str">
        <f>formatIP(Table1[[#This Row],[Address A]])</f>
        <v>192.168.100.002</v>
      </c>
      <c r="P2130" s="8" t="str">
        <f>formatIP(Table1[[#This Row],[Address B]])</f>
        <v>091.190.218.051</v>
      </c>
      <c r="Q2130" s="8" t="e">
        <f>VLOOKUP(Table1[[#This Row],[Address A]],IP_Master[],4,FALSE)</f>
        <v>#N/A</v>
      </c>
      <c r="R2130" s="8" t="e">
        <f>VLOOKUP(Table1[[#This Row],[Address B]],IP_Master[],4,FALSE)</f>
        <v>#N/A</v>
      </c>
      <c r="S2130" s="8" t="e">
        <f>VLOOKUP(Table1[[#This Row],[Address A]],IP_Master[],2,FALSE)</f>
        <v>#N/A</v>
      </c>
      <c r="T2130" s="8" t="e">
        <f>VLOOKUP(Table1[[#This Row],[Address B]],IP_Master[],2,FALSE)</f>
        <v>#N/A</v>
      </c>
      <c r="U2130" s="9" t="e">
        <f>VLOOKUP(Table1[[#This Row],[Address A]],IP_Master[],3,FALSE)</f>
        <v>#N/A</v>
      </c>
      <c r="V2130" s="9" t="e">
        <f>VLOOKUP(Table1[[#This Row],[Address B]],IP_Master[],3,FALSE)</f>
        <v>#N/A</v>
      </c>
      <c r="W2130" s="9" t="e">
        <f>VLOOKUP(Table1[[#This Row],[Port B]],traffic_types[],2,FALSE)</f>
        <v>#N/A</v>
      </c>
    </row>
    <row r="2131" spans="1:23" x14ac:dyDescent="0.6">
      <c r="A2131" t="s">
        <v>224</v>
      </c>
      <c r="B2131">
        <v>60246</v>
      </c>
      <c r="C2131" t="s">
        <v>331</v>
      </c>
      <c r="D2131">
        <v>443</v>
      </c>
      <c r="E2131">
        <v>3</v>
      </c>
      <c r="F2131">
        <v>194</v>
      </c>
      <c r="G2131">
        <v>3</v>
      </c>
      <c r="H2131">
        <v>194</v>
      </c>
      <c r="I2131">
        <v>0</v>
      </c>
      <c r="J2131">
        <v>0</v>
      </c>
      <c r="K2131">
        <v>666.28619200000003</v>
      </c>
      <c r="L2131">
        <v>9.0004989999999907</v>
      </c>
      <c r="M2131">
        <v>172.43488388810499</v>
      </c>
      <c r="N2131">
        <v>0</v>
      </c>
      <c r="O2131" s="8" t="str">
        <f>formatIP(Table1[[#This Row],[Address A]])</f>
        <v>192.168.100.002</v>
      </c>
      <c r="P2131" s="8" t="str">
        <f>formatIP(Table1[[#This Row],[Address B]])</f>
        <v>157.055.056.149</v>
      </c>
      <c r="Q2131" s="8" t="e">
        <f>VLOOKUP(Table1[[#This Row],[Address A]],IP_Master[],4,FALSE)</f>
        <v>#N/A</v>
      </c>
      <c r="R2131" s="8" t="e">
        <f>VLOOKUP(Table1[[#This Row],[Address B]],IP_Master[],4,FALSE)</f>
        <v>#N/A</v>
      </c>
      <c r="S2131" s="8" t="e">
        <f>VLOOKUP(Table1[[#This Row],[Address A]],IP_Master[],2,FALSE)</f>
        <v>#N/A</v>
      </c>
      <c r="T2131" s="8" t="e">
        <f>VLOOKUP(Table1[[#This Row],[Address B]],IP_Master[],2,FALSE)</f>
        <v>#N/A</v>
      </c>
      <c r="U2131" s="9" t="e">
        <f>VLOOKUP(Table1[[#This Row],[Address A]],IP_Master[],3,FALSE)</f>
        <v>#N/A</v>
      </c>
      <c r="V2131" s="9" t="e">
        <f>VLOOKUP(Table1[[#This Row],[Address B]],IP_Master[],3,FALSE)</f>
        <v>#N/A</v>
      </c>
      <c r="W2131" s="9" t="str">
        <f>VLOOKUP(Table1[[#This Row],[Port B]],traffic_types[],2,FALSE)</f>
        <v>HTTP/S</v>
      </c>
    </row>
    <row r="2132" spans="1:23" x14ac:dyDescent="0.6">
      <c r="A2132" t="s">
        <v>224</v>
      </c>
      <c r="B2132">
        <v>60247</v>
      </c>
      <c r="C2132" t="s">
        <v>301</v>
      </c>
      <c r="D2132">
        <v>443</v>
      </c>
      <c r="E2132">
        <v>3</v>
      </c>
      <c r="F2132">
        <v>194</v>
      </c>
      <c r="G2132">
        <v>3</v>
      </c>
      <c r="H2132">
        <v>194</v>
      </c>
      <c r="I2132">
        <v>0</v>
      </c>
      <c r="J2132">
        <v>0</v>
      </c>
      <c r="K2132">
        <v>667.59611700000005</v>
      </c>
      <c r="L2132">
        <v>9.0006299999999992</v>
      </c>
      <c r="M2132">
        <v>172.43237417825199</v>
      </c>
      <c r="N2132">
        <v>0</v>
      </c>
      <c r="O2132" s="8" t="str">
        <f>formatIP(Table1[[#This Row],[Address A]])</f>
        <v>192.168.100.002</v>
      </c>
      <c r="P2132" s="8" t="str">
        <f>formatIP(Table1[[#This Row],[Address B]])</f>
        <v>091.190.218.051</v>
      </c>
      <c r="Q2132" s="8" t="e">
        <f>VLOOKUP(Table1[[#This Row],[Address A]],IP_Master[],4,FALSE)</f>
        <v>#N/A</v>
      </c>
      <c r="R2132" s="8" t="e">
        <f>VLOOKUP(Table1[[#This Row],[Address B]],IP_Master[],4,FALSE)</f>
        <v>#N/A</v>
      </c>
      <c r="S2132" s="8" t="e">
        <f>VLOOKUP(Table1[[#This Row],[Address A]],IP_Master[],2,FALSE)</f>
        <v>#N/A</v>
      </c>
      <c r="T2132" s="8" t="e">
        <f>VLOOKUP(Table1[[#This Row],[Address B]],IP_Master[],2,FALSE)</f>
        <v>#N/A</v>
      </c>
      <c r="U2132" s="9" t="e">
        <f>VLOOKUP(Table1[[#This Row],[Address A]],IP_Master[],3,FALSE)</f>
        <v>#N/A</v>
      </c>
      <c r="V2132" s="9" t="e">
        <f>VLOOKUP(Table1[[#This Row],[Address B]],IP_Master[],3,FALSE)</f>
        <v>#N/A</v>
      </c>
      <c r="W2132" s="9" t="str">
        <f>VLOOKUP(Table1[[#This Row],[Port B]],traffic_types[],2,FALSE)</f>
        <v>HTTP/S</v>
      </c>
    </row>
    <row r="2133" spans="1:23" x14ac:dyDescent="0.6">
      <c r="A2133" t="s">
        <v>224</v>
      </c>
      <c r="B2133">
        <v>60248</v>
      </c>
      <c r="C2133" t="s">
        <v>331</v>
      </c>
      <c r="D2133">
        <v>80</v>
      </c>
      <c r="E2133">
        <v>3</v>
      </c>
      <c r="F2133">
        <v>194</v>
      </c>
      <c r="G2133">
        <v>3</v>
      </c>
      <c r="H2133">
        <v>194</v>
      </c>
      <c r="I2133">
        <v>0</v>
      </c>
      <c r="J2133">
        <v>0</v>
      </c>
      <c r="K2133">
        <v>667.90615200000002</v>
      </c>
      <c r="L2133">
        <v>9.0006250000000101</v>
      </c>
      <c r="M2133">
        <v>172.43246996736301</v>
      </c>
      <c r="N2133">
        <v>0</v>
      </c>
      <c r="O2133" s="8" t="str">
        <f>formatIP(Table1[[#This Row],[Address A]])</f>
        <v>192.168.100.002</v>
      </c>
      <c r="P2133" s="8" t="str">
        <f>formatIP(Table1[[#This Row],[Address B]])</f>
        <v>157.055.056.149</v>
      </c>
      <c r="Q2133" s="8" t="e">
        <f>VLOOKUP(Table1[[#This Row],[Address A]],IP_Master[],4,FALSE)</f>
        <v>#N/A</v>
      </c>
      <c r="R2133" s="8" t="e">
        <f>VLOOKUP(Table1[[#This Row],[Address B]],IP_Master[],4,FALSE)</f>
        <v>#N/A</v>
      </c>
      <c r="S2133" s="8" t="e">
        <f>VLOOKUP(Table1[[#This Row],[Address A]],IP_Master[],2,FALSE)</f>
        <v>#N/A</v>
      </c>
      <c r="T2133" s="8" t="e">
        <f>VLOOKUP(Table1[[#This Row],[Address B]],IP_Master[],2,FALSE)</f>
        <v>#N/A</v>
      </c>
      <c r="U2133" s="9" t="e">
        <f>VLOOKUP(Table1[[#This Row],[Address A]],IP_Master[],3,FALSE)</f>
        <v>#N/A</v>
      </c>
      <c r="V2133" s="9" t="e">
        <f>VLOOKUP(Table1[[#This Row],[Address B]],IP_Master[],3,FALSE)</f>
        <v>#N/A</v>
      </c>
      <c r="W2133" s="9" t="str">
        <f>VLOOKUP(Table1[[#This Row],[Port B]],traffic_types[],2,FALSE)</f>
        <v>HTTP</v>
      </c>
    </row>
    <row r="2134" spans="1:23" x14ac:dyDescent="0.6">
      <c r="A2134" t="s">
        <v>224</v>
      </c>
      <c r="B2134">
        <v>60249</v>
      </c>
      <c r="C2134" t="s">
        <v>301</v>
      </c>
      <c r="D2134">
        <v>80</v>
      </c>
      <c r="E2134">
        <v>3</v>
      </c>
      <c r="F2134">
        <v>194</v>
      </c>
      <c r="G2134">
        <v>3</v>
      </c>
      <c r="H2134">
        <v>194</v>
      </c>
      <c r="I2134">
        <v>0</v>
      </c>
      <c r="J2134">
        <v>0</v>
      </c>
      <c r="K2134">
        <v>669.21606099999997</v>
      </c>
      <c r="L2134">
        <v>9.0006000000000803</v>
      </c>
      <c r="M2134">
        <v>172.43294891451501</v>
      </c>
      <c r="N2134">
        <v>0</v>
      </c>
      <c r="O2134" s="8" t="str">
        <f>formatIP(Table1[[#This Row],[Address A]])</f>
        <v>192.168.100.002</v>
      </c>
      <c r="P2134" s="8" t="str">
        <f>formatIP(Table1[[#This Row],[Address B]])</f>
        <v>091.190.218.051</v>
      </c>
      <c r="Q2134" s="8" t="e">
        <f>VLOOKUP(Table1[[#This Row],[Address A]],IP_Master[],4,FALSE)</f>
        <v>#N/A</v>
      </c>
      <c r="R2134" s="8" t="e">
        <f>VLOOKUP(Table1[[#This Row],[Address B]],IP_Master[],4,FALSE)</f>
        <v>#N/A</v>
      </c>
      <c r="S2134" s="8" t="e">
        <f>VLOOKUP(Table1[[#This Row],[Address A]],IP_Master[],2,FALSE)</f>
        <v>#N/A</v>
      </c>
      <c r="T2134" s="8" t="e">
        <f>VLOOKUP(Table1[[#This Row],[Address B]],IP_Master[],2,FALSE)</f>
        <v>#N/A</v>
      </c>
      <c r="U2134" s="9" t="e">
        <f>VLOOKUP(Table1[[#This Row],[Address A]],IP_Master[],3,FALSE)</f>
        <v>#N/A</v>
      </c>
      <c r="V2134" s="9" t="e">
        <f>VLOOKUP(Table1[[#This Row],[Address B]],IP_Master[],3,FALSE)</f>
        <v>#N/A</v>
      </c>
      <c r="W2134" s="9" t="str">
        <f>VLOOKUP(Table1[[#This Row],[Port B]],traffic_types[],2,FALSE)</f>
        <v>HTTP</v>
      </c>
    </row>
    <row r="2135" spans="1:23" hidden="1" x14ac:dyDescent="0.6">
      <c r="A2135" t="s">
        <v>224</v>
      </c>
      <c r="B2135">
        <v>60250</v>
      </c>
      <c r="C2135" t="s">
        <v>236</v>
      </c>
      <c r="D2135">
        <v>33033</v>
      </c>
      <c r="E2135">
        <v>3</v>
      </c>
      <c r="F2135">
        <v>194</v>
      </c>
      <c r="G2135">
        <v>3</v>
      </c>
      <c r="H2135">
        <v>194</v>
      </c>
      <c r="I2135">
        <v>0</v>
      </c>
      <c r="J2135">
        <v>0</v>
      </c>
      <c r="K2135">
        <v>676.85810900000001</v>
      </c>
      <c r="L2135">
        <v>9.0007190000000001</v>
      </c>
      <c r="M2135">
        <v>172.430669149876</v>
      </c>
      <c r="N2135">
        <v>0</v>
      </c>
      <c r="O2135" s="8" t="str">
        <f>formatIP(Table1[[#This Row],[Address A]])</f>
        <v>192.168.100.002</v>
      </c>
      <c r="P2135" s="8" t="str">
        <f>formatIP(Table1[[#This Row],[Address B]])</f>
        <v>157.055.056.146</v>
      </c>
      <c r="Q2135" s="8" t="e">
        <f>VLOOKUP(Table1[[#This Row],[Address A]],IP_Master[],4,FALSE)</f>
        <v>#N/A</v>
      </c>
      <c r="R2135" s="8" t="e">
        <f>VLOOKUP(Table1[[#This Row],[Address B]],IP_Master[],4,FALSE)</f>
        <v>#N/A</v>
      </c>
      <c r="S2135" s="8" t="e">
        <f>VLOOKUP(Table1[[#This Row],[Address A]],IP_Master[],2,FALSE)</f>
        <v>#N/A</v>
      </c>
      <c r="T2135" s="8" t="e">
        <f>VLOOKUP(Table1[[#This Row],[Address B]],IP_Master[],2,FALSE)</f>
        <v>#N/A</v>
      </c>
      <c r="U2135" s="9" t="e">
        <f>VLOOKUP(Table1[[#This Row],[Address A]],IP_Master[],3,FALSE)</f>
        <v>#N/A</v>
      </c>
      <c r="V2135" s="9" t="e">
        <f>VLOOKUP(Table1[[#This Row],[Address B]],IP_Master[],3,FALSE)</f>
        <v>#N/A</v>
      </c>
      <c r="W2135" s="9" t="e">
        <f>VLOOKUP(Table1[[#This Row],[Port B]],traffic_types[],2,FALSE)</f>
        <v>#N/A</v>
      </c>
    </row>
    <row r="2136" spans="1:23" hidden="1" x14ac:dyDescent="0.6">
      <c r="A2136" t="s">
        <v>224</v>
      </c>
      <c r="B2136">
        <v>60251</v>
      </c>
      <c r="C2136" t="s">
        <v>332</v>
      </c>
      <c r="D2136">
        <v>40033</v>
      </c>
      <c r="E2136">
        <v>3</v>
      </c>
      <c r="F2136">
        <v>194</v>
      </c>
      <c r="G2136">
        <v>3</v>
      </c>
      <c r="H2136">
        <v>194</v>
      </c>
      <c r="I2136">
        <v>0</v>
      </c>
      <c r="J2136">
        <v>0</v>
      </c>
      <c r="K2136">
        <v>677.89819199999999</v>
      </c>
      <c r="L2136">
        <v>9.0105419999999903</v>
      </c>
      <c r="M2136">
        <v>172.24269083924199</v>
      </c>
      <c r="N2136">
        <v>0</v>
      </c>
      <c r="O2136" s="8" t="str">
        <f>formatIP(Table1[[#This Row],[Address A]])</f>
        <v>192.168.100.002</v>
      </c>
      <c r="P2136" s="8" t="str">
        <f>formatIP(Table1[[#This Row],[Address B]])</f>
        <v>065.055.223.021</v>
      </c>
      <c r="Q2136" s="8" t="e">
        <f>VLOOKUP(Table1[[#This Row],[Address A]],IP_Master[],4,FALSE)</f>
        <v>#N/A</v>
      </c>
      <c r="R2136" s="8" t="e">
        <f>VLOOKUP(Table1[[#This Row],[Address B]],IP_Master[],4,FALSE)</f>
        <v>#N/A</v>
      </c>
      <c r="S2136" s="8" t="e">
        <f>VLOOKUP(Table1[[#This Row],[Address A]],IP_Master[],2,FALSE)</f>
        <v>#N/A</v>
      </c>
      <c r="T2136" s="8" t="e">
        <f>VLOOKUP(Table1[[#This Row],[Address B]],IP_Master[],2,FALSE)</f>
        <v>#N/A</v>
      </c>
      <c r="U2136" s="9" t="e">
        <f>VLOOKUP(Table1[[#This Row],[Address A]],IP_Master[],3,FALSE)</f>
        <v>#N/A</v>
      </c>
      <c r="V2136" s="9" t="e">
        <f>VLOOKUP(Table1[[#This Row],[Address B]],IP_Master[],3,FALSE)</f>
        <v>#N/A</v>
      </c>
      <c r="W2136" s="9" t="e">
        <f>VLOOKUP(Table1[[#This Row],[Port B]],traffic_types[],2,FALSE)</f>
        <v>#N/A</v>
      </c>
    </row>
    <row r="2137" spans="1:23" x14ac:dyDescent="0.6">
      <c r="A2137" t="s">
        <v>224</v>
      </c>
      <c r="B2137">
        <v>60252</v>
      </c>
      <c r="C2137" t="s">
        <v>236</v>
      </c>
      <c r="D2137">
        <v>443</v>
      </c>
      <c r="E2137">
        <v>3</v>
      </c>
      <c r="F2137">
        <v>194</v>
      </c>
      <c r="G2137">
        <v>3</v>
      </c>
      <c r="H2137">
        <v>194</v>
      </c>
      <c r="I2137">
        <v>0</v>
      </c>
      <c r="J2137">
        <v>0</v>
      </c>
      <c r="K2137">
        <v>678.47704499999998</v>
      </c>
      <c r="L2137">
        <v>9.0015520000000606</v>
      </c>
      <c r="M2137">
        <v>172.414712485135</v>
      </c>
      <c r="N2137">
        <v>0</v>
      </c>
      <c r="O2137" s="8" t="str">
        <f>formatIP(Table1[[#This Row],[Address A]])</f>
        <v>192.168.100.002</v>
      </c>
      <c r="P2137" s="8" t="str">
        <f>formatIP(Table1[[#This Row],[Address B]])</f>
        <v>157.055.056.146</v>
      </c>
      <c r="Q2137" s="8" t="e">
        <f>VLOOKUP(Table1[[#This Row],[Address A]],IP_Master[],4,FALSE)</f>
        <v>#N/A</v>
      </c>
      <c r="R2137" s="8" t="e">
        <f>VLOOKUP(Table1[[#This Row],[Address B]],IP_Master[],4,FALSE)</f>
        <v>#N/A</v>
      </c>
      <c r="S2137" s="8" t="e">
        <f>VLOOKUP(Table1[[#This Row],[Address A]],IP_Master[],2,FALSE)</f>
        <v>#N/A</v>
      </c>
      <c r="T2137" s="8" t="e">
        <f>VLOOKUP(Table1[[#This Row],[Address B]],IP_Master[],2,FALSE)</f>
        <v>#N/A</v>
      </c>
      <c r="U2137" s="9" t="e">
        <f>VLOOKUP(Table1[[#This Row],[Address A]],IP_Master[],3,FALSE)</f>
        <v>#N/A</v>
      </c>
      <c r="V2137" s="9" t="e">
        <f>VLOOKUP(Table1[[#This Row],[Address B]],IP_Master[],3,FALSE)</f>
        <v>#N/A</v>
      </c>
      <c r="W2137" s="9" t="str">
        <f>VLOOKUP(Table1[[#This Row],[Port B]],traffic_types[],2,FALSE)</f>
        <v>HTTP/S</v>
      </c>
    </row>
    <row r="2138" spans="1:23" x14ac:dyDescent="0.6">
      <c r="A2138" t="s">
        <v>224</v>
      </c>
      <c r="B2138">
        <v>60253</v>
      </c>
      <c r="C2138" t="s">
        <v>332</v>
      </c>
      <c r="D2138">
        <v>443</v>
      </c>
      <c r="E2138">
        <v>3</v>
      </c>
      <c r="F2138">
        <v>194</v>
      </c>
      <c r="G2138">
        <v>3</v>
      </c>
      <c r="H2138">
        <v>194</v>
      </c>
      <c r="I2138">
        <v>0</v>
      </c>
      <c r="J2138">
        <v>0</v>
      </c>
      <c r="K2138">
        <v>679.51717199999996</v>
      </c>
      <c r="L2138">
        <v>9.0014760000000305</v>
      </c>
      <c r="M2138">
        <v>172.41616819286</v>
      </c>
      <c r="N2138">
        <v>0</v>
      </c>
      <c r="O2138" s="8" t="str">
        <f>formatIP(Table1[[#This Row],[Address A]])</f>
        <v>192.168.100.002</v>
      </c>
      <c r="P2138" s="8" t="str">
        <f>formatIP(Table1[[#This Row],[Address B]])</f>
        <v>065.055.223.021</v>
      </c>
      <c r="Q2138" s="8" t="e">
        <f>VLOOKUP(Table1[[#This Row],[Address A]],IP_Master[],4,FALSE)</f>
        <v>#N/A</v>
      </c>
      <c r="R2138" s="8" t="e">
        <f>VLOOKUP(Table1[[#This Row],[Address B]],IP_Master[],4,FALSE)</f>
        <v>#N/A</v>
      </c>
      <c r="S2138" s="8" t="e">
        <f>VLOOKUP(Table1[[#This Row],[Address A]],IP_Master[],2,FALSE)</f>
        <v>#N/A</v>
      </c>
      <c r="T2138" s="8" t="e">
        <f>VLOOKUP(Table1[[#This Row],[Address B]],IP_Master[],2,FALSE)</f>
        <v>#N/A</v>
      </c>
      <c r="U2138" s="9" t="e">
        <f>VLOOKUP(Table1[[#This Row],[Address A]],IP_Master[],3,FALSE)</f>
        <v>#N/A</v>
      </c>
      <c r="V2138" s="9" t="e">
        <f>VLOOKUP(Table1[[#This Row],[Address B]],IP_Master[],3,FALSE)</f>
        <v>#N/A</v>
      </c>
      <c r="W2138" s="9" t="str">
        <f>VLOOKUP(Table1[[#This Row],[Port B]],traffic_types[],2,FALSE)</f>
        <v>HTTP/S</v>
      </c>
    </row>
    <row r="2139" spans="1:23" x14ac:dyDescent="0.6">
      <c r="A2139" t="s">
        <v>224</v>
      </c>
      <c r="B2139">
        <v>60254</v>
      </c>
      <c r="C2139" t="s">
        <v>236</v>
      </c>
      <c r="D2139">
        <v>80</v>
      </c>
      <c r="E2139">
        <v>3</v>
      </c>
      <c r="F2139">
        <v>194</v>
      </c>
      <c r="G2139">
        <v>3</v>
      </c>
      <c r="H2139">
        <v>194</v>
      </c>
      <c r="I2139">
        <v>0</v>
      </c>
      <c r="J2139">
        <v>0</v>
      </c>
      <c r="K2139">
        <v>680.09690999999998</v>
      </c>
      <c r="L2139">
        <v>9.00167399999998</v>
      </c>
      <c r="M2139">
        <v>172.412375742557</v>
      </c>
      <c r="N2139">
        <v>0</v>
      </c>
      <c r="O2139" s="8" t="str">
        <f>formatIP(Table1[[#This Row],[Address A]])</f>
        <v>192.168.100.002</v>
      </c>
      <c r="P2139" s="8" t="str">
        <f>formatIP(Table1[[#This Row],[Address B]])</f>
        <v>157.055.056.146</v>
      </c>
      <c r="Q2139" s="8" t="e">
        <f>VLOOKUP(Table1[[#This Row],[Address A]],IP_Master[],4,FALSE)</f>
        <v>#N/A</v>
      </c>
      <c r="R2139" s="8" t="e">
        <f>VLOOKUP(Table1[[#This Row],[Address B]],IP_Master[],4,FALSE)</f>
        <v>#N/A</v>
      </c>
      <c r="S2139" s="8" t="e">
        <f>VLOOKUP(Table1[[#This Row],[Address A]],IP_Master[],2,FALSE)</f>
        <v>#N/A</v>
      </c>
      <c r="T2139" s="8" t="e">
        <f>VLOOKUP(Table1[[#This Row],[Address B]],IP_Master[],2,FALSE)</f>
        <v>#N/A</v>
      </c>
      <c r="U2139" s="9" t="e">
        <f>VLOOKUP(Table1[[#This Row],[Address A]],IP_Master[],3,FALSE)</f>
        <v>#N/A</v>
      </c>
      <c r="V2139" s="9" t="e">
        <f>VLOOKUP(Table1[[#This Row],[Address B]],IP_Master[],3,FALSE)</f>
        <v>#N/A</v>
      </c>
      <c r="W2139" s="9" t="str">
        <f>VLOOKUP(Table1[[#This Row],[Port B]],traffic_types[],2,FALSE)</f>
        <v>HTTP</v>
      </c>
    </row>
    <row r="2140" spans="1:23" x14ac:dyDescent="0.6">
      <c r="A2140" t="s">
        <v>224</v>
      </c>
      <c r="B2140">
        <v>60255</v>
      </c>
      <c r="C2140" t="s">
        <v>332</v>
      </c>
      <c r="D2140">
        <v>80</v>
      </c>
      <c r="E2140">
        <v>3</v>
      </c>
      <c r="F2140">
        <v>194</v>
      </c>
      <c r="G2140">
        <v>3</v>
      </c>
      <c r="H2140">
        <v>194</v>
      </c>
      <c r="I2140">
        <v>0</v>
      </c>
      <c r="J2140">
        <v>0</v>
      </c>
      <c r="K2140">
        <v>681.12807399999997</v>
      </c>
      <c r="L2140">
        <v>9.0003770000000696</v>
      </c>
      <c r="M2140">
        <v>172.43722124084201</v>
      </c>
      <c r="N2140">
        <v>0</v>
      </c>
      <c r="O2140" s="8" t="str">
        <f>formatIP(Table1[[#This Row],[Address A]])</f>
        <v>192.168.100.002</v>
      </c>
      <c r="P2140" s="8" t="str">
        <f>formatIP(Table1[[#This Row],[Address B]])</f>
        <v>065.055.223.021</v>
      </c>
      <c r="Q2140" s="8" t="e">
        <f>VLOOKUP(Table1[[#This Row],[Address A]],IP_Master[],4,FALSE)</f>
        <v>#N/A</v>
      </c>
      <c r="R2140" s="8" t="e">
        <f>VLOOKUP(Table1[[#This Row],[Address B]],IP_Master[],4,FALSE)</f>
        <v>#N/A</v>
      </c>
      <c r="S2140" s="8" t="e">
        <f>VLOOKUP(Table1[[#This Row],[Address A]],IP_Master[],2,FALSE)</f>
        <v>#N/A</v>
      </c>
      <c r="T2140" s="8" t="e">
        <f>VLOOKUP(Table1[[#This Row],[Address B]],IP_Master[],2,FALSE)</f>
        <v>#N/A</v>
      </c>
      <c r="U2140" s="9" t="e">
        <f>VLOOKUP(Table1[[#This Row],[Address A]],IP_Master[],3,FALSE)</f>
        <v>#N/A</v>
      </c>
      <c r="V2140" s="9" t="e">
        <f>VLOOKUP(Table1[[#This Row],[Address B]],IP_Master[],3,FALSE)</f>
        <v>#N/A</v>
      </c>
      <c r="W2140" s="9" t="str">
        <f>VLOOKUP(Table1[[#This Row],[Port B]],traffic_types[],2,FALSE)</f>
        <v>HTTP</v>
      </c>
    </row>
    <row r="2141" spans="1:23" hidden="1" x14ac:dyDescent="0.6">
      <c r="A2141" t="s">
        <v>224</v>
      </c>
      <c r="B2141">
        <v>60256</v>
      </c>
      <c r="C2141" t="s">
        <v>333</v>
      </c>
      <c r="D2141">
        <v>40016</v>
      </c>
      <c r="E2141">
        <v>3</v>
      </c>
      <c r="F2141">
        <v>194</v>
      </c>
      <c r="G2141">
        <v>3</v>
      </c>
      <c r="H2141">
        <v>194</v>
      </c>
      <c r="I2141">
        <v>0</v>
      </c>
      <c r="J2141">
        <v>0</v>
      </c>
      <c r="K2141">
        <v>689.10991200000001</v>
      </c>
      <c r="L2141">
        <v>8.9997279999999993</v>
      </c>
      <c r="M2141">
        <v>172.44965625627799</v>
      </c>
      <c r="N2141">
        <v>0</v>
      </c>
      <c r="O2141" s="8" t="str">
        <f>formatIP(Table1[[#This Row],[Address A]])</f>
        <v>192.168.100.002</v>
      </c>
      <c r="P2141" s="8" t="str">
        <f>formatIP(Table1[[#This Row],[Address B]])</f>
        <v>157.055.056.170</v>
      </c>
      <c r="Q2141" s="8" t="e">
        <f>VLOOKUP(Table1[[#This Row],[Address A]],IP_Master[],4,FALSE)</f>
        <v>#N/A</v>
      </c>
      <c r="R2141" s="8" t="e">
        <f>VLOOKUP(Table1[[#This Row],[Address B]],IP_Master[],4,FALSE)</f>
        <v>#N/A</v>
      </c>
      <c r="S2141" s="8" t="e">
        <f>VLOOKUP(Table1[[#This Row],[Address A]],IP_Master[],2,FALSE)</f>
        <v>#N/A</v>
      </c>
      <c r="T2141" s="8" t="e">
        <f>VLOOKUP(Table1[[#This Row],[Address B]],IP_Master[],2,FALSE)</f>
        <v>#N/A</v>
      </c>
      <c r="U2141" s="9" t="e">
        <f>VLOOKUP(Table1[[#This Row],[Address A]],IP_Master[],3,FALSE)</f>
        <v>#N/A</v>
      </c>
      <c r="V2141" s="9" t="e">
        <f>VLOOKUP(Table1[[#This Row],[Address B]],IP_Master[],3,FALSE)</f>
        <v>#N/A</v>
      </c>
      <c r="W2141" s="9" t="e">
        <f>VLOOKUP(Table1[[#This Row],[Port B]],traffic_types[],2,FALSE)</f>
        <v>#N/A</v>
      </c>
    </row>
    <row r="2142" spans="1:23" x14ac:dyDescent="0.6">
      <c r="A2142" t="s">
        <v>224</v>
      </c>
      <c r="B2142">
        <v>60257</v>
      </c>
      <c r="C2142" t="s">
        <v>333</v>
      </c>
      <c r="D2142">
        <v>443</v>
      </c>
      <c r="E2142">
        <v>3</v>
      </c>
      <c r="F2142">
        <v>194</v>
      </c>
      <c r="G2142">
        <v>3</v>
      </c>
      <c r="H2142">
        <v>194</v>
      </c>
      <c r="I2142">
        <v>0</v>
      </c>
      <c r="J2142">
        <v>0</v>
      </c>
      <c r="K2142">
        <v>690.72902699999997</v>
      </c>
      <c r="L2142">
        <v>9.0007090000000307</v>
      </c>
      <c r="M2142">
        <v>172.43086072441599</v>
      </c>
      <c r="N2142">
        <v>0</v>
      </c>
      <c r="O2142" s="8" t="str">
        <f>formatIP(Table1[[#This Row],[Address A]])</f>
        <v>192.168.100.002</v>
      </c>
      <c r="P2142" s="8" t="str">
        <f>formatIP(Table1[[#This Row],[Address B]])</f>
        <v>157.055.056.170</v>
      </c>
      <c r="Q2142" s="8" t="e">
        <f>VLOOKUP(Table1[[#This Row],[Address A]],IP_Master[],4,FALSE)</f>
        <v>#N/A</v>
      </c>
      <c r="R2142" s="8" t="e">
        <f>VLOOKUP(Table1[[#This Row],[Address B]],IP_Master[],4,FALSE)</f>
        <v>#N/A</v>
      </c>
      <c r="S2142" s="8" t="e">
        <f>VLOOKUP(Table1[[#This Row],[Address A]],IP_Master[],2,FALSE)</f>
        <v>#N/A</v>
      </c>
      <c r="T2142" s="8" t="e">
        <f>VLOOKUP(Table1[[#This Row],[Address B]],IP_Master[],2,FALSE)</f>
        <v>#N/A</v>
      </c>
      <c r="U2142" s="9" t="e">
        <f>VLOOKUP(Table1[[#This Row],[Address A]],IP_Master[],3,FALSE)</f>
        <v>#N/A</v>
      </c>
      <c r="V2142" s="9" t="e">
        <f>VLOOKUP(Table1[[#This Row],[Address B]],IP_Master[],3,FALSE)</f>
        <v>#N/A</v>
      </c>
      <c r="W2142" s="9" t="str">
        <f>VLOOKUP(Table1[[#This Row],[Port B]],traffic_types[],2,FALSE)</f>
        <v>HTTP/S</v>
      </c>
    </row>
    <row r="2143" spans="1:23" x14ac:dyDescent="0.6">
      <c r="A2143" t="s">
        <v>224</v>
      </c>
      <c r="B2143">
        <v>60258</v>
      </c>
      <c r="C2143" t="s">
        <v>333</v>
      </c>
      <c r="D2143">
        <v>80</v>
      </c>
      <c r="E2143">
        <v>3</v>
      </c>
      <c r="F2143">
        <v>194</v>
      </c>
      <c r="G2143">
        <v>3</v>
      </c>
      <c r="H2143">
        <v>194</v>
      </c>
      <c r="I2143">
        <v>0</v>
      </c>
      <c r="J2143">
        <v>0</v>
      </c>
      <c r="K2143">
        <v>692.34901500000001</v>
      </c>
      <c r="L2143">
        <v>9.0004810000000397</v>
      </c>
      <c r="M2143">
        <v>172.43522873944099</v>
      </c>
      <c r="N2143">
        <v>0</v>
      </c>
      <c r="O2143" s="8" t="str">
        <f>formatIP(Table1[[#This Row],[Address A]])</f>
        <v>192.168.100.002</v>
      </c>
      <c r="P2143" s="8" t="str">
        <f>formatIP(Table1[[#This Row],[Address B]])</f>
        <v>157.055.056.170</v>
      </c>
      <c r="Q2143" s="8" t="e">
        <f>VLOOKUP(Table1[[#This Row],[Address A]],IP_Master[],4,FALSE)</f>
        <v>#N/A</v>
      </c>
      <c r="R2143" s="8" t="e">
        <f>VLOOKUP(Table1[[#This Row],[Address B]],IP_Master[],4,FALSE)</f>
        <v>#N/A</v>
      </c>
      <c r="S2143" s="8" t="e">
        <f>VLOOKUP(Table1[[#This Row],[Address A]],IP_Master[],2,FALSE)</f>
        <v>#N/A</v>
      </c>
      <c r="T2143" s="8" t="e">
        <f>VLOOKUP(Table1[[#This Row],[Address B]],IP_Master[],2,FALSE)</f>
        <v>#N/A</v>
      </c>
      <c r="U2143" s="9" t="e">
        <f>VLOOKUP(Table1[[#This Row],[Address A]],IP_Master[],3,FALSE)</f>
        <v>#N/A</v>
      </c>
      <c r="V2143" s="9" t="e">
        <f>VLOOKUP(Table1[[#This Row],[Address B]],IP_Master[],3,FALSE)</f>
        <v>#N/A</v>
      </c>
      <c r="W2143" s="9" t="str">
        <f>VLOOKUP(Table1[[#This Row],[Port B]],traffic_types[],2,FALSE)</f>
        <v>HTTP</v>
      </c>
    </row>
    <row r="2144" spans="1:23" hidden="1" x14ac:dyDescent="0.6">
      <c r="A2144" t="s">
        <v>224</v>
      </c>
      <c r="B2144">
        <v>60259</v>
      </c>
      <c r="C2144" t="s">
        <v>334</v>
      </c>
      <c r="D2144">
        <v>40022</v>
      </c>
      <c r="E2144">
        <v>3</v>
      </c>
      <c r="F2144">
        <v>194</v>
      </c>
      <c r="G2144">
        <v>3</v>
      </c>
      <c r="H2144">
        <v>194</v>
      </c>
      <c r="I2144">
        <v>0</v>
      </c>
      <c r="J2144">
        <v>0</v>
      </c>
      <c r="K2144">
        <v>701.20088999999996</v>
      </c>
      <c r="L2144">
        <v>8.9993790000000899</v>
      </c>
      <c r="M2144">
        <v>172.45634393217401</v>
      </c>
      <c r="N2144">
        <v>0</v>
      </c>
      <c r="O2144" s="8" t="str">
        <f>formatIP(Table1[[#This Row],[Address A]])</f>
        <v>192.168.100.002</v>
      </c>
      <c r="P2144" s="8" t="str">
        <f>formatIP(Table1[[#This Row],[Address B]])</f>
        <v>065.055.223.019</v>
      </c>
      <c r="Q2144" s="8" t="e">
        <f>VLOOKUP(Table1[[#This Row],[Address A]],IP_Master[],4,FALSE)</f>
        <v>#N/A</v>
      </c>
      <c r="R2144" s="8" t="e">
        <f>VLOOKUP(Table1[[#This Row],[Address B]],IP_Master[],4,FALSE)</f>
        <v>#N/A</v>
      </c>
      <c r="S2144" s="8" t="e">
        <f>VLOOKUP(Table1[[#This Row],[Address A]],IP_Master[],2,FALSE)</f>
        <v>#N/A</v>
      </c>
      <c r="T2144" s="8" t="e">
        <f>VLOOKUP(Table1[[#This Row],[Address B]],IP_Master[],2,FALSE)</f>
        <v>#N/A</v>
      </c>
      <c r="U2144" s="9" t="e">
        <f>VLOOKUP(Table1[[#This Row],[Address A]],IP_Master[],3,FALSE)</f>
        <v>#N/A</v>
      </c>
      <c r="V2144" s="9" t="e">
        <f>VLOOKUP(Table1[[#This Row],[Address B]],IP_Master[],3,FALSE)</f>
        <v>#N/A</v>
      </c>
      <c r="W2144" s="9" t="e">
        <f>VLOOKUP(Table1[[#This Row],[Port B]],traffic_types[],2,FALSE)</f>
        <v>#N/A</v>
      </c>
    </row>
    <row r="2145" spans="1:23" x14ac:dyDescent="0.6">
      <c r="A2145" t="s">
        <v>224</v>
      </c>
      <c r="B2145">
        <v>60260</v>
      </c>
      <c r="C2145" t="s">
        <v>232</v>
      </c>
      <c r="D2145">
        <v>443</v>
      </c>
      <c r="E2145">
        <v>3</v>
      </c>
      <c r="F2145">
        <v>194</v>
      </c>
      <c r="G2145">
        <v>3</v>
      </c>
      <c r="H2145">
        <v>194</v>
      </c>
      <c r="I2145">
        <v>0</v>
      </c>
      <c r="J2145">
        <v>0</v>
      </c>
      <c r="K2145">
        <v>702.11084300000005</v>
      </c>
      <c r="L2145">
        <v>8.9995639999999604</v>
      </c>
      <c r="M2145">
        <v>172.45279882447699</v>
      </c>
      <c r="N2145">
        <v>0</v>
      </c>
      <c r="O2145" s="8" t="str">
        <f>formatIP(Table1[[#This Row],[Address A]])</f>
        <v>192.168.100.002</v>
      </c>
      <c r="P2145" s="8" t="str">
        <f>formatIP(Table1[[#This Row],[Address B]])</f>
        <v>103.043.075.140</v>
      </c>
      <c r="Q2145" s="8" t="e">
        <f>VLOOKUP(Table1[[#This Row],[Address A]],IP_Master[],4,FALSE)</f>
        <v>#N/A</v>
      </c>
      <c r="R2145" s="8" t="e">
        <f>VLOOKUP(Table1[[#This Row],[Address B]],IP_Master[],4,FALSE)</f>
        <v>#N/A</v>
      </c>
      <c r="S2145" s="8" t="e">
        <f>VLOOKUP(Table1[[#This Row],[Address A]],IP_Master[],2,FALSE)</f>
        <v>#N/A</v>
      </c>
      <c r="T2145" s="8" t="e">
        <f>VLOOKUP(Table1[[#This Row],[Address B]],IP_Master[],2,FALSE)</f>
        <v>#N/A</v>
      </c>
      <c r="U2145" s="9" t="e">
        <f>VLOOKUP(Table1[[#This Row],[Address A]],IP_Master[],3,FALSE)</f>
        <v>#N/A</v>
      </c>
      <c r="V2145" s="9" t="e">
        <f>VLOOKUP(Table1[[#This Row],[Address B]],IP_Master[],3,FALSE)</f>
        <v>#N/A</v>
      </c>
      <c r="W2145" s="9" t="str">
        <f>VLOOKUP(Table1[[#This Row],[Port B]],traffic_types[],2,FALSE)</f>
        <v>HTTP/S</v>
      </c>
    </row>
    <row r="2146" spans="1:23" hidden="1" x14ac:dyDescent="0.6">
      <c r="A2146" t="s">
        <v>224</v>
      </c>
      <c r="B2146">
        <v>60261</v>
      </c>
      <c r="C2146" t="s">
        <v>335</v>
      </c>
      <c r="D2146">
        <v>40018</v>
      </c>
      <c r="E2146">
        <v>3</v>
      </c>
      <c r="F2146">
        <v>194</v>
      </c>
      <c r="G2146">
        <v>3</v>
      </c>
      <c r="H2146">
        <v>194</v>
      </c>
      <c r="I2146">
        <v>0</v>
      </c>
      <c r="J2146">
        <v>0</v>
      </c>
      <c r="K2146">
        <v>702.23099500000001</v>
      </c>
      <c r="L2146">
        <v>8.9994970000000194</v>
      </c>
      <c r="M2146">
        <v>172.45408271151101</v>
      </c>
      <c r="N2146">
        <v>0</v>
      </c>
      <c r="O2146" s="8" t="str">
        <f>formatIP(Table1[[#This Row],[Address A]])</f>
        <v>192.168.100.002</v>
      </c>
      <c r="P2146" s="8" t="str">
        <f>formatIP(Table1[[#This Row],[Address B]])</f>
        <v>157.055.056.148</v>
      </c>
      <c r="Q2146" s="8" t="e">
        <f>VLOOKUP(Table1[[#This Row],[Address A]],IP_Master[],4,FALSE)</f>
        <v>#N/A</v>
      </c>
      <c r="R2146" s="8" t="e">
        <f>VLOOKUP(Table1[[#This Row],[Address B]],IP_Master[],4,FALSE)</f>
        <v>#N/A</v>
      </c>
      <c r="S2146" s="8" t="e">
        <f>VLOOKUP(Table1[[#This Row],[Address A]],IP_Master[],2,FALSE)</f>
        <v>#N/A</v>
      </c>
      <c r="T2146" s="8" t="e">
        <f>VLOOKUP(Table1[[#This Row],[Address B]],IP_Master[],2,FALSE)</f>
        <v>#N/A</v>
      </c>
      <c r="U2146" s="9" t="e">
        <f>VLOOKUP(Table1[[#This Row],[Address A]],IP_Master[],3,FALSE)</f>
        <v>#N/A</v>
      </c>
      <c r="V2146" s="9" t="e">
        <f>VLOOKUP(Table1[[#This Row],[Address B]],IP_Master[],3,FALSE)</f>
        <v>#N/A</v>
      </c>
      <c r="W2146" s="9" t="e">
        <f>VLOOKUP(Table1[[#This Row],[Port B]],traffic_types[],2,FALSE)</f>
        <v>#N/A</v>
      </c>
    </row>
    <row r="2147" spans="1:23" x14ac:dyDescent="0.6">
      <c r="A2147" t="s">
        <v>224</v>
      </c>
      <c r="B2147">
        <v>60262</v>
      </c>
      <c r="C2147" t="s">
        <v>334</v>
      </c>
      <c r="D2147">
        <v>443</v>
      </c>
      <c r="E2147">
        <v>3</v>
      </c>
      <c r="F2147">
        <v>194</v>
      </c>
      <c r="G2147">
        <v>3</v>
      </c>
      <c r="H2147">
        <v>194</v>
      </c>
      <c r="I2147">
        <v>0</v>
      </c>
      <c r="J2147">
        <v>0</v>
      </c>
      <c r="K2147">
        <v>702.82007699999997</v>
      </c>
      <c r="L2147">
        <v>9.0003600000000006</v>
      </c>
      <c r="M2147">
        <v>172.437546942567</v>
      </c>
      <c r="N2147">
        <v>0</v>
      </c>
      <c r="O2147" s="8" t="str">
        <f>formatIP(Table1[[#This Row],[Address A]])</f>
        <v>192.168.100.002</v>
      </c>
      <c r="P2147" s="8" t="str">
        <f>formatIP(Table1[[#This Row],[Address B]])</f>
        <v>065.055.223.019</v>
      </c>
      <c r="Q2147" s="8" t="e">
        <f>VLOOKUP(Table1[[#This Row],[Address A]],IP_Master[],4,FALSE)</f>
        <v>#N/A</v>
      </c>
      <c r="R2147" s="8" t="e">
        <f>VLOOKUP(Table1[[#This Row],[Address B]],IP_Master[],4,FALSE)</f>
        <v>#N/A</v>
      </c>
      <c r="S2147" s="8" t="e">
        <f>VLOOKUP(Table1[[#This Row],[Address A]],IP_Master[],2,FALSE)</f>
        <v>#N/A</v>
      </c>
      <c r="T2147" s="8" t="e">
        <f>VLOOKUP(Table1[[#This Row],[Address B]],IP_Master[],2,FALSE)</f>
        <v>#N/A</v>
      </c>
      <c r="U2147" s="9" t="e">
        <f>VLOOKUP(Table1[[#This Row],[Address A]],IP_Master[],3,FALSE)</f>
        <v>#N/A</v>
      </c>
      <c r="V2147" s="9" t="e">
        <f>VLOOKUP(Table1[[#This Row],[Address B]],IP_Master[],3,FALSE)</f>
        <v>#N/A</v>
      </c>
      <c r="W2147" s="9" t="str">
        <f>VLOOKUP(Table1[[#This Row],[Port B]],traffic_types[],2,FALSE)</f>
        <v>HTTP/S</v>
      </c>
    </row>
    <row r="2148" spans="1:23" x14ac:dyDescent="0.6">
      <c r="A2148" t="s">
        <v>224</v>
      </c>
      <c r="B2148">
        <v>60263</v>
      </c>
      <c r="C2148" t="s">
        <v>335</v>
      </c>
      <c r="D2148">
        <v>443</v>
      </c>
      <c r="E2148">
        <v>3</v>
      </c>
      <c r="F2148">
        <v>194</v>
      </c>
      <c r="G2148">
        <v>3</v>
      </c>
      <c r="H2148">
        <v>194</v>
      </c>
      <c r="I2148">
        <v>0</v>
      </c>
      <c r="J2148">
        <v>0</v>
      </c>
      <c r="K2148">
        <v>703.84994200000006</v>
      </c>
      <c r="L2148">
        <v>9.0005709999999208</v>
      </c>
      <c r="M2148">
        <v>172.43350449655</v>
      </c>
      <c r="N2148">
        <v>0</v>
      </c>
      <c r="O2148" s="8" t="str">
        <f>formatIP(Table1[[#This Row],[Address A]])</f>
        <v>192.168.100.002</v>
      </c>
      <c r="P2148" s="8" t="str">
        <f>formatIP(Table1[[#This Row],[Address B]])</f>
        <v>157.055.056.148</v>
      </c>
      <c r="Q2148" s="8" t="e">
        <f>VLOOKUP(Table1[[#This Row],[Address A]],IP_Master[],4,FALSE)</f>
        <v>#N/A</v>
      </c>
      <c r="R2148" s="8" t="e">
        <f>VLOOKUP(Table1[[#This Row],[Address B]],IP_Master[],4,FALSE)</f>
        <v>#N/A</v>
      </c>
      <c r="S2148" s="8" t="e">
        <f>VLOOKUP(Table1[[#This Row],[Address A]],IP_Master[],2,FALSE)</f>
        <v>#N/A</v>
      </c>
      <c r="T2148" s="8" t="e">
        <f>VLOOKUP(Table1[[#This Row],[Address B]],IP_Master[],2,FALSE)</f>
        <v>#N/A</v>
      </c>
      <c r="U2148" s="9" t="e">
        <f>VLOOKUP(Table1[[#This Row],[Address A]],IP_Master[],3,FALSE)</f>
        <v>#N/A</v>
      </c>
      <c r="V2148" s="9" t="e">
        <f>VLOOKUP(Table1[[#This Row],[Address B]],IP_Master[],3,FALSE)</f>
        <v>#N/A</v>
      </c>
      <c r="W2148" s="9" t="str">
        <f>VLOOKUP(Table1[[#This Row],[Port B]],traffic_types[],2,FALSE)</f>
        <v>HTTP/S</v>
      </c>
    </row>
    <row r="2149" spans="1:23" x14ac:dyDescent="0.6">
      <c r="A2149" t="s">
        <v>224</v>
      </c>
      <c r="B2149">
        <v>60264</v>
      </c>
      <c r="C2149" t="s">
        <v>232</v>
      </c>
      <c r="D2149">
        <v>80</v>
      </c>
      <c r="E2149">
        <v>3</v>
      </c>
      <c r="F2149">
        <v>194</v>
      </c>
      <c r="G2149">
        <v>3</v>
      </c>
      <c r="H2149">
        <v>194</v>
      </c>
      <c r="I2149">
        <v>0</v>
      </c>
      <c r="J2149">
        <v>0</v>
      </c>
      <c r="K2149">
        <v>704.12079900000003</v>
      </c>
      <c r="L2149">
        <v>8.9997959999999502</v>
      </c>
      <c r="M2149">
        <v>172.44835327378601</v>
      </c>
      <c r="N2149">
        <v>0</v>
      </c>
      <c r="O2149" s="8" t="str">
        <f>formatIP(Table1[[#This Row],[Address A]])</f>
        <v>192.168.100.002</v>
      </c>
      <c r="P2149" s="8" t="str">
        <f>formatIP(Table1[[#This Row],[Address B]])</f>
        <v>103.043.075.140</v>
      </c>
      <c r="Q2149" s="8" t="e">
        <f>VLOOKUP(Table1[[#This Row],[Address A]],IP_Master[],4,FALSE)</f>
        <v>#N/A</v>
      </c>
      <c r="R2149" s="8" t="e">
        <f>VLOOKUP(Table1[[#This Row],[Address B]],IP_Master[],4,FALSE)</f>
        <v>#N/A</v>
      </c>
      <c r="S2149" s="8" t="e">
        <f>VLOOKUP(Table1[[#This Row],[Address A]],IP_Master[],2,FALSE)</f>
        <v>#N/A</v>
      </c>
      <c r="T2149" s="8" t="e">
        <f>VLOOKUP(Table1[[#This Row],[Address B]],IP_Master[],2,FALSE)</f>
        <v>#N/A</v>
      </c>
      <c r="U2149" s="9" t="e">
        <f>VLOOKUP(Table1[[#This Row],[Address A]],IP_Master[],3,FALSE)</f>
        <v>#N/A</v>
      </c>
      <c r="V2149" s="9" t="e">
        <f>VLOOKUP(Table1[[#This Row],[Address B]],IP_Master[],3,FALSE)</f>
        <v>#N/A</v>
      </c>
      <c r="W2149" s="9" t="str">
        <f>VLOOKUP(Table1[[#This Row],[Port B]],traffic_types[],2,FALSE)</f>
        <v>HTTP</v>
      </c>
    </row>
    <row r="2150" spans="1:23" x14ac:dyDescent="0.6">
      <c r="A2150" t="s">
        <v>224</v>
      </c>
      <c r="B2150">
        <v>60265</v>
      </c>
      <c r="C2150" t="s">
        <v>334</v>
      </c>
      <c r="D2150">
        <v>80</v>
      </c>
      <c r="E2150">
        <v>3</v>
      </c>
      <c r="F2150">
        <v>194</v>
      </c>
      <c r="G2150">
        <v>3</v>
      </c>
      <c r="H2150">
        <v>194</v>
      </c>
      <c r="I2150">
        <v>0</v>
      </c>
      <c r="J2150">
        <v>0</v>
      </c>
      <c r="K2150">
        <v>704.43996900000002</v>
      </c>
      <c r="L2150">
        <v>9.0006569999999293</v>
      </c>
      <c r="M2150">
        <v>172.43185691889099</v>
      </c>
      <c r="N2150">
        <v>0</v>
      </c>
      <c r="O2150" s="8" t="str">
        <f>formatIP(Table1[[#This Row],[Address A]])</f>
        <v>192.168.100.002</v>
      </c>
      <c r="P2150" s="8" t="str">
        <f>formatIP(Table1[[#This Row],[Address B]])</f>
        <v>065.055.223.019</v>
      </c>
      <c r="Q2150" s="8" t="e">
        <f>VLOOKUP(Table1[[#This Row],[Address A]],IP_Master[],4,FALSE)</f>
        <v>#N/A</v>
      </c>
      <c r="R2150" s="8" t="e">
        <f>VLOOKUP(Table1[[#This Row],[Address B]],IP_Master[],4,FALSE)</f>
        <v>#N/A</v>
      </c>
      <c r="S2150" s="8" t="e">
        <f>VLOOKUP(Table1[[#This Row],[Address A]],IP_Master[],2,FALSE)</f>
        <v>#N/A</v>
      </c>
      <c r="T2150" s="8" t="e">
        <f>VLOOKUP(Table1[[#This Row],[Address B]],IP_Master[],2,FALSE)</f>
        <v>#N/A</v>
      </c>
      <c r="U2150" s="9" t="e">
        <f>VLOOKUP(Table1[[#This Row],[Address A]],IP_Master[],3,FALSE)</f>
        <v>#N/A</v>
      </c>
      <c r="V2150" s="9" t="e">
        <f>VLOOKUP(Table1[[#This Row],[Address B]],IP_Master[],3,FALSE)</f>
        <v>#N/A</v>
      </c>
      <c r="W2150" s="9" t="str">
        <f>VLOOKUP(Table1[[#This Row],[Port B]],traffic_types[],2,FALSE)</f>
        <v>HTTP</v>
      </c>
    </row>
    <row r="2151" spans="1:23" x14ac:dyDescent="0.6">
      <c r="A2151" t="s">
        <v>224</v>
      </c>
      <c r="B2151">
        <v>60266</v>
      </c>
      <c r="C2151" t="s">
        <v>335</v>
      </c>
      <c r="D2151">
        <v>80</v>
      </c>
      <c r="E2151">
        <v>3</v>
      </c>
      <c r="F2151">
        <v>194</v>
      </c>
      <c r="G2151">
        <v>3</v>
      </c>
      <c r="H2151">
        <v>194</v>
      </c>
      <c r="I2151">
        <v>0</v>
      </c>
      <c r="J2151">
        <v>0</v>
      </c>
      <c r="K2151">
        <v>705.46092599999997</v>
      </c>
      <c r="L2151">
        <v>8.9996220000000395</v>
      </c>
      <c r="M2151">
        <v>172.45168741531501</v>
      </c>
      <c r="N2151">
        <v>0</v>
      </c>
      <c r="O2151" s="8" t="str">
        <f>formatIP(Table1[[#This Row],[Address A]])</f>
        <v>192.168.100.002</v>
      </c>
      <c r="P2151" s="8" t="str">
        <f>formatIP(Table1[[#This Row],[Address B]])</f>
        <v>157.055.056.148</v>
      </c>
      <c r="Q2151" s="8" t="e">
        <f>VLOOKUP(Table1[[#This Row],[Address A]],IP_Master[],4,FALSE)</f>
        <v>#N/A</v>
      </c>
      <c r="R2151" s="8" t="e">
        <f>VLOOKUP(Table1[[#This Row],[Address B]],IP_Master[],4,FALSE)</f>
        <v>#N/A</v>
      </c>
      <c r="S2151" s="8" t="e">
        <f>VLOOKUP(Table1[[#This Row],[Address A]],IP_Master[],2,FALSE)</f>
        <v>#N/A</v>
      </c>
      <c r="T2151" s="8" t="e">
        <f>VLOOKUP(Table1[[#This Row],[Address B]],IP_Master[],2,FALSE)</f>
        <v>#N/A</v>
      </c>
      <c r="U2151" s="9" t="e">
        <f>VLOOKUP(Table1[[#This Row],[Address A]],IP_Master[],3,FALSE)</f>
        <v>#N/A</v>
      </c>
      <c r="V2151" s="9" t="e">
        <f>VLOOKUP(Table1[[#This Row],[Address B]],IP_Master[],3,FALSE)</f>
        <v>#N/A</v>
      </c>
      <c r="W2151" s="9" t="str">
        <f>VLOOKUP(Table1[[#This Row],[Port B]],traffic_types[],2,FALSE)</f>
        <v>HTTP</v>
      </c>
    </row>
    <row r="2152" spans="1:23" hidden="1" x14ac:dyDescent="0.6">
      <c r="A2152" t="s">
        <v>224</v>
      </c>
      <c r="B2152">
        <v>60267</v>
      </c>
      <c r="C2152" t="s">
        <v>305</v>
      </c>
      <c r="D2152">
        <v>12350</v>
      </c>
      <c r="E2152">
        <v>3</v>
      </c>
      <c r="F2152">
        <v>194</v>
      </c>
      <c r="G2152">
        <v>3</v>
      </c>
      <c r="H2152">
        <v>194</v>
      </c>
      <c r="I2152">
        <v>0</v>
      </c>
      <c r="J2152">
        <v>0</v>
      </c>
      <c r="K2152">
        <v>711.01139799999999</v>
      </c>
      <c r="L2152">
        <v>8.9998830000000698</v>
      </c>
      <c r="M2152">
        <v>172.44668625136401</v>
      </c>
      <c r="N2152">
        <v>0</v>
      </c>
      <c r="O2152" s="8" t="str">
        <f>formatIP(Table1[[#This Row],[Address A]])</f>
        <v>192.168.100.002</v>
      </c>
      <c r="P2152" s="8" t="str">
        <f>formatIP(Table1[[#This Row],[Address B]])</f>
        <v>091.190.218.059</v>
      </c>
      <c r="Q2152" s="8" t="e">
        <f>VLOOKUP(Table1[[#This Row],[Address A]],IP_Master[],4,FALSE)</f>
        <v>#N/A</v>
      </c>
      <c r="R2152" s="8" t="e">
        <f>VLOOKUP(Table1[[#This Row],[Address B]],IP_Master[],4,FALSE)</f>
        <v>#N/A</v>
      </c>
      <c r="S2152" s="8" t="e">
        <f>VLOOKUP(Table1[[#This Row],[Address A]],IP_Master[],2,FALSE)</f>
        <v>#N/A</v>
      </c>
      <c r="T2152" s="8" t="e">
        <f>VLOOKUP(Table1[[#This Row],[Address B]],IP_Master[],2,FALSE)</f>
        <v>#N/A</v>
      </c>
      <c r="U2152" s="9" t="e">
        <f>VLOOKUP(Table1[[#This Row],[Address A]],IP_Master[],3,FALSE)</f>
        <v>#N/A</v>
      </c>
      <c r="V2152" s="9" t="e">
        <f>VLOOKUP(Table1[[#This Row],[Address B]],IP_Master[],3,FALSE)</f>
        <v>#N/A</v>
      </c>
      <c r="W2152" s="9" t="e">
        <f>VLOOKUP(Table1[[#This Row],[Port B]],traffic_types[],2,FALSE)</f>
        <v>#N/A</v>
      </c>
    </row>
    <row r="2153" spans="1:23" x14ac:dyDescent="0.6">
      <c r="A2153" t="s">
        <v>224</v>
      </c>
      <c r="B2153">
        <v>60268</v>
      </c>
      <c r="C2153" t="s">
        <v>305</v>
      </c>
      <c r="D2153">
        <v>443</v>
      </c>
      <c r="E2153">
        <v>3</v>
      </c>
      <c r="F2153">
        <v>194</v>
      </c>
      <c r="G2153">
        <v>3</v>
      </c>
      <c r="H2153">
        <v>194</v>
      </c>
      <c r="I2153">
        <v>0</v>
      </c>
      <c r="J2153">
        <v>0</v>
      </c>
      <c r="K2153">
        <v>712.63092700000004</v>
      </c>
      <c r="L2153">
        <v>9.0005229999999301</v>
      </c>
      <c r="M2153">
        <v>172.43442408846801</v>
      </c>
      <c r="N2153">
        <v>0</v>
      </c>
      <c r="O2153" s="8" t="str">
        <f>formatIP(Table1[[#This Row],[Address A]])</f>
        <v>192.168.100.002</v>
      </c>
      <c r="P2153" s="8" t="str">
        <f>formatIP(Table1[[#This Row],[Address B]])</f>
        <v>091.190.218.059</v>
      </c>
      <c r="Q2153" s="8" t="e">
        <f>VLOOKUP(Table1[[#This Row],[Address A]],IP_Master[],4,FALSE)</f>
        <v>#N/A</v>
      </c>
      <c r="R2153" s="8" t="e">
        <f>VLOOKUP(Table1[[#This Row],[Address B]],IP_Master[],4,FALSE)</f>
        <v>#N/A</v>
      </c>
      <c r="S2153" s="8" t="e">
        <f>VLOOKUP(Table1[[#This Row],[Address A]],IP_Master[],2,FALSE)</f>
        <v>#N/A</v>
      </c>
      <c r="T2153" s="8" t="e">
        <f>VLOOKUP(Table1[[#This Row],[Address B]],IP_Master[],2,FALSE)</f>
        <v>#N/A</v>
      </c>
      <c r="U2153" s="9" t="e">
        <f>VLOOKUP(Table1[[#This Row],[Address A]],IP_Master[],3,FALSE)</f>
        <v>#N/A</v>
      </c>
      <c r="V2153" s="9" t="e">
        <f>VLOOKUP(Table1[[#This Row],[Address B]],IP_Master[],3,FALSE)</f>
        <v>#N/A</v>
      </c>
      <c r="W2153" s="9" t="str">
        <f>VLOOKUP(Table1[[#This Row],[Port B]],traffic_types[],2,FALSE)</f>
        <v>HTTP/S</v>
      </c>
    </row>
    <row r="2154" spans="1:23" hidden="1" x14ac:dyDescent="0.6">
      <c r="A2154" t="s">
        <v>224</v>
      </c>
      <c r="B2154">
        <v>60269</v>
      </c>
      <c r="C2154" t="s">
        <v>336</v>
      </c>
      <c r="D2154">
        <v>40021</v>
      </c>
      <c r="E2154">
        <v>3</v>
      </c>
      <c r="F2154">
        <v>194</v>
      </c>
      <c r="G2154">
        <v>3</v>
      </c>
      <c r="H2154">
        <v>194</v>
      </c>
      <c r="I2154">
        <v>0</v>
      </c>
      <c r="J2154">
        <v>0</v>
      </c>
      <c r="K2154">
        <v>713.501848</v>
      </c>
      <c r="L2154">
        <v>8.9996879999999901</v>
      </c>
      <c r="M2154">
        <v>172.450422725766</v>
      </c>
      <c r="N2154">
        <v>0</v>
      </c>
      <c r="O2154" s="8" t="str">
        <f>formatIP(Table1[[#This Row],[Address A]])</f>
        <v>192.168.100.002</v>
      </c>
      <c r="P2154" s="8" t="str">
        <f>formatIP(Table1[[#This Row],[Address B]])</f>
        <v>111.221.077.152</v>
      </c>
      <c r="Q2154" s="8" t="e">
        <f>VLOOKUP(Table1[[#This Row],[Address A]],IP_Master[],4,FALSE)</f>
        <v>#N/A</v>
      </c>
      <c r="R2154" s="8" t="e">
        <f>VLOOKUP(Table1[[#This Row],[Address B]],IP_Master[],4,FALSE)</f>
        <v>#N/A</v>
      </c>
      <c r="S2154" s="8" t="e">
        <f>VLOOKUP(Table1[[#This Row],[Address A]],IP_Master[],2,FALSE)</f>
        <v>#N/A</v>
      </c>
      <c r="T2154" s="8" t="e">
        <f>VLOOKUP(Table1[[#This Row],[Address B]],IP_Master[],2,FALSE)</f>
        <v>#N/A</v>
      </c>
      <c r="U2154" s="9" t="e">
        <f>VLOOKUP(Table1[[#This Row],[Address A]],IP_Master[],3,FALSE)</f>
        <v>#N/A</v>
      </c>
      <c r="V2154" s="9" t="e">
        <f>VLOOKUP(Table1[[#This Row],[Address B]],IP_Master[],3,FALSE)</f>
        <v>#N/A</v>
      </c>
      <c r="W2154" s="9" t="e">
        <f>VLOOKUP(Table1[[#This Row],[Port B]],traffic_types[],2,FALSE)</f>
        <v>#N/A</v>
      </c>
    </row>
    <row r="2155" spans="1:23" x14ac:dyDescent="0.6">
      <c r="A2155" t="s">
        <v>224</v>
      </c>
      <c r="B2155">
        <v>60270</v>
      </c>
      <c r="C2155" t="s">
        <v>305</v>
      </c>
      <c r="D2155">
        <v>80</v>
      </c>
      <c r="E2155">
        <v>3</v>
      </c>
      <c r="F2155">
        <v>194</v>
      </c>
      <c r="G2155">
        <v>3</v>
      </c>
      <c r="H2155">
        <v>194</v>
      </c>
      <c r="I2155">
        <v>0</v>
      </c>
      <c r="J2155">
        <v>0</v>
      </c>
      <c r="K2155">
        <v>714.25287700000001</v>
      </c>
      <c r="L2155">
        <v>8.9986289999999407</v>
      </c>
      <c r="M2155">
        <v>172.47071748374199</v>
      </c>
      <c r="N2155">
        <v>0</v>
      </c>
      <c r="O2155" s="8" t="str">
        <f>formatIP(Table1[[#This Row],[Address A]])</f>
        <v>192.168.100.002</v>
      </c>
      <c r="P2155" s="8" t="str">
        <f>formatIP(Table1[[#This Row],[Address B]])</f>
        <v>091.190.218.059</v>
      </c>
      <c r="Q2155" s="8" t="e">
        <f>VLOOKUP(Table1[[#This Row],[Address A]],IP_Master[],4,FALSE)</f>
        <v>#N/A</v>
      </c>
      <c r="R2155" s="8" t="e">
        <f>VLOOKUP(Table1[[#This Row],[Address B]],IP_Master[],4,FALSE)</f>
        <v>#N/A</v>
      </c>
      <c r="S2155" s="8" t="e">
        <f>VLOOKUP(Table1[[#This Row],[Address A]],IP_Master[],2,FALSE)</f>
        <v>#N/A</v>
      </c>
      <c r="T2155" s="8" t="e">
        <f>VLOOKUP(Table1[[#This Row],[Address B]],IP_Master[],2,FALSE)</f>
        <v>#N/A</v>
      </c>
      <c r="U2155" s="9" t="e">
        <f>VLOOKUP(Table1[[#This Row],[Address A]],IP_Master[],3,FALSE)</f>
        <v>#N/A</v>
      </c>
      <c r="V2155" s="9" t="e">
        <f>VLOOKUP(Table1[[#This Row],[Address B]],IP_Master[],3,FALSE)</f>
        <v>#N/A</v>
      </c>
      <c r="W2155" s="9" t="str">
        <f>VLOOKUP(Table1[[#This Row],[Port B]],traffic_types[],2,FALSE)</f>
        <v>HTTP</v>
      </c>
    </row>
    <row r="2156" spans="1:23" x14ac:dyDescent="0.6">
      <c r="A2156" t="s">
        <v>224</v>
      </c>
      <c r="B2156">
        <v>60271</v>
      </c>
      <c r="C2156" t="s">
        <v>336</v>
      </c>
      <c r="D2156">
        <v>443</v>
      </c>
      <c r="E2156">
        <v>3</v>
      </c>
      <c r="F2156">
        <v>194</v>
      </c>
      <c r="G2156">
        <v>3</v>
      </c>
      <c r="H2156">
        <v>194</v>
      </c>
      <c r="I2156">
        <v>0</v>
      </c>
      <c r="J2156">
        <v>0</v>
      </c>
      <c r="K2156">
        <v>715.12078299999996</v>
      </c>
      <c r="L2156">
        <v>9.0006520000000592</v>
      </c>
      <c r="M2156">
        <v>172.43195270742501</v>
      </c>
      <c r="N2156">
        <v>0</v>
      </c>
      <c r="O2156" s="8" t="str">
        <f>formatIP(Table1[[#This Row],[Address A]])</f>
        <v>192.168.100.002</v>
      </c>
      <c r="P2156" s="8" t="str">
        <f>formatIP(Table1[[#This Row],[Address B]])</f>
        <v>111.221.077.152</v>
      </c>
      <c r="Q2156" s="8" t="e">
        <f>VLOOKUP(Table1[[#This Row],[Address A]],IP_Master[],4,FALSE)</f>
        <v>#N/A</v>
      </c>
      <c r="R2156" s="8" t="e">
        <f>VLOOKUP(Table1[[#This Row],[Address B]],IP_Master[],4,FALSE)</f>
        <v>#N/A</v>
      </c>
      <c r="S2156" s="8" t="e">
        <f>VLOOKUP(Table1[[#This Row],[Address A]],IP_Master[],2,FALSE)</f>
        <v>#N/A</v>
      </c>
      <c r="T2156" s="8" t="e">
        <f>VLOOKUP(Table1[[#This Row],[Address B]],IP_Master[],2,FALSE)</f>
        <v>#N/A</v>
      </c>
      <c r="U2156" s="9" t="e">
        <f>VLOOKUP(Table1[[#This Row],[Address A]],IP_Master[],3,FALSE)</f>
        <v>#N/A</v>
      </c>
      <c r="V2156" s="9" t="e">
        <f>VLOOKUP(Table1[[#This Row],[Address B]],IP_Master[],3,FALSE)</f>
        <v>#N/A</v>
      </c>
      <c r="W2156" s="9" t="str">
        <f>VLOOKUP(Table1[[#This Row],[Port B]],traffic_types[],2,FALSE)</f>
        <v>HTTP/S</v>
      </c>
    </row>
    <row r="2157" spans="1:23" x14ac:dyDescent="0.6">
      <c r="A2157" t="s">
        <v>224</v>
      </c>
      <c r="B2157">
        <v>60272</v>
      </c>
      <c r="C2157" t="s">
        <v>336</v>
      </c>
      <c r="D2157">
        <v>80</v>
      </c>
      <c r="E2157">
        <v>3</v>
      </c>
      <c r="F2157">
        <v>194</v>
      </c>
      <c r="G2157">
        <v>3</v>
      </c>
      <c r="H2157">
        <v>194</v>
      </c>
      <c r="I2157">
        <v>0</v>
      </c>
      <c r="J2157">
        <v>0</v>
      </c>
      <c r="K2157">
        <v>716.76249600000006</v>
      </c>
      <c r="L2157">
        <v>8.9875479999999506</v>
      </c>
      <c r="M2157">
        <v>172.683361468557</v>
      </c>
      <c r="N2157">
        <v>0</v>
      </c>
      <c r="O2157" s="8" t="str">
        <f>formatIP(Table1[[#This Row],[Address A]])</f>
        <v>192.168.100.002</v>
      </c>
      <c r="P2157" s="8" t="str">
        <f>formatIP(Table1[[#This Row],[Address B]])</f>
        <v>111.221.077.152</v>
      </c>
      <c r="Q2157" s="8" t="e">
        <f>VLOOKUP(Table1[[#This Row],[Address A]],IP_Master[],4,FALSE)</f>
        <v>#N/A</v>
      </c>
      <c r="R2157" s="8" t="e">
        <f>VLOOKUP(Table1[[#This Row],[Address B]],IP_Master[],4,FALSE)</f>
        <v>#N/A</v>
      </c>
      <c r="S2157" s="8" t="e">
        <f>VLOOKUP(Table1[[#This Row],[Address A]],IP_Master[],2,FALSE)</f>
        <v>#N/A</v>
      </c>
      <c r="T2157" s="8" t="e">
        <f>VLOOKUP(Table1[[#This Row],[Address B]],IP_Master[],2,FALSE)</f>
        <v>#N/A</v>
      </c>
      <c r="U2157" s="9" t="e">
        <f>VLOOKUP(Table1[[#This Row],[Address A]],IP_Master[],3,FALSE)</f>
        <v>#N/A</v>
      </c>
      <c r="V2157" s="9" t="e">
        <f>VLOOKUP(Table1[[#This Row],[Address B]],IP_Master[],3,FALSE)</f>
        <v>#N/A</v>
      </c>
      <c r="W2157" s="9" t="str">
        <f>VLOOKUP(Table1[[#This Row],[Port B]],traffic_types[],2,FALSE)</f>
        <v>HTTP</v>
      </c>
    </row>
    <row r="2158" spans="1:23" x14ac:dyDescent="0.6">
      <c r="A2158" t="s">
        <v>224</v>
      </c>
      <c r="B2158">
        <v>60273</v>
      </c>
      <c r="C2158" t="s">
        <v>241</v>
      </c>
      <c r="D2158">
        <v>443</v>
      </c>
      <c r="E2158">
        <v>3</v>
      </c>
      <c r="F2158">
        <v>194</v>
      </c>
      <c r="G2158">
        <v>3</v>
      </c>
      <c r="H2158">
        <v>194</v>
      </c>
      <c r="I2158">
        <v>0</v>
      </c>
      <c r="J2158">
        <v>0</v>
      </c>
      <c r="K2158">
        <v>718.13268500000004</v>
      </c>
      <c r="L2158">
        <v>8.9987669999999298</v>
      </c>
      <c r="M2158">
        <v>172.46807257038799</v>
      </c>
      <c r="N2158">
        <v>0</v>
      </c>
      <c r="O2158" s="8" t="str">
        <f>formatIP(Table1[[#This Row],[Address A]])</f>
        <v>192.168.100.002</v>
      </c>
      <c r="P2158" s="8" t="str">
        <f>formatIP(Table1[[#This Row],[Address B]])</f>
        <v>078.046.049.023</v>
      </c>
      <c r="Q2158" s="8" t="e">
        <f>VLOOKUP(Table1[[#This Row],[Address A]],IP_Master[],4,FALSE)</f>
        <v>#N/A</v>
      </c>
      <c r="R2158" s="8" t="e">
        <f>VLOOKUP(Table1[[#This Row],[Address B]],IP_Master[],4,FALSE)</f>
        <v>#N/A</v>
      </c>
      <c r="S2158" s="8" t="e">
        <f>VLOOKUP(Table1[[#This Row],[Address A]],IP_Master[],2,FALSE)</f>
        <v>#N/A</v>
      </c>
      <c r="T2158" s="8" t="e">
        <f>VLOOKUP(Table1[[#This Row],[Address B]],IP_Master[],2,FALSE)</f>
        <v>#N/A</v>
      </c>
      <c r="U2158" s="9" t="e">
        <f>VLOOKUP(Table1[[#This Row],[Address A]],IP_Master[],3,FALSE)</f>
        <v>#N/A</v>
      </c>
      <c r="V2158" s="9" t="e">
        <f>VLOOKUP(Table1[[#This Row],[Address B]],IP_Master[],3,FALSE)</f>
        <v>#N/A</v>
      </c>
      <c r="W2158" s="9" t="str">
        <f>VLOOKUP(Table1[[#This Row],[Port B]],traffic_types[],2,FALSE)</f>
        <v>HTTP/S</v>
      </c>
    </row>
    <row r="2159" spans="1:23" x14ac:dyDescent="0.6">
      <c r="A2159" t="s">
        <v>224</v>
      </c>
      <c r="B2159">
        <v>60274</v>
      </c>
      <c r="C2159" t="s">
        <v>241</v>
      </c>
      <c r="D2159">
        <v>80</v>
      </c>
      <c r="E2159">
        <v>3</v>
      </c>
      <c r="F2159">
        <v>194</v>
      </c>
      <c r="G2159">
        <v>3</v>
      </c>
      <c r="H2159">
        <v>194</v>
      </c>
      <c r="I2159">
        <v>0</v>
      </c>
      <c r="J2159">
        <v>0</v>
      </c>
      <c r="K2159">
        <v>720.132114</v>
      </c>
      <c r="L2159">
        <v>8.9992989999999509</v>
      </c>
      <c r="M2159">
        <v>172.457876996865</v>
      </c>
      <c r="N2159">
        <v>0</v>
      </c>
      <c r="O2159" s="8" t="str">
        <f>formatIP(Table1[[#This Row],[Address A]])</f>
        <v>192.168.100.002</v>
      </c>
      <c r="P2159" s="8" t="str">
        <f>formatIP(Table1[[#This Row],[Address B]])</f>
        <v>078.046.049.023</v>
      </c>
      <c r="Q2159" s="8" t="e">
        <f>VLOOKUP(Table1[[#This Row],[Address A]],IP_Master[],4,FALSE)</f>
        <v>#N/A</v>
      </c>
      <c r="R2159" s="8" t="e">
        <f>VLOOKUP(Table1[[#This Row],[Address B]],IP_Master[],4,FALSE)</f>
        <v>#N/A</v>
      </c>
      <c r="S2159" s="8" t="e">
        <f>VLOOKUP(Table1[[#This Row],[Address A]],IP_Master[],2,FALSE)</f>
        <v>#N/A</v>
      </c>
      <c r="T2159" s="8" t="e">
        <f>VLOOKUP(Table1[[#This Row],[Address B]],IP_Master[],2,FALSE)</f>
        <v>#N/A</v>
      </c>
      <c r="U2159" s="9" t="e">
        <f>VLOOKUP(Table1[[#This Row],[Address A]],IP_Master[],3,FALSE)</f>
        <v>#N/A</v>
      </c>
      <c r="V2159" s="9" t="e">
        <f>VLOOKUP(Table1[[#This Row],[Address B]],IP_Master[],3,FALSE)</f>
        <v>#N/A</v>
      </c>
      <c r="W2159" s="9" t="str">
        <f>VLOOKUP(Table1[[#This Row],[Port B]],traffic_types[],2,FALSE)</f>
        <v>HTTP</v>
      </c>
    </row>
    <row r="2160" spans="1:23" hidden="1" x14ac:dyDescent="0.6">
      <c r="A2160" t="s">
        <v>224</v>
      </c>
      <c r="B2160">
        <v>60275</v>
      </c>
      <c r="C2160" t="s">
        <v>337</v>
      </c>
      <c r="D2160">
        <v>40023</v>
      </c>
      <c r="E2160">
        <v>3</v>
      </c>
      <c r="F2160">
        <v>194</v>
      </c>
      <c r="G2160">
        <v>3</v>
      </c>
      <c r="H2160">
        <v>194</v>
      </c>
      <c r="I2160">
        <v>0</v>
      </c>
      <c r="J2160">
        <v>0</v>
      </c>
      <c r="K2160">
        <v>725.64276500000005</v>
      </c>
      <c r="L2160">
        <v>9.0295029999999805</v>
      </c>
      <c r="M2160">
        <v>171.880999430423</v>
      </c>
      <c r="N2160">
        <v>0</v>
      </c>
      <c r="O2160" s="8" t="str">
        <f>formatIP(Table1[[#This Row],[Address A]])</f>
        <v>192.168.100.002</v>
      </c>
      <c r="P2160" s="8" t="str">
        <f>formatIP(Table1[[#This Row],[Address B]])</f>
        <v>111.221.077.141</v>
      </c>
      <c r="Q2160" s="8" t="e">
        <f>VLOOKUP(Table1[[#This Row],[Address A]],IP_Master[],4,FALSE)</f>
        <v>#N/A</v>
      </c>
      <c r="R2160" s="8" t="e">
        <f>VLOOKUP(Table1[[#This Row],[Address B]],IP_Master[],4,FALSE)</f>
        <v>#N/A</v>
      </c>
      <c r="S2160" s="8" t="e">
        <f>VLOOKUP(Table1[[#This Row],[Address A]],IP_Master[],2,FALSE)</f>
        <v>#N/A</v>
      </c>
      <c r="T2160" s="8" t="e">
        <f>VLOOKUP(Table1[[#This Row],[Address B]],IP_Master[],2,FALSE)</f>
        <v>#N/A</v>
      </c>
      <c r="U2160" s="9" t="e">
        <f>VLOOKUP(Table1[[#This Row],[Address A]],IP_Master[],3,FALSE)</f>
        <v>#N/A</v>
      </c>
      <c r="V2160" s="9" t="e">
        <f>VLOOKUP(Table1[[#This Row],[Address B]],IP_Master[],3,FALSE)</f>
        <v>#N/A</v>
      </c>
      <c r="W2160" s="9" t="e">
        <f>VLOOKUP(Table1[[#This Row],[Port B]],traffic_types[],2,FALSE)</f>
        <v>#N/A</v>
      </c>
    </row>
    <row r="2161" spans="1:23" hidden="1" x14ac:dyDescent="0.6">
      <c r="A2161" t="s">
        <v>224</v>
      </c>
      <c r="B2161">
        <v>60276</v>
      </c>
      <c r="C2161" t="s">
        <v>338</v>
      </c>
      <c r="D2161">
        <v>40009</v>
      </c>
      <c r="E2161">
        <v>3</v>
      </c>
      <c r="F2161">
        <v>194</v>
      </c>
      <c r="G2161">
        <v>3</v>
      </c>
      <c r="H2161">
        <v>194</v>
      </c>
      <c r="I2161">
        <v>0</v>
      </c>
      <c r="J2161">
        <v>0</v>
      </c>
      <c r="K2161">
        <v>726.66284800000005</v>
      </c>
      <c r="L2161">
        <v>9.0286509999999698</v>
      </c>
      <c r="M2161">
        <v>171.89721919697701</v>
      </c>
      <c r="N2161">
        <v>0</v>
      </c>
      <c r="O2161" s="8" t="str">
        <f>formatIP(Table1[[#This Row],[Address A]])</f>
        <v>192.168.100.002</v>
      </c>
      <c r="P2161" s="8" t="str">
        <f>formatIP(Table1[[#This Row],[Address B]])</f>
        <v>157.055.235.147</v>
      </c>
      <c r="Q2161" s="8" t="e">
        <f>VLOOKUP(Table1[[#This Row],[Address A]],IP_Master[],4,FALSE)</f>
        <v>#N/A</v>
      </c>
      <c r="R2161" s="8" t="e">
        <f>VLOOKUP(Table1[[#This Row],[Address B]],IP_Master[],4,FALSE)</f>
        <v>#N/A</v>
      </c>
      <c r="S2161" s="8" t="e">
        <f>VLOOKUP(Table1[[#This Row],[Address A]],IP_Master[],2,FALSE)</f>
        <v>#N/A</v>
      </c>
      <c r="T2161" s="8" t="e">
        <f>VLOOKUP(Table1[[#This Row],[Address B]],IP_Master[],2,FALSE)</f>
        <v>#N/A</v>
      </c>
      <c r="U2161" s="9" t="e">
        <f>VLOOKUP(Table1[[#This Row],[Address A]],IP_Master[],3,FALSE)</f>
        <v>#N/A</v>
      </c>
      <c r="V2161" s="9" t="e">
        <f>VLOOKUP(Table1[[#This Row],[Address B]],IP_Master[],3,FALSE)</f>
        <v>#N/A</v>
      </c>
      <c r="W2161" s="9" t="e">
        <f>VLOOKUP(Table1[[#This Row],[Port B]],traffic_types[],2,FALSE)</f>
        <v>#N/A</v>
      </c>
    </row>
    <row r="2162" spans="1:23" x14ac:dyDescent="0.6">
      <c r="A2162" t="s">
        <v>224</v>
      </c>
      <c r="B2162">
        <v>60277</v>
      </c>
      <c r="C2162" t="s">
        <v>337</v>
      </c>
      <c r="D2162">
        <v>443</v>
      </c>
      <c r="E2162">
        <v>3</v>
      </c>
      <c r="F2162">
        <v>194</v>
      </c>
      <c r="G2162">
        <v>3</v>
      </c>
      <c r="H2162">
        <v>194</v>
      </c>
      <c r="I2162">
        <v>0</v>
      </c>
      <c r="J2162">
        <v>0</v>
      </c>
      <c r="K2162">
        <v>727.26190799999995</v>
      </c>
      <c r="L2162">
        <v>9.0004380000000292</v>
      </c>
      <c r="M2162">
        <v>172.43605255655299</v>
      </c>
      <c r="N2162">
        <v>0</v>
      </c>
      <c r="O2162" s="8" t="str">
        <f>formatIP(Table1[[#This Row],[Address A]])</f>
        <v>192.168.100.002</v>
      </c>
      <c r="P2162" s="8" t="str">
        <f>formatIP(Table1[[#This Row],[Address B]])</f>
        <v>111.221.077.141</v>
      </c>
      <c r="Q2162" s="8" t="e">
        <f>VLOOKUP(Table1[[#This Row],[Address A]],IP_Master[],4,FALSE)</f>
        <v>#N/A</v>
      </c>
      <c r="R2162" s="8" t="e">
        <f>VLOOKUP(Table1[[#This Row],[Address B]],IP_Master[],4,FALSE)</f>
        <v>#N/A</v>
      </c>
      <c r="S2162" s="8" t="e">
        <f>VLOOKUP(Table1[[#This Row],[Address A]],IP_Master[],2,FALSE)</f>
        <v>#N/A</v>
      </c>
      <c r="T2162" s="8" t="e">
        <f>VLOOKUP(Table1[[#This Row],[Address B]],IP_Master[],2,FALSE)</f>
        <v>#N/A</v>
      </c>
      <c r="U2162" s="9" t="e">
        <f>VLOOKUP(Table1[[#This Row],[Address A]],IP_Master[],3,FALSE)</f>
        <v>#N/A</v>
      </c>
      <c r="V2162" s="9" t="e">
        <f>VLOOKUP(Table1[[#This Row],[Address B]],IP_Master[],3,FALSE)</f>
        <v>#N/A</v>
      </c>
      <c r="W2162" s="9" t="str">
        <f>VLOOKUP(Table1[[#This Row],[Port B]],traffic_types[],2,FALSE)</f>
        <v>HTTP/S</v>
      </c>
    </row>
    <row r="2163" spans="1:23" x14ac:dyDescent="0.6">
      <c r="A2163" t="s">
        <v>224</v>
      </c>
      <c r="B2163">
        <v>60278</v>
      </c>
      <c r="C2163" t="s">
        <v>338</v>
      </c>
      <c r="D2163">
        <v>443</v>
      </c>
      <c r="E2163">
        <v>3</v>
      </c>
      <c r="F2163">
        <v>194</v>
      </c>
      <c r="G2163">
        <v>3</v>
      </c>
      <c r="H2163">
        <v>194</v>
      </c>
      <c r="I2163">
        <v>0</v>
      </c>
      <c r="J2163">
        <v>0</v>
      </c>
      <c r="K2163">
        <v>728.28185599999995</v>
      </c>
      <c r="L2163">
        <v>9.0004610000000902</v>
      </c>
      <c r="M2163">
        <v>172.43561190921099</v>
      </c>
      <c r="N2163">
        <v>0</v>
      </c>
      <c r="O2163" s="8" t="str">
        <f>formatIP(Table1[[#This Row],[Address A]])</f>
        <v>192.168.100.002</v>
      </c>
      <c r="P2163" s="8" t="str">
        <f>formatIP(Table1[[#This Row],[Address B]])</f>
        <v>157.055.235.147</v>
      </c>
      <c r="Q2163" s="8" t="e">
        <f>VLOOKUP(Table1[[#This Row],[Address A]],IP_Master[],4,FALSE)</f>
        <v>#N/A</v>
      </c>
      <c r="R2163" s="8" t="e">
        <f>VLOOKUP(Table1[[#This Row],[Address B]],IP_Master[],4,FALSE)</f>
        <v>#N/A</v>
      </c>
      <c r="S2163" s="8" t="e">
        <f>VLOOKUP(Table1[[#This Row],[Address A]],IP_Master[],2,FALSE)</f>
        <v>#N/A</v>
      </c>
      <c r="T2163" s="8" t="e">
        <f>VLOOKUP(Table1[[#This Row],[Address B]],IP_Master[],2,FALSE)</f>
        <v>#N/A</v>
      </c>
      <c r="U2163" s="9" t="e">
        <f>VLOOKUP(Table1[[#This Row],[Address A]],IP_Master[],3,FALSE)</f>
        <v>#N/A</v>
      </c>
      <c r="V2163" s="9" t="e">
        <f>VLOOKUP(Table1[[#This Row],[Address B]],IP_Master[],3,FALSE)</f>
        <v>#N/A</v>
      </c>
      <c r="W2163" s="9" t="str">
        <f>VLOOKUP(Table1[[#This Row],[Port B]],traffic_types[],2,FALSE)</f>
        <v>HTTP/S</v>
      </c>
    </row>
    <row r="2164" spans="1:23" x14ac:dyDescent="0.6">
      <c r="A2164" t="s">
        <v>224</v>
      </c>
      <c r="B2164">
        <v>60279</v>
      </c>
      <c r="C2164" t="s">
        <v>337</v>
      </c>
      <c r="D2164">
        <v>80</v>
      </c>
      <c r="E2164">
        <v>3</v>
      </c>
      <c r="F2164">
        <v>194</v>
      </c>
      <c r="G2164">
        <v>3</v>
      </c>
      <c r="H2164">
        <v>194</v>
      </c>
      <c r="I2164">
        <v>0</v>
      </c>
      <c r="J2164">
        <v>0</v>
      </c>
      <c r="K2164">
        <v>728.87192000000005</v>
      </c>
      <c r="L2164">
        <v>9.0013909999999004</v>
      </c>
      <c r="M2164">
        <v>172.41779631614901</v>
      </c>
      <c r="N2164">
        <v>0</v>
      </c>
      <c r="O2164" s="8" t="str">
        <f>formatIP(Table1[[#This Row],[Address A]])</f>
        <v>192.168.100.002</v>
      </c>
      <c r="P2164" s="8" t="str">
        <f>formatIP(Table1[[#This Row],[Address B]])</f>
        <v>111.221.077.141</v>
      </c>
      <c r="Q2164" s="8" t="e">
        <f>VLOOKUP(Table1[[#This Row],[Address A]],IP_Master[],4,FALSE)</f>
        <v>#N/A</v>
      </c>
      <c r="R2164" s="8" t="e">
        <f>VLOOKUP(Table1[[#This Row],[Address B]],IP_Master[],4,FALSE)</f>
        <v>#N/A</v>
      </c>
      <c r="S2164" s="8" t="e">
        <f>VLOOKUP(Table1[[#This Row],[Address A]],IP_Master[],2,FALSE)</f>
        <v>#N/A</v>
      </c>
      <c r="T2164" s="8" t="e">
        <f>VLOOKUP(Table1[[#This Row],[Address B]],IP_Master[],2,FALSE)</f>
        <v>#N/A</v>
      </c>
      <c r="U2164" s="9" t="e">
        <f>VLOOKUP(Table1[[#This Row],[Address A]],IP_Master[],3,FALSE)</f>
        <v>#N/A</v>
      </c>
      <c r="V2164" s="9" t="e">
        <f>VLOOKUP(Table1[[#This Row],[Address B]],IP_Master[],3,FALSE)</f>
        <v>#N/A</v>
      </c>
      <c r="W2164" s="9" t="str">
        <f>VLOOKUP(Table1[[#This Row],[Port B]],traffic_types[],2,FALSE)</f>
        <v>HTTP</v>
      </c>
    </row>
    <row r="2165" spans="1:23" x14ac:dyDescent="0.6">
      <c r="A2165" t="s">
        <v>224</v>
      </c>
      <c r="B2165">
        <v>60280</v>
      </c>
      <c r="C2165" t="s">
        <v>338</v>
      </c>
      <c r="D2165">
        <v>80</v>
      </c>
      <c r="E2165">
        <v>3</v>
      </c>
      <c r="F2165">
        <v>194</v>
      </c>
      <c r="G2165">
        <v>3</v>
      </c>
      <c r="H2165">
        <v>194</v>
      </c>
      <c r="I2165">
        <v>0</v>
      </c>
      <c r="J2165">
        <v>0</v>
      </c>
      <c r="K2165">
        <v>729.892381</v>
      </c>
      <c r="L2165">
        <v>9.0305519999999397</v>
      </c>
      <c r="M2165">
        <v>171.86103352264701</v>
      </c>
      <c r="N2165">
        <v>0</v>
      </c>
      <c r="O2165" s="8" t="str">
        <f>formatIP(Table1[[#This Row],[Address A]])</f>
        <v>192.168.100.002</v>
      </c>
      <c r="P2165" s="8" t="str">
        <f>formatIP(Table1[[#This Row],[Address B]])</f>
        <v>157.055.235.147</v>
      </c>
      <c r="Q2165" s="8" t="e">
        <f>VLOOKUP(Table1[[#This Row],[Address A]],IP_Master[],4,FALSE)</f>
        <v>#N/A</v>
      </c>
      <c r="R2165" s="8" t="e">
        <f>VLOOKUP(Table1[[#This Row],[Address B]],IP_Master[],4,FALSE)</f>
        <v>#N/A</v>
      </c>
      <c r="S2165" s="8" t="e">
        <f>VLOOKUP(Table1[[#This Row],[Address A]],IP_Master[],2,FALSE)</f>
        <v>#N/A</v>
      </c>
      <c r="T2165" s="8" t="e">
        <f>VLOOKUP(Table1[[#This Row],[Address B]],IP_Master[],2,FALSE)</f>
        <v>#N/A</v>
      </c>
      <c r="U2165" s="9" t="e">
        <f>VLOOKUP(Table1[[#This Row],[Address A]],IP_Master[],3,FALSE)</f>
        <v>#N/A</v>
      </c>
      <c r="V2165" s="9" t="e">
        <f>VLOOKUP(Table1[[#This Row],[Address B]],IP_Master[],3,FALSE)</f>
        <v>#N/A</v>
      </c>
      <c r="W2165" s="9" t="str">
        <f>VLOOKUP(Table1[[#This Row],[Port B]],traffic_types[],2,FALSE)</f>
        <v>HTTP</v>
      </c>
    </row>
    <row r="2166" spans="1:23" x14ac:dyDescent="0.6">
      <c r="A2166" t="s">
        <v>224</v>
      </c>
      <c r="B2166">
        <v>60281</v>
      </c>
      <c r="C2166" t="s">
        <v>245</v>
      </c>
      <c r="D2166">
        <v>443</v>
      </c>
      <c r="E2166">
        <v>3</v>
      </c>
      <c r="F2166">
        <v>194</v>
      </c>
      <c r="G2166">
        <v>3</v>
      </c>
      <c r="H2166">
        <v>194</v>
      </c>
      <c r="I2166">
        <v>0</v>
      </c>
      <c r="J2166">
        <v>0</v>
      </c>
      <c r="K2166">
        <v>734.133601</v>
      </c>
      <c r="L2166">
        <v>8.9997849999999708</v>
      </c>
      <c r="M2166">
        <v>172.44856404903101</v>
      </c>
      <c r="N2166">
        <v>0</v>
      </c>
      <c r="O2166" s="8" t="str">
        <f>formatIP(Table1[[#This Row],[Address A]])</f>
        <v>192.168.100.002</v>
      </c>
      <c r="P2166" s="8" t="str">
        <f>formatIP(Table1[[#This Row],[Address B]])</f>
        <v>085.025.103.030</v>
      </c>
      <c r="Q2166" s="8" t="e">
        <f>VLOOKUP(Table1[[#This Row],[Address A]],IP_Master[],4,FALSE)</f>
        <v>#N/A</v>
      </c>
      <c r="R2166" s="8" t="e">
        <f>VLOOKUP(Table1[[#This Row],[Address B]],IP_Master[],4,FALSE)</f>
        <v>#N/A</v>
      </c>
      <c r="S2166" s="8" t="e">
        <f>VLOOKUP(Table1[[#This Row],[Address A]],IP_Master[],2,FALSE)</f>
        <v>#N/A</v>
      </c>
      <c r="T2166" s="8" t="e">
        <f>VLOOKUP(Table1[[#This Row],[Address B]],IP_Master[],2,FALSE)</f>
        <v>#N/A</v>
      </c>
      <c r="U2166" s="9" t="e">
        <f>VLOOKUP(Table1[[#This Row],[Address A]],IP_Master[],3,FALSE)</f>
        <v>#N/A</v>
      </c>
      <c r="V2166" s="9" t="e">
        <f>VLOOKUP(Table1[[#This Row],[Address B]],IP_Master[],3,FALSE)</f>
        <v>#N/A</v>
      </c>
      <c r="W2166" s="9" t="str">
        <f>VLOOKUP(Table1[[#This Row],[Port B]],traffic_types[],2,FALSE)</f>
        <v>HTTP/S</v>
      </c>
    </row>
    <row r="2167" spans="1:23" x14ac:dyDescent="0.6">
      <c r="A2167" t="s">
        <v>224</v>
      </c>
      <c r="B2167">
        <v>60282</v>
      </c>
      <c r="C2167" t="s">
        <v>245</v>
      </c>
      <c r="D2167">
        <v>80</v>
      </c>
      <c r="E2167">
        <v>3</v>
      </c>
      <c r="F2167">
        <v>194</v>
      </c>
      <c r="G2167">
        <v>3</v>
      </c>
      <c r="H2167">
        <v>194</v>
      </c>
      <c r="I2167">
        <v>0</v>
      </c>
      <c r="J2167">
        <v>0</v>
      </c>
      <c r="K2167">
        <v>736.16204400000004</v>
      </c>
      <c r="L2167">
        <v>8.9711879999999802</v>
      </c>
      <c r="M2167">
        <v>172.99826957143301</v>
      </c>
      <c r="N2167">
        <v>0</v>
      </c>
      <c r="O2167" s="8" t="str">
        <f>formatIP(Table1[[#This Row],[Address A]])</f>
        <v>192.168.100.002</v>
      </c>
      <c r="P2167" s="8" t="str">
        <f>formatIP(Table1[[#This Row],[Address B]])</f>
        <v>085.025.103.030</v>
      </c>
      <c r="Q2167" s="8" t="e">
        <f>VLOOKUP(Table1[[#This Row],[Address A]],IP_Master[],4,FALSE)</f>
        <v>#N/A</v>
      </c>
      <c r="R2167" s="8" t="e">
        <f>VLOOKUP(Table1[[#This Row],[Address B]],IP_Master[],4,FALSE)</f>
        <v>#N/A</v>
      </c>
      <c r="S2167" s="8" t="e">
        <f>VLOOKUP(Table1[[#This Row],[Address A]],IP_Master[],2,FALSE)</f>
        <v>#N/A</v>
      </c>
      <c r="T2167" s="8" t="e">
        <f>VLOOKUP(Table1[[#This Row],[Address B]],IP_Master[],2,FALSE)</f>
        <v>#N/A</v>
      </c>
      <c r="U2167" s="9" t="e">
        <f>VLOOKUP(Table1[[#This Row],[Address A]],IP_Master[],3,FALSE)</f>
        <v>#N/A</v>
      </c>
      <c r="V2167" s="9" t="e">
        <f>VLOOKUP(Table1[[#This Row],[Address B]],IP_Master[],3,FALSE)</f>
        <v>#N/A</v>
      </c>
      <c r="W2167" s="9" t="str">
        <f>VLOOKUP(Table1[[#This Row],[Port B]],traffic_types[],2,FALSE)</f>
        <v>HTTP</v>
      </c>
    </row>
    <row r="2168" spans="1:23" hidden="1" x14ac:dyDescent="0.6">
      <c r="A2168" t="s">
        <v>224</v>
      </c>
      <c r="B2168">
        <v>60283</v>
      </c>
      <c r="C2168" t="s">
        <v>339</v>
      </c>
      <c r="D2168">
        <v>40024</v>
      </c>
      <c r="E2168">
        <v>3</v>
      </c>
      <c r="F2168">
        <v>194</v>
      </c>
      <c r="G2168">
        <v>3</v>
      </c>
      <c r="H2168">
        <v>194</v>
      </c>
      <c r="I2168">
        <v>0</v>
      </c>
      <c r="J2168">
        <v>0</v>
      </c>
      <c r="K2168">
        <v>737.84590200000002</v>
      </c>
      <c r="L2168">
        <v>8.9974929999999596</v>
      </c>
      <c r="M2168">
        <v>172.492493186714</v>
      </c>
      <c r="N2168">
        <v>0</v>
      </c>
      <c r="O2168" s="8" t="str">
        <f>formatIP(Table1[[#This Row],[Address A]])</f>
        <v>192.168.100.002</v>
      </c>
      <c r="P2168" s="8" t="str">
        <f>formatIP(Table1[[#This Row],[Address B]])</f>
        <v>157.055.130.162</v>
      </c>
      <c r="Q2168" s="8" t="e">
        <f>VLOOKUP(Table1[[#This Row],[Address A]],IP_Master[],4,FALSE)</f>
        <v>#N/A</v>
      </c>
      <c r="R2168" s="8" t="e">
        <f>VLOOKUP(Table1[[#This Row],[Address B]],IP_Master[],4,FALSE)</f>
        <v>#N/A</v>
      </c>
      <c r="S2168" s="8" t="e">
        <f>VLOOKUP(Table1[[#This Row],[Address A]],IP_Master[],2,FALSE)</f>
        <v>#N/A</v>
      </c>
      <c r="T2168" s="8" t="e">
        <f>VLOOKUP(Table1[[#This Row],[Address B]],IP_Master[],2,FALSE)</f>
        <v>#N/A</v>
      </c>
      <c r="U2168" s="9" t="e">
        <f>VLOOKUP(Table1[[#This Row],[Address A]],IP_Master[],3,FALSE)</f>
        <v>#N/A</v>
      </c>
      <c r="V2168" s="9" t="e">
        <f>VLOOKUP(Table1[[#This Row],[Address B]],IP_Master[],3,FALSE)</f>
        <v>#N/A</v>
      </c>
      <c r="W2168" s="9" t="e">
        <f>VLOOKUP(Table1[[#This Row],[Port B]],traffic_types[],2,FALSE)</f>
        <v>#N/A</v>
      </c>
    </row>
    <row r="2169" spans="1:23" x14ac:dyDescent="0.6">
      <c r="A2169" t="s">
        <v>224</v>
      </c>
      <c r="B2169">
        <v>60284</v>
      </c>
      <c r="C2169" t="s">
        <v>339</v>
      </c>
      <c r="D2169">
        <v>443</v>
      </c>
      <c r="E2169">
        <v>3</v>
      </c>
      <c r="F2169">
        <v>194</v>
      </c>
      <c r="G2169">
        <v>3</v>
      </c>
      <c r="H2169">
        <v>194</v>
      </c>
      <c r="I2169">
        <v>0</v>
      </c>
      <c r="J2169">
        <v>0</v>
      </c>
      <c r="K2169">
        <v>739.46389799999997</v>
      </c>
      <c r="L2169">
        <v>8.9994179999999897</v>
      </c>
      <c r="M2169">
        <v>172.455596573023</v>
      </c>
      <c r="N2169">
        <v>0</v>
      </c>
      <c r="O2169" s="8" t="str">
        <f>formatIP(Table1[[#This Row],[Address A]])</f>
        <v>192.168.100.002</v>
      </c>
      <c r="P2169" s="8" t="str">
        <f>formatIP(Table1[[#This Row],[Address B]])</f>
        <v>157.055.130.162</v>
      </c>
      <c r="Q2169" s="8" t="e">
        <f>VLOOKUP(Table1[[#This Row],[Address A]],IP_Master[],4,FALSE)</f>
        <v>#N/A</v>
      </c>
      <c r="R2169" s="8" t="e">
        <f>VLOOKUP(Table1[[#This Row],[Address B]],IP_Master[],4,FALSE)</f>
        <v>#N/A</v>
      </c>
      <c r="S2169" s="8" t="e">
        <f>VLOOKUP(Table1[[#This Row],[Address A]],IP_Master[],2,FALSE)</f>
        <v>#N/A</v>
      </c>
      <c r="T2169" s="8" t="e">
        <f>VLOOKUP(Table1[[#This Row],[Address B]],IP_Master[],2,FALSE)</f>
        <v>#N/A</v>
      </c>
      <c r="U2169" s="9" t="e">
        <f>VLOOKUP(Table1[[#This Row],[Address A]],IP_Master[],3,FALSE)</f>
        <v>#N/A</v>
      </c>
      <c r="V2169" s="9" t="e">
        <f>VLOOKUP(Table1[[#This Row],[Address B]],IP_Master[],3,FALSE)</f>
        <v>#N/A</v>
      </c>
      <c r="W2169" s="9" t="str">
        <f>VLOOKUP(Table1[[#This Row],[Port B]],traffic_types[],2,FALSE)</f>
        <v>HTTP/S</v>
      </c>
    </row>
    <row r="2170" spans="1:23" x14ac:dyDescent="0.6">
      <c r="A2170" t="s">
        <v>224</v>
      </c>
      <c r="B2170">
        <v>60285</v>
      </c>
      <c r="C2170" t="s">
        <v>339</v>
      </c>
      <c r="D2170">
        <v>80</v>
      </c>
      <c r="E2170">
        <v>3</v>
      </c>
      <c r="F2170">
        <v>194</v>
      </c>
      <c r="G2170">
        <v>3</v>
      </c>
      <c r="H2170">
        <v>194</v>
      </c>
      <c r="I2170">
        <v>0</v>
      </c>
      <c r="J2170">
        <v>0</v>
      </c>
      <c r="K2170">
        <v>741.07369700000004</v>
      </c>
      <c r="L2170">
        <v>8.9996109999999607</v>
      </c>
      <c r="M2170">
        <v>172.451898198712</v>
      </c>
      <c r="N2170">
        <v>0</v>
      </c>
      <c r="O2170" s="8" t="str">
        <f>formatIP(Table1[[#This Row],[Address A]])</f>
        <v>192.168.100.002</v>
      </c>
      <c r="P2170" s="8" t="str">
        <f>formatIP(Table1[[#This Row],[Address B]])</f>
        <v>157.055.130.162</v>
      </c>
      <c r="Q2170" s="8" t="e">
        <f>VLOOKUP(Table1[[#This Row],[Address A]],IP_Master[],4,FALSE)</f>
        <v>#N/A</v>
      </c>
      <c r="R2170" s="8" t="e">
        <f>VLOOKUP(Table1[[#This Row],[Address B]],IP_Master[],4,FALSE)</f>
        <v>#N/A</v>
      </c>
      <c r="S2170" s="8" t="e">
        <f>VLOOKUP(Table1[[#This Row],[Address A]],IP_Master[],2,FALSE)</f>
        <v>#N/A</v>
      </c>
      <c r="T2170" s="8" t="e">
        <f>VLOOKUP(Table1[[#This Row],[Address B]],IP_Master[],2,FALSE)</f>
        <v>#N/A</v>
      </c>
      <c r="U2170" s="9" t="e">
        <f>VLOOKUP(Table1[[#This Row],[Address A]],IP_Master[],3,FALSE)</f>
        <v>#N/A</v>
      </c>
      <c r="V2170" s="9" t="e">
        <f>VLOOKUP(Table1[[#This Row],[Address B]],IP_Master[],3,FALSE)</f>
        <v>#N/A</v>
      </c>
      <c r="W2170" s="9" t="str">
        <f>VLOOKUP(Table1[[#This Row],[Port B]],traffic_types[],2,FALSE)</f>
        <v>HTTP</v>
      </c>
    </row>
    <row r="2171" spans="1:23" hidden="1" x14ac:dyDescent="0.6">
      <c r="A2171" t="s">
        <v>224</v>
      </c>
      <c r="B2171">
        <v>60286</v>
      </c>
      <c r="C2171" t="s">
        <v>340</v>
      </c>
      <c r="D2171">
        <v>40027</v>
      </c>
      <c r="E2171">
        <v>3</v>
      </c>
      <c r="F2171">
        <v>194</v>
      </c>
      <c r="G2171">
        <v>3</v>
      </c>
      <c r="H2171">
        <v>194</v>
      </c>
      <c r="I2171">
        <v>0</v>
      </c>
      <c r="J2171">
        <v>0</v>
      </c>
      <c r="K2171">
        <v>749.92459599999995</v>
      </c>
      <c r="L2171">
        <v>8.9995860000000203</v>
      </c>
      <c r="M2171">
        <v>172.45237725379801</v>
      </c>
      <c r="N2171">
        <v>0</v>
      </c>
      <c r="O2171" s="8" t="str">
        <f>formatIP(Table1[[#This Row],[Address A]])</f>
        <v>192.168.100.002</v>
      </c>
      <c r="P2171" s="8" t="str">
        <f>formatIP(Table1[[#This Row],[Address B]])</f>
        <v>064.004.023.168</v>
      </c>
      <c r="Q2171" s="8" t="e">
        <f>VLOOKUP(Table1[[#This Row],[Address A]],IP_Master[],4,FALSE)</f>
        <v>#N/A</v>
      </c>
      <c r="R2171" s="8" t="e">
        <f>VLOOKUP(Table1[[#This Row],[Address B]],IP_Master[],4,FALSE)</f>
        <v>#N/A</v>
      </c>
      <c r="S2171" s="8" t="e">
        <f>VLOOKUP(Table1[[#This Row],[Address A]],IP_Master[],2,FALSE)</f>
        <v>#N/A</v>
      </c>
      <c r="T2171" s="8" t="e">
        <f>VLOOKUP(Table1[[#This Row],[Address B]],IP_Master[],2,FALSE)</f>
        <v>#N/A</v>
      </c>
      <c r="U2171" s="9" t="e">
        <f>VLOOKUP(Table1[[#This Row],[Address A]],IP_Master[],3,FALSE)</f>
        <v>#N/A</v>
      </c>
      <c r="V2171" s="9" t="e">
        <f>VLOOKUP(Table1[[#This Row],[Address B]],IP_Master[],3,FALSE)</f>
        <v>#N/A</v>
      </c>
      <c r="W2171" s="9" t="e">
        <f>VLOOKUP(Table1[[#This Row],[Port B]],traffic_types[],2,FALSE)</f>
        <v>#N/A</v>
      </c>
    </row>
    <row r="2172" spans="1:23" hidden="1" x14ac:dyDescent="0.6">
      <c r="A2172" t="s">
        <v>224</v>
      </c>
      <c r="B2172">
        <v>60287</v>
      </c>
      <c r="C2172" t="s">
        <v>341</v>
      </c>
      <c r="D2172">
        <v>40028</v>
      </c>
      <c r="E2172">
        <v>3</v>
      </c>
      <c r="F2172">
        <v>194</v>
      </c>
      <c r="G2172">
        <v>3</v>
      </c>
      <c r="H2172">
        <v>194</v>
      </c>
      <c r="I2172">
        <v>0</v>
      </c>
      <c r="J2172">
        <v>0</v>
      </c>
      <c r="K2172">
        <v>750.94570799999997</v>
      </c>
      <c r="L2172">
        <v>9.0042839999999806</v>
      </c>
      <c r="M2172">
        <v>172.36239994207199</v>
      </c>
      <c r="N2172">
        <v>0</v>
      </c>
      <c r="O2172" s="8" t="str">
        <f>formatIP(Table1[[#This Row],[Address A]])</f>
        <v>192.168.100.002</v>
      </c>
      <c r="P2172" s="8" t="str">
        <f>formatIP(Table1[[#This Row],[Address B]])</f>
        <v>157.055.130.140</v>
      </c>
      <c r="Q2172" s="8" t="e">
        <f>VLOOKUP(Table1[[#This Row],[Address A]],IP_Master[],4,FALSE)</f>
        <v>#N/A</v>
      </c>
      <c r="R2172" s="8" t="e">
        <f>VLOOKUP(Table1[[#This Row],[Address B]],IP_Master[],4,FALSE)</f>
        <v>#N/A</v>
      </c>
      <c r="S2172" s="8" t="e">
        <f>VLOOKUP(Table1[[#This Row],[Address A]],IP_Master[],2,FALSE)</f>
        <v>#N/A</v>
      </c>
      <c r="T2172" s="8" t="e">
        <f>VLOOKUP(Table1[[#This Row],[Address B]],IP_Master[],2,FALSE)</f>
        <v>#N/A</v>
      </c>
      <c r="U2172" s="9" t="e">
        <f>VLOOKUP(Table1[[#This Row],[Address A]],IP_Master[],3,FALSE)</f>
        <v>#N/A</v>
      </c>
      <c r="V2172" s="9" t="e">
        <f>VLOOKUP(Table1[[#This Row],[Address B]],IP_Master[],3,FALSE)</f>
        <v>#N/A</v>
      </c>
      <c r="W2172" s="9" t="e">
        <f>VLOOKUP(Table1[[#This Row],[Port B]],traffic_types[],2,FALSE)</f>
        <v>#N/A</v>
      </c>
    </row>
    <row r="2173" spans="1:23" x14ac:dyDescent="0.6">
      <c r="A2173" t="s">
        <v>224</v>
      </c>
      <c r="B2173">
        <v>60288</v>
      </c>
      <c r="C2173" t="s">
        <v>340</v>
      </c>
      <c r="D2173">
        <v>443</v>
      </c>
      <c r="E2173">
        <v>3</v>
      </c>
      <c r="F2173">
        <v>194</v>
      </c>
      <c r="G2173">
        <v>3</v>
      </c>
      <c r="H2173">
        <v>194</v>
      </c>
      <c r="I2173">
        <v>0</v>
      </c>
      <c r="J2173">
        <v>0</v>
      </c>
      <c r="K2173">
        <v>751.53474200000005</v>
      </c>
      <c r="L2173">
        <v>8.9996029999999791</v>
      </c>
      <c r="M2173">
        <v>172.45205149604999</v>
      </c>
      <c r="N2173">
        <v>0</v>
      </c>
      <c r="O2173" s="8" t="str">
        <f>formatIP(Table1[[#This Row],[Address A]])</f>
        <v>192.168.100.002</v>
      </c>
      <c r="P2173" s="8" t="str">
        <f>formatIP(Table1[[#This Row],[Address B]])</f>
        <v>064.004.023.168</v>
      </c>
      <c r="Q2173" s="8" t="e">
        <f>VLOOKUP(Table1[[#This Row],[Address A]],IP_Master[],4,FALSE)</f>
        <v>#N/A</v>
      </c>
      <c r="R2173" s="8" t="e">
        <f>VLOOKUP(Table1[[#This Row],[Address B]],IP_Master[],4,FALSE)</f>
        <v>#N/A</v>
      </c>
      <c r="S2173" s="8" t="e">
        <f>VLOOKUP(Table1[[#This Row],[Address A]],IP_Master[],2,FALSE)</f>
        <v>#N/A</v>
      </c>
      <c r="T2173" s="8" t="e">
        <f>VLOOKUP(Table1[[#This Row],[Address B]],IP_Master[],2,FALSE)</f>
        <v>#N/A</v>
      </c>
      <c r="U2173" s="9" t="e">
        <f>VLOOKUP(Table1[[#This Row],[Address A]],IP_Master[],3,FALSE)</f>
        <v>#N/A</v>
      </c>
      <c r="V2173" s="9" t="e">
        <f>VLOOKUP(Table1[[#This Row],[Address B]],IP_Master[],3,FALSE)</f>
        <v>#N/A</v>
      </c>
      <c r="W2173" s="9" t="str">
        <f>VLOOKUP(Table1[[#This Row],[Port B]],traffic_types[],2,FALSE)</f>
        <v>HTTP/S</v>
      </c>
    </row>
    <row r="2174" spans="1:23" x14ac:dyDescent="0.6">
      <c r="A2174" t="s">
        <v>224</v>
      </c>
      <c r="B2174">
        <v>60289</v>
      </c>
      <c r="C2174" t="s">
        <v>341</v>
      </c>
      <c r="D2174">
        <v>443</v>
      </c>
      <c r="E2174">
        <v>3</v>
      </c>
      <c r="F2174">
        <v>194</v>
      </c>
      <c r="G2174">
        <v>3</v>
      </c>
      <c r="H2174">
        <v>194</v>
      </c>
      <c r="I2174">
        <v>0</v>
      </c>
      <c r="J2174">
        <v>0</v>
      </c>
      <c r="K2174">
        <v>752.56474100000003</v>
      </c>
      <c r="L2174">
        <v>9.0289030000000103</v>
      </c>
      <c r="M2174">
        <v>171.89242148243201</v>
      </c>
      <c r="N2174">
        <v>0</v>
      </c>
      <c r="O2174" s="8" t="str">
        <f>formatIP(Table1[[#This Row],[Address A]])</f>
        <v>192.168.100.002</v>
      </c>
      <c r="P2174" s="8" t="str">
        <f>formatIP(Table1[[#This Row],[Address B]])</f>
        <v>157.055.130.140</v>
      </c>
      <c r="Q2174" s="8" t="e">
        <f>VLOOKUP(Table1[[#This Row],[Address A]],IP_Master[],4,FALSE)</f>
        <v>#N/A</v>
      </c>
      <c r="R2174" s="8" t="e">
        <f>VLOOKUP(Table1[[#This Row],[Address B]],IP_Master[],4,FALSE)</f>
        <v>#N/A</v>
      </c>
      <c r="S2174" s="8" t="e">
        <f>VLOOKUP(Table1[[#This Row],[Address A]],IP_Master[],2,FALSE)</f>
        <v>#N/A</v>
      </c>
      <c r="T2174" s="8" t="e">
        <f>VLOOKUP(Table1[[#This Row],[Address B]],IP_Master[],2,FALSE)</f>
        <v>#N/A</v>
      </c>
      <c r="U2174" s="9" t="e">
        <f>VLOOKUP(Table1[[#This Row],[Address A]],IP_Master[],3,FALSE)</f>
        <v>#N/A</v>
      </c>
      <c r="V2174" s="9" t="e">
        <f>VLOOKUP(Table1[[#This Row],[Address B]],IP_Master[],3,FALSE)</f>
        <v>#N/A</v>
      </c>
      <c r="W2174" s="9" t="str">
        <f>VLOOKUP(Table1[[#This Row],[Port B]],traffic_types[],2,FALSE)</f>
        <v>HTTP/S</v>
      </c>
    </row>
    <row r="2175" spans="1:23" x14ac:dyDescent="0.6">
      <c r="A2175" t="s">
        <v>224</v>
      </c>
      <c r="B2175">
        <v>60290</v>
      </c>
      <c r="C2175" t="s">
        <v>340</v>
      </c>
      <c r="D2175">
        <v>80</v>
      </c>
      <c r="E2175">
        <v>3</v>
      </c>
      <c r="F2175">
        <v>194</v>
      </c>
      <c r="G2175">
        <v>3</v>
      </c>
      <c r="H2175">
        <v>194</v>
      </c>
      <c r="I2175">
        <v>0</v>
      </c>
      <c r="J2175">
        <v>0</v>
      </c>
      <c r="K2175">
        <v>753.14467300000001</v>
      </c>
      <c r="L2175">
        <v>9.0053430000000407</v>
      </c>
      <c r="M2175">
        <v>172.34213066620501</v>
      </c>
      <c r="N2175">
        <v>0</v>
      </c>
      <c r="O2175" s="8" t="str">
        <f>formatIP(Table1[[#This Row],[Address A]])</f>
        <v>192.168.100.002</v>
      </c>
      <c r="P2175" s="8" t="str">
        <f>formatIP(Table1[[#This Row],[Address B]])</f>
        <v>064.004.023.168</v>
      </c>
      <c r="Q2175" s="8" t="e">
        <f>VLOOKUP(Table1[[#This Row],[Address A]],IP_Master[],4,FALSE)</f>
        <v>#N/A</v>
      </c>
      <c r="R2175" s="8" t="e">
        <f>VLOOKUP(Table1[[#This Row],[Address B]],IP_Master[],4,FALSE)</f>
        <v>#N/A</v>
      </c>
      <c r="S2175" s="8" t="e">
        <f>VLOOKUP(Table1[[#This Row],[Address A]],IP_Master[],2,FALSE)</f>
        <v>#N/A</v>
      </c>
      <c r="T2175" s="8" t="e">
        <f>VLOOKUP(Table1[[#This Row],[Address B]],IP_Master[],2,FALSE)</f>
        <v>#N/A</v>
      </c>
      <c r="U2175" s="9" t="e">
        <f>VLOOKUP(Table1[[#This Row],[Address A]],IP_Master[],3,FALSE)</f>
        <v>#N/A</v>
      </c>
      <c r="V2175" s="9" t="e">
        <f>VLOOKUP(Table1[[#This Row],[Address B]],IP_Master[],3,FALSE)</f>
        <v>#N/A</v>
      </c>
      <c r="W2175" s="9" t="str">
        <f>VLOOKUP(Table1[[#This Row],[Port B]],traffic_types[],2,FALSE)</f>
        <v>HTTP</v>
      </c>
    </row>
    <row r="2176" spans="1:23" x14ac:dyDescent="0.6">
      <c r="A2176" t="s">
        <v>224</v>
      </c>
      <c r="B2176">
        <v>60291</v>
      </c>
      <c r="C2176" t="s">
        <v>341</v>
      </c>
      <c r="D2176">
        <v>80</v>
      </c>
      <c r="E2176">
        <v>3</v>
      </c>
      <c r="F2176">
        <v>194</v>
      </c>
      <c r="G2176">
        <v>3</v>
      </c>
      <c r="H2176">
        <v>194</v>
      </c>
      <c r="I2176">
        <v>0</v>
      </c>
      <c r="J2176">
        <v>0</v>
      </c>
      <c r="K2176">
        <v>754.174576</v>
      </c>
      <c r="L2176">
        <v>9.0007000000000499</v>
      </c>
      <c r="M2176">
        <v>172.43103314186601</v>
      </c>
      <c r="N2176">
        <v>0</v>
      </c>
      <c r="O2176" s="8" t="str">
        <f>formatIP(Table1[[#This Row],[Address A]])</f>
        <v>192.168.100.002</v>
      </c>
      <c r="P2176" s="8" t="str">
        <f>formatIP(Table1[[#This Row],[Address B]])</f>
        <v>157.055.130.140</v>
      </c>
      <c r="Q2176" s="8" t="e">
        <f>VLOOKUP(Table1[[#This Row],[Address A]],IP_Master[],4,FALSE)</f>
        <v>#N/A</v>
      </c>
      <c r="R2176" s="8" t="e">
        <f>VLOOKUP(Table1[[#This Row],[Address B]],IP_Master[],4,FALSE)</f>
        <v>#N/A</v>
      </c>
      <c r="S2176" s="8" t="e">
        <f>VLOOKUP(Table1[[#This Row],[Address A]],IP_Master[],2,FALSE)</f>
        <v>#N/A</v>
      </c>
      <c r="T2176" s="8" t="e">
        <f>VLOOKUP(Table1[[#This Row],[Address B]],IP_Master[],2,FALSE)</f>
        <v>#N/A</v>
      </c>
      <c r="U2176" s="9" t="e">
        <f>VLOOKUP(Table1[[#This Row],[Address A]],IP_Master[],3,FALSE)</f>
        <v>#N/A</v>
      </c>
      <c r="V2176" s="9" t="e">
        <f>VLOOKUP(Table1[[#This Row],[Address B]],IP_Master[],3,FALSE)</f>
        <v>#N/A</v>
      </c>
      <c r="W2176" s="9" t="str">
        <f>VLOOKUP(Table1[[#This Row],[Port B]],traffic_types[],2,FALSE)</f>
        <v>HTTP</v>
      </c>
    </row>
    <row r="2177" spans="1:23" hidden="1" x14ac:dyDescent="0.6">
      <c r="A2177" t="s">
        <v>224</v>
      </c>
      <c r="B2177">
        <v>60292</v>
      </c>
      <c r="C2177" t="s">
        <v>342</v>
      </c>
      <c r="D2177">
        <v>40029</v>
      </c>
      <c r="E2177">
        <v>3</v>
      </c>
      <c r="F2177">
        <v>194</v>
      </c>
      <c r="G2177">
        <v>3</v>
      </c>
      <c r="H2177">
        <v>194</v>
      </c>
      <c r="I2177">
        <v>0</v>
      </c>
      <c r="J2177">
        <v>0</v>
      </c>
      <c r="K2177">
        <v>762.12575100000004</v>
      </c>
      <c r="L2177">
        <v>8.9995279999999394</v>
      </c>
      <c r="M2177">
        <v>172.45348867185101</v>
      </c>
      <c r="N2177">
        <v>0</v>
      </c>
      <c r="O2177" s="8" t="str">
        <f>formatIP(Table1[[#This Row],[Address A]])</f>
        <v>192.168.100.002</v>
      </c>
      <c r="P2177" s="8" t="str">
        <f>formatIP(Table1[[#This Row],[Address B]])</f>
        <v>064.004.023.163</v>
      </c>
      <c r="Q2177" s="8" t="e">
        <f>VLOOKUP(Table1[[#This Row],[Address A]],IP_Master[],4,FALSE)</f>
        <v>#N/A</v>
      </c>
      <c r="R2177" s="8" t="e">
        <f>VLOOKUP(Table1[[#This Row],[Address B]],IP_Master[],4,FALSE)</f>
        <v>#N/A</v>
      </c>
      <c r="S2177" s="8" t="e">
        <f>VLOOKUP(Table1[[#This Row],[Address A]],IP_Master[],2,FALSE)</f>
        <v>#N/A</v>
      </c>
      <c r="T2177" s="8" t="e">
        <f>VLOOKUP(Table1[[#This Row],[Address B]],IP_Master[],2,FALSE)</f>
        <v>#N/A</v>
      </c>
      <c r="U2177" s="9" t="e">
        <f>VLOOKUP(Table1[[#This Row],[Address A]],IP_Master[],3,FALSE)</f>
        <v>#N/A</v>
      </c>
      <c r="V2177" s="9" t="e">
        <f>VLOOKUP(Table1[[#This Row],[Address B]],IP_Master[],3,FALSE)</f>
        <v>#N/A</v>
      </c>
      <c r="W2177" s="9" t="e">
        <f>VLOOKUP(Table1[[#This Row],[Port B]],traffic_types[],2,FALSE)</f>
        <v>#N/A</v>
      </c>
    </row>
    <row r="2178" spans="1:23" x14ac:dyDescent="0.6">
      <c r="A2178" t="s">
        <v>224</v>
      </c>
      <c r="B2178">
        <v>60293</v>
      </c>
      <c r="C2178" t="s">
        <v>342</v>
      </c>
      <c r="D2178">
        <v>443</v>
      </c>
      <c r="E2178">
        <v>3</v>
      </c>
      <c r="F2178">
        <v>194</v>
      </c>
      <c r="G2178">
        <v>3</v>
      </c>
      <c r="H2178">
        <v>194</v>
      </c>
      <c r="I2178">
        <v>0</v>
      </c>
      <c r="J2178">
        <v>0</v>
      </c>
      <c r="K2178">
        <v>763.73570700000005</v>
      </c>
      <c r="L2178">
        <v>8.9995739999999405</v>
      </c>
      <c r="M2178">
        <v>172.452607201186</v>
      </c>
      <c r="N2178">
        <v>0</v>
      </c>
      <c r="O2178" s="8" t="str">
        <f>formatIP(Table1[[#This Row],[Address A]])</f>
        <v>192.168.100.002</v>
      </c>
      <c r="P2178" s="8" t="str">
        <f>formatIP(Table1[[#This Row],[Address B]])</f>
        <v>064.004.023.163</v>
      </c>
      <c r="Q2178" s="8" t="e">
        <f>VLOOKUP(Table1[[#This Row],[Address A]],IP_Master[],4,FALSE)</f>
        <v>#N/A</v>
      </c>
      <c r="R2178" s="8" t="e">
        <f>VLOOKUP(Table1[[#This Row],[Address B]],IP_Master[],4,FALSE)</f>
        <v>#N/A</v>
      </c>
      <c r="S2178" s="8" t="e">
        <f>VLOOKUP(Table1[[#This Row],[Address A]],IP_Master[],2,FALSE)</f>
        <v>#N/A</v>
      </c>
      <c r="T2178" s="8" t="e">
        <f>VLOOKUP(Table1[[#This Row],[Address B]],IP_Master[],2,FALSE)</f>
        <v>#N/A</v>
      </c>
      <c r="U2178" s="9" t="e">
        <f>VLOOKUP(Table1[[#This Row],[Address A]],IP_Master[],3,FALSE)</f>
        <v>#N/A</v>
      </c>
      <c r="V2178" s="9" t="e">
        <f>VLOOKUP(Table1[[#This Row],[Address B]],IP_Master[],3,FALSE)</f>
        <v>#N/A</v>
      </c>
      <c r="W2178" s="9" t="str">
        <f>VLOOKUP(Table1[[#This Row],[Port B]],traffic_types[],2,FALSE)</f>
        <v>HTTP/S</v>
      </c>
    </row>
    <row r="2179" spans="1:23" x14ac:dyDescent="0.6">
      <c r="A2179" t="s">
        <v>224</v>
      </c>
      <c r="B2179">
        <v>60294</v>
      </c>
      <c r="C2179" t="s">
        <v>342</v>
      </c>
      <c r="D2179">
        <v>80</v>
      </c>
      <c r="E2179">
        <v>3</v>
      </c>
      <c r="F2179">
        <v>194</v>
      </c>
      <c r="G2179">
        <v>3</v>
      </c>
      <c r="H2179">
        <v>194</v>
      </c>
      <c r="I2179">
        <v>0</v>
      </c>
      <c r="J2179">
        <v>0</v>
      </c>
      <c r="K2179">
        <v>765.35576200000003</v>
      </c>
      <c r="L2179">
        <v>8.9994070000000193</v>
      </c>
      <c r="M2179">
        <v>172.45580736597401</v>
      </c>
      <c r="N2179">
        <v>0</v>
      </c>
      <c r="O2179" s="8" t="str">
        <f>formatIP(Table1[[#This Row],[Address A]])</f>
        <v>192.168.100.002</v>
      </c>
      <c r="P2179" s="8" t="str">
        <f>formatIP(Table1[[#This Row],[Address B]])</f>
        <v>064.004.023.163</v>
      </c>
      <c r="Q2179" s="8" t="e">
        <f>VLOOKUP(Table1[[#This Row],[Address A]],IP_Master[],4,FALSE)</f>
        <v>#N/A</v>
      </c>
      <c r="R2179" s="8" t="e">
        <f>VLOOKUP(Table1[[#This Row],[Address B]],IP_Master[],4,FALSE)</f>
        <v>#N/A</v>
      </c>
      <c r="S2179" s="8" t="e">
        <f>VLOOKUP(Table1[[#This Row],[Address A]],IP_Master[],2,FALSE)</f>
        <v>#N/A</v>
      </c>
      <c r="T2179" s="8" t="e">
        <f>VLOOKUP(Table1[[#This Row],[Address B]],IP_Master[],2,FALSE)</f>
        <v>#N/A</v>
      </c>
      <c r="U2179" s="9" t="e">
        <f>VLOOKUP(Table1[[#This Row],[Address A]],IP_Master[],3,FALSE)</f>
        <v>#N/A</v>
      </c>
      <c r="V2179" s="9" t="e">
        <f>VLOOKUP(Table1[[#This Row],[Address B]],IP_Master[],3,FALSE)</f>
        <v>#N/A</v>
      </c>
      <c r="W2179" s="9" t="str">
        <f>VLOOKUP(Table1[[#This Row],[Port B]],traffic_types[],2,FALSE)</f>
        <v>HTTP</v>
      </c>
    </row>
    <row r="2180" spans="1:23" hidden="1" x14ac:dyDescent="0.6">
      <c r="A2180" t="s">
        <v>224</v>
      </c>
      <c r="B2180">
        <v>60295</v>
      </c>
      <c r="C2180" t="s">
        <v>343</v>
      </c>
      <c r="D2180">
        <v>40035</v>
      </c>
      <c r="E2180">
        <v>3</v>
      </c>
      <c r="F2180">
        <v>194</v>
      </c>
      <c r="G2180">
        <v>3</v>
      </c>
      <c r="H2180">
        <v>194</v>
      </c>
      <c r="I2180">
        <v>0</v>
      </c>
      <c r="J2180">
        <v>0</v>
      </c>
      <c r="K2180">
        <v>774.39667799999995</v>
      </c>
      <c r="L2180">
        <v>8.9994560000000092</v>
      </c>
      <c r="M2180">
        <v>172.454868383155</v>
      </c>
      <c r="N2180">
        <v>0</v>
      </c>
      <c r="O2180" s="8" t="str">
        <f>formatIP(Table1[[#This Row],[Address A]])</f>
        <v>192.168.100.002</v>
      </c>
      <c r="P2180" s="8" t="str">
        <f>formatIP(Table1[[#This Row],[Address B]])</f>
        <v>157.055.235.149</v>
      </c>
      <c r="Q2180" s="8" t="e">
        <f>VLOOKUP(Table1[[#This Row],[Address A]],IP_Master[],4,FALSE)</f>
        <v>#N/A</v>
      </c>
      <c r="R2180" s="8" t="e">
        <f>VLOOKUP(Table1[[#This Row],[Address B]],IP_Master[],4,FALSE)</f>
        <v>#N/A</v>
      </c>
      <c r="S2180" s="8" t="e">
        <f>VLOOKUP(Table1[[#This Row],[Address A]],IP_Master[],2,FALSE)</f>
        <v>#N/A</v>
      </c>
      <c r="T2180" s="8" t="e">
        <f>VLOOKUP(Table1[[#This Row],[Address B]],IP_Master[],2,FALSE)</f>
        <v>#N/A</v>
      </c>
      <c r="U2180" s="9" t="e">
        <f>VLOOKUP(Table1[[#This Row],[Address A]],IP_Master[],3,FALSE)</f>
        <v>#N/A</v>
      </c>
      <c r="V2180" s="9" t="e">
        <f>VLOOKUP(Table1[[#This Row],[Address B]],IP_Master[],3,FALSE)</f>
        <v>#N/A</v>
      </c>
      <c r="W2180" s="9" t="e">
        <f>VLOOKUP(Table1[[#This Row],[Port B]],traffic_types[],2,FALSE)</f>
        <v>#N/A</v>
      </c>
    </row>
    <row r="2181" spans="1:23" hidden="1" x14ac:dyDescent="0.6">
      <c r="A2181" t="s">
        <v>224</v>
      </c>
      <c r="B2181">
        <v>60296</v>
      </c>
      <c r="C2181" t="s">
        <v>344</v>
      </c>
      <c r="D2181">
        <v>40010</v>
      </c>
      <c r="E2181">
        <v>3</v>
      </c>
      <c r="F2181">
        <v>194</v>
      </c>
      <c r="G2181">
        <v>3</v>
      </c>
      <c r="H2181">
        <v>194</v>
      </c>
      <c r="I2181">
        <v>0</v>
      </c>
      <c r="J2181">
        <v>0</v>
      </c>
      <c r="K2181">
        <v>775.42731400000002</v>
      </c>
      <c r="L2181">
        <v>9.0097529999999306</v>
      </c>
      <c r="M2181">
        <v>172.25777443621499</v>
      </c>
      <c r="N2181">
        <v>0</v>
      </c>
      <c r="O2181" s="8" t="str">
        <f>formatIP(Table1[[#This Row],[Address A]])</f>
        <v>192.168.100.002</v>
      </c>
      <c r="P2181" s="8" t="str">
        <f>formatIP(Table1[[#This Row],[Address B]])</f>
        <v>157.055.130.173</v>
      </c>
      <c r="Q2181" s="8" t="e">
        <f>VLOOKUP(Table1[[#This Row],[Address A]],IP_Master[],4,FALSE)</f>
        <v>#N/A</v>
      </c>
      <c r="R2181" s="8" t="e">
        <f>VLOOKUP(Table1[[#This Row],[Address B]],IP_Master[],4,FALSE)</f>
        <v>#N/A</v>
      </c>
      <c r="S2181" s="8" t="e">
        <f>VLOOKUP(Table1[[#This Row],[Address A]],IP_Master[],2,FALSE)</f>
        <v>#N/A</v>
      </c>
      <c r="T2181" s="8" t="e">
        <f>VLOOKUP(Table1[[#This Row],[Address B]],IP_Master[],2,FALSE)</f>
        <v>#N/A</v>
      </c>
      <c r="U2181" s="9" t="e">
        <f>VLOOKUP(Table1[[#This Row],[Address A]],IP_Master[],3,FALSE)</f>
        <v>#N/A</v>
      </c>
      <c r="V2181" s="9" t="e">
        <f>VLOOKUP(Table1[[#This Row],[Address B]],IP_Master[],3,FALSE)</f>
        <v>#N/A</v>
      </c>
      <c r="W2181" s="9" t="e">
        <f>VLOOKUP(Table1[[#This Row],[Port B]],traffic_types[],2,FALSE)</f>
        <v>#N/A</v>
      </c>
    </row>
    <row r="2182" spans="1:23" x14ac:dyDescent="0.6">
      <c r="A2182" t="s">
        <v>224</v>
      </c>
      <c r="B2182">
        <v>60297</v>
      </c>
      <c r="C2182" t="s">
        <v>343</v>
      </c>
      <c r="D2182">
        <v>443</v>
      </c>
      <c r="E2182">
        <v>3</v>
      </c>
      <c r="F2182">
        <v>194</v>
      </c>
      <c r="G2182">
        <v>3</v>
      </c>
      <c r="H2182">
        <v>194</v>
      </c>
      <c r="I2182">
        <v>0</v>
      </c>
      <c r="J2182">
        <v>0</v>
      </c>
      <c r="K2182">
        <v>776.01664300000004</v>
      </c>
      <c r="L2182">
        <v>8.9994779999999501</v>
      </c>
      <c r="M2182">
        <v>172.45444680236</v>
      </c>
      <c r="N2182">
        <v>0</v>
      </c>
      <c r="O2182" s="8" t="str">
        <f>formatIP(Table1[[#This Row],[Address A]])</f>
        <v>192.168.100.002</v>
      </c>
      <c r="P2182" s="8" t="str">
        <f>formatIP(Table1[[#This Row],[Address B]])</f>
        <v>157.055.235.149</v>
      </c>
      <c r="Q2182" s="8" t="e">
        <f>VLOOKUP(Table1[[#This Row],[Address A]],IP_Master[],4,FALSE)</f>
        <v>#N/A</v>
      </c>
      <c r="R2182" s="8" t="e">
        <f>VLOOKUP(Table1[[#This Row],[Address B]],IP_Master[],4,FALSE)</f>
        <v>#N/A</v>
      </c>
      <c r="S2182" s="8" t="e">
        <f>VLOOKUP(Table1[[#This Row],[Address A]],IP_Master[],2,FALSE)</f>
        <v>#N/A</v>
      </c>
      <c r="T2182" s="8" t="e">
        <f>VLOOKUP(Table1[[#This Row],[Address B]],IP_Master[],2,FALSE)</f>
        <v>#N/A</v>
      </c>
      <c r="U2182" s="9" t="e">
        <f>VLOOKUP(Table1[[#This Row],[Address A]],IP_Master[],3,FALSE)</f>
        <v>#N/A</v>
      </c>
      <c r="V2182" s="9" t="e">
        <f>VLOOKUP(Table1[[#This Row],[Address B]],IP_Master[],3,FALSE)</f>
        <v>#N/A</v>
      </c>
      <c r="W2182" s="9" t="str">
        <f>VLOOKUP(Table1[[#This Row],[Port B]],traffic_types[],2,FALSE)</f>
        <v>HTTP/S</v>
      </c>
    </row>
    <row r="2183" spans="1:23" x14ac:dyDescent="0.6">
      <c r="A2183" t="s">
        <v>224</v>
      </c>
      <c r="B2183">
        <v>60298</v>
      </c>
      <c r="C2183" t="s">
        <v>344</v>
      </c>
      <c r="D2183">
        <v>443</v>
      </c>
      <c r="E2183">
        <v>3</v>
      </c>
      <c r="F2183">
        <v>194</v>
      </c>
      <c r="G2183">
        <v>3</v>
      </c>
      <c r="H2183">
        <v>194</v>
      </c>
      <c r="I2183">
        <v>0</v>
      </c>
      <c r="J2183">
        <v>0</v>
      </c>
      <c r="K2183">
        <v>777.04658400000005</v>
      </c>
      <c r="L2183">
        <v>8.9994789999999494</v>
      </c>
      <c r="M2183">
        <v>172.45442763964499</v>
      </c>
      <c r="N2183">
        <v>0</v>
      </c>
      <c r="O2183" s="8" t="str">
        <f>formatIP(Table1[[#This Row],[Address A]])</f>
        <v>192.168.100.002</v>
      </c>
      <c r="P2183" s="8" t="str">
        <f>formatIP(Table1[[#This Row],[Address B]])</f>
        <v>157.055.130.173</v>
      </c>
      <c r="Q2183" s="8" t="e">
        <f>VLOOKUP(Table1[[#This Row],[Address A]],IP_Master[],4,FALSE)</f>
        <v>#N/A</v>
      </c>
      <c r="R2183" s="8" t="e">
        <f>VLOOKUP(Table1[[#This Row],[Address B]],IP_Master[],4,FALSE)</f>
        <v>#N/A</v>
      </c>
      <c r="S2183" s="8" t="e">
        <f>VLOOKUP(Table1[[#This Row],[Address A]],IP_Master[],2,FALSE)</f>
        <v>#N/A</v>
      </c>
      <c r="T2183" s="8" t="e">
        <f>VLOOKUP(Table1[[#This Row],[Address B]],IP_Master[],2,FALSE)</f>
        <v>#N/A</v>
      </c>
      <c r="U2183" s="9" t="e">
        <f>VLOOKUP(Table1[[#This Row],[Address A]],IP_Master[],3,FALSE)</f>
        <v>#N/A</v>
      </c>
      <c r="V2183" s="9" t="e">
        <f>VLOOKUP(Table1[[#This Row],[Address B]],IP_Master[],3,FALSE)</f>
        <v>#N/A</v>
      </c>
      <c r="W2183" s="9" t="str">
        <f>VLOOKUP(Table1[[#This Row],[Port B]],traffic_types[],2,FALSE)</f>
        <v>HTTP/S</v>
      </c>
    </row>
    <row r="2184" spans="1:23" x14ac:dyDescent="0.6">
      <c r="A2184" t="s">
        <v>224</v>
      </c>
      <c r="B2184">
        <v>60299</v>
      </c>
      <c r="C2184" t="s">
        <v>343</v>
      </c>
      <c r="D2184">
        <v>80</v>
      </c>
      <c r="E2184">
        <v>3</v>
      </c>
      <c r="F2184">
        <v>194</v>
      </c>
      <c r="G2184">
        <v>3</v>
      </c>
      <c r="H2184">
        <v>194</v>
      </c>
      <c r="I2184">
        <v>0</v>
      </c>
      <c r="J2184">
        <v>0</v>
      </c>
      <c r="K2184">
        <v>777.63659399999995</v>
      </c>
      <c r="L2184">
        <v>8.9994710000000904</v>
      </c>
      <c r="M2184">
        <v>172.45458094147801</v>
      </c>
      <c r="N2184">
        <v>0</v>
      </c>
      <c r="O2184" s="8" t="str">
        <f>formatIP(Table1[[#This Row],[Address A]])</f>
        <v>192.168.100.002</v>
      </c>
      <c r="P2184" s="8" t="str">
        <f>formatIP(Table1[[#This Row],[Address B]])</f>
        <v>157.055.235.149</v>
      </c>
      <c r="Q2184" s="8" t="e">
        <f>VLOOKUP(Table1[[#This Row],[Address A]],IP_Master[],4,FALSE)</f>
        <v>#N/A</v>
      </c>
      <c r="R2184" s="8" t="e">
        <f>VLOOKUP(Table1[[#This Row],[Address B]],IP_Master[],4,FALSE)</f>
        <v>#N/A</v>
      </c>
      <c r="S2184" s="8" t="e">
        <f>VLOOKUP(Table1[[#This Row],[Address A]],IP_Master[],2,FALSE)</f>
        <v>#N/A</v>
      </c>
      <c r="T2184" s="8" t="e">
        <f>VLOOKUP(Table1[[#This Row],[Address B]],IP_Master[],2,FALSE)</f>
        <v>#N/A</v>
      </c>
      <c r="U2184" s="9" t="e">
        <f>VLOOKUP(Table1[[#This Row],[Address A]],IP_Master[],3,FALSE)</f>
        <v>#N/A</v>
      </c>
      <c r="V2184" s="9" t="e">
        <f>VLOOKUP(Table1[[#This Row],[Address B]],IP_Master[],3,FALSE)</f>
        <v>#N/A</v>
      </c>
      <c r="W2184" s="9" t="str">
        <f>VLOOKUP(Table1[[#This Row],[Port B]],traffic_types[],2,FALSE)</f>
        <v>HTTP</v>
      </c>
    </row>
    <row r="2185" spans="1:23" x14ac:dyDescent="0.6">
      <c r="A2185" t="s">
        <v>224</v>
      </c>
      <c r="B2185">
        <v>60300</v>
      </c>
      <c r="C2185" t="s">
        <v>344</v>
      </c>
      <c r="D2185">
        <v>80</v>
      </c>
      <c r="E2185">
        <v>3</v>
      </c>
      <c r="F2185">
        <v>194</v>
      </c>
      <c r="G2185">
        <v>3</v>
      </c>
      <c r="H2185">
        <v>194</v>
      </c>
      <c r="I2185">
        <v>0</v>
      </c>
      <c r="J2185">
        <v>0</v>
      </c>
      <c r="K2185">
        <v>778.66654400000004</v>
      </c>
      <c r="L2185">
        <v>9.0004159999999693</v>
      </c>
      <c r="M2185">
        <v>172.436474047422</v>
      </c>
      <c r="N2185">
        <v>0</v>
      </c>
      <c r="O2185" s="8" t="str">
        <f>formatIP(Table1[[#This Row],[Address A]])</f>
        <v>192.168.100.002</v>
      </c>
      <c r="P2185" s="8" t="str">
        <f>formatIP(Table1[[#This Row],[Address B]])</f>
        <v>157.055.130.173</v>
      </c>
      <c r="Q2185" s="8" t="e">
        <f>VLOOKUP(Table1[[#This Row],[Address A]],IP_Master[],4,FALSE)</f>
        <v>#N/A</v>
      </c>
      <c r="R2185" s="8" t="e">
        <f>VLOOKUP(Table1[[#This Row],[Address B]],IP_Master[],4,FALSE)</f>
        <v>#N/A</v>
      </c>
      <c r="S2185" s="8" t="e">
        <f>VLOOKUP(Table1[[#This Row],[Address A]],IP_Master[],2,FALSE)</f>
        <v>#N/A</v>
      </c>
      <c r="T2185" s="8" t="e">
        <f>VLOOKUP(Table1[[#This Row],[Address B]],IP_Master[],2,FALSE)</f>
        <v>#N/A</v>
      </c>
      <c r="U2185" s="9" t="e">
        <f>VLOOKUP(Table1[[#This Row],[Address A]],IP_Master[],3,FALSE)</f>
        <v>#N/A</v>
      </c>
      <c r="V2185" s="9" t="e">
        <f>VLOOKUP(Table1[[#This Row],[Address B]],IP_Master[],3,FALSE)</f>
        <v>#N/A</v>
      </c>
      <c r="W2185" s="9" t="str">
        <f>VLOOKUP(Table1[[#This Row],[Port B]],traffic_types[],2,FALSE)</f>
        <v>HTTP</v>
      </c>
    </row>
    <row r="2186" spans="1:23" hidden="1" x14ac:dyDescent="0.6">
      <c r="A2186" t="s">
        <v>224</v>
      </c>
      <c r="B2186">
        <v>60301</v>
      </c>
      <c r="C2186" t="s">
        <v>309</v>
      </c>
      <c r="D2186">
        <v>12350</v>
      </c>
      <c r="E2186">
        <v>3</v>
      </c>
      <c r="F2186">
        <v>194</v>
      </c>
      <c r="G2186">
        <v>3</v>
      </c>
      <c r="H2186">
        <v>194</v>
      </c>
      <c r="I2186">
        <v>0</v>
      </c>
      <c r="J2186">
        <v>0</v>
      </c>
      <c r="K2186">
        <v>783.07770800000003</v>
      </c>
      <c r="L2186">
        <v>9.0002999999999194</v>
      </c>
      <c r="M2186">
        <v>172.43869648789601</v>
      </c>
      <c r="N2186">
        <v>0</v>
      </c>
      <c r="O2186" s="8" t="str">
        <f>formatIP(Table1[[#This Row],[Address A]])</f>
        <v>192.168.100.002</v>
      </c>
      <c r="P2186" s="8" t="str">
        <f>formatIP(Table1[[#This Row],[Address B]])</f>
        <v>091.190.219.044</v>
      </c>
      <c r="Q2186" s="8" t="e">
        <f>VLOOKUP(Table1[[#This Row],[Address A]],IP_Master[],4,FALSE)</f>
        <v>#N/A</v>
      </c>
      <c r="R2186" s="8" t="e">
        <f>VLOOKUP(Table1[[#This Row],[Address B]],IP_Master[],4,FALSE)</f>
        <v>#N/A</v>
      </c>
      <c r="S2186" s="8" t="e">
        <f>VLOOKUP(Table1[[#This Row],[Address A]],IP_Master[],2,FALSE)</f>
        <v>#N/A</v>
      </c>
      <c r="T2186" s="8" t="e">
        <f>VLOOKUP(Table1[[#This Row],[Address B]],IP_Master[],2,FALSE)</f>
        <v>#N/A</v>
      </c>
      <c r="U2186" s="9" t="e">
        <f>VLOOKUP(Table1[[#This Row],[Address A]],IP_Master[],3,FALSE)</f>
        <v>#N/A</v>
      </c>
      <c r="V2186" s="9" t="e">
        <f>VLOOKUP(Table1[[#This Row],[Address B]],IP_Master[],3,FALSE)</f>
        <v>#N/A</v>
      </c>
      <c r="W2186" s="9" t="e">
        <f>VLOOKUP(Table1[[#This Row],[Port B]],traffic_types[],2,FALSE)</f>
        <v>#N/A</v>
      </c>
    </row>
    <row r="2187" spans="1:23" x14ac:dyDescent="0.6">
      <c r="A2187" t="s">
        <v>224</v>
      </c>
      <c r="B2187">
        <v>60302</v>
      </c>
      <c r="C2187" t="s">
        <v>309</v>
      </c>
      <c r="D2187">
        <v>443</v>
      </c>
      <c r="E2187">
        <v>3</v>
      </c>
      <c r="F2187">
        <v>194</v>
      </c>
      <c r="G2187">
        <v>3</v>
      </c>
      <c r="H2187">
        <v>194</v>
      </c>
      <c r="I2187">
        <v>0</v>
      </c>
      <c r="J2187">
        <v>0</v>
      </c>
      <c r="K2187">
        <v>784.69645300000002</v>
      </c>
      <c r="L2187">
        <v>9.0314109999999292</v>
      </c>
      <c r="M2187">
        <v>171.84468739159499</v>
      </c>
      <c r="N2187">
        <v>0</v>
      </c>
      <c r="O2187" s="8" t="str">
        <f>formatIP(Table1[[#This Row],[Address A]])</f>
        <v>192.168.100.002</v>
      </c>
      <c r="P2187" s="8" t="str">
        <f>formatIP(Table1[[#This Row],[Address B]])</f>
        <v>091.190.219.044</v>
      </c>
      <c r="Q2187" s="8" t="e">
        <f>VLOOKUP(Table1[[#This Row],[Address A]],IP_Master[],4,FALSE)</f>
        <v>#N/A</v>
      </c>
      <c r="R2187" s="8" t="e">
        <f>VLOOKUP(Table1[[#This Row],[Address B]],IP_Master[],4,FALSE)</f>
        <v>#N/A</v>
      </c>
      <c r="S2187" s="8" t="e">
        <f>VLOOKUP(Table1[[#This Row],[Address A]],IP_Master[],2,FALSE)</f>
        <v>#N/A</v>
      </c>
      <c r="T2187" s="8" t="e">
        <f>VLOOKUP(Table1[[#This Row],[Address B]],IP_Master[],2,FALSE)</f>
        <v>#N/A</v>
      </c>
      <c r="U2187" s="9" t="e">
        <f>VLOOKUP(Table1[[#This Row],[Address A]],IP_Master[],3,FALSE)</f>
        <v>#N/A</v>
      </c>
      <c r="V2187" s="9" t="e">
        <f>VLOOKUP(Table1[[#This Row],[Address B]],IP_Master[],3,FALSE)</f>
        <v>#N/A</v>
      </c>
      <c r="W2187" s="9" t="str">
        <f>VLOOKUP(Table1[[#This Row],[Port B]],traffic_types[],2,FALSE)</f>
        <v>HTTP/S</v>
      </c>
    </row>
    <row r="2188" spans="1:23" x14ac:dyDescent="0.6">
      <c r="A2188" t="s">
        <v>224</v>
      </c>
      <c r="B2188">
        <v>60303</v>
      </c>
      <c r="C2188" t="s">
        <v>309</v>
      </c>
      <c r="D2188">
        <v>80</v>
      </c>
      <c r="E2188">
        <v>3</v>
      </c>
      <c r="F2188">
        <v>194</v>
      </c>
      <c r="G2188">
        <v>3</v>
      </c>
      <c r="H2188">
        <v>194</v>
      </c>
      <c r="I2188">
        <v>0</v>
      </c>
      <c r="J2188">
        <v>0</v>
      </c>
      <c r="K2188">
        <v>786.316599</v>
      </c>
      <c r="L2188">
        <v>8.9913460000000196</v>
      </c>
      <c r="M2188">
        <v>172.610418951734</v>
      </c>
      <c r="N2188">
        <v>0</v>
      </c>
      <c r="O2188" s="8" t="str">
        <f>formatIP(Table1[[#This Row],[Address A]])</f>
        <v>192.168.100.002</v>
      </c>
      <c r="P2188" s="8" t="str">
        <f>formatIP(Table1[[#This Row],[Address B]])</f>
        <v>091.190.219.044</v>
      </c>
      <c r="Q2188" s="8" t="e">
        <f>VLOOKUP(Table1[[#This Row],[Address A]],IP_Master[],4,FALSE)</f>
        <v>#N/A</v>
      </c>
      <c r="R2188" s="8" t="e">
        <f>VLOOKUP(Table1[[#This Row],[Address B]],IP_Master[],4,FALSE)</f>
        <v>#N/A</v>
      </c>
      <c r="S2188" s="8" t="e">
        <f>VLOOKUP(Table1[[#This Row],[Address A]],IP_Master[],2,FALSE)</f>
        <v>#N/A</v>
      </c>
      <c r="T2188" s="8" t="e">
        <f>VLOOKUP(Table1[[#This Row],[Address B]],IP_Master[],2,FALSE)</f>
        <v>#N/A</v>
      </c>
      <c r="U2188" s="9" t="e">
        <f>VLOOKUP(Table1[[#This Row],[Address A]],IP_Master[],3,FALSE)</f>
        <v>#N/A</v>
      </c>
      <c r="V2188" s="9" t="e">
        <f>VLOOKUP(Table1[[#This Row],[Address B]],IP_Master[],3,FALSE)</f>
        <v>#N/A</v>
      </c>
      <c r="W2188" s="9" t="str">
        <f>VLOOKUP(Table1[[#This Row],[Port B]],traffic_types[],2,FALSE)</f>
        <v>HTTP</v>
      </c>
    </row>
    <row r="2189" spans="1:23" hidden="1" x14ac:dyDescent="0.6">
      <c r="A2189" t="s">
        <v>224</v>
      </c>
      <c r="B2189">
        <v>60304</v>
      </c>
      <c r="C2189" t="s">
        <v>345</v>
      </c>
      <c r="D2189">
        <v>40023</v>
      </c>
      <c r="E2189">
        <v>3</v>
      </c>
      <c r="F2189">
        <v>194</v>
      </c>
      <c r="G2189">
        <v>3</v>
      </c>
      <c r="H2189">
        <v>194</v>
      </c>
      <c r="I2189">
        <v>0</v>
      </c>
      <c r="J2189">
        <v>0</v>
      </c>
      <c r="K2189">
        <v>786.707448</v>
      </c>
      <c r="L2189">
        <v>9.0006190000000306</v>
      </c>
      <c r="M2189">
        <v>172.432584914437</v>
      </c>
      <c r="N2189">
        <v>0</v>
      </c>
      <c r="O2189" s="8" t="str">
        <f>formatIP(Table1[[#This Row],[Address A]])</f>
        <v>192.168.100.002</v>
      </c>
      <c r="P2189" s="8" t="str">
        <f>formatIP(Table1[[#This Row],[Address B]])</f>
        <v>157.055.130.152</v>
      </c>
      <c r="Q2189" s="8" t="e">
        <f>VLOOKUP(Table1[[#This Row],[Address A]],IP_Master[],4,FALSE)</f>
        <v>#N/A</v>
      </c>
      <c r="R2189" s="8" t="e">
        <f>VLOOKUP(Table1[[#This Row],[Address B]],IP_Master[],4,FALSE)</f>
        <v>#N/A</v>
      </c>
      <c r="S2189" s="8" t="e">
        <f>VLOOKUP(Table1[[#This Row],[Address A]],IP_Master[],2,FALSE)</f>
        <v>#N/A</v>
      </c>
      <c r="T2189" s="8" t="e">
        <f>VLOOKUP(Table1[[#This Row],[Address B]],IP_Master[],2,FALSE)</f>
        <v>#N/A</v>
      </c>
      <c r="U2189" s="9" t="e">
        <f>VLOOKUP(Table1[[#This Row],[Address A]],IP_Master[],3,FALSE)</f>
        <v>#N/A</v>
      </c>
      <c r="V2189" s="9" t="e">
        <f>VLOOKUP(Table1[[#This Row],[Address B]],IP_Master[],3,FALSE)</f>
        <v>#N/A</v>
      </c>
      <c r="W2189" s="9" t="e">
        <f>VLOOKUP(Table1[[#This Row],[Port B]],traffic_types[],2,FALSE)</f>
        <v>#N/A</v>
      </c>
    </row>
    <row r="2190" spans="1:23" x14ac:dyDescent="0.6">
      <c r="A2190" t="s">
        <v>224</v>
      </c>
      <c r="B2190">
        <v>60305</v>
      </c>
      <c r="C2190" t="s">
        <v>345</v>
      </c>
      <c r="D2190">
        <v>443</v>
      </c>
      <c r="E2190">
        <v>3</v>
      </c>
      <c r="F2190">
        <v>194</v>
      </c>
      <c r="G2190">
        <v>3</v>
      </c>
      <c r="H2190">
        <v>194</v>
      </c>
      <c r="I2190">
        <v>0</v>
      </c>
      <c r="J2190">
        <v>0</v>
      </c>
      <c r="K2190">
        <v>788.32819199999994</v>
      </c>
      <c r="L2190">
        <v>8.9999549999999999</v>
      </c>
      <c r="M2190">
        <v>172.445306670978</v>
      </c>
      <c r="N2190">
        <v>0</v>
      </c>
      <c r="O2190" s="8" t="str">
        <f>formatIP(Table1[[#This Row],[Address A]])</f>
        <v>192.168.100.002</v>
      </c>
      <c r="P2190" s="8" t="str">
        <f>formatIP(Table1[[#This Row],[Address B]])</f>
        <v>157.055.130.152</v>
      </c>
      <c r="Q2190" s="8" t="e">
        <f>VLOOKUP(Table1[[#This Row],[Address A]],IP_Master[],4,FALSE)</f>
        <v>#N/A</v>
      </c>
      <c r="R2190" s="8" t="e">
        <f>VLOOKUP(Table1[[#This Row],[Address B]],IP_Master[],4,FALSE)</f>
        <v>#N/A</v>
      </c>
      <c r="S2190" s="8" t="e">
        <f>VLOOKUP(Table1[[#This Row],[Address A]],IP_Master[],2,FALSE)</f>
        <v>#N/A</v>
      </c>
      <c r="T2190" s="8" t="e">
        <f>VLOOKUP(Table1[[#This Row],[Address B]],IP_Master[],2,FALSE)</f>
        <v>#N/A</v>
      </c>
      <c r="U2190" s="9" t="e">
        <f>VLOOKUP(Table1[[#This Row],[Address A]],IP_Master[],3,FALSE)</f>
        <v>#N/A</v>
      </c>
      <c r="V2190" s="9" t="e">
        <f>VLOOKUP(Table1[[#This Row],[Address B]],IP_Master[],3,FALSE)</f>
        <v>#N/A</v>
      </c>
      <c r="W2190" s="9" t="str">
        <f>VLOOKUP(Table1[[#This Row],[Port B]],traffic_types[],2,FALSE)</f>
        <v>HTTP/S</v>
      </c>
    </row>
    <row r="2191" spans="1:23" x14ac:dyDescent="0.6">
      <c r="A2191" t="s">
        <v>224</v>
      </c>
      <c r="B2191">
        <v>60306</v>
      </c>
      <c r="C2191" t="s">
        <v>345</v>
      </c>
      <c r="D2191">
        <v>80</v>
      </c>
      <c r="E2191">
        <v>3</v>
      </c>
      <c r="F2191">
        <v>194</v>
      </c>
      <c r="G2191">
        <v>3</v>
      </c>
      <c r="H2191">
        <v>194</v>
      </c>
      <c r="I2191">
        <v>0</v>
      </c>
      <c r="J2191">
        <v>0</v>
      </c>
      <c r="K2191">
        <v>789.93852100000004</v>
      </c>
      <c r="L2191">
        <v>9.0292599999999101</v>
      </c>
      <c r="M2191">
        <v>171.88562517858799</v>
      </c>
      <c r="N2191">
        <v>0</v>
      </c>
      <c r="O2191" s="8" t="str">
        <f>formatIP(Table1[[#This Row],[Address A]])</f>
        <v>192.168.100.002</v>
      </c>
      <c r="P2191" s="8" t="str">
        <f>formatIP(Table1[[#This Row],[Address B]])</f>
        <v>157.055.130.152</v>
      </c>
      <c r="Q2191" s="8" t="e">
        <f>VLOOKUP(Table1[[#This Row],[Address A]],IP_Master[],4,FALSE)</f>
        <v>#N/A</v>
      </c>
      <c r="R2191" s="8" t="e">
        <f>VLOOKUP(Table1[[#This Row],[Address B]],IP_Master[],4,FALSE)</f>
        <v>#N/A</v>
      </c>
      <c r="S2191" s="8" t="e">
        <f>VLOOKUP(Table1[[#This Row],[Address A]],IP_Master[],2,FALSE)</f>
        <v>#N/A</v>
      </c>
      <c r="T2191" s="8" t="e">
        <f>VLOOKUP(Table1[[#This Row],[Address B]],IP_Master[],2,FALSE)</f>
        <v>#N/A</v>
      </c>
      <c r="U2191" s="9" t="e">
        <f>VLOOKUP(Table1[[#This Row],[Address A]],IP_Master[],3,FALSE)</f>
        <v>#N/A</v>
      </c>
      <c r="V2191" s="9" t="e">
        <f>VLOOKUP(Table1[[#This Row],[Address B]],IP_Master[],3,FALSE)</f>
        <v>#N/A</v>
      </c>
      <c r="W2191" s="9" t="str">
        <f>VLOOKUP(Table1[[#This Row],[Port B]],traffic_types[],2,FALSE)</f>
        <v>HTTP</v>
      </c>
    </row>
    <row r="2192" spans="1:23" hidden="1" x14ac:dyDescent="0.6">
      <c r="A2192" t="s">
        <v>224</v>
      </c>
      <c r="B2192">
        <v>60307</v>
      </c>
      <c r="C2192" t="s">
        <v>346</v>
      </c>
      <c r="D2192">
        <v>40022</v>
      </c>
      <c r="E2192">
        <v>3</v>
      </c>
      <c r="F2192">
        <v>194</v>
      </c>
      <c r="G2192">
        <v>3</v>
      </c>
      <c r="H2192">
        <v>194</v>
      </c>
      <c r="I2192">
        <v>0</v>
      </c>
      <c r="J2192">
        <v>0</v>
      </c>
      <c r="K2192">
        <v>798.87948300000005</v>
      </c>
      <c r="L2192">
        <v>8.9995369999999202</v>
      </c>
      <c r="M2192">
        <v>172.45331620949099</v>
      </c>
      <c r="N2192">
        <v>0</v>
      </c>
      <c r="O2192" s="8" t="str">
        <f>formatIP(Table1[[#This Row],[Address A]])</f>
        <v>192.168.100.002</v>
      </c>
      <c r="P2192" s="8" t="str">
        <f>formatIP(Table1[[#This Row],[Address B]])</f>
        <v>157.055.056.151</v>
      </c>
      <c r="Q2192" s="8" t="e">
        <f>VLOOKUP(Table1[[#This Row],[Address A]],IP_Master[],4,FALSE)</f>
        <v>#N/A</v>
      </c>
      <c r="R2192" s="8" t="e">
        <f>VLOOKUP(Table1[[#This Row],[Address B]],IP_Master[],4,FALSE)</f>
        <v>#N/A</v>
      </c>
      <c r="S2192" s="8" t="e">
        <f>VLOOKUP(Table1[[#This Row],[Address A]],IP_Master[],2,FALSE)</f>
        <v>#N/A</v>
      </c>
      <c r="T2192" s="8" t="e">
        <f>VLOOKUP(Table1[[#This Row],[Address B]],IP_Master[],2,FALSE)</f>
        <v>#N/A</v>
      </c>
      <c r="U2192" s="9" t="e">
        <f>VLOOKUP(Table1[[#This Row],[Address A]],IP_Master[],3,FALSE)</f>
        <v>#N/A</v>
      </c>
      <c r="V2192" s="9" t="e">
        <f>VLOOKUP(Table1[[#This Row],[Address B]],IP_Master[],3,FALSE)</f>
        <v>#N/A</v>
      </c>
      <c r="W2192" s="9" t="e">
        <f>VLOOKUP(Table1[[#This Row],[Port B]],traffic_types[],2,FALSE)</f>
        <v>#N/A</v>
      </c>
    </row>
    <row r="2193" spans="1:23" hidden="1" x14ac:dyDescent="0.6">
      <c r="A2193" t="s">
        <v>224</v>
      </c>
      <c r="B2193">
        <v>60308</v>
      </c>
      <c r="C2193" t="s">
        <v>347</v>
      </c>
      <c r="D2193">
        <v>40028</v>
      </c>
      <c r="E2193">
        <v>3</v>
      </c>
      <c r="F2193">
        <v>194</v>
      </c>
      <c r="G2193">
        <v>3</v>
      </c>
      <c r="H2193">
        <v>194</v>
      </c>
      <c r="I2193">
        <v>0</v>
      </c>
      <c r="J2193">
        <v>0</v>
      </c>
      <c r="K2193">
        <v>799.91954999999996</v>
      </c>
      <c r="L2193">
        <v>8.9994700000000893</v>
      </c>
      <c r="M2193">
        <v>172.45460010422701</v>
      </c>
      <c r="N2193">
        <v>0</v>
      </c>
      <c r="O2193" s="8" t="str">
        <f>formatIP(Table1[[#This Row],[Address A]])</f>
        <v>192.168.100.002</v>
      </c>
      <c r="P2193" s="8" t="str">
        <f>formatIP(Table1[[#This Row],[Address B]])</f>
        <v>157.055.130.171</v>
      </c>
      <c r="Q2193" s="8" t="e">
        <f>VLOOKUP(Table1[[#This Row],[Address A]],IP_Master[],4,FALSE)</f>
        <v>#N/A</v>
      </c>
      <c r="R2193" s="8" t="e">
        <f>VLOOKUP(Table1[[#This Row],[Address B]],IP_Master[],4,FALSE)</f>
        <v>#N/A</v>
      </c>
      <c r="S2193" s="8" t="e">
        <f>VLOOKUP(Table1[[#This Row],[Address A]],IP_Master[],2,FALSE)</f>
        <v>#N/A</v>
      </c>
      <c r="T2193" s="8" t="e">
        <f>VLOOKUP(Table1[[#This Row],[Address B]],IP_Master[],2,FALSE)</f>
        <v>#N/A</v>
      </c>
      <c r="U2193" s="9" t="e">
        <f>VLOOKUP(Table1[[#This Row],[Address A]],IP_Master[],3,FALSE)</f>
        <v>#N/A</v>
      </c>
      <c r="V2193" s="9" t="e">
        <f>VLOOKUP(Table1[[#This Row],[Address B]],IP_Master[],3,FALSE)</f>
        <v>#N/A</v>
      </c>
      <c r="W2193" s="9" t="e">
        <f>VLOOKUP(Table1[[#This Row],[Port B]],traffic_types[],2,FALSE)</f>
        <v>#N/A</v>
      </c>
    </row>
    <row r="2194" spans="1:23" x14ac:dyDescent="0.6">
      <c r="A2194" t="s">
        <v>224</v>
      </c>
      <c r="B2194">
        <v>60309</v>
      </c>
      <c r="C2194" t="s">
        <v>346</v>
      </c>
      <c r="D2194">
        <v>443</v>
      </c>
      <c r="E2194">
        <v>3</v>
      </c>
      <c r="F2194">
        <v>194</v>
      </c>
      <c r="G2194">
        <v>3</v>
      </c>
      <c r="H2194">
        <v>194</v>
      </c>
      <c r="I2194">
        <v>0</v>
      </c>
      <c r="J2194">
        <v>0</v>
      </c>
      <c r="K2194">
        <v>800.499459</v>
      </c>
      <c r="L2194">
        <v>8.9994269999999705</v>
      </c>
      <c r="M2194">
        <v>172.455424106446</v>
      </c>
      <c r="N2194">
        <v>0</v>
      </c>
      <c r="O2194" s="8" t="str">
        <f>formatIP(Table1[[#This Row],[Address A]])</f>
        <v>192.168.100.002</v>
      </c>
      <c r="P2194" s="8" t="str">
        <f>formatIP(Table1[[#This Row],[Address B]])</f>
        <v>157.055.056.151</v>
      </c>
      <c r="Q2194" s="8" t="e">
        <f>VLOOKUP(Table1[[#This Row],[Address A]],IP_Master[],4,FALSE)</f>
        <v>#N/A</v>
      </c>
      <c r="R2194" s="8" t="e">
        <f>VLOOKUP(Table1[[#This Row],[Address B]],IP_Master[],4,FALSE)</f>
        <v>#N/A</v>
      </c>
      <c r="S2194" s="8" t="e">
        <f>VLOOKUP(Table1[[#This Row],[Address A]],IP_Master[],2,FALSE)</f>
        <v>#N/A</v>
      </c>
      <c r="T2194" s="8" t="e">
        <f>VLOOKUP(Table1[[#This Row],[Address B]],IP_Master[],2,FALSE)</f>
        <v>#N/A</v>
      </c>
      <c r="U2194" s="9" t="e">
        <f>VLOOKUP(Table1[[#This Row],[Address A]],IP_Master[],3,FALSE)</f>
        <v>#N/A</v>
      </c>
      <c r="V2194" s="9" t="e">
        <f>VLOOKUP(Table1[[#This Row],[Address B]],IP_Master[],3,FALSE)</f>
        <v>#N/A</v>
      </c>
      <c r="W2194" s="9" t="str">
        <f>VLOOKUP(Table1[[#This Row],[Port B]],traffic_types[],2,FALSE)</f>
        <v>HTTP/S</v>
      </c>
    </row>
    <row r="2195" spans="1:23" x14ac:dyDescent="0.6">
      <c r="A2195" t="s">
        <v>224</v>
      </c>
      <c r="B2195">
        <v>60310</v>
      </c>
      <c r="C2195" t="s">
        <v>347</v>
      </c>
      <c r="D2195">
        <v>443</v>
      </c>
      <c r="E2195">
        <v>3</v>
      </c>
      <c r="F2195">
        <v>194</v>
      </c>
      <c r="G2195">
        <v>3</v>
      </c>
      <c r="H2195">
        <v>194</v>
      </c>
      <c r="I2195">
        <v>0</v>
      </c>
      <c r="J2195">
        <v>0</v>
      </c>
      <c r="K2195">
        <v>801.53941199999997</v>
      </c>
      <c r="L2195">
        <v>8.99950000000001</v>
      </c>
      <c r="M2195">
        <v>172.45402522362301</v>
      </c>
      <c r="N2195">
        <v>0</v>
      </c>
      <c r="O2195" s="8" t="str">
        <f>formatIP(Table1[[#This Row],[Address A]])</f>
        <v>192.168.100.002</v>
      </c>
      <c r="P2195" s="8" t="str">
        <f>formatIP(Table1[[#This Row],[Address B]])</f>
        <v>157.055.130.171</v>
      </c>
      <c r="Q2195" s="8" t="e">
        <f>VLOOKUP(Table1[[#This Row],[Address A]],IP_Master[],4,FALSE)</f>
        <v>#N/A</v>
      </c>
      <c r="R2195" s="8" t="e">
        <f>VLOOKUP(Table1[[#This Row],[Address B]],IP_Master[],4,FALSE)</f>
        <v>#N/A</v>
      </c>
      <c r="S2195" s="8" t="e">
        <f>VLOOKUP(Table1[[#This Row],[Address A]],IP_Master[],2,FALSE)</f>
        <v>#N/A</v>
      </c>
      <c r="T2195" s="8" t="e">
        <f>VLOOKUP(Table1[[#This Row],[Address B]],IP_Master[],2,FALSE)</f>
        <v>#N/A</v>
      </c>
      <c r="U2195" s="9" t="e">
        <f>VLOOKUP(Table1[[#This Row],[Address A]],IP_Master[],3,FALSE)</f>
        <v>#N/A</v>
      </c>
      <c r="V2195" s="9" t="e">
        <f>VLOOKUP(Table1[[#This Row],[Address B]],IP_Master[],3,FALSE)</f>
        <v>#N/A</v>
      </c>
      <c r="W2195" s="9" t="str">
        <f>VLOOKUP(Table1[[#This Row],[Port B]],traffic_types[],2,FALSE)</f>
        <v>HTTP/S</v>
      </c>
    </row>
    <row r="2196" spans="1:23" x14ac:dyDescent="0.6">
      <c r="A2196" t="s">
        <v>224</v>
      </c>
      <c r="B2196">
        <v>60311</v>
      </c>
      <c r="C2196" t="s">
        <v>346</v>
      </c>
      <c r="D2196">
        <v>80</v>
      </c>
      <c r="E2196">
        <v>3</v>
      </c>
      <c r="F2196">
        <v>194</v>
      </c>
      <c r="G2196">
        <v>3</v>
      </c>
      <c r="H2196">
        <v>194</v>
      </c>
      <c r="I2196">
        <v>0</v>
      </c>
      <c r="J2196">
        <v>0</v>
      </c>
      <c r="K2196">
        <v>802.11948099999995</v>
      </c>
      <c r="L2196">
        <v>8.9995230000000692</v>
      </c>
      <c r="M2196">
        <v>172.45358448442099</v>
      </c>
      <c r="N2196">
        <v>0</v>
      </c>
      <c r="O2196" s="8" t="str">
        <f>formatIP(Table1[[#This Row],[Address A]])</f>
        <v>192.168.100.002</v>
      </c>
      <c r="P2196" s="8" t="str">
        <f>formatIP(Table1[[#This Row],[Address B]])</f>
        <v>157.055.056.151</v>
      </c>
      <c r="Q2196" s="8" t="e">
        <f>VLOOKUP(Table1[[#This Row],[Address A]],IP_Master[],4,FALSE)</f>
        <v>#N/A</v>
      </c>
      <c r="R2196" s="8" t="e">
        <f>VLOOKUP(Table1[[#This Row],[Address B]],IP_Master[],4,FALSE)</f>
        <v>#N/A</v>
      </c>
      <c r="S2196" s="8" t="e">
        <f>VLOOKUP(Table1[[#This Row],[Address A]],IP_Master[],2,FALSE)</f>
        <v>#N/A</v>
      </c>
      <c r="T2196" s="8" t="e">
        <f>VLOOKUP(Table1[[#This Row],[Address B]],IP_Master[],2,FALSE)</f>
        <v>#N/A</v>
      </c>
      <c r="U2196" s="9" t="e">
        <f>VLOOKUP(Table1[[#This Row],[Address A]],IP_Master[],3,FALSE)</f>
        <v>#N/A</v>
      </c>
      <c r="V2196" s="9" t="e">
        <f>VLOOKUP(Table1[[#This Row],[Address B]],IP_Master[],3,FALSE)</f>
        <v>#N/A</v>
      </c>
      <c r="W2196" s="9" t="str">
        <f>VLOOKUP(Table1[[#This Row],[Port B]],traffic_types[],2,FALSE)</f>
        <v>HTTP</v>
      </c>
    </row>
    <row r="2197" spans="1:23" x14ac:dyDescent="0.6">
      <c r="A2197" t="s">
        <v>224</v>
      </c>
      <c r="B2197">
        <v>60312</v>
      </c>
      <c r="C2197" t="s">
        <v>347</v>
      </c>
      <c r="D2197">
        <v>80</v>
      </c>
      <c r="E2197">
        <v>3</v>
      </c>
      <c r="F2197">
        <v>194</v>
      </c>
      <c r="G2197">
        <v>3</v>
      </c>
      <c r="H2197">
        <v>194</v>
      </c>
      <c r="I2197">
        <v>0</v>
      </c>
      <c r="J2197">
        <v>0</v>
      </c>
      <c r="K2197">
        <v>803.15945099999999</v>
      </c>
      <c r="L2197">
        <v>9.0030590000000092</v>
      </c>
      <c r="M2197">
        <v>172.385852408609</v>
      </c>
      <c r="N2197">
        <v>0</v>
      </c>
      <c r="O2197" s="8" t="str">
        <f>formatIP(Table1[[#This Row],[Address A]])</f>
        <v>192.168.100.002</v>
      </c>
      <c r="P2197" s="8" t="str">
        <f>formatIP(Table1[[#This Row],[Address B]])</f>
        <v>157.055.130.171</v>
      </c>
      <c r="Q2197" s="8" t="e">
        <f>VLOOKUP(Table1[[#This Row],[Address A]],IP_Master[],4,FALSE)</f>
        <v>#N/A</v>
      </c>
      <c r="R2197" s="8" t="e">
        <f>VLOOKUP(Table1[[#This Row],[Address B]],IP_Master[],4,FALSE)</f>
        <v>#N/A</v>
      </c>
      <c r="S2197" s="8" t="e">
        <f>VLOOKUP(Table1[[#This Row],[Address A]],IP_Master[],2,FALSE)</f>
        <v>#N/A</v>
      </c>
      <c r="T2197" s="8" t="e">
        <f>VLOOKUP(Table1[[#This Row],[Address B]],IP_Master[],2,FALSE)</f>
        <v>#N/A</v>
      </c>
      <c r="U2197" s="9" t="e">
        <f>VLOOKUP(Table1[[#This Row],[Address A]],IP_Master[],3,FALSE)</f>
        <v>#N/A</v>
      </c>
      <c r="V2197" s="9" t="e">
        <f>VLOOKUP(Table1[[#This Row],[Address B]],IP_Master[],3,FALSE)</f>
        <v>#N/A</v>
      </c>
      <c r="W2197" s="9" t="str">
        <f>VLOOKUP(Table1[[#This Row],[Port B]],traffic_types[],2,FALSE)</f>
        <v>HTTP</v>
      </c>
    </row>
    <row r="2198" spans="1:23" x14ac:dyDescent="0.6">
      <c r="A2198" t="s">
        <v>224</v>
      </c>
      <c r="B2198">
        <v>60313</v>
      </c>
      <c r="C2198" t="s">
        <v>232</v>
      </c>
      <c r="D2198">
        <v>443</v>
      </c>
      <c r="E2198">
        <v>3</v>
      </c>
      <c r="F2198">
        <v>194</v>
      </c>
      <c r="G2198">
        <v>3</v>
      </c>
      <c r="H2198">
        <v>194</v>
      </c>
      <c r="I2198">
        <v>0</v>
      </c>
      <c r="J2198">
        <v>0</v>
      </c>
      <c r="K2198">
        <v>806.45043099999998</v>
      </c>
      <c r="L2198">
        <v>8.9994430000000403</v>
      </c>
      <c r="M2198">
        <v>172.455117500049</v>
      </c>
      <c r="N2198">
        <v>0</v>
      </c>
      <c r="O2198" s="8" t="str">
        <f>formatIP(Table1[[#This Row],[Address A]])</f>
        <v>192.168.100.002</v>
      </c>
      <c r="P2198" s="8" t="str">
        <f>formatIP(Table1[[#This Row],[Address B]])</f>
        <v>103.043.075.140</v>
      </c>
      <c r="Q2198" s="8" t="e">
        <f>VLOOKUP(Table1[[#This Row],[Address A]],IP_Master[],4,FALSE)</f>
        <v>#N/A</v>
      </c>
      <c r="R2198" s="8" t="e">
        <f>VLOOKUP(Table1[[#This Row],[Address B]],IP_Master[],4,FALSE)</f>
        <v>#N/A</v>
      </c>
      <c r="S2198" s="8" t="e">
        <f>VLOOKUP(Table1[[#This Row],[Address A]],IP_Master[],2,FALSE)</f>
        <v>#N/A</v>
      </c>
      <c r="T2198" s="8" t="e">
        <f>VLOOKUP(Table1[[#This Row],[Address B]],IP_Master[],2,FALSE)</f>
        <v>#N/A</v>
      </c>
      <c r="U2198" s="9" t="e">
        <f>VLOOKUP(Table1[[#This Row],[Address A]],IP_Master[],3,FALSE)</f>
        <v>#N/A</v>
      </c>
      <c r="V2198" s="9" t="e">
        <f>VLOOKUP(Table1[[#This Row],[Address B]],IP_Master[],3,FALSE)</f>
        <v>#N/A</v>
      </c>
      <c r="W2198" s="9" t="str">
        <f>VLOOKUP(Table1[[#This Row],[Port B]],traffic_types[],2,FALSE)</f>
        <v>HTTP/S</v>
      </c>
    </row>
    <row r="2199" spans="1:23" x14ac:dyDescent="0.6">
      <c r="A2199" t="s">
        <v>224</v>
      </c>
      <c r="B2199">
        <v>60314</v>
      </c>
      <c r="C2199" t="s">
        <v>232</v>
      </c>
      <c r="D2199">
        <v>80</v>
      </c>
      <c r="E2199">
        <v>3</v>
      </c>
      <c r="F2199">
        <v>194</v>
      </c>
      <c r="G2199">
        <v>3</v>
      </c>
      <c r="H2199">
        <v>194</v>
      </c>
      <c r="I2199">
        <v>0</v>
      </c>
      <c r="J2199">
        <v>0</v>
      </c>
      <c r="K2199">
        <v>808.46033</v>
      </c>
      <c r="L2199">
        <v>8.9995589999999801</v>
      </c>
      <c r="M2199">
        <v>172.452894636282</v>
      </c>
      <c r="N2199">
        <v>0</v>
      </c>
      <c r="O2199" s="8" t="str">
        <f>formatIP(Table1[[#This Row],[Address A]])</f>
        <v>192.168.100.002</v>
      </c>
      <c r="P2199" s="8" t="str">
        <f>formatIP(Table1[[#This Row],[Address B]])</f>
        <v>103.043.075.140</v>
      </c>
      <c r="Q2199" s="8" t="e">
        <f>VLOOKUP(Table1[[#This Row],[Address A]],IP_Master[],4,FALSE)</f>
        <v>#N/A</v>
      </c>
      <c r="R2199" s="8" t="e">
        <f>VLOOKUP(Table1[[#This Row],[Address B]],IP_Master[],4,FALSE)</f>
        <v>#N/A</v>
      </c>
      <c r="S2199" s="8" t="e">
        <f>VLOOKUP(Table1[[#This Row],[Address A]],IP_Master[],2,FALSE)</f>
        <v>#N/A</v>
      </c>
      <c r="T2199" s="8" t="e">
        <f>VLOOKUP(Table1[[#This Row],[Address B]],IP_Master[],2,FALSE)</f>
        <v>#N/A</v>
      </c>
      <c r="U2199" s="9" t="e">
        <f>VLOOKUP(Table1[[#This Row],[Address A]],IP_Master[],3,FALSE)</f>
        <v>#N/A</v>
      </c>
      <c r="V2199" s="9" t="e">
        <f>VLOOKUP(Table1[[#This Row],[Address B]],IP_Master[],3,FALSE)</f>
        <v>#N/A</v>
      </c>
      <c r="W2199" s="9" t="str">
        <f>VLOOKUP(Table1[[#This Row],[Port B]],traffic_types[],2,FALSE)</f>
        <v>HTTP</v>
      </c>
    </row>
    <row r="2200" spans="1:23" hidden="1" x14ac:dyDescent="0.6">
      <c r="A2200" t="s">
        <v>224</v>
      </c>
      <c r="B2200">
        <v>60315</v>
      </c>
      <c r="C2200" t="s">
        <v>348</v>
      </c>
      <c r="D2200">
        <v>40005</v>
      </c>
      <c r="E2200">
        <v>3</v>
      </c>
      <c r="F2200">
        <v>194</v>
      </c>
      <c r="G2200">
        <v>3</v>
      </c>
      <c r="H2200">
        <v>194</v>
      </c>
      <c r="I2200">
        <v>0</v>
      </c>
      <c r="J2200">
        <v>0</v>
      </c>
      <c r="K2200">
        <v>811.09042899999997</v>
      </c>
      <c r="L2200">
        <v>8.9994249999999703</v>
      </c>
      <c r="M2200">
        <v>172.455462432323</v>
      </c>
      <c r="N2200">
        <v>0</v>
      </c>
      <c r="O2200" s="8" t="str">
        <f>formatIP(Table1[[#This Row],[Address A]])</f>
        <v>192.168.100.002</v>
      </c>
      <c r="P2200" s="8" t="str">
        <f>formatIP(Table1[[#This Row],[Address B]])</f>
        <v>157.055.130.144</v>
      </c>
      <c r="Q2200" s="8" t="e">
        <f>VLOOKUP(Table1[[#This Row],[Address A]],IP_Master[],4,FALSE)</f>
        <v>#N/A</v>
      </c>
      <c r="R2200" s="8" t="e">
        <f>VLOOKUP(Table1[[#This Row],[Address B]],IP_Master[],4,FALSE)</f>
        <v>#N/A</v>
      </c>
      <c r="S2200" s="8" t="e">
        <f>VLOOKUP(Table1[[#This Row],[Address A]],IP_Master[],2,FALSE)</f>
        <v>#N/A</v>
      </c>
      <c r="T2200" s="8" t="e">
        <f>VLOOKUP(Table1[[#This Row],[Address B]],IP_Master[],2,FALSE)</f>
        <v>#N/A</v>
      </c>
      <c r="U2200" s="9" t="e">
        <f>VLOOKUP(Table1[[#This Row],[Address A]],IP_Master[],3,FALSE)</f>
        <v>#N/A</v>
      </c>
      <c r="V2200" s="9" t="e">
        <f>VLOOKUP(Table1[[#This Row],[Address B]],IP_Master[],3,FALSE)</f>
        <v>#N/A</v>
      </c>
      <c r="W2200" s="9" t="e">
        <f>VLOOKUP(Table1[[#This Row],[Port B]],traffic_types[],2,FALSE)</f>
        <v>#N/A</v>
      </c>
    </row>
    <row r="2201" spans="1:23" x14ac:dyDescent="0.6">
      <c r="A2201" t="s">
        <v>224</v>
      </c>
      <c r="B2201">
        <v>60316</v>
      </c>
      <c r="C2201" t="s">
        <v>348</v>
      </c>
      <c r="D2201">
        <v>443</v>
      </c>
      <c r="E2201">
        <v>3</v>
      </c>
      <c r="F2201">
        <v>194</v>
      </c>
      <c r="G2201">
        <v>3</v>
      </c>
      <c r="H2201">
        <v>194</v>
      </c>
      <c r="I2201">
        <v>0</v>
      </c>
      <c r="J2201">
        <v>0</v>
      </c>
      <c r="K2201">
        <v>812.71047099999998</v>
      </c>
      <c r="L2201">
        <v>8.9994380000000493</v>
      </c>
      <c r="M2201">
        <v>172.45521331443001</v>
      </c>
      <c r="N2201">
        <v>0</v>
      </c>
      <c r="O2201" s="8" t="str">
        <f>formatIP(Table1[[#This Row],[Address A]])</f>
        <v>192.168.100.002</v>
      </c>
      <c r="P2201" s="8" t="str">
        <f>formatIP(Table1[[#This Row],[Address B]])</f>
        <v>157.055.130.144</v>
      </c>
      <c r="Q2201" s="8" t="e">
        <f>VLOOKUP(Table1[[#This Row],[Address A]],IP_Master[],4,FALSE)</f>
        <v>#N/A</v>
      </c>
      <c r="R2201" s="8" t="e">
        <f>VLOOKUP(Table1[[#This Row],[Address B]],IP_Master[],4,FALSE)</f>
        <v>#N/A</v>
      </c>
      <c r="S2201" s="8" t="e">
        <f>VLOOKUP(Table1[[#This Row],[Address A]],IP_Master[],2,FALSE)</f>
        <v>#N/A</v>
      </c>
      <c r="T2201" s="8" t="e">
        <f>VLOOKUP(Table1[[#This Row],[Address B]],IP_Master[],2,FALSE)</f>
        <v>#N/A</v>
      </c>
      <c r="U2201" s="9" t="e">
        <f>VLOOKUP(Table1[[#This Row],[Address A]],IP_Master[],3,FALSE)</f>
        <v>#N/A</v>
      </c>
      <c r="V2201" s="9" t="e">
        <f>VLOOKUP(Table1[[#This Row],[Address B]],IP_Master[],3,FALSE)</f>
        <v>#N/A</v>
      </c>
      <c r="W2201" s="9" t="str">
        <f>VLOOKUP(Table1[[#This Row],[Port B]],traffic_types[],2,FALSE)</f>
        <v>HTTP/S</v>
      </c>
    </row>
    <row r="2202" spans="1:23" x14ac:dyDescent="0.6">
      <c r="A2202" t="s">
        <v>224</v>
      </c>
      <c r="B2202">
        <v>60317</v>
      </c>
      <c r="C2202" t="s">
        <v>348</v>
      </c>
      <c r="D2202">
        <v>80</v>
      </c>
      <c r="E2202">
        <v>3</v>
      </c>
      <c r="F2202">
        <v>194</v>
      </c>
      <c r="G2202">
        <v>3</v>
      </c>
      <c r="H2202">
        <v>194</v>
      </c>
      <c r="I2202">
        <v>0</v>
      </c>
      <c r="J2202">
        <v>0</v>
      </c>
      <c r="K2202">
        <v>814.330423</v>
      </c>
      <c r="L2202">
        <v>8.9993460000000596</v>
      </c>
      <c r="M2202">
        <v>172.45697631805601</v>
      </c>
      <c r="N2202">
        <v>0</v>
      </c>
      <c r="O2202" s="8" t="str">
        <f>formatIP(Table1[[#This Row],[Address A]])</f>
        <v>192.168.100.002</v>
      </c>
      <c r="P2202" s="8" t="str">
        <f>formatIP(Table1[[#This Row],[Address B]])</f>
        <v>157.055.130.144</v>
      </c>
      <c r="Q2202" s="8" t="e">
        <f>VLOOKUP(Table1[[#This Row],[Address A]],IP_Master[],4,FALSE)</f>
        <v>#N/A</v>
      </c>
      <c r="R2202" s="8" t="e">
        <f>VLOOKUP(Table1[[#This Row],[Address B]],IP_Master[],4,FALSE)</f>
        <v>#N/A</v>
      </c>
      <c r="S2202" s="8" t="e">
        <f>VLOOKUP(Table1[[#This Row],[Address A]],IP_Master[],2,FALSE)</f>
        <v>#N/A</v>
      </c>
      <c r="T2202" s="8" t="e">
        <f>VLOOKUP(Table1[[#This Row],[Address B]],IP_Master[],2,FALSE)</f>
        <v>#N/A</v>
      </c>
      <c r="U2202" s="9" t="e">
        <f>VLOOKUP(Table1[[#This Row],[Address A]],IP_Master[],3,FALSE)</f>
        <v>#N/A</v>
      </c>
      <c r="V2202" s="9" t="e">
        <f>VLOOKUP(Table1[[#This Row],[Address B]],IP_Master[],3,FALSE)</f>
        <v>#N/A</v>
      </c>
      <c r="W2202" s="9" t="str">
        <f>VLOOKUP(Table1[[#This Row],[Port B]],traffic_types[],2,FALSE)</f>
        <v>HTTP</v>
      </c>
    </row>
    <row r="2203" spans="1:23" x14ac:dyDescent="0.6">
      <c r="A2203" t="s">
        <v>224</v>
      </c>
      <c r="B2203">
        <v>60318</v>
      </c>
      <c r="C2203" t="s">
        <v>241</v>
      </c>
      <c r="D2203">
        <v>443</v>
      </c>
      <c r="E2203">
        <v>3</v>
      </c>
      <c r="F2203">
        <v>194</v>
      </c>
      <c r="G2203">
        <v>3</v>
      </c>
      <c r="H2203">
        <v>194</v>
      </c>
      <c r="I2203">
        <v>0</v>
      </c>
      <c r="J2203">
        <v>0</v>
      </c>
      <c r="K2203">
        <v>822.52142400000002</v>
      </c>
      <c r="L2203">
        <v>8.9993519999999307</v>
      </c>
      <c r="M2203">
        <v>172.45686133846201</v>
      </c>
      <c r="N2203">
        <v>0</v>
      </c>
      <c r="O2203" s="8" t="str">
        <f>formatIP(Table1[[#This Row],[Address A]])</f>
        <v>192.168.100.002</v>
      </c>
      <c r="P2203" s="8" t="str">
        <f>formatIP(Table1[[#This Row],[Address B]])</f>
        <v>078.046.049.023</v>
      </c>
      <c r="Q2203" s="8" t="e">
        <f>VLOOKUP(Table1[[#This Row],[Address A]],IP_Master[],4,FALSE)</f>
        <v>#N/A</v>
      </c>
      <c r="R2203" s="8" t="e">
        <f>VLOOKUP(Table1[[#This Row],[Address B]],IP_Master[],4,FALSE)</f>
        <v>#N/A</v>
      </c>
      <c r="S2203" s="8" t="e">
        <f>VLOOKUP(Table1[[#This Row],[Address A]],IP_Master[],2,FALSE)</f>
        <v>#N/A</v>
      </c>
      <c r="T2203" s="8" t="e">
        <f>VLOOKUP(Table1[[#This Row],[Address B]],IP_Master[],2,FALSE)</f>
        <v>#N/A</v>
      </c>
      <c r="U2203" s="9" t="e">
        <f>VLOOKUP(Table1[[#This Row],[Address A]],IP_Master[],3,FALSE)</f>
        <v>#N/A</v>
      </c>
      <c r="V2203" s="9" t="e">
        <f>VLOOKUP(Table1[[#This Row],[Address B]],IP_Master[],3,FALSE)</f>
        <v>#N/A</v>
      </c>
      <c r="W2203" s="9" t="str">
        <f>VLOOKUP(Table1[[#This Row],[Port B]],traffic_types[],2,FALSE)</f>
        <v>HTTP/S</v>
      </c>
    </row>
    <row r="2204" spans="1:23" hidden="1" x14ac:dyDescent="0.6">
      <c r="A2204" t="s">
        <v>224</v>
      </c>
      <c r="B2204">
        <v>60319</v>
      </c>
      <c r="C2204" t="s">
        <v>349</v>
      </c>
      <c r="D2204">
        <v>40009</v>
      </c>
      <c r="E2204">
        <v>3</v>
      </c>
      <c r="F2204">
        <v>194</v>
      </c>
      <c r="G2204">
        <v>3</v>
      </c>
      <c r="H2204">
        <v>194</v>
      </c>
      <c r="I2204">
        <v>0</v>
      </c>
      <c r="J2204">
        <v>0</v>
      </c>
      <c r="K2204">
        <v>823.27123200000005</v>
      </c>
      <c r="L2204">
        <v>8.9997039999999497</v>
      </c>
      <c r="M2204">
        <v>172.450116137154</v>
      </c>
      <c r="N2204">
        <v>0</v>
      </c>
      <c r="O2204" s="8" t="str">
        <f>formatIP(Table1[[#This Row],[Address A]])</f>
        <v>192.168.100.002</v>
      </c>
      <c r="P2204" s="8" t="str">
        <f>formatIP(Table1[[#This Row],[Address B]])</f>
        <v>157.055.056.164</v>
      </c>
      <c r="Q2204" s="8" t="e">
        <f>VLOOKUP(Table1[[#This Row],[Address A]],IP_Master[],4,FALSE)</f>
        <v>#N/A</v>
      </c>
      <c r="R2204" s="8" t="e">
        <f>VLOOKUP(Table1[[#This Row],[Address B]],IP_Master[],4,FALSE)</f>
        <v>#N/A</v>
      </c>
      <c r="S2204" s="8" t="e">
        <f>VLOOKUP(Table1[[#This Row],[Address A]],IP_Master[],2,FALSE)</f>
        <v>#N/A</v>
      </c>
      <c r="T2204" s="8" t="e">
        <f>VLOOKUP(Table1[[#This Row],[Address B]],IP_Master[],2,FALSE)</f>
        <v>#N/A</v>
      </c>
      <c r="U2204" s="9" t="e">
        <f>VLOOKUP(Table1[[#This Row],[Address A]],IP_Master[],3,FALSE)</f>
        <v>#N/A</v>
      </c>
      <c r="V2204" s="9" t="e">
        <f>VLOOKUP(Table1[[#This Row],[Address B]],IP_Master[],3,FALSE)</f>
        <v>#N/A</v>
      </c>
      <c r="W2204" s="9" t="e">
        <f>VLOOKUP(Table1[[#This Row],[Port B]],traffic_types[],2,FALSE)</f>
        <v>#N/A</v>
      </c>
    </row>
    <row r="2205" spans="1:23" hidden="1" x14ac:dyDescent="0.6">
      <c r="A2205" t="s">
        <v>224</v>
      </c>
      <c r="B2205">
        <v>60320</v>
      </c>
      <c r="C2205" t="s">
        <v>350</v>
      </c>
      <c r="D2205">
        <v>40024</v>
      </c>
      <c r="E2205">
        <v>3</v>
      </c>
      <c r="F2205">
        <v>194</v>
      </c>
      <c r="G2205">
        <v>3</v>
      </c>
      <c r="H2205">
        <v>194</v>
      </c>
      <c r="I2205">
        <v>0</v>
      </c>
      <c r="J2205">
        <v>0</v>
      </c>
      <c r="K2205">
        <v>824.312138</v>
      </c>
      <c r="L2205">
        <v>8.9987300000000197</v>
      </c>
      <c r="M2205">
        <v>172.468781705862</v>
      </c>
      <c r="N2205">
        <v>0</v>
      </c>
      <c r="O2205" s="8" t="str">
        <f>formatIP(Table1[[#This Row],[Address A]])</f>
        <v>192.168.100.002</v>
      </c>
      <c r="P2205" s="8" t="str">
        <f>formatIP(Table1[[#This Row],[Address B]])</f>
        <v>157.055.130.148</v>
      </c>
      <c r="Q2205" s="8" t="e">
        <f>VLOOKUP(Table1[[#This Row],[Address A]],IP_Master[],4,FALSE)</f>
        <v>#N/A</v>
      </c>
      <c r="R2205" s="8" t="e">
        <f>VLOOKUP(Table1[[#This Row],[Address B]],IP_Master[],4,FALSE)</f>
        <v>#N/A</v>
      </c>
      <c r="S2205" s="8" t="e">
        <f>VLOOKUP(Table1[[#This Row],[Address A]],IP_Master[],2,FALSE)</f>
        <v>#N/A</v>
      </c>
      <c r="T2205" s="8" t="e">
        <f>VLOOKUP(Table1[[#This Row],[Address B]],IP_Master[],2,FALSE)</f>
        <v>#N/A</v>
      </c>
      <c r="U2205" s="9" t="e">
        <f>VLOOKUP(Table1[[#This Row],[Address A]],IP_Master[],3,FALSE)</f>
        <v>#N/A</v>
      </c>
      <c r="V2205" s="9" t="e">
        <f>VLOOKUP(Table1[[#This Row],[Address B]],IP_Master[],3,FALSE)</f>
        <v>#N/A</v>
      </c>
      <c r="W2205" s="9" t="e">
        <f>VLOOKUP(Table1[[#This Row],[Port B]],traffic_types[],2,FALSE)</f>
        <v>#N/A</v>
      </c>
    </row>
    <row r="2206" spans="1:23" x14ac:dyDescent="0.6">
      <c r="A2206" t="s">
        <v>224</v>
      </c>
      <c r="B2206">
        <v>60321</v>
      </c>
      <c r="C2206" t="s">
        <v>241</v>
      </c>
      <c r="D2206">
        <v>80</v>
      </c>
      <c r="E2206">
        <v>3</v>
      </c>
      <c r="F2206">
        <v>194</v>
      </c>
      <c r="G2206">
        <v>3</v>
      </c>
      <c r="H2206">
        <v>194</v>
      </c>
      <c r="I2206">
        <v>0</v>
      </c>
      <c r="J2206">
        <v>0</v>
      </c>
      <c r="K2206">
        <v>824.54080499999998</v>
      </c>
      <c r="L2206">
        <v>8.9800099999999894</v>
      </c>
      <c r="M2206">
        <v>172.828315335952</v>
      </c>
      <c r="N2206">
        <v>0</v>
      </c>
      <c r="O2206" s="8" t="str">
        <f>formatIP(Table1[[#This Row],[Address A]])</f>
        <v>192.168.100.002</v>
      </c>
      <c r="P2206" s="8" t="str">
        <f>formatIP(Table1[[#This Row],[Address B]])</f>
        <v>078.046.049.023</v>
      </c>
      <c r="Q2206" s="8" t="e">
        <f>VLOOKUP(Table1[[#This Row],[Address A]],IP_Master[],4,FALSE)</f>
        <v>#N/A</v>
      </c>
      <c r="R2206" s="8" t="e">
        <f>VLOOKUP(Table1[[#This Row],[Address B]],IP_Master[],4,FALSE)</f>
        <v>#N/A</v>
      </c>
      <c r="S2206" s="8" t="e">
        <f>VLOOKUP(Table1[[#This Row],[Address A]],IP_Master[],2,FALSE)</f>
        <v>#N/A</v>
      </c>
      <c r="T2206" s="8" t="e">
        <f>VLOOKUP(Table1[[#This Row],[Address B]],IP_Master[],2,FALSE)</f>
        <v>#N/A</v>
      </c>
      <c r="U2206" s="9" t="e">
        <f>VLOOKUP(Table1[[#This Row],[Address A]],IP_Master[],3,FALSE)</f>
        <v>#N/A</v>
      </c>
      <c r="V2206" s="9" t="e">
        <f>VLOOKUP(Table1[[#This Row],[Address B]],IP_Master[],3,FALSE)</f>
        <v>#N/A</v>
      </c>
      <c r="W2206" s="9" t="str">
        <f>VLOOKUP(Table1[[#This Row],[Port B]],traffic_types[],2,FALSE)</f>
        <v>HTTP</v>
      </c>
    </row>
    <row r="2207" spans="1:23" x14ac:dyDescent="0.6">
      <c r="A2207" t="s">
        <v>224</v>
      </c>
      <c r="B2207">
        <v>60322</v>
      </c>
      <c r="C2207" t="s">
        <v>349</v>
      </c>
      <c r="D2207">
        <v>443</v>
      </c>
      <c r="E2207">
        <v>3</v>
      </c>
      <c r="F2207">
        <v>194</v>
      </c>
      <c r="G2207">
        <v>3</v>
      </c>
      <c r="H2207">
        <v>194</v>
      </c>
      <c r="I2207">
        <v>0</v>
      </c>
      <c r="J2207">
        <v>0</v>
      </c>
      <c r="K2207">
        <v>824.89132900000004</v>
      </c>
      <c r="L2207">
        <v>8.9994849999999396</v>
      </c>
      <c r="M2207">
        <v>172.45431266344801</v>
      </c>
      <c r="N2207">
        <v>0</v>
      </c>
      <c r="O2207" s="8" t="str">
        <f>formatIP(Table1[[#This Row],[Address A]])</f>
        <v>192.168.100.002</v>
      </c>
      <c r="P2207" s="8" t="str">
        <f>formatIP(Table1[[#This Row],[Address B]])</f>
        <v>157.055.056.164</v>
      </c>
      <c r="Q2207" s="8" t="e">
        <f>VLOOKUP(Table1[[#This Row],[Address A]],IP_Master[],4,FALSE)</f>
        <v>#N/A</v>
      </c>
      <c r="R2207" s="8" t="e">
        <f>VLOOKUP(Table1[[#This Row],[Address B]],IP_Master[],4,FALSE)</f>
        <v>#N/A</v>
      </c>
      <c r="S2207" s="8" t="e">
        <f>VLOOKUP(Table1[[#This Row],[Address A]],IP_Master[],2,FALSE)</f>
        <v>#N/A</v>
      </c>
      <c r="T2207" s="8" t="e">
        <f>VLOOKUP(Table1[[#This Row],[Address B]],IP_Master[],2,FALSE)</f>
        <v>#N/A</v>
      </c>
      <c r="U2207" s="9" t="e">
        <f>VLOOKUP(Table1[[#This Row],[Address A]],IP_Master[],3,FALSE)</f>
        <v>#N/A</v>
      </c>
      <c r="V2207" s="9" t="e">
        <f>VLOOKUP(Table1[[#This Row],[Address B]],IP_Master[],3,FALSE)</f>
        <v>#N/A</v>
      </c>
      <c r="W2207" s="9" t="str">
        <f>VLOOKUP(Table1[[#This Row],[Port B]],traffic_types[],2,FALSE)</f>
        <v>HTTP/S</v>
      </c>
    </row>
    <row r="2208" spans="1:23" x14ac:dyDescent="0.6">
      <c r="A2208" t="s">
        <v>224</v>
      </c>
      <c r="B2208">
        <v>60323</v>
      </c>
      <c r="C2208" t="s">
        <v>350</v>
      </c>
      <c r="D2208">
        <v>443</v>
      </c>
      <c r="E2208">
        <v>3</v>
      </c>
      <c r="F2208">
        <v>194</v>
      </c>
      <c r="G2208">
        <v>3</v>
      </c>
      <c r="H2208">
        <v>194</v>
      </c>
      <c r="I2208">
        <v>0</v>
      </c>
      <c r="J2208">
        <v>0</v>
      </c>
      <c r="K2208">
        <v>825.93100800000002</v>
      </c>
      <c r="L2208">
        <v>8.9998049999999203</v>
      </c>
      <c r="M2208">
        <v>172.44818082169701</v>
      </c>
      <c r="N2208">
        <v>0</v>
      </c>
      <c r="O2208" s="8" t="str">
        <f>formatIP(Table1[[#This Row],[Address A]])</f>
        <v>192.168.100.002</v>
      </c>
      <c r="P2208" s="8" t="str">
        <f>formatIP(Table1[[#This Row],[Address B]])</f>
        <v>157.055.130.148</v>
      </c>
      <c r="Q2208" s="8" t="e">
        <f>VLOOKUP(Table1[[#This Row],[Address A]],IP_Master[],4,FALSE)</f>
        <v>#N/A</v>
      </c>
      <c r="R2208" s="8" t="e">
        <f>VLOOKUP(Table1[[#This Row],[Address B]],IP_Master[],4,FALSE)</f>
        <v>#N/A</v>
      </c>
      <c r="S2208" s="8" t="e">
        <f>VLOOKUP(Table1[[#This Row],[Address A]],IP_Master[],2,FALSE)</f>
        <v>#N/A</v>
      </c>
      <c r="T2208" s="8" t="e">
        <f>VLOOKUP(Table1[[#This Row],[Address B]],IP_Master[],2,FALSE)</f>
        <v>#N/A</v>
      </c>
      <c r="U2208" s="9" t="e">
        <f>VLOOKUP(Table1[[#This Row],[Address A]],IP_Master[],3,FALSE)</f>
        <v>#N/A</v>
      </c>
      <c r="V2208" s="9" t="e">
        <f>VLOOKUP(Table1[[#This Row],[Address B]],IP_Master[],3,FALSE)</f>
        <v>#N/A</v>
      </c>
      <c r="W2208" s="9" t="str">
        <f>VLOOKUP(Table1[[#This Row],[Port B]],traffic_types[],2,FALSE)</f>
        <v>HTTP/S</v>
      </c>
    </row>
    <row r="2209" spans="1:23" x14ac:dyDescent="0.6">
      <c r="A2209" t="s">
        <v>224</v>
      </c>
      <c r="B2209">
        <v>60324</v>
      </c>
      <c r="C2209" t="s">
        <v>349</v>
      </c>
      <c r="D2209">
        <v>80</v>
      </c>
      <c r="E2209">
        <v>3</v>
      </c>
      <c r="F2209">
        <v>194</v>
      </c>
      <c r="G2209">
        <v>3</v>
      </c>
      <c r="H2209">
        <v>194</v>
      </c>
      <c r="I2209">
        <v>0</v>
      </c>
      <c r="J2209">
        <v>0</v>
      </c>
      <c r="K2209">
        <v>826.53021000000001</v>
      </c>
      <c r="L2209">
        <v>8.9816309999999895</v>
      </c>
      <c r="M2209">
        <v>172.79712337324901</v>
      </c>
      <c r="N2209">
        <v>0</v>
      </c>
      <c r="O2209" s="8" t="str">
        <f>formatIP(Table1[[#This Row],[Address A]])</f>
        <v>192.168.100.002</v>
      </c>
      <c r="P2209" s="8" t="str">
        <f>formatIP(Table1[[#This Row],[Address B]])</f>
        <v>157.055.056.164</v>
      </c>
      <c r="Q2209" s="8" t="e">
        <f>VLOOKUP(Table1[[#This Row],[Address A]],IP_Master[],4,FALSE)</f>
        <v>#N/A</v>
      </c>
      <c r="R2209" s="8" t="e">
        <f>VLOOKUP(Table1[[#This Row],[Address B]],IP_Master[],4,FALSE)</f>
        <v>#N/A</v>
      </c>
      <c r="S2209" s="8" t="e">
        <f>VLOOKUP(Table1[[#This Row],[Address A]],IP_Master[],2,FALSE)</f>
        <v>#N/A</v>
      </c>
      <c r="T2209" s="8" t="e">
        <f>VLOOKUP(Table1[[#This Row],[Address B]],IP_Master[],2,FALSE)</f>
        <v>#N/A</v>
      </c>
      <c r="U2209" s="9" t="e">
        <f>VLOOKUP(Table1[[#This Row],[Address A]],IP_Master[],3,FALSE)</f>
        <v>#N/A</v>
      </c>
      <c r="V2209" s="9" t="e">
        <f>VLOOKUP(Table1[[#This Row],[Address B]],IP_Master[],3,FALSE)</f>
        <v>#N/A</v>
      </c>
      <c r="W2209" s="9" t="str">
        <f>VLOOKUP(Table1[[#This Row],[Port B]],traffic_types[],2,FALSE)</f>
        <v>HTTP</v>
      </c>
    </row>
    <row r="2210" spans="1:23" x14ac:dyDescent="0.6">
      <c r="A2210" t="s">
        <v>224</v>
      </c>
      <c r="B2210">
        <v>60325</v>
      </c>
      <c r="C2210" t="s">
        <v>350</v>
      </c>
      <c r="D2210">
        <v>80</v>
      </c>
      <c r="E2210">
        <v>3</v>
      </c>
      <c r="F2210">
        <v>194</v>
      </c>
      <c r="G2210">
        <v>3</v>
      </c>
      <c r="H2210">
        <v>194</v>
      </c>
      <c r="I2210">
        <v>0</v>
      </c>
      <c r="J2210">
        <v>0</v>
      </c>
      <c r="K2210">
        <v>827.54137600000001</v>
      </c>
      <c r="L2210">
        <v>8.9994669999999797</v>
      </c>
      <c r="M2210">
        <v>172.45465759250001</v>
      </c>
      <c r="N2210">
        <v>0</v>
      </c>
      <c r="O2210" s="8" t="str">
        <f>formatIP(Table1[[#This Row],[Address A]])</f>
        <v>192.168.100.002</v>
      </c>
      <c r="P2210" s="8" t="str">
        <f>formatIP(Table1[[#This Row],[Address B]])</f>
        <v>157.055.130.148</v>
      </c>
      <c r="Q2210" s="8" t="e">
        <f>VLOOKUP(Table1[[#This Row],[Address A]],IP_Master[],4,FALSE)</f>
        <v>#N/A</v>
      </c>
      <c r="R2210" s="8" t="e">
        <f>VLOOKUP(Table1[[#This Row],[Address B]],IP_Master[],4,FALSE)</f>
        <v>#N/A</v>
      </c>
      <c r="S2210" s="8" t="e">
        <f>VLOOKUP(Table1[[#This Row],[Address A]],IP_Master[],2,FALSE)</f>
        <v>#N/A</v>
      </c>
      <c r="T2210" s="8" t="e">
        <f>VLOOKUP(Table1[[#This Row],[Address B]],IP_Master[],2,FALSE)</f>
        <v>#N/A</v>
      </c>
      <c r="U2210" s="9" t="e">
        <f>VLOOKUP(Table1[[#This Row],[Address A]],IP_Master[],3,FALSE)</f>
        <v>#N/A</v>
      </c>
      <c r="V2210" s="9" t="e">
        <f>VLOOKUP(Table1[[#This Row],[Address B]],IP_Master[],3,FALSE)</f>
        <v>#N/A</v>
      </c>
      <c r="W2210" s="9" t="str">
        <f>VLOOKUP(Table1[[#This Row],[Port B]],traffic_types[],2,FALSE)</f>
        <v>HTTP</v>
      </c>
    </row>
    <row r="2211" spans="1:23" hidden="1" x14ac:dyDescent="0.6">
      <c r="A2211" t="s">
        <v>224</v>
      </c>
      <c r="B2211">
        <v>60326</v>
      </c>
      <c r="C2211" t="s">
        <v>316</v>
      </c>
      <c r="D2211">
        <v>12350</v>
      </c>
      <c r="E2211">
        <v>3</v>
      </c>
      <c r="F2211">
        <v>194</v>
      </c>
      <c r="G2211">
        <v>3</v>
      </c>
      <c r="H2211">
        <v>194</v>
      </c>
      <c r="I2211">
        <v>0</v>
      </c>
      <c r="J2211">
        <v>0</v>
      </c>
      <c r="K2211">
        <v>831.11162999999999</v>
      </c>
      <c r="L2211">
        <v>9.0303059999999995</v>
      </c>
      <c r="M2211">
        <v>171.865715292483</v>
      </c>
      <c r="N2211">
        <v>0</v>
      </c>
      <c r="O2211" s="8" t="str">
        <f>formatIP(Table1[[#This Row],[Address A]])</f>
        <v>192.168.100.002</v>
      </c>
      <c r="P2211" s="8" t="str">
        <f>formatIP(Table1[[#This Row],[Address B]])</f>
        <v>091.190.218.066</v>
      </c>
      <c r="Q2211" s="8" t="e">
        <f>VLOOKUP(Table1[[#This Row],[Address A]],IP_Master[],4,FALSE)</f>
        <v>#N/A</v>
      </c>
      <c r="R2211" s="8" t="e">
        <f>VLOOKUP(Table1[[#This Row],[Address B]],IP_Master[],4,FALSE)</f>
        <v>#N/A</v>
      </c>
      <c r="S2211" s="8" t="e">
        <f>VLOOKUP(Table1[[#This Row],[Address A]],IP_Master[],2,FALSE)</f>
        <v>#N/A</v>
      </c>
      <c r="T2211" s="8" t="e">
        <f>VLOOKUP(Table1[[#This Row],[Address B]],IP_Master[],2,FALSE)</f>
        <v>#N/A</v>
      </c>
      <c r="U2211" s="9" t="e">
        <f>VLOOKUP(Table1[[#This Row],[Address A]],IP_Master[],3,FALSE)</f>
        <v>#N/A</v>
      </c>
      <c r="V2211" s="9" t="e">
        <f>VLOOKUP(Table1[[#This Row],[Address B]],IP_Master[],3,FALSE)</f>
        <v>#N/A</v>
      </c>
      <c r="W2211" s="9" t="e">
        <f>VLOOKUP(Table1[[#This Row],[Port B]],traffic_types[],2,FALSE)</f>
        <v>#N/A</v>
      </c>
    </row>
    <row r="2212" spans="1:23" x14ac:dyDescent="0.6">
      <c r="A2212" t="s">
        <v>224</v>
      </c>
      <c r="B2212">
        <v>60327</v>
      </c>
      <c r="C2212" t="s">
        <v>316</v>
      </c>
      <c r="D2212">
        <v>443</v>
      </c>
      <c r="E2212">
        <v>3</v>
      </c>
      <c r="F2212">
        <v>194</v>
      </c>
      <c r="G2212">
        <v>3</v>
      </c>
      <c r="H2212">
        <v>194</v>
      </c>
      <c r="I2212">
        <v>0</v>
      </c>
      <c r="J2212">
        <v>0</v>
      </c>
      <c r="K2212">
        <v>832.73128499999996</v>
      </c>
      <c r="L2212">
        <v>9.0005660000000507</v>
      </c>
      <c r="M2212">
        <v>172.43360028691399</v>
      </c>
      <c r="N2212">
        <v>0</v>
      </c>
      <c r="O2212" s="8" t="str">
        <f>formatIP(Table1[[#This Row],[Address A]])</f>
        <v>192.168.100.002</v>
      </c>
      <c r="P2212" s="8" t="str">
        <f>formatIP(Table1[[#This Row],[Address B]])</f>
        <v>091.190.218.066</v>
      </c>
      <c r="Q2212" s="8" t="e">
        <f>VLOOKUP(Table1[[#This Row],[Address A]],IP_Master[],4,FALSE)</f>
        <v>#N/A</v>
      </c>
      <c r="R2212" s="8" t="e">
        <f>VLOOKUP(Table1[[#This Row],[Address B]],IP_Master[],4,FALSE)</f>
        <v>#N/A</v>
      </c>
      <c r="S2212" s="8" t="e">
        <f>VLOOKUP(Table1[[#This Row],[Address A]],IP_Master[],2,FALSE)</f>
        <v>#N/A</v>
      </c>
      <c r="T2212" s="8" t="e">
        <f>VLOOKUP(Table1[[#This Row],[Address B]],IP_Master[],2,FALSE)</f>
        <v>#N/A</v>
      </c>
      <c r="U2212" s="9" t="e">
        <f>VLOOKUP(Table1[[#This Row],[Address A]],IP_Master[],3,FALSE)</f>
        <v>#N/A</v>
      </c>
      <c r="V2212" s="9" t="e">
        <f>VLOOKUP(Table1[[#This Row],[Address B]],IP_Master[],3,FALSE)</f>
        <v>#N/A</v>
      </c>
      <c r="W2212" s="9" t="str">
        <f>VLOOKUP(Table1[[#This Row],[Port B]],traffic_types[],2,FALSE)</f>
        <v>HTTP/S</v>
      </c>
    </row>
    <row r="2213" spans="1:23" x14ac:dyDescent="0.6">
      <c r="A2213" t="s">
        <v>224</v>
      </c>
      <c r="B2213">
        <v>60328</v>
      </c>
      <c r="C2213" t="s">
        <v>316</v>
      </c>
      <c r="D2213">
        <v>80</v>
      </c>
      <c r="E2213">
        <v>3</v>
      </c>
      <c r="F2213">
        <v>194</v>
      </c>
      <c r="G2213">
        <v>3</v>
      </c>
      <c r="H2213">
        <v>194</v>
      </c>
      <c r="I2213">
        <v>0</v>
      </c>
      <c r="J2213">
        <v>0</v>
      </c>
      <c r="K2213">
        <v>834.35127199999999</v>
      </c>
      <c r="L2213">
        <v>9.0200370000000003</v>
      </c>
      <c r="M2213">
        <v>172.06137846219499</v>
      </c>
      <c r="N2213">
        <v>0</v>
      </c>
      <c r="O2213" s="8" t="str">
        <f>formatIP(Table1[[#This Row],[Address A]])</f>
        <v>192.168.100.002</v>
      </c>
      <c r="P2213" s="8" t="str">
        <f>formatIP(Table1[[#This Row],[Address B]])</f>
        <v>091.190.218.066</v>
      </c>
      <c r="Q2213" s="8" t="e">
        <f>VLOOKUP(Table1[[#This Row],[Address A]],IP_Master[],4,FALSE)</f>
        <v>#N/A</v>
      </c>
      <c r="R2213" s="8" t="e">
        <f>VLOOKUP(Table1[[#This Row],[Address B]],IP_Master[],4,FALSE)</f>
        <v>#N/A</v>
      </c>
      <c r="S2213" s="8" t="e">
        <f>VLOOKUP(Table1[[#This Row],[Address A]],IP_Master[],2,FALSE)</f>
        <v>#N/A</v>
      </c>
      <c r="T2213" s="8" t="e">
        <f>VLOOKUP(Table1[[#This Row],[Address B]],IP_Master[],2,FALSE)</f>
        <v>#N/A</v>
      </c>
      <c r="U2213" s="9" t="e">
        <f>VLOOKUP(Table1[[#This Row],[Address A]],IP_Master[],3,FALSE)</f>
        <v>#N/A</v>
      </c>
      <c r="V2213" s="9" t="e">
        <f>VLOOKUP(Table1[[#This Row],[Address B]],IP_Master[],3,FALSE)</f>
        <v>#N/A</v>
      </c>
      <c r="W2213" s="9" t="str">
        <f>VLOOKUP(Table1[[#This Row],[Port B]],traffic_types[],2,FALSE)</f>
        <v>HTTP</v>
      </c>
    </row>
    <row r="2214" spans="1:23" hidden="1" x14ac:dyDescent="0.6">
      <c r="A2214" t="s">
        <v>224</v>
      </c>
      <c r="B2214">
        <v>60329</v>
      </c>
      <c r="C2214" t="s">
        <v>289</v>
      </c>
      <c r="D2214">
        <v>33033</v>
      </c>
      <c r="E2214">
        <v>3</v>
      </c>
      <c r="F2214">
        <v>194</v>
      </c>
      <c r="G2214">
        <v>3</v>
      </c>
      <c r="H2214">
        <v>194</v>
      </c>
      <c r="I2214">
        <v>0</v>
      </c>
      <c r="J2214">
        <v>0</v>
      </c>
      <c r="K2214">
        <v>835.58329600000002</v>
      </c>
      <c r="L2214">
        <v>8.9984469999999401</v>
      </c>
      <c r="M2214">
        <v>172.474205826851</v>
      </c>
      <c r="N2214">
        <v>0</v>
      </c>
      <c r="O2214" s="8" t="str">
        <f>formatIP(Table1[[#This Row],[Address A]])</f>
        <v>192.168.100.002</v>
      </c>
      <c r="P2214" s="8" t="str">
        <f>formatIP(Table1[[#This Row],[Address B]])</f>
        <v>157.055.235.146</v>
      </c>
      <c r="Q2214" s="8" t="e">
        <f>VLOOKUP(Table1[[#This Row],[Address A]],IP_Master[],4,FALSE)</f>
        <v>#N/A</v>
      </c>
      <c r="R2214" s="8" t="e">
        <f>VLOOKUP(Table1[[#This Row],[Address B]],IP_Master[],4,FALSE)</f>
        <v>#N/A</v>
      </c>
      <c r="S2214" s="8" t="e">
        <f>VLOOKUP(Table1[[#This Row],[Address A]],IP_Master[],2,FALSE)</f>
        <v>#N/A</v>
      </c>
      <c r="T2214" s="8" t="e">
        <f>VLOOKUP(Table1[[#This Row],[Address B]],IP_Master[],2,FALSE)</f>
        <v>#N/A</v>
      </c>
      <c r="U2214" s="9" t="e">
        <f>VLOOKUP(Table1[[#This Row],[Address A]],IP_Master[],3,FALSE)</f>
        <v>#N/A</v>
      </c>
      <c r="V2214" s="9" t="e">
        <f>VLOOKUP(Table1[[#This Row],[Address B]],IP_Master[],3,FALSE)</f>
        <v>#N/A</v>
      </c>
      <c r="W2214" s="9" t="e">
        <f>VLOOKUP(Table1[[#This Row],[Port B]],traffic_types[],2,FALSE)</f>
        <v>#N/A</v>
      </c>
    </row>
    <row r="2215" spans="1:23" x14ac:dyDescent="0.6">
      <c r="A2215" t="s">
        <v>224</v>
      </c>
      <c r="B2215">
        <v>60330</v>
      </c>
      <c r="C2215" t="s">
        <v>289</v>
      </c>
      <c r="D2215">
        <v>443</v>
      </c>
      <c r="E2215">
        <v>3</v>
      </c>
      <c r="F2215">
        <v>194</v>
      </c>
      <c r="G2215">
        <v>3</v>
      </c>
      <c r="H2215">
        <v>194</v>
      </c>
      <c r="I2215">
        <v>0</v>
      </c>
      <c r="J2215">
        <v>0</v>
      </c>
      <c r="K2215">
        <v>837.20224599999995</v>
      </c>
      <c r="L2215">
        <v>8.9984640000000091</v>
      </c>
      <c r="M2215">
        <v>172.47387998662899</v>
      </c>
      <c r="N2215">
        <v>0</v>
      </c>
      <c r="O2215" s="8" t="str">
        <f>formatIP(Table1[[#This Row],[Address A]])</f>
        <v>192.168.100.002</v>
      </c>
      <c r="P2215" s="8" t="str">
        <f>formatIP(Table1[[#This Row],[Address B]])</f>
        <v>157.055.235.146</v>
      </c>
      <c r="Q2215" s="8" t="e">
        <f>VLOOKUP(Table1[[#This Row],[Address A]],IP_Master[],4,FALSE)</f>
        <v>#N/A</v>
      </c>
      <c r="R2215" s="8" t="e">
        <f>VLOOKUP(Table1[[#This Row],[Address B]],IP_Master[],4,FALSE)</f>
        <v>#N/A</v>
      </c>
      <c r="S2215" s="8" t="e">
        <f>VLOOKUP(Table1[[#This Row],[Address A]],IP_Master[],2,FALSE)</f>
        <v>#N/A</v>
      </c>
      <c r="T2215" s="8" t="e">
        <f>VLOOKUP(Table1[[#This Row],[Address B]],IP_Master[],2,FALSE)</f>
        <v>#N/A</v>
      </c>
      <c r="U2215" s="9" t="e">
        <f>VLOOKUP(Table1[[#This Row],[Address A]],IP_Master[],3,FALSE)</f>
        <v>#N/A</v>
      </c>
      <c r="V2215" s="9" t="e">
        <f>VLOOKUP(Table1[[#This Row],[Address B]],IP_Master[],3,FALSE)</f>
        <v>#N/A</v>
      </c>
      <c r="W2215" s="9" t="str">
        <f>VLOOKUP(Table1[[#This Row],[Port B]],traffic_types[],2,FALSE)</f>
        <v>HTTP/S</v>
      </c>
    </row>
    <row r="2216" spans="1:23" x14ac:dyDescent="0.6">
      <c r="A2216" t="s">
        <v>224</v>
      </c>
      <c r="B2216">
        <v>60331</v>
      </c>
      <c r="C2216" t="s">
        <v>245</v>
      </c>
      <c r="D2216">
        <v>443</v>
      </c>
      <c r="E2216">
        <v>3</v>
      </c>
      <c r="F2216">
        <v>194</v>
      </c>
      <c r="G2216">
        <v>3</v>
      </c>
      <c r="H2216">
        <v>194</v>
      </c>
      <c r="I2216">
        <v>0</v>
      </c>
      <c r="J2216">
        <v>0</v>
      </c>
      <c r="K2216">
        <v>838.54191200000002</v>
      </c>
      <c r="L2216">
        <v>9.0008930000000191</v>
      </c>
      <c r="M2216">
        <v>172.42733582101201</v>
      </c>
      <c r="N2216">
        <v>0</v>
      </c>
      <c r="O2216" s="8" t="str">
        <f>formatIP(Table1[[#This Row],[Address A]])</f>
        <v>192.168.100.002</v>
      </c>
      <c r="P2216" s="8" t="str">
        <f>formatIP(Table1[[#This Row],[Address B]])</f>
        <v>085.025.103.030</v>
      </c>
      <c r="Q2216" s="8" t="e">
        <f>VLOOKUP(Table1[[#This Row],[Address A]],IP_Master[],4,FALSE)</f>
        <v>#N/A</v>
      </c>
      <c r="R2216" s="8" t="e">
        <f>VLOOKUP(Table1[[#This Row],[Address B]],IP_Master[],4,FALSE)</f>
        <v>#N/A</v>
      </c>
      <c r="S2216" s="8" t="e">
        <f>VLOOKUP(Table1[[#This Row],[Address A]],IP_Master[],2,FALSE)</f>
        <v>#N/A</v>
      </c>
      <c r="T2216" s="8" t="e">
        <f>VLOOKUP(Table1[[#This Row],[Address B]],IP_Master[],2,FALSE)</f>
        <v>#N/A</v>
      </c>
      <c r="U2216" s="9" t="e">
        <f>VLOOKUP(Table1[[#This Row],[Address A]],IP_Master[],3,FALSE)</f>
        <v>#N/A</v>
      </c>
      <c r="V2216" s="9" t="e">
        <f>VLOOKUP(Table1[[#This Row],[Address B]],IP_Master[],3,FALSE)</f>
        <v>#N/A</v>
      </c>
      <c r="W2216" s="9" t="str">
        <f>VLOOKUP(Table1[[#This Row],[Port B]],traffic_types[],2,FALSE)</f>
        <v>HTTP/S</v>
      </c>
    </row>
    <row r="2217" spans="1:23" x14ac:dyDescent="0.6">
      <c r="A2217" t="s">
        <v>224</v>
      </c>
      <c r="B2217">
        <v>60332</v>
      </c>
      <c r="C2217" t="s">
        <v>289</v>
      </c>
      <c r="D2217">
        <v>80</v>
      </c>
      <c r="E2217">
        <v>3</v>
      </c>
      <c r="F2217">
        <v>194</v>
      </c>
      <c r="G2217">
        <v>3</v>
      </c>
      <c r="H2217">
        <v>194</v>
      </c>
      <c r="I2217">
        <v>0</v>
      </c>
      <c r="J2217">
        <v>0</v>
      </c>
      <c r="K2217">
        <v>838.82236599999999</v>
      </c>
      <c r="L2217">
        <v>9.0003400000000493</v>
      </c>
      <c r="M2217">
        <v>172.43793012263899</v>
      </c>
      <c r="N2217">
        <v>0</v>
      </c>
      <c r="O2217" s="8" t="str">
        <f>formatIP(Table1[[#This Row],[Address A]])</f>
        <v>192.168.100.002</v>
      </c>
      <c r="P2217" s="8" t="str">
        <f>formatIP(Table1[[#This Row],[Address B]])</f>
        <v>157.055.235.146</v>
      </c>
      <c r="Q2217" s="8" t="e">
        <f>VLOOKUP(Table1[[#This Row],[Address A]],IP_Master[],4,FALSE)</f>
        <v>#N/A</v>
      </c>
      <c r="R2217" s="8" t="e">
        <f>VLOOKUP(Table1[[#This Row],[Address B]],IP_Master[],4,FALSE)</f>
        <v>#N/A</v>
      </c>
      <c r="S2217" s="8" t="e">
        <f>VLOOKUP(Table1[[#This Row],[Address A]],IP_Master[],2,FALSE)</f>
        <v>#N/A</v>
      </c>
      <c r="T2217" s="8" t="e">
        <f>VLOOKUP(Table1[[#This Row],[Address B]],IP_Master[],2,FALSE)</f>
        <v>#N/A</v>
      </c>
      <c r="U2217" s="9" t="e">
        <f>VLOOKUP(Table1[[#This Row],[Address A]],IP_Master[],3,FALSE)</f>
        <v>#N/A</v>
      </c>
      <c r="V2217" s="9" t="e">
        <f>VLOOKUP(Table1[[#This Row],[Address B]],IP_Master[],3,FALSE)</f>
        <v>#N/A</v>
      </c>
      <c r="W2217" s="9" t="str">
        <f>VLOOKUP(Table1[[#This Row],[Port B]],traffic_types[],2,FALSE)</f>
        <v>HTTP</v>
      </c>
    </row>
    <row r="2218" spans="1:23" x14ac:dyDescent="0.6">
      <c r="A2218" t="s">
        <v>224</v>
      </c>
      <c r="B2218">
        <v>60333</v>
      </c>
      <c r="C2218" t="s">
        <v>245</v>
      </c>
      <c r="D2218">
        <v>80</v>
      </c>
      <c r="E2218">
        <v>3</v>
      </c>
      <c r="F2218">
        <v>194</v>
      </c>
      <c r="G2218">
        <v>3</v>
      </c>
      <c r="H2218">
        <v>194</v>
      </c>
      <c r="I2218">
        <v>0</v>
      </c>
      <c r="J2218">
        <v>0</v>
      </c>
      <c r="K2218">
        <v>840.54204700000003</v>
      </c>
      <c r="L2218">
        <v>9.0006760000000003</v>
      </c>
      <c r="M2218">
        <v>172.43149292342</v>
      </c>
      <c r="N2218">
        <v>0</v>
      </c>
      <c r="O2218" s="8" t="str">
        <f>formatIP(Table1[[#This Row],[Address A]])</f>
        <v>192.168.100.002</v>
      </c>
      <c r="P2218" s="8" t="str">
        <f>formatIP(Table1[[#This Row],[Address B]])</f>
        <v>085.025.103.030</v>
      </c>
      <c r="Q2218" s="8" t="e">
        <f>VLOOKUP(Table1[[#This Row],[Address A]],IP_Master[],4,FALSE)</f>
        <v>#N/A</v>
      </c>
      <c r="R2218" s="8" t="e">
        <f>VLOOKUP(Table1[[#This Row],[Address B]],IP_Master[],4,FALSE)</f>
        <v>#N/A</v>
      </c>
      <c r="S2218" s="8" t="e">
        <f>VLOOKUP(Table1[[#This Row],[Address A]],IP_Master[],2,FALSE)</f>
        <v>#N/A</v>
      </c>
      <c r="T2218" s="8" t="e">
        <f>VLOOKUP(Table1[[#This Row],[Address B]],IP_Master[],2,FALSE)</f>
        <v>#N/A</v>
      </c>
      <c r="U2218" s="9" t="e">
        <f>VLOOKUP(Table1[[#This Row],[Address A]],IP_Master[],3,FALSE)</f>
        <v>#N/A</v>
      </c>
      <c r="V2218" s="9" t="e">
        <f>VLOOKUP(Table1[[#This Row],[Address B]],IP_Master[],3,FALSE)</f>
        <v>#N/A</v>
      </c>
      <c r="W2218" s="9" t="str">
        <f>VLOOKUP(Table1[[#This Row],[Port B]],traffic_types[],2,FALSE)</f>
        <v>HTTP</v>
      </c>
    </row>
    <row r="2219" spans="1:23" hidden="1" x14ac:dyDescent="0.6">
      <c r="A2219" t="s">
        <v>224</v>
      </c>
      <c r="B2219">
        <v>60334</v>
      </c>
      <c r="C2219" t="s">
        <v>351</v>
      </c>
      <c r="D2219">
        <v>40029</v>
      </c>
      <c r="E2219">
        <v>3</v>
      </c>
      <c r="F2219">
        <v>194</v>
      </c>
      <c r="G2219">
        <v>3</v>
      </c>
      <c r="H2219">
        <v>194</v>
      </c>
      <c r="I2219">
        <v>0</v>
      </c>
      <c r="J2219">
        <v>0</v>
      </c>
      <c r="K2219">
        <v>847.81409199999996</v>
      </c>
      <c r="L2219">
        <v>8.9995539999999892</v>
      </c>
      <c r="M2219">
        <v>172.45299044819399</v>
      </c>
      <c r="N2219">
        <v>0</v>
      </c>
      <c r="O2219" s="8" t="str">
        <f>formatIP(Table1[[#This Row],[Address A]])</f>
        <v>192.168.100.002</v>
      </c>
      <c r="P2219" s="8" t="str">
        <f>formatIP(Table1[[#This Row],[Address B]])</f>
        <v>157.055.056.152</v>
      </c>
      <c r="Q2219" s="8" t="e">
        <f>VLOOKUP(Table1[[#This Row],[Address A]],IP_Master[],4,FALSE)</f>
        <v>#N/A</v>
      </c>
      <c r="R2219" s="8" t="e">
        <f>VLOOKUP(Table1[[#This Row],[Address B]],IP_Master[],4,FALSE)</f>
        <v>#N/A</v>
      </c>
      <c r="S2219" s="8" t="e">
        <f>VLOOKUP(Table1[[#This Row],[Address A]],IP_Master[],2,FALSE)</f>
        <v>#N/A</v>
      </c>
      <c r="T2219" s="8" t="e">
        <f>VLOOKUP(Table1[[#This Row],[Address B]],IP_Master[],2,FALSE)</f>
        <v>#N/A</v>
      </c>
      <c r="U2219" s="9" t="e">
        <f>VLOOKUP(Table1[[#This Row],[Address A]],IP_Master[],3,FALSE)</f>
        <v>#N/A</v>
      </c>
      <c r="V2219" s="9" t="e">
        <f>VLOOKUP(Table1[[#This Row],[Address B]],IP_Master[],3,FALSE)</f>
        <v>#N/A</v>
      </c>
      <c r="W2219" s="9" t="e">
        <f>VLOOKUP(Table1[[#This Row],[Port B]],traffic_types[],2,FALSE)</f>
        <v>#N/A</v>
      </c>
    </row>
    <row r="2220" spans="1:23" hidden="1" x14ac:dyDescent="0.6">
      <c r="A2220" t="s">
        <v>224</v>
      </c>
      <c r="B2220">
        <v>60335</v>
      </c>
      <c r="C2220" t="s">
        <v>352</v>
      </c>
      <c r="D2220">
        <v>40031</v>
      </c>
      <c r="E2220">
        <v>3</v>
      </c>
      <c r="F2220">
        <v>194</v>
      </c>
      <c r="G2220">
        <v>3</v>
      </c>
      <c r="H2220">
        <v>194</v>
      </c>
      <c r="I2220">
        <v>0</v>
      </c>
      <c r="J2220">
        <v>0</v>
      </c>
      <c r="K2220">
        <v>848.845463</v>
      </c>
      <c r="L2220">
        <v>8.9991929999999893</v>
      </c>
      <c r="M2220">
        <v>172.45990834956001</v>
      </c>
      <c r="N2220">
        <v>0</v>
      </c>
      <c r="O2220" s="8" t="str">
        <f>formatIP(Table1[[#This Row],[Address A]])</f>
        <v>192.168.100.002</v>
      </c>
      <c r="P2220" s="8" t="str">
        <f>formatIP(Table1[[#This Row],[Address B]])</f>
        <v>157.056.052.039</v>
      </c>
      <c r="Q2220" s="8" t="e">
        <f>VLOOKUP(Table1[[#This Row],[Address A]],IP_Master[],4,FALSE)</f>
        <v>#N/A</v>
      </c>
      <c r="R2220" s="8" t="e">
        <f>VLOOKUP(Table1[[#This Row],[Address B]],IP_Master[],4,FALSE)</f>
        <v>#N/A</v>
      </c>
      <c r="S2220" s="8" t="e">
        <f>VLOOKUP(Table1[[#This Row],[Address A]],IP_Master[],2,FALSE)</f>
        <v>#N/A</v>
      </c>
      <c r="T2220" s="8" t="e">
        <f>VLOOKUP(Table1[[#This Row],[Address B]],IP_Master[],2,FALSE)</f>
        <v>#N/A</v>
      </c>
      <c r="U2220" s="9" t="e">
        <f>VLOOKUP(Table1[[#This Row],[Address A]],IP_Master[],3,FALSE)</f>
        <v>#N/A</v>
      </c>
      <c r="V2220" s="9" t="e">
        <f>VLOOKUP(Table1[[#This Row],[Address B]],IP_Master[],3,FALSE)</f>
        <v>#N/A</v>
      </c>
      <c r="W2220" s="9" t="e">
        <f>VLOOKUP(Table1[[#This Row],[Port B]],traffic_types[],2,FALSE)</f>
        <v>#N/A</v>
      </c>
    </row>
    <row r="2221" spans="1:23" x14ac:dyDescent="0.6">
      <c r="A2221" t="s">
        <v>224</v>
      </c>
      <c r="B2221">
        <v>60336</v>
      </c>
      <c r="C2221" t="s">
        <v>351</v>
      </c>
      <c r="D2221">
        <v>443</v>
      </c>
      <c r="E2221">
        <v>3</v>
      </c>
      <c r="F2221">
        <v>194</v>
      </c>
      <c r="G2221">
        <v>3</v>
      </c>
      <c r="H2221">
        <v>194</v>
      </c>
      <c r="I2221">
        <v>0</v>
      </c>
      <c r="J2221">
        <v>0</v>
      </c>
      <c r="K2221">
        <v>849.43274699999995</v>
      </c>
      <c r="L2221">
        <v>9.0019890000000906</v>
      </c>
      <c r="M2221">
        <v>172.40634264271901</v>
      </c>
      <c r="N2221">
        <v>0</v>
      </c>
      <c r="O2221" s="8" t="str">
        <f>formatIP(Table1[[#This Row],[Address A]])</f>
        <v>192.168.100.002</v>
      </c>
      <c r="P2221" s="8" t="str">
        <f>formatIP(Table1[[#This Row],[Address B]])</f>
        <v>157.055.056.152</v>
      </c>
      <c r="Q2221" s="8" t="e">
        <f>VLOOKUP(Table1[[#This Row],[Address A]],IP_Master[],4,FALSE)</f>
        <v>#N/A</v>
      </c>
      <c r="R2221" s="8" t="e">
        <f>VLOOKUP(Table1[[#This Row],[Address B]],IP_Master[],4,FALSE)</f>
        <v>#N/A</v>
      </c>
      <c r="S2221" s="8" t="e">
        <f>VLOOKUP(Table1[[#This Row],[Address A]],IP_Master[],2,FALSE)</f>
        <v>#N/A</v>
      </c>
      <c r="T2221" s="8" t="e">
        <f>VLOOKUP(Table1[[#This Row],[Address B]],IP_Master[],2,FALSE)</f>
        <v>#N/A</v>
      </c>
      <c r="U2221" s="9" t="e">
        <f>VLOOKUP(Table1[[#This Row],[Address A]],IP_Master[],3,FALSE)</f>
        <v>#N/A</v>
      </c>
      <c r="V2221" s="9" t="e">
        <f>VLOOKUP(Table1[[#This Row],[Address B]],IP_Master[],3,FALSE)</f>
        <v>#N/A</v>
      </c>
      <c r="W2221" s="9" t="str">
        <f>VLOOKUP(Table1[[#This Row],[Port B]],traffic_types[],2,FALSE)</f>
        <v>HTTP/S</v>
      </c>
    </row>
    <row r="2222" spans="1:23" hidden="1" x14ac:dyDescent="0.6">
      <c r="A2222" t="s">
        <v>224</v>
      </c>
      <c r="B2222">
        <v>60337</v>
      </c>
      <c r="C2222" t="s">
        <v>353</v>
      </c>
      <c r="D2222">
        <v>40002</v>
      </c>
      <c r="E2222">
        <v>3</v>
      </c>
      <c r="F2222">
        <v>194</v>
      </c>
      <c r="G2222">
        <v>3</v>
      </c>
      <c r="H2222">
        <v>194</v>
      </c>
      <c r="I2222">
        <v>0</v>
      </c>
      <c r="J2222">
        <v>0</v>
      </c>
      <c r="K2222">
        <v>849.87388399999998</v>
      </c>
      <c r="L2222">
        <v>8.9998699999999907</v>
      </c>
      <c r="M2222">
        <v>172.44693534462201</v>
      </c>
      <c r="N2222">
        <v>0</v>
      </c>
      <c r="O2222" s="8" t="str">
        <f>formatIP(Table1[[#This Row],[Address A]])</f>
        <v>192.168.100.002</v>
      </c>
      <c r="P2222" s="8" t="str">
        <f>formatIP(Table1[[#This Row],[Address B]])</f>
        <v>065.055.223.022</v>
      </c>
      <c r="Q2222" s="8" t="e">
        <f>VLOOKUP(Table1[[#This Row],[Address A]],IP_Master[],4,FALSE)</f>
        <v>#N/A</v>
      </c>
      <c r="R2222" s="8" t="e">
        <f>VLOOKUP(Table1[[#This Row],[Address B]],IP_Master[],4,FALSE)</f>
        <v>#N/A</v>
      </c>
      <c r="S2222" s="8" t="e">
        <f>VLOOKUP(Table1[[#This Row],[Address A]],IP_Master[],2,FALSE)</f>
        <v>#N/A</v>
      </c>
      <c r="T2222" s="8" t="e">
        <f>VLOOKUP(Table1[[#This Row],[Address B]],IP_Master[],2,FALSE)</f>
        <v>#N/A</v>
      </c>
      <c r="U2222" s="9" t="e">
        <f>VLOOKUP(Table1[[#This Row],[Address A]],IP_Master[],3,FALSE)</f>
        <v>#N/A</v>
      </c>
      <c r="V2222" s="9" t="e">
        <f>VLOOKUP(Table1[[#This Row],[Address B]],IP_Master[],3,FALSE)</f>
        <v>#N/A</v>
      </c>
      <c r="W2222" s="9" t="e">
        <f>VLOOKUP(Table1[[#This Row],[Port B]],traffic_types[],2,FALSE)</f>
        <v>#N/A</v>
      </c>
    </row>
    <row r="2223" spans="1:23" hidden="1" x14ac:dyDescent="0.6">
      <c r="A2223" t="s">
        <v>224</v>
      </c>
      <c r="B2223">
        <v>60338</v>
      </c>
      <c r="C2223" t="s">
        <v>354</v>
      </c>
      <c r="D2223">
        <v>40034</v>
      </c>
      <c r="E2223">
        <v>3</v>
      </c>
      <c r="F2223">
        <v>194</v>
      </c>
      <c r="G2223">
        <v>3</v>
      </c>
      <c r="H2223">
        <v>194</v>
      </c>
      <c r="I2223">
        <v>0</v>
      </c>
      <c r="J2223">
        <v>0</v>
      </c>
      <c r="K2223">
        <v>849.87388599999997</v>
      </c>
      <c r="L2223">
        <v>8.9998719999999803</v>
      </c>
      <c r="M2223">
        <v>172.44689702253601</v>
      </c>
      <c r="N2223">
        <v>0</v>
      </c>
      <c r="O2223" s="8" t="str">
        <f>formatIP(Table1[[#This Row],[Address A]])</f>
        <v>192.168.100.002</v>
      </c>
      <c r="P2223" s="8" t="str">
        <f>formatIP(Table1[[#This Row],[Address B]])</f>
        <v>065.055.223.042</v>
      </c>
      <c r="Q2223" s="8" t="e">
        <f>VLOOKUP(Table1[[#This Row],[Address A]],IP_Master[],4,FALSE)</f>
        <v>#N/A</v>
      </c>
      <c r="R2223" s="8" t="e">
        <f>VLOOKUP(Table1[[#This Row],[Address B]],IP_Master[],4,FALSE)</f>
        <v>#N/A</v>
      </c>
      <c r="S2223" s="8" t="e">
        <f>VLOOKUP(Table1[[#This Row],[Address A]],IP_Master[],2,FALSE)</f>
        <v>#N/A</v>
      </c>
      <c r="T2223" s="8" t="e">
        <f>VLOOKUP(Table1[[#This Row],[Address B]],IP_Master[],2,FALSE)</f>
        <v>#N/A</v>
      </c>
      <c r="U2223" s="9" t="e">
        <f>VLOOKUP(Table1[[#This Row],[Address A]],IP_Master[],3,FALSE)</f>
        <v>#N/A</v>
      </c>
      <c r="V2223" s="9" t="e">
        <f>VLOOKUP(Table1[[#This Row],[Address B]],IP_Master[],3,FALSE)</f>
        <v>#N/A</v>
      </c>
      <c r="W2223" s="9" t="e">
        <f>VLOOKUP(Table1[[#This Row],[Port B]],traffic_types[],2,FALSE)</f>
        <v>#N/A</v>
      </c>
    </row>
    <row r="2224" spans="1:23" hidden="1" x14ac:dyDescent="0.6">
      <c r="A2224" t="s">
        <v>224</v>
      </c>
      <c r="B2224">
        <v>60339</v>
      </c>
      <c r="C2224" t="s">
        <v>355</v>
      </c>
      <c r="D2224">
        <v>40023</v>
      </c>
      <c r="E2224">
        <v>3</v>
      </c>
      <c r="F2224">
        <v>194</v>
      </c>
      <c r="G2224">
        <v>3</v>
      </c>
      <c r="H2224">
        <v>194</v>
      </c>
      <c r="I2224">
        <v>0</v>
      </c>
      <c r="J2224">
        <v>0</v>
      </c>
      <c r="K2224">
        <v>849.87388799999997</v>
      </c>
      <c r="L2224">
        <v>8.9998679999999904</v>
      </c>
      <c r="M2224">
        <v>172.446973666725</v>
      </c>
      <c r="N2224">
        <v>0</v>
      </c>
      <c r="O2224" s="8" t="str">
        <f>formatIP(Table1[[#This Row],[Address A]])</f>
        <v>192.168.100.002</v>
      </c>
      <c r="P2224" s="8" t="str">
        <f>formatIP(Table1[[#This Row],[Address B]])</f>
        <v>111.221.077.164</v>
      </c>
      <c r="Q2224" s="8" t="e">
        <f>VLOOKUP(Table1[[#This Row],[Address A]],IP_Master[],4,FALSE)</f>
        <v>#N/A</v>
      </c>
      <c r="R2224" s="8" t="e">
        <f>VLOOKUP(Table1[[#This Row],[Address B]],IP_Master[],4,FALSE)</f>
        <v>#N/A</v>
      </c>
      <c r="S2224" s="8" t="e">
        <f>VLOOKUP(Table1[[#This Row],[Address A]],IP_Master[],2,FALSE)</f>
        <v>#N/A</v>
      </c>
      <c r="T2224" s="8" t="e">
        <f>VLOOKUP(Table1[[#This Row],[Address B]],IP_Master[],2,FALSE)</f>
        <v>#N/A</v>
      </c>
      <c r="U2224" s="9" t="e">
        <f>VLOOKUP(Table1[[#This Row],[Address A]],IP_Master[],3,FALSE)</f>
        <v>#N/A</v>
      </c>
      <c r="V2224" s="9" t="e">
        <f>VLOOKUP(Table1[[#This Row],[Address B]],IP_Master[],3,FALSE)</f>
        <v>#N/A</v>
      </c>
      <c r="W2224" s="9" t="e">
        <f>VLOOKUP(Table1[[#This Row],[Port B]],traffic_types[],2,FALSE)</f>
        <v>#N/A</v>
      </c>
    </row>
    <row r="2225" spans="1:23" hidden="1" x14ac:dyDescent="0.6">
      <c r="A2225" t="s">
        <v>224</v>
      </c>
      <c r="B2225">
        <v>60340</v>
      </c>
      <c r="C2225" t="s">
        <v>356</v>
      </c>
      <c r="D2225">
        <v>40028</v>
      </c>
      <c r="E2225">
        <v>3</v>
      </c>
      <c r="F2225">
        <v>194</v>
      </c>
      <c r="G2225">
        <v>3</v>
      </c>
      <c r="H2225">
        <v>194</v>
      </c>
      <c r="I2225">
        <v>0</v>
      </c>
      <c r="J2225">
        <v>0</v>
      </c>
      <c r="K2225">
        <v>849.87485200000003</v>
      </c>
      <c r="L2225">
        <v>8.9989059999999199</v>
      </c>
      <c r="M2225">
        <v>172.465408572999</v>
      </c>
      <c r="N2225">
        <v>0</v>
      </c>
      <c r="O2225" s="8" t="str">
        <f>formatIP(Table1[[#This Row],[Address A]])</f>
        <v>192.168.100.002</v>
      </c>
      <c r="P2225" s="8" t="str">
        <f>formatIP(Table1[[#This Row],[Address B]])</f>
        <v>111.221.077.155</v>
      </c>
      <c r="Q2225" s="8" t="e">
        <f>VLOOKUP(Table1[[#This Row],[Address A]],IP_Master[],4,FALSE)</f>
        <v>#N/A</v>
      </c>
      <c r="R2225" s="8" t="e">
        <f>VLOOKUP(Table1[[#This Row],[Address B]],IP_Master[],4,FALSE)</f>
        <v>#N/A</v>
      </c>
      <c r="S2225" s="8" t="e">
        <f>VLOOKUP(Table1[[#This Row],[Address A]],IP_Master[],2,FALSE)</f>
        <v>#N/A</v>
      </c>
      <c r="T2225" s="8" t="e">
        <f>VLOOKUP(Table1[[#This Row],[Address B]],IP_Master[],2,FALSE)</f>
        <v>#N/A</v>
      </c>
      <c r="U2225" s="9" t="e">
        <f>VLOOKUP(Table1[[#This Row],[Address A]],IP_Master[],3,FALSE)</f>
        <v>#N/A</v>
      </c>
      <c r="V2225" s="9" t="e">
        <f>VLOOKUP(Table1[[#This Row],[Address B]],IP_Master[],3,FALSE)</f>
        <v>#N/A</v>
      </c>
      <c r="W2225" s="9" t="e">
        <f>VLOOKUP(Table1[[#This Row],[Port B]],traffic_types[],2,FALSE)</f>
        <v>#N/A</v>
      </c>
    </row>
    <row r="2226" spans="1:23" x14ac:dyDescent="0.6">
      <c r="A2226" t="s">
        <v>224</v>
      </c>
      <c r="B2226">
        <v>60341</v>
      </c>
      <c r="C2226" t="s">
        <v>352</v>
      </c>
      <c r="D2226">
        <v>443</v>
      </c>
      <c r="E2226">
        <v>3</v>
      </c>
      <c r="F2226">
        <v>194</v>
      </c>
      <c r="G2226">
        <v>3</v>
      </c>
      <c r="H2226">
        <v>194</v>
      </c>
      <c r="I2226">
        <v>0</v>
      </c>
      <c r="J2226">
        <v>0</v>
      </c>
      <c r="K2226">
        <v>850.49310400000002</v>
      </c>
      <c r="L2226">
        <v>9.0009880000000102</v>
      </c>
      <c r="M2226">
        <v>172.425515954471</v>
      </c>
      <c r="N2226">
        <v>0</v>
      </c>
      <c r="O2226" s="8" t="str">
        <f>formatIP(Table1[[#This Row],[Address A]])</f>
        <v>192.168.100.002</v>
      </c>
      <c r="P2226" s="8" t="str">
        <f>formatIP(Table1[[#This Row],[Address B]])</f>
        <v>157.056.052.039</v>
      </c>
      <c r="Q2226" s="8" t="e">
        <f>VLOOKUP(Table1[[#This Row],[Address A]],IP_Master[],4,FALSE)</f>
        <v>#N/A</v>
      </c>
      <c r="R2226" s="8" t="e">
        <f>VLOOKUP(Table1[[#This Row],[Address B]],IP_Master[],4,FALSE)</f>
        <v>#N/A</v>
      </c>
      <c r="S2226" s="8" t="e">
        <f>VLOOKUP(Table1[[#This Row],[Address A]],IP_Master[],2,FALSE)</f>
        <v>#N/A</v>
      </c>
      <c r="T2226" s="8" t="e">
        <f>VLOOKUP(Table1[[#This Row],[Address B]],IP_Master[],2,FALSE)</f>
        <v>#N/A</v>
      </c>
      <c r="U2226" s="9" t="e">
        <f>VLOOKUP(Table1[[#This Row],[Address A]],IP_Master[],3,FALSE)</f>
        <v>#N/A</v>
      </c>
      <c r="V2226" s="9" t="e">
        <f>VLOOKUP(Table1[[#This Row],[Address B]],IP_Master[],3,FALSE)</f>
        <v>#N/A</v>
      </c>
      <c r="W2226" s="9" t="str">
        <f>VLOOKUP(Table1[[#This Row],[Port B]],traffic_types[],2,FALSE)</f>
        <v>HTTP/S</v>
      </c>
    </row>
    <row r="2227" spans="1:23" x14ac:dyDescent="0.6">
      <c r="A2227" t="s">
        <v>224</v>
      </c>
      <c r="B2227">
        <v>60342</v>
      </c>
      <c r="C2227" t="s">
        <v>351</v>
      </c>
      <c r="D2227">
        <v>80</v>
      </c>
      <c r="E2227">
        <v>3</v>
      </c>
      <c r="F2227">
        <v>194</v>
      </c>
      <c r="G2227">
        <v>3</v>
      </c>
      <c r="H2227">
        <v>194</v>
      </c>
      <c r="I2227">
        <v>0</v>
      </c>
      <c r="J2227">
        <v>0</v>
      </c>
      <c r="K2227">
        <v>851.04425100000003</v>
      </c>
      <c r="L2227">
        <v>9.0014340000000193</v>
      </c>
      <c r="M2227">
        <v>172.41697267346501</v>
      </c>
      <c r="N2227">
        <v>0</v>
      </c>
      <c r="O2227" s="8" t="str">
        <f>formatIP(Table1[[#This Row],[Address A]])</f>
        <v>192.168.100.002</v>
      </c>
      <c r="P2227" s="8" t="str">
        <f>formatIP(Table1[[#This Row],[Address B]])</f>
        <v>157.055.056.152</v>
      </c>
      <c r="Q2227" s="8" t="e">
        <f>VLOOKUP(Table1[[#This Row],[Address A]],IP_Master[],4,FALSE)</f>
        <v>#N/A</v>
      </c>
      <c r="R2227" s="8" t="e">
        <f>VLOOKUP(Table1[[#This Row],[Address B]],IP_Master[],4,FALSE)</f>
        <v>#N/A</v>
      </c>
      <c r="S2227" s="8" t="e">
        <f>VLOOKUP(Table1[[#This Row],[Address A]],IP_Master[],2,FALSE)</f>
        <v>#N/A</v>
      </c>
      <c r="T2227" s="8" t="e">
        <f>VLOOKUP(Table1[[#This Row],[Address B]],IP_Master[],2,FALSE)</f>
        <v>#N/A</v>
      </c>
      <c r="U2227" s="9" t="e">
        <f>VLOOKUP(Table1[[#This Row],[Address A]],IP_Master[],3,FALSE)</f>
        <v>#N/A</v>
      </c>
      <c r="V2227" s="9" t="e">
        <f>VLOOKUP(Table1[[#This Row],[Address B]],IP_Master[],3,FALSE)</f>
        <v>#N/A</v>
      </c>
      <c r="W2227" s="9" t="str">
        <f>VLOOKUP(Table1[[#This Row],[Port B]],traffic_types[],2,FALSE)</f>
        <v>HTTP</v>
      </c>
    </row>
    <row r="2228" spans="1:23" x14ac:dyDescent="0.6">
      <c r="A2228" t="s">
        <v>224</v>
      </c>
      <c r="B2228">
        <v>60343</v>
      </c>
      <c r="C2228" t="s">
        <v>353</v>
      </c>
      <c r="D2228">
        <v>443</v>
      </c>
      <c r="E2228">
        <v>3</v>
      </c>
      <c r="F2228">
        <v>194</v>
      </c>
      <c r="G2228">
        <v>3</v>
      </c>
      <c r="H2228">
        <v>194</v>
      </c>
      <c r="I2228">
        <v>0</v>
      </c>
      <c r="J2228">
        <v>0</v>
      </c>
      <c r="K2228">
        <v>851.48415999999997</v>
      </c>
      <c r="L2228">
        <v>9.0006180000000295</v>
      </c>
      <c r="M2228">
        <v>172.43260407229801</v>
      </c>
      <c r="N2228">
        <v>0</v>
      </c>
      <c r="O2228" s="8" t="str">
        <f>formatIP(Table1[[#This Row],[Address A]])</f>
        <v>192.168.100.002</v>
      </c>
      <c r="P2228" s="8" t="str">
        <f>formatIP(Table1[[#This Row],[Address B]])</f>
        <v>065.055.223.022</v>
      </c>
      <c r="Q2228" s="8" t="e">
        <f>VLOOKUP(Table1[[#This Row],[Address A]],IP_Master[],4,FALSE)</f>
        <v>#N/A</v>
      </c>
      <c r="R2228" s="8" t="e">
        <f>VLOOKUP(Table1[[#This Row],[Address B]],IP_Master[],4,FALSE)</f>
        <v>#N/A</v>
      </c>
      <c r="S2228" s="8" t="e">
        <f>VLOOKUP(Table1[[#This Row],[Address A]],IP_Master[],2,FALSE)</f>
        <v>#N/A</v>
      </c>
      <c r="T2228" s="8" t="e">
        <f>VLOOKUP(Table1[[#This Row],[Address B]],IP_Master[],2,FALSE)</f>
        <v>#N/A</v>
      </c>
      <c r="U2228" s="9" t="e">
        <f>VLOOKUP(Table1[[#This Row],[Address A]],IP_Master[],3,FALSE)</f>
        <v>#N/A</v>
      </c>
      <c r="V2228" s="9" t="e">
        <f>VLOOKUP(Table1[[#This Row],[Address B]],IP_Master[],3,FALSE)</f>
        <v>#N/A</v>
      </c>
      <c r="W2228" s="9" t="str">
        <f>VLOOKUP(Table1[[#This Row],[Port B]],traffic_types[],2,FALSE)</f>
        <v>HTTP/S</v>
      </c>
    </row>
    <row r="2229" spans="1:23" x14ac:dyDescent="0.6">
      <c r="A2229" t="s">
        <v>224</v>
      </c>
      <c r="B2229">
        <v>60344</v>
      </c>
      <c r="C2229" t="s">
        <v>354</v>
      </c>
      <c r="D2229">
        <v>443</v>
      </c>
      <c r="E2229">
        <v>3</v>
      </c>
      <c r="F2229">
        <v>194</v>
      </c>
      <c r="G2229">
        <v>3</v>
      </c>
      <c r="H2229">
        <v>194</v>
      </c>
      <c r="I2229">
        <v>0</v>
      </c>
      <c r="J2229">
        <v>0</v>
      </c>
      <c r="K2229">
        <v>851.48416099999997</v>
      </c>
      <c r="L2229">
        <v>9.0006150000000407</v>
      </c>
      <c r="M2229">
        <v>172.43266154590501</v>
      </c>
      <c r="N2229">
        <v>0</v>
      </c>
      <c r="O2229" s="8" t="str">
        <f>formatIP(Table1[[#This Row],[Address A]])</f>
        <v>192.168.100.002</v>
      </c>
      <c r="P2229" s="8" t="str">
        <f>formatIP(Table1[[#This Row],[Address B]])</f>
        <v>065.055.223.042</v>
      </c>
      <c r="Q2229" s="8" t="e">
        <f>VLOOKUP(Table1[[#This Row],[Address A]],IP_Master[],4,FALSE)</f>
        <v>#N/A</v>
      </c>
      <c r="R2229" s="8" t="e">
        <f>VLOOKUP(Table1[[#This Row],[Address B]],IP_Master[],4,FALSE)</f>
        <v>#N/A</v>
      </c>
      <c r="S2229" s="8" t="e">
        <f>VLOOKUP(Table1[[#This Row],[Address A]],IP_Master[],2,FALSE)</f>
        <v>#N/A</v>
      </c>
      <c r="T2229" s="8" t="e">
        <f>VLOOKUP(Table1[[#This Row],[Address B]],IP_Master[],2,FALSE)</f>
        <v>#N/A</v>
      </c>
      <c r="U2229" s="9" t="e">
        <f>VLOOKUP(Table1[[#This Row],[Address A]],IP_Master[],3,FALSE)</f>
        <v>#N/A</v>
      </c>
      <c r="V2229" s="9" t="e">
        <f>VLOOKUP(Table1[[#This Row],[Address B]],IP_Master[],3,FALSE)</f>
        <v>#N/A</v>
      </c>
      <c r="W2229" s="9" t="str">
        <f>VLOOKUP(Table1[[#This Row],[Port B]],traffic_types[],2,FALSE)</f>
        <v>HTTP/S</v>
      </c>
    </row>
    <row r="2230" spans="1:23" x14ac:dyDescent="0.6">
      <c r="A2230" t="s">
        <v>224</v>
      </c>
      <c r="B2230">
        <v>60345</v>
      </c>
      <c r="C2230" t="s">
        <v>355</v>
      </c>
      <c r="D2230">
        <v>443</v>
      </c>
      <c r="E2230">
        <v>3</v>
      </c>
      <c r="F2230">
        <v>194</v>
      </c>
      <c r="G2230">
        <v>3</v>
      </c>
      <c r="H2230">
        <v>194</v>
      </c>
      <c r="I2230">
        <v>0</v>
      </c>
      <c r="J2230">
        <v>0</v>
      </c>
      <c r="K2230">
        <v>851.48416199999997</v>
      </c>
      <c r="L2230">
        <v>9.0006090000000505</v>
      </c>
      <c r="M2230">
        <v>172.432776493234</v>
      </c>
      <c r="N2230">
        <v>0</v>
      </c>
      <c r="O2230" s="8" t="str">
        <f>formatIP(Table1[[#This Row],[Address A]])</f>
        <v>192.168.100.002</v>
      </c>
      <c r="P2230" s="8" t="str">
        <f>formatIP(Table1[[#This Row],[Address B]])</f>
        <v>111.221.077.164</v>
      </c>
      <c r="Q2230" s="8" t="e">
        <f>VLOOKUP(Table1[[#This Row],[Address A]],IP_Master[],4,FALSE)</f>
        <v>#N/A</v>
      </c>
      <c r="R2230" s="8" t="e">
        <f>VLOOKUP(Table1[[#This Row],[Address B]],IP_Master[],4,FALSE)</f>
        <v>#N/A</v>
      </c>
      <c r="S2230" s="8" t="e">
        <f>VLOOKUP(Table1[[#This Row],[Address A]],IP_Master[],2,FALSE)</f>
        <v>#N/A</v>
      </c>
      <c r="T2230" s="8" t="e">
        <f>VLOOKUP(Table1[[#This Row],[Address B]],IP_Master[],2,FALSE)</f>
        <v>#N/A</v>
      </c>
      <c r="U2230" s="9" t="e">
        <f>VLOOKUP(Table1[[#This Row],[Address A]],IP_Master[],3,FALSE)</f>
        <v>#N/A</v>
      </c>
      <c r="V2230" s="9" t="e">
        <f>VLOOKUP(Table1[[#This Row],[Address B]],IP_Master[],3,FALSE)</f>
        <v>#N/A</v>
      </c>
      <c r="W2230" s="9" t="str">
        <f>VLOOKUP(Table1[[#This Row],[Port B]],traffic_types[],2,FALSE)</f>
        <v>HTTP/S</v>
      </c>
    </row>
    <row r="2231" spans="1:23" x14ac:dyDescent="0.6">
      <c r="A2231" t="s">
        <v>224</v>
      </c>
      <c r="B2231">
        <v>60346</v>
      </c>
      <c r="C2231" t="s">
        <v>356</v>
      </c>
      <c r="D2231">
        <v>443</v>
      </c>
      <c r="E2231">
        <v>3</v>
      </c>
      <c r="F2231">
        <v>194</v>
      </c>
      <c r="G2231">
        <v>3</v>
      </c>
      <c r="H2231">
        <v>194</v>
      </c>
      <c r="I2231">
        <v>0</v>
      </c>
      <c r="J2231">
        <v>0</v>
      </c>
      <c r="K2231">
        <v>851.48519499999998</v>
      </c>
      <c r="L2231">
        <v>8.9995840000000307</v>
      </c>
      <c r="M2231">
        <v>172.45241557832</v>
      </c>
      <c r="N2231">
        <v>0</v>
      </c>
      <c r="O2231" s="8" t="str">
        <f>formatIP(Table1[[#This Row],[Address A]])</f>
        <v>192.168.100.002</v>
      </c>
      <c r="P2231" s="8" t="str">
        <f>formatIP(Table1[[#This Row],[Address B]])</f>
        <v>111.221.077.155</v>
      </c>
      <c r="Q2231" s="8" t="e">
        <f>VLOOKUP(Table1[[#This Row],[Address A]],IP_Master[],4,FALSE)</f>
        <v>#N/A</v>
      </c>
      <c r="R2231" s="8" t="e">
        <f>VLOOKUP(Table1[[#This Row],[Address B]],IP_Master[],4,FALSE)</f>
        <v>#N/A</v>
      </c>
      <c r="S2231" s="8" t="e">
        <f>VLOOKUP(Table1[[#This Row],[Address A]],IP_Master[],2,FALSE)</f>
        <v>#N/A</v>
      </c>
      <c r="T2231" s="8" t="e">
        <f>VLOOKUP(Table1[[#This Row],[Address B]],IP_Master[],2,FALSE)</f>
        <v>#N/A</v>
      </c>
      <c r="U2231" s="9" t="e">
        <f>VLOOKUP(Table1[[#This Row],[Address A]],IP_Master[],3,FALSE)</f>
        <v>#N/A</v>
      </c>
      <c r="V2231" s="9" t="e">
        <f>VLOOKUP(Table1[[#This Row],[Address B]],IP_Master[],3,FALSE)</f>
        <v>#N/A</v>
      </c>
      <c r="W2231" s="9" t="str">
        <f>VLOOKUP(Table1[[#This Row],[Port B]],traffic_types[],2,FALSE)</f>
        <v>HTTP/S</v>
      </c>
    </row>
    <row r="2232" spans="1:23" x14ac:dyDescent="0.6">
      <c r="A2232" t="s">
        <v>224</v>
      </c>
      <c r="B2232">
        <v>60347</v>
      </c>
      <c r="C2232" t="s">
        <v>352</v>
      </c>
      <c r="D2232">
        <v>80</v>
      </c>
      <c r="E2232">
        <v>3</v>
      </c>
      <c r="F2232">
        <v>194</v>
      </c>
      <c r="G2232">
        <v>3</v>
      </c>
      <c r="H2232">
        <v>194</v>
      </c>
      <c r="I2232">
        <v>0</v>
      </c>
      <c r="J2232">
        <v>0</v>
      </c>
      <c r="K2232">
        <v>852.07435299999997</v>
      </c>
      <c r="L2232">
        <v>9.0014760000000305</v>
      </c>
      <c r="M2232">
        <v>172.41616819286</v>
      </c>
      <c r="N2232">
        <v>0</v>
      </c>
      <c r="O2232" s="8" t="str">
        <f>formatIP(Table1[[#This Row],[Address A]])</f>
        <v>192.168.100.002</v>
      </c>
      <c r="P2232" s="8" t="str">
        <f>formatIP(Table1[[#This Row],[Address B]])</f>
        <v>157.056.052.039</v>
      </c>
      <c r="Q2232" s="8" t="e">
        <f>VLOOKUP(Table1[[#This Row],[Address A]],IP_Master[],4,FALSE)</f>
        <v>#N/A</v>
      </c>
      <c r="R2232" s="8" t="e">
        <f>VLOOKUP(Table1[[#This Row],[Address B]],IP_Master[],4,FALSE)</f>
        <v>#N/A</v>
      </c>
      <c r="S2232" s="8" t="e">
        <f>VLOOKUP(Table1[[#This Row],[Address A]],IP_Master[],2,FALSE)</f>
        <v>#N/A</v>
      </c>
      <c r="T2232" s="8" t="e">
        <f>VLOOKUP(Table1[[#This Row],[Address B]],IP_Master[],2,FALSE)</f>
        <v>#N/A</v>
      </c>
      <c r="U2232" s="9" t="e">
        <f>VLOOKUP(Table1[[#This Row],[Address A]],IP_Master[],3,FALSE)</f>
        <v>#N/A</v>
      </c>
      <c r="V2232" s="9" t="e">
        <f>VLOOKUP(Table1[[#This Row],[Address B]],IP_Master[],3,FALSE)</f>
        <v>#N/A</v>
      </c>
      <c r="W2232" s="9" t="str">
        <f>VLOOKUP(Table1[[#This Row],[Port B]],traffic_types[],2,FALSE)</f>
        <v>HTTP</v>
      </c>
    </row>
    <row r="2233" spans="1:23" x14ac:dyDescent="0.6">
      <c r="A2233" t="s">
        <v>224</v>
      </c>
      <c r="B2233">
        <v>60348</v>
      </c>
      <c r="C2233" t="s">
        <v>353</v>
      </c>
      <c r="D2233">
        <v>80</v>
      </c>
      <c r="E2233">
        <v>3</v>
      </c>
      <c r="F2233">
        <v>194</v>
      </c>
      <c r="G2233">
        <v>3</v>
      </c>
      <c r="H2233">
        <v>194</v>
      </c>
      <c r="I2233">
        <v>0</v>
      </c>
      <c r="J2233">
        <v>0</v>
      </c>
      <c r="K2233">
        <v>853.10435800000005</v>
      </c>
      <c r="L2233">
        <v>9.0302110000000102</v>
      </c>
      <c r="M2233">
        <v>171.867523361303</v>
      </c>
      <c r="N2233">
        <v>0</v>
      </c>
      <c r="O2233" s="8" t="str">
        <f>formatIP(Table1[[#This Row],[Address A]])</f>
        <v>192.168.100.002</v>
      </c>
      <c r="P2233" s="8" t="str">
        <f>formatIP(Table1[[#This Row],[Address B]])</f>
        <v>065.055.223.022</v>
      </c>
      <c r="Q2233" s="8" t="e">
        <f>VLOOKUP(Table1[[#This Row],[Address A]],IP_Master[],4,FALSE)</f>
        <v>#N/A</v>
      </c>
      <c r="R2233" s="8" t="e">
        <f>VLOOKUP(Table1[[#This Row],[Address B]],IP_Master[],4,FALSE)</f>
        <v>#N/A</v>
      </c>
      <c r="S2233" s="8" t="e">
        <f>VLOOKUP(Table1[[#This Row],[Address A]],IP_Master[],2,FALSE)</f>
        <v>#N/A</v>
      </c>
      <c r="T2233" s="8" t="e">
        <f>VLOOKUP(Table1[[#This Row],[Address B]],IP_Master[],2,FALSE)</f>
        <v>#N/A</v>
      </c>
      <c r="U2233" s="9" t="e">
        <f>VLOOKUP(Table1[[#This Row],[Address A]],IP_Master[],3,FALSE)</f>
        <v>#N/A</v>
      </c>
      <c r="V2233" s="9" t="e">
        <f>VLOOKUP(Table1[[#This Row],[Address B]],IP_Master[],3,FALSE)</f>
        <v>#N/A</v>
      </c>
      <c r="W2233" s="9" t="str">
        <f>VLOOKUP(Table1[[#This Row],[Port B]],traffic_types[],2,FALSE)</f>
        <v>HTTP</v>
      </c>
    </row>
    <row r="2234" spans="1:23" x14ac:dyDescent="0.6">
      <c r="A2234" t="s">
        <v>224</v>
      </c>
      <c r="B2234">
        <v>60349</v>
      </c>
      <c r="C2234" t="s">
        <v>354</v>
      </c>
      <c r="D2234">
        <v>80</v>
      </c>
      <c r="E2234">
        <v>3</v>
      </c>
      <c r="F2234">
        <v>194</v>
      </c>
      <c r="G2234">
        <v>3</v>
      </c>
      <c r="H2234">
        <v>194</v>
      </c>
      <c r="I2234">
        <v>0</v>
      </c>
      <c r="J2234">
        <v>0</v>
      </c>
      <c r="K2234">
        <v>853.10436200000004</v>
      </c>
      <c r="L2234">
        <v>9.0302140000000009</v>
      </c>
      <c r="M2234">
        <v>171.86746626381199</v>
      </c>
      <c r="N2234">
        <v>0</v>
      </c>
      <c r="O2234" s="8" t="str">
        <f>formatIP(Table1[[#This Row],[Address A]])</f>
        <v>192.168.100.002</v>
      </c>
      <c r="P2234" s="8" t="str">
        <f>formatIP(Table1[[#This Row],[Address B]])</f>
        <v>065.055.223.042</v>
      </c>
      <c r="Q2234" s="8" t="e">
        <f>VLOOKUP(Table1[[#This Row],[Address A]],IP_Master[],4,FALSE)</f>
        <v>#N/A</v>
      </c>
      <c r="R2234" s="8" t="e">
        <f>VLOOKUP(Table1[[#This Row],[Address B]],IP_Master[],4,FALSE)</f>
        <v>#N/A</v>
      </c>
      <c r="S2234" s="8" t="e">
        <f>VLOOKUP(Table1[[#This Row],[Address A]],IP_Master[],2,FALSE)</f>
        <v>#N/A</v>
      </c>
      <c r="T2234" s="8" t="e">
        <f>VLOOKUP(Table1[[#This Row],[Address B]],IP_Master[],2,FALSE)</f>
        <v>#N/A</v>
      </c>
      <c r="U2234" s="9" t="e">
        <f>VLOOKUP(Table1[[#This Row],[Address A]],IP_Master[],3,FALSE)</f>
        <v>#N/A</v>
      </c>
      <c r="V2234" s="9" t="e">
        <f>VLOOKUP(Table1[[#This Row],[Address B]],IP_Master[],3,FALSE)</f>
        <v>#N/A</v>
      </c>
      <c r="W2234" s="9" t="str">
        <f>VLOOKUP(Table1[[#This Row],[Port B]],traffic_types[],2,FALSE)</f>
        <v>HTTP</v>
      </c>
    </row>
    <row r="2235" spans="1:23" x14ac:dyDescent="0.6">
      <c r="A2235" t="s">
        <v>224</v>
      </c>
      <c r="B2235">
        <v>60350</v>
      </c>
      <c r="C2235" t="s">
        <v>355</v>
      </c>
      <c r="D2235">
        <v>80</v>
      </c>
      <c r="E2235">
        <v>3</v>
      </c>
      <c r="F2235">
        <v>194</v>
      </c>
      <c r="G2235">
        <v>3</v>
      </c>
      <c r="H2235">
        <v>194</v>
      </c>
      <c r="I2235">
        <v>0</v>
      </c>
      <c r="J2235">
        <v>0</v>
      </c>
      <c r="K2235">
        <v>853.10436300000003</v>
      </c>
      <c r="L2235">
        <v>9.0302110000000102</v>
      </c>
      <c r="M2235">
        <v>171.867523361303</v>
      </c>
      <c r="N2235">
        <v>0</v>
      </c>
      <c r="O2235" s="8" t="str">
        <f>formatIP(Table1[[#This Row],[Address A]])</f>
        <v>192.168.100.002</v>
      </c>
      <c r="P2235" s="8" t="str">
        <f>formatIP(Table1[[#This Row],[Address B]])</f>
        <v>111.221.077.164</v>
      </c>
      <c r="Q2235" s="8" t="e">
        <f>VLOOKUP(Table1[[#This Row],[Address A]],IP_Master[],4,FALSE)</f>
        <v>#N/A</v>
      </c>
      <c r="R2235" s="8" t="e">
        <f>VLOOKUP(Table1[[#This Row],[Address B]],IP_Master[],4,FALSE)</f>
        <v>#N/A</v>
      </c>
      <c r="S2235" s="8" t="e">
        <f>VLOOKUP(Table1[[#This Row],[Address A]],IP_Master[],2,FALSE)</f>
        <v>#N/A</v>
      </c>
      <c r="T2235" s="8" t="e">
        <f>VLOOKUP(Table1[[#This Row],[Address B]],IP_Master[],2,FALSE)</f>
        <v>#N/A</v>
      </c>
      <c r="U2235" s="9" t="e">
        <f>VLOOKUP(Table1[[#This Row],[Address A]],IP_Master[],3,FALSE)</f>
        <v>#N/A</v>
      </c>
      <c r="V2235" s="9" t="e">
        <f>VLOOKUP(Table1[[#This Row],[Address B]],IP_Master[],3,FALSE)</f>
        <v>#N/A</v>
      </c>
      <c r="W2235" s="9" t="str">
        <f>VLOOKUP(Table1[[#This Row],[Port B]],traffic_types[],2,FALSE)</f>
        <v>HTTP</v>
      </c>
    </row>
    <row r="2236" spans="1:23" x14ac:dyDescent="0.6">
      <c r="A2236" t="s">
        <v>224</v>
      </c>
      <c r="B2236">
        <v>60351</v>
      </c>
      <c r="C2236" t="s">
        <v>356</v>
      </c>
      <c r="D2236">
        <v>80</v>
      </c>
      <c r="E2236">
        <v>3</v>
      </c>
      <c r="F2236">
        <v>194</v>
      </c>
      <c r="G2236">
        <v>3</v>
      </c>
      <c r="H2236">
        <v>194</v>
      </c>
      <c r="I2236">
        <v>0</v>
      </c>
      <c r="J2236">
        <v>0</v>
      </c>
      <c r="K2236">
        <v>853.10533599999997</v>
      </c>
      <c r="L2236">
        <v>9.0292390000000804</v>
      </c>
      <c r="M2236">
        <v>171.88602494628699</v>
      </c>
      <c r="N2236">
        <v>0</v>
      </c>
      <c r="O2236" s="8" t="str">
        <f>formatIP(Table1[[#This Row],[Address A]])</f>
        <v>192.168.100.002</v>
      </c>
      <c r="P2236" s="8" t="str">
        <f>formatIP(Table1[[#This Row],[Address B]])</f>
        <v>111.221.077.155</v>
      </c>
      <c r="Q2236" s="8" t="e">
        <f>VLOOKUP(Table1[[#This Row],[Address A]],IP_Master[],4,FALSE)</f>
        <v>#N/A</v>
      </c>
      <c r="R2236" s="8" t="e">
        <f>VLOOKUP(Table1[[#This Row],[Address B]],IP_Master[],4,FALSE)</f>
        <v>#N/A</v>
      </c>
      <c r="S2236" s="8" t="e">
        <f>VLOOKUP(Table1[[#This Row],[Address A]],IP_Master[],2,FALSE)</f>
        <v>#N/A</v>
      </c>
      <c r="T2236" s="8" t="e">
        <f>VLOOKUP(Table1[[#This Row],[Address B]],IP_Master[],2,FALSE)</f>
        <v>#N/A</v>
      </c>
      <c r="U2236" s="9" t="e">
        <f>VLOOKUP(Table1[[#This Row],[Address A]],IP_Master[],3,FALSE)</f>
        <v>#N/A</v>
      </c>
      <c r="V2236" s="9" t="e">
        <f>VLOOKUP(Table1[[#This Row],[Address B]],IP_Master[],3,FALSE)</f>
        <v>#N/A</v>
      </c>
      <c r="W2236" s="9" t="str">
        <f>VLOOKUP(Table1[[#This Row],[Port B]],traffic_types[],2,FALSE)</f>
        <v>HTTP</v>
      </c>
    </row>
    <row r="2237" spans="1:23" hidden="1" x14ac:dyDescent="0.6">
      <c r="A2237" t="s">
        <v>224</v>
      </c>
      <c r="B2237">
        <v>60352</v>
      </c>
      <c r="C2237" t="s">
        <v>357</v>
      </c>
      <c r="D2237">
        <v>40034</v>
      </c>
      <c r="E2237">
        <v>3</v>
      </c>
      <c r="F2237">
        <v>194</v>
      </c>
      <c r="G2237">
        <v>3</v>
      </c>
      <c r="H2237">
        <v>194</v>
      </c>
      <c r="I2237">
        <v>0</v>
      </c>
      <c r="J2237">
        <v>0</v>
      </c>
      <c r="K2237">
        <v>860.02717500000006</v>
      </c>
      <c r="L2237">
        <v>8.9905849999998999</v>
      </c>
      <c r="M2237">
        <v>172.625029405764</v>
      </c>
      <c r="N2237">
        <v>0</v>
      </c>
      <c r="O2237" s="8" t="str">
        <f>formatIP(Table1[[#This Row],[Address A]])</f>
        <v>192.168.100.002</v>
      </c>
      <c r="P2237" s="8" t="str">
        <f>formatIP(Table1[[#This Row],[Address B]])</f>
        <v>157.055.130.156</v>
      </c>
      <c r="Q2237" s="8" t="e">
        <f>VLOOKUP(Table1[[#This Row],[Address A]],IP_Master[],4,FALSE)</f>
        <v>#N/A</v>
      </c>
      <c r="R2237" s="8" t="e">
        <f>VLOOKUP(Table1[[#This Row],[Address B]],IP_Master[],4,FALSE)</f>
        <v>#N/A</v>
      </c>
      <c r="S2237" s="8" t="e">
        <f>VLOOKUP(Table1[[#This Row],[Address A]],IP_Master[],2,FALSE)</f>
        <v>#N/A</v>
      </c>
      <c r="T2237" s="8" t="e">
        <f>VLOOKUP(Table1[[#This Row],[Address B]],IP_Master[],2,FALSE)</f>
        <v>#N/A</v>
      </c>
      <c r="U2237" s="9" t="e">
        <f>VLOOKUP(Table1[[#This Row],[Address A]],IP_Master[],3,FALSE)</f>
        <v>#N/A</v>
      </c>
      <c r="V2237" s="9" t="e">
        <f>VLOOKUP(Table1[[#This Row],[Address B]],IP_Master[],3,FALSE)</f>
        <v>#N/A</v>
      </c>
      <c r="W2237" s="9" t="e">
        <f>VLOOKUP(Table1[[#This Row],[Port B]],traffic_types[],2,FALSE)</f>
        <v>#N/A</v>
      </c>
    </row>
    <row r="2238" spans="1:23" x14ac:dyDescent="0.6">
      <c r="A2238" t="s">
        <v>224</v>
      </c>
      <c r="B2238">
        <v>60353</v>
      </c>
      <c r="C2238" t="s">
        <v>357</v>
      </c>
      <c r="D2238">
        <v>443</v>
      </c>
      <c r="E2238">
        <v>3</v>
      </c>
      <c r="F2238">
        <v>194</v>
      </c>
      <c r="G2238">
        <v>3</v>
      </c>
      <c r="H2238">
        <v>194</v>
      </c>
      <c r="I2238">
        <v>0</v>
      </c>
      <c r="J2238">
        <v>0</v>
      </c>
      <c r="K2238">
        <v>861.64630999999997</v>
      </c>
      <c r="L2238">
        <v>8.9912739999999793</v>
      </c>
      <c r="M2238">
        <v>172.611801175229</v>
      </c>
      <c r="N2238">
        <v>0</v>
      </c>
      <c r="O2238" s="8" t="str">
        <f>formatIP(Table1[[#This Row],[Address A]])</f>
        <v>192.168.100.002</v>
      </c>
      <c r="P2238" s="8" t="str">
        <f>formatIP(Table1[[#This Row],[Address B]])</f>
        <v>157.055.130.156</v>
      </c>
      <c r="Q2238" s="8" t="e">
        <f>VLOOKUP(Table1[[#This Row],[Address A]],IP_Master[],4,FALSE)</f>
        <v>#N/A</v>
      </c>
      <c r="R2238" s="8" t="e">
        <f>VLOOKUP(Table1[[#This Row],[Address B]],IP_Master[],4,FALSE)</f>
        <v>#N/A</v>
      </c>
      <c r="S2238" s="8" t="e">
        <f>VLOOKUP(Table1[[#This Row],[Address A]],IP_Master[],2,FALSE)</f>
        <v>#N/A</v>
      </c>
      <c r="T2238" s="8" t="e">
        <f>VLOOKUP(Table1[[#This Row],[Address B]],IP_Master[],2,FALSE)</f>
        <v>#N/A</v>
      </c>
      <c r="U2238" s="9" t="e">
        <f>VLOOKUP(Table1[[#This Row],[Address A]],IP_Master[],3,FALSE)</f>
        <v>#N/A</v>
      </c>
      <c r="V2238" s="9" t="e">
        <f>VLOOKUP(Table1[[#This Row],[Address B]],IP_Master[],3,FALSE)</f>
        <v>#N/A</v>
      </c>
      <c r="W2238" s="9" t="str">
        <f>VLOOKUP(Table1[[#This Row],[Port B]],traffic_types[],2,FALSE)</f>
        <v>HTTP/S</v>
      </c>
    </row>
    <row r="2239" spans="1:23" x14ac:dyDescent="0.6">
      <c r="A2239" t="s">
        <v>224</v>
      </c>
      <c r="B2239">
        <v>60354</v>
      </c>
      <c r="C2239" t="s">
        <v>357</v>
      </c>
      <c r="D2239">
        <v>80</v>
      </c>
      <c r="E2239">
        <v>3</v>
      </c>
      <c r="F2239">
        <v>194</v>
      </c>
      <c r="G2239">
        <v>3</v>
      </c>
      <c r="H2239">
        <v>194</v>
      </c>
      <c r="I2239">
        <v>0</v>
      </c>
      <c r="J2239">
        <v>0</v>
      </c>
      <c r="K2239">
        <v>863.25714700000003</v>
      </c>
      <c r="L2239">
        <v>9.0004759999999404</v>
      </c>
      <c r="M2239">
        <v>172.435324531726</v>
      </c>
      <c r="N2239">
        <v>0</v>
      </c>
      <c r="O2239" s="8" t="str">
        <f>formatIP(Table1[[#This Row],[Address A]])</f>
        <v>192.168.100.002</v>
      </c>
      <c r="P2239" s="8" t="str">
        <f>formatIP(Table1[[#This Row],[Address B]])</f>
        <v>157.055.130.156</v>
      </c>
      <c r="Q2239" s="8" t="e">
        <f>VLOOKUP(Table1[[#This Row],[Address A]],IP_Master[],4,FALSE)</f>
        <v>#N/A</v>
      </c>
      <c r="R2239" s="8" t="e">
        <f>VLOOKUP(Table1[[#This Row],[Address B]],IP_Master[],4,FALSE)</f>
        <v>#N/A</v>
      </c>
      <c r="S2239" s="8" t="e">
        <f>VLOOKUP(Table1[[#This Row],[Address A]],IP_Master[],2,FALSE)</f>
        <v>#N/A</v>
      </c>
      <c r="T2239" s="8" t="e">
        <f>VLOOKUP(Table1[[#This Row],[Address B]],IP_Master[],2,FALSE)</f>
        <v>#N/A</v>
      </c>
      <c r="U2239" s="9" t="e">
        <f>VLOOKUP(Table1[[#This Row],[Address A]],IP_Master[],3,FALSE)</f>
        <v>#N/A</v>
      </c>
      <c r="V2239" s="9" t="e">
        <f>VLOOKUP(Table1[[#This Row],[Address B]],IP_Master[],3,FALSE)</f>
        <v>#N/A</v>
      </c>
      <c r="W2239" s="9" t="str">
        <f>VLOOKUP(Table1[[#This Row],[Port B]],traffic_types[],2,FALSE)</f>
        <v>HTTP</v>
      </c>
    </row>
    <row r="2240" spans="1:23" hidden="1" x14ac:dyDescent="0.6">
      <c r="A2240" t="s">
        <v>224</v>
      </c>
      <c r="B2240">
        <v>60355</v>
      </c>
      <c r="C2240" t="s">
        <v>358</v>
      </c>
      <c r="D2240">
        <v>40028</v>
      </c>
      <c r="E2240">
        <v>3</v>
      </c>
      <c r="F2240">
        <v>194</v>
      </c>
      <c r="G2240">
        <v>3</v>
      </c>
      <c r="H2240">
        <v>194</v>
      </c>
      <c r="I2240">
        <v>0</v>
      </c>
      <c r="J2240">
        <v>0</v>
      </c>
      <c r="K2240">
        <v>872.28885600000001</v>
      </c>
      <c r="L2240">
        <v>8.9997190000000291</v>
      </c>
      <c r="M2240">
        <v>172.44982871131799</v>
      </c>
      <c r="N2240">
        <v>0</v>
      </c>
      <c r="O2240" s="8" t="str">
        <f>formatIP(Table1[[#This Row],[Address A]])</f>
        <v>192.168.100.002</v>
      </c>
      <c r="P2240" s="8" t="str">
        <f>formatIP(Table1[[#This Row],[Address B]])</f>
        <v>157.055.130.158</v>
      </c>
      <c r="Q2240" s="8" t="e">
        <f>VLOOKUP(Table1[[#This Row],[Address A]],IP_Master[],4,FALSE)</f>
        <v>#N/A</v>
      </c>
      <c r="R2240" s="8" t="e">
        <f>VLOOKUP(Table1[[#This Row],[Address B]],IP_Master[],4,FALSE)</f>
        <v>#N/A</v>
      </c>
      <c r="S2240" s="8" t="e">
        <f>VLOOKUP(Table1[[#This Row],[Address A]],IP_Master[],2,FALSE)</f>
        <v>#N/A</v>
      </c>
      <c r="T2240" s="8" t="e">
        <f>VLOOKUP(Table1[[#This Row],[Address B]],IP_Master[],2,FALSE)</f>
        <v>#N/A</v>
      </c>
      <c r="U2240" s="9" t="e">
        <f>VLOOKUP(Table1[[#This Row],[Address A]],IP_Master[],3,FALSE)</f>
        <v>#N/A</v>
      </c>
      <c r="V2240" s="9" t="e">
        <f>VLOOKUP(Table1[[#This Row],[Address B]],IP_Master[],3,FALSE)</f>
        <v>#N/A</v>
      </c>
      <c r="W2240" s="9" t="e">
        <f>VLOOKUP(Table1[[#This Row],[Port B]],traffic_types[],2,FALSE)</f>
        <v>#N/A</v>
      </c>
    </row>
    <row r="2241" spans="1:23" hidden="1" x14ac:dyDescent="0.6">
      <c r="A2241" t="s">
        <v>224</v>
      </c>
      <c r="B2241">
        <v>60356</v>
      </c>
      <c r="C2241" t="s">
        <v>359</v>
      </c>
      <c r="D2241">
        <v>40036</v>
      </c>
      <c r="E2241">
        <v>3</v>
      </c>
      <c r="F2241">
        <v>194</v>
      </c>
      <c r="G2241">
        <v>3</v>
      </c>
      <c r="H2241">
        <v>194</v>
      </c>
      <c r="I2241">
        <v>0</v>
      </c>
      <c r="J2241">
        <v>0</v>
      </c>
      <c r="K2241">
        <v>873.31870900000001</v>
      </c>
      <c r="L2241">
        <v>8.9998419999999406</v>
      </c>
      <c r="M2241">
        <v>172.44747185561801</v>
      </c>
      <c r="N2241">
        <v>0</v>
      </c>
      <c r="O2241" s="8" t="str">
        <f>formatIP(Table1[[#This Row],[Address A]])</f>
        <v>192.168.100.002</v>
      </c>
      <c r="P2241" s="8" t="str">
        <f>formatIP(Table1[[#This Row],[Address B]])</f>
        <v>065.055.223.013</v>
      </c>
      <c r="Q2241" s="8" t="e">
        <f>VLOOKUP(Table1[[#This Row],[Address A]],IP_Master[],4,FALSE)</f>
        <v>#N/A</v>
      </c>
      <c r="R2241" s="8" t="e">
        <f>VLOOKUP(Table1[[#This Row],[Address B]],IP_Master[],4,FALSE)</f>
        <v>#N/A</v>
      </c>
      <c r="S2241" s="8" t="e">
        <f>VLOOKUP(Table1[[#This Row],[Address A]],IP_Master[],2,FALSE)</f>
        <v>#N/A</v>
      </c>
      <c r="T2241" s="8" t="e">
        <f>VLOOKUP(Table1[[#This Row],[Address B]],IP_Master[],2,FALSE)</f>
        <v>#N/A</v>
      </c>
      <c r="U2241" s="9" t="e">
        <f>VLOOKUP(Table1[[#This Row],[Address A]],IP_Master[],3,FALSE)</f>
        <v>#N/A</v>
      </c>
      <c r="V2241" s="9" t="e">
        <f>VLOOKUP(Table1[[#This Row],[Address B]],IP_Master[],3,FALSE)</f>
        <v>#N/A</v>
      </c>
      <c r="W2241" s="9" t="e">
        <f>VLOOKUP(Table1[[#This Row],[Port B]],traffic_types[],2,FALSE)</f>
        <v>#N/A</v>
      </c>
    </row>
    <row r="2242" spans="1:23" x14ac:dyDescent="0.6">
      <c r="A2242" t="s">
        <v>224</v>
      </c>
      <c r="B2242">
        <v>60357</v>
      </c>
      <c r="C2242" t="s">
        <v>358</v>
      </c>
      <c r="D2242">
        <v>443</v>
      </c>
      <c r="E2242">
        <v>3</v>
      </c>
      <c r="F2242">
        <v>194</v>
      </c>
      <c r="G2242">
        <v>3</v>
      </c>
      <c r="H2242">
        <v>194</v>
      </c>
      <c r="I2242">
        <v>0</v>
      </c>
      <c r="J2242">
        <v>0</v>
      </c>
      <c r="K2242">
        <v>873.89887399999998</v>
      </c>
      <c r="L2242">
        <v>8.9998010000000495</v>
      </c>
      <c r="M2242">
        <v>172.448257467025</v>
      </c>
      <c r="N2242">
        <v>0</v>
      </c>
      <c r="O2242" s="8" t="str">
        <f>formatIP(Table1[[#This Row],[Address A]])</f>
        <v>192.168.100.002</v>
      </c>
      <c r="P2242" s="8" t="str">
        <f>formatIP(Table1[[#This Row],[Address B]])</f>
        <v>157.055.130.158</v>
      </c>
      <c r="Q2242" s="8" t="e">
        <f>VLOOKUP(Table1[[#This Row],[Address A]],IP_Master[],4,FALSE)</f>
        <v>#N/A</v>
      </c>
      <c r="R2242" s="8" t="e">
        <f>VLOOKUP(Table1[[#This Row],[Address B]],IP_Master[],4,FALSE)</f>
        <v>#N/A</v>
      </c>
      <c r="S2242" s="8" t="e">
        <f>VLOOKUP(Table1[[#This Row],[Address A]],IP_Master[],2,FALSE)</f>
        <v>#N/A</v>
      </c>
      <c r="T2242" s="8" t="e">
        <f>VLOOKUP(Table1[[#This Row],[Address B]],IP_Master[],2,FALSE)</f>
        <v>#N/A</v>
      </c>
      <c r="U2242" s="9" t="e">
        <f>VLOOKUP(Table1[[#This Row],[Address A]],IP_Master[],3,FALSE)</f>
        <v>#N/A</v>
      </c>
      <c r="V2242" s="9" t="e">
        <f>VLOOKUP(Table1[[#This Row],[Address B]],IP_Master[],3,FALSE)</f>
        <v>#N/A</v>
      </c>
      <c r="W2242" s="9" t="str">
        <f>VLOOKUP(Table1[[#This Row],[Port B]],traffic_types[],2,FALSE)</f>
        <v>HTTP/S</v>
      </c>
    </row>
    <row r="2243" spans="1:23" hidden="1" x14ac:dyDescent="0.6">
      <c r="A2243" t="s">
        <v>224</v>
      </c>
      <c r="B2243">
        <v>60358</v>
      </c>
      <c r="C2243" t="s">
        <v>360</v>
      </c>
      <c r="D2243">
        <v>40017</v>
      </c>
      <c r="E2243">
        <v>3</v>
      </c>
      <c r="F2243">
        <v>194</v>
      </c>
      <c r="G2243">
        <v>3</v>
      </c>
      <c r="H2243">
        <v>194</v>
      </c>
      <c r="I2243">
        <v>0</v>
      </c>
      <c r="J2243">
        <v>0</v>
      </c>
      <c r="K2243">
        <v>874.34995700000002</v>
      </c>
      <c r="L2243">
        <v>8.9977589999999701</v>
      </c>
      <c r="M2243">
        <v>172.48739380550299</v>
      </c>
      <c r="N2243">
        <v>0</v>
      </c>
      <c r="O2243" s="8" t="str">
        <f>formatIP(Table1[[#This Row],[Address A]])</f>
        <v>192.168.100.002</v>
      </c>
      <c r="P2243" s="8" t="str">
        <f>formatIP(Table1[[#This Row],[Address B]])</f>
        <v>064.004.023.174</v>
      </c>
      <c r="Q2243" s="8" t="e">
        <f>VLOOKUP(Table1[[#This Row],[Address A]],IP_Master[],4,FALSE)</f>
        <v>#N/A</v>
      </c>
      <c r="R2243" s="8" t="e">
        <f>VLOOKUP(Table1[[#This Row],[Address B]],IP_Master[],4,FALSE)</f>
        <v>#N/A</v>
      </c>
      <c r="S2243" s="8" t="e">
        <f>VLOOKUP(Table1[[#This Row],[Address A]],IP_Master[],2,FALSE)</f>
        <v>#N/A</v>
      </c>
      <c r="T2243" s="8" t="e">
        <f>VLOOKUP(Table1[[#This Row],[Address B]],IP_Master[],2,FALSE)</f>
        <v>#N/A</v>
      </c>
      <c r="U2243" s="9" t="e">
        <f>VLOOKUP(Table1[[#This Row],[Address A]],IP_Master[],3,FALSE)</f>
        <v>#N/A</v>
      </c>
      <c r="V2243" s="9" t="e">
        <f>VLOOKUP(Table1[[#This Row],[Address B]],IP_Master[],3,FALSE)</f>
        <v>#N/A</v>
      </c>
      <c r="W2243" s="9" t="e">
        <f>VLOOKUP(Table1[[#This Row],[Port B]],traffic_types[],2,FALSE)</f>
        <v>#N/A</v>
      </c>
    </row>
    <row r="2244" spans="1:23" hidden="1" x14ac:dyDescent="0.6">
      <c r="A2244" t="s">
        <v>224</v>
      </c>
      <c r="B2244">
        <v>60359</v>
      </c>
      <c r="C2244" t="s">
        <v>361</v>
      </c>
      <c r="D2244">
        <v>40032</v>
      </c>
      <c r="E2244">
        <v>3</v>
      </c>
      <c r="F2244">
        <v>194</v>
      </c>
      <c r="G2244">
        <v>3</v>
      </c>
      <c r="H2244">
        <v>194</v>
      </c>
      <c r="I2244">
        <v>0</v>
      </c>
      <c r="J2244">
        <v>0</v>
      </c>
      <c r="K2244">
        <v>874.34995800000002</v>
      </c>
      <c r="L2244">
        <v>8.9977519999999895</v>
      </c>
      <c r="M2244">
        <v>172.487527995882</v>
      </c>
      <c r="N2244">
        <v>0</v>
      </c>
      <c r="O2244" s="8" t="str">
        <f>formatIP(Table1[[#This Row],[Address A]])</f>
        <v>192.168.100.002</v>
      </c>
      <c r="P2244" s="8" t="str">
        <f>formatIP(Table1[[#This Row],[Address B]])</f>
        <v>157.055.056.173</v>
      </c>
      <c r="Q2244" s="8" t="e">
        <f>VLOOKUP(Table1[[#This Row],[Address A]],IP_Master[],4,FALSE)</f>
        <v>#N/A</v>
      </c>
      <c r="R2244" s="8" t="e">
        <f>VLOOKUP(Table1[[#This Row],[Address B]],IP_Master[],4,FALSE)</f>
        <v>#N/A</v>
      </c>
      <c r="S2244" s="8" t="e">
        <f>VLOOKUP(Table1[[#This Row],[Address A]],IP_Master[],2,FALSE)</f>
        <v>#N/A</v>
      </c>
      <c r="T2244" s="8" t="e">
        <f>VLOOKUP(Table1[[#This Row],[Address B]],IP_Master[],2,FALSE)</f>
        <v>#N/A</v>
      </c>
      <c r="U2244" s="9" t="e">
        <f>VLOOKUP(Table1[[#This Row],[Address A]],IP_Master[],3,FALSE)</f>
        <v>#N/A</v>
      </c>
      <c r="V2244" s="9" t="e">
        <f>VLOOKUP(Table1[[#This Row],[Address B]],IP_Master[],3,FALSE)</f>
        <v>#N/A</v>
      </c>
      <c r="W2244" s="9" t="e">
        <f>VLOOKUP(Table1[[#This Row],[Port B]],traffic_types[],2,FALSE)</f>
        <v>#N/A</v>
      </c>
    </row>
    <row r="2245" spans="1:23" hidden="1" x14ac:dyDescent="0.6">
      <c r="A2245" t="s">
        <v>224</v>
      </c>
      <c r="B2245">
        <v>60360</v>
      </c>
      <c r="C2245" t="s">
        <v>362</v>
      </c>
      <c r="D2245">
        <v>40018</v>
      </c>
      <c r="E2245">
        <v>3</v>
      </c>
      <c r="F2245">
        <v>194</v>
      </c>
      <c r="G2245">
        <v>3</v>
      </c>
      <c r="H2245">
        <v>194</v>
      </c>
      <c r="I2245">
        <v>0</v>
      </c>
      <c r="J2245">
        <v>0</v>
      </c>
      <c r="K2245">
        <v>874.35205399999995</v>
      </c>
      <c r="L2245">
        <v>8.9956630000000395</v>
      </c>
      <c r="M2245">
        <v>172.527583569993</v>
      </c>
      <c r="N2245">
        <v>0</v>
      </c>
      <c r="O2245" s="8" t="str">
        <f>formatIP(Table1[[#This Row],[Address A]])</f>
        <v>192.168.100.002</v>
      </c>
      <c r="P2245" s="8" t="str">
        <f>formatIP(Table1[[#This Row],[Address B]])</f>
        <v>157.056.052.035</v>
      </c>
      <c r="Q2245" s="8" t="e">
        <f>VLOOKUP(Table1[[#This Row],[Address A]],IP_Master[],4,FALSE)</f>
        <v>#N/A</v>
      </c>
      <c r="R2245" s="8" t="e">
        <f>VLOOKUP(Table1[[#This Row],[Address B]],IP_Master[],4,FALSE)</f>
        <v>#N/A</v>
      </c>
      <c r="S2245" s="8" t="e">
        <f>VLOOKUP(Table1[[#This Row],[Address A]],IP_Master[],2,FALSE)</f>
        <v>#N/A</v>
      </c>
      <c r="T2245" s="8" t="e">
        <f>VLOOKUP(Table1[[#This Row],[Address B]],IP_Master[],2,FALSE)</f>
        <v>#N/A</v>
      </c>
      <c r="U2245" s="9" t="e">
        <f>VLOOKUP(Table1[[#This Row],[Address A]],IP_Master[],3,FALSE)</f>
        <v>#N/A</v>
      </c>
      <c r="V2245" s="9" t="e">
        <f>VLOOKUP(Table1[[#This Row],[Address B]],IP_Master[],3,FALSE)</f>
        <v>#N/A</v>
      </c>
      <c r="W2245" s="9" t="e">
        <f>VLOOKUP(Table1[[#This Row],[Port B]],traffic_types[],2,FALSE)</f>
        <v>#N/A</v>
      </c>
    </row>
    <row r="2246" spans="1:23" hidden="1" x14ac:dyDescent="0.6">
      <c r="A2246" t="s">
        <v>224</v>
      </c>
      <c r="B2246">
        <v>60361</v>
      </c>
      <c r="C2246" t="s">
        <v>363</v>
      </c>
      <c r="D2246">
        <v>40022</v>
      </c>
      <c r="E2246">
        <v>3</v>
      </c>
      <c r="F2246">
        <v>194</v>
      </c>
      <c r="G2246">
        <v>3</v>
      </c>
      <c r="H2246">
        <v>194</v>
      </c>
      <c r="I2246">
        <v>0</v>
      </c>
      <c r="J2246">
        <v>0</v>
      </c>
      <c r="K2246">
        <v>874.35308999999995</v>
      </c>
      <c r="L2246">
        <v>8.9946250000000401</v>
      </c>
      <c r="M2246">
        <v>172.54749364203499</v>
      </c>
      <c r="N2246">
        <v>0</v>
      </c>
      <c r="O2246" s="8" t="str">
        <f>formatIP(Table1[[#This Row],[Address A]])</f>
        <v>192.168.100.002</v>
      </c>
      <c r="P2246" s="8" t="str">
        <f>formatIP(Table1[[#This Row],[Address B]])</f>
        <v>111.221.077.170</v>
      </c>
      <c r="Q2246" s="8" t="e">
        <f>VLOOKUP(Table1[[#This Row],[Address A]],IP_Master[],4,FALSE)</f>
        <v>#N/A</v>
      </c>
      <c r="R2246" s="8" t="e">
        <f>VLOOKUP(Table1[[#This Row],[Address B]],IP_Master[],4,FALSE)</f>
        <v>#N/A</v>
      </c>
      <c r="S2246" s="8" t="e">
        <f>VLOOKUP(Table1[[#This Row],[Address A]],IP_Master[],2,FALSE)</f>
        <v>#N/A</v>
      </c>
      <c r="T2246" s="8" t="e">
        <f>VLOOKUP(Table1[[#This Row],[Address B]],IP_Master[],2,FALSE)</f>
        <v>#N/A</v>
      </c>
      <c r="U2246" s="9" t="e">
        <f>VLOOKUP(Table1[[#This Row],[Address A]],IP_Master[],3,FALSE)</f>
        <v>#N/A</v>
      </c>
      <c r="V2246" s="9" t="e">
        <f>VLOOKUP(Table1[[#This Row],[Address B]],IP_Master[],3,FALSE)</f>
        <v>#N/A</v>
      </c>
      <c r="W2246" s="9" t="e">
        <f>VLOOKUP(Table1[[#This Row],[Port B]],traffic_types[],2,FALSE)</f>
        <v>#N/A</v>
      </c>
    </row>
    <row r="2247" spans="1:23" x14ac:dyDescent="0.6">
      <c r="A2247" t="s">
        <v>224</v>
      </c>
      <c r="B2247">
        <v>60362</v>
      </c>
      <c r="C2247" t="s">
        <v>359</v>
      </c>
      <c r="D2247">
        <v>443</v>
      </c>
      <c r="E2247">
        <v>3</v>
      </c>
      <c r="F2247">
        <v>194</v>
      </c>
      <c r="G2247">
        <v>3</v>
      </c>
      <c r="H2247">
        <v>194</v>
      </c>
      <c r="I2247">
        <v>0</v>
      </c>
      <c r="J2247">
        <v>0</v>
      </c>
      <c r="K2247">
        <v>874.92901300000005</v>
      </c>
      <c r="L2247">
        <v>8.9996029999999791</v>
      </c>
      <c r="M2247">
        <v>172.45205149604999</v>
      </c>
      <c r="N2247">
        <v>0</v>
      </c>
      <c r="O2247" s="8" t="str">
        <f>formatIP(Table1[[#This Row],[Address A]])</f>
        <v>192.168.100.002</v>
      </c>
      <c r="P2247" s="8" t="str">
        <f>formatIP(Table1[[#This Row],[Address B]])</f>
        <v>065.055.223.013</v>
      </c>
      <c r="Q2247" s="8" t="e">
        <f>VLOOKUP(Table1[[#This Row],[Address A]],IP_Master[],4,FALSE)</f>
        <v>#N/A</v>
      </c>
      <c r="R2247" s="8" t="e">
        <f>VLOOKUP(Table1[[#This Row],[Address B]],IP_Master[],4,FALSE)</f>
        <v>#N/A</v>
      </c>
      <c r="S2247" s="8" t="e">
        <f>VLOOKUP(Table1[[#This Row],[Address A]],IP_Master[],2,FALSE)</f>
        <v>#N/A</v>
      </c>
      <c r="T2247" s="8" t="e">
        <f>VLOOKUP(Table1[[#This Row],[Address B]],IP_Master[],2,FALSE)</f>
        <v>#N/A</v>
      </c>
      <c r="U2247" s="9" t="e">
        <f>VLOOKUP(Table1[[#This Row],[Address A]],IP_Master[],3,FALSE)</f>
        <v>#N/A</v>
      </c>
      <c r="V2247" s="9" t="e">
        <f>VLOOKUP(Table1[[#This Row],[Address B]],IP_Master[],3,FALSE)</f>
        <v>#N/A</v>
      </c>
      <c r="W2247" s="9" t="str">
        <f>VLOOKUP(Table1[[#This Row],[Port B]],traffic_types[],2,FALSE)</f>
        <v>HTTP/S</v>
      </c>
    </row>
    <row r="2248" spans="1:23" x14ac:dyDescent="0.6">
      <c r="A2248" t="s">
        <v>224</v>
      </c>
      <c r="B2248">
        <v>60363</v>
      </c>
      <c r="C2248" t="s">
        <v>358</v>
      </c>
      <c r="D2248">
        <v>80</v>
      </c>
      <c r="E2248">
        <v>3</v>
      </c>
      <c r="F2248">
        <v>194</v>
      </c>
      <c r="G2248">
        <v>3</v>
      </c>
      <c r="H2248">
        <v>194</v>
      </c>
      <c r="I2248">
        <v>0</v>
      </c>
      <c r="J2248">
        <v>0</v>
      </c>
      <c r="K2248">
        <v>875.50915299999997</v>
      </c>
      <c r="L2248">
        <v>8.9994290000000792</v>
      </c>
      <c r="M2248">
        <v>172.455385780585</v>
      </c>
      <c r="N2248">
        <v>0</v>
      </c>
      <c r="O2248" s="8" t="str">
        <f>formatIP(Table1[[#This Row],[Address A]])</f>
        <v>192.168.100.002</v>
      </c>
      <c r="P2248" s="8" t="str">
        <f>formatIP(Table1[[#This Row],[Address B]])</f>
        <v>157.055.130.158</v>
      </c>
      <c r="Q2248" s="8" t="e">
        <f>VLOOKUP(Table1[[#This Row],[Address A]],IP_Master[],4,FALSE)</f>
        <v>#N/A</v>
      </c>
      <c r="R2248" s="8" t="e">
        <f>VLOOKUP(Table1[[#This Row],[Address B]],IP_Master[],4,FALSE)</f>
        <v>#N/A</v>
      </c>
      <c r="S2248" s="8" t="e">
        <f>VLOOKUP(Table1[[#This Row],[Address A]],IP_Master[],2,FALSE)</f>
        <v>#N/A</v>
      </c>
      <c r="T2248" s="8" t="e">
        <f>VLOOKUP(Table1[[#This Row],[Address B]],IP_Master[],2,FALSE)</f>
        <v>#N/A</v>
      </c>
      <c r="U2248" s="9" t="e">
        <f>VLOOKUP(Table1[[#This Row],[Address A]],IP_Master[],3,FALSE)</f>
        <v>#N/A</v>
      </c>
      <c r="V2248" s="9" t="e">
        <f>VLOOKUP(Table1[[#This Row],[Address B]],IP_Master[],3,FALSE)</f>
        <v>#N/A</v>
      </c>
      <c r="W2248" s="9" t="str">
        <f>VLOOKUP(Table1[[#This Row],[Port B]],traffic_types[],2,FALSE)</f>
        <v>HTTP</v>
      </c>
    </row>
    <row r="2249" spans="1:23" x14ac:dyDescent="0.6">
      <c r="A2249" t="s">
        <v>224</v>
      </c>
      <c r="B2249">
        <v>60364</v>
      </c>
      <c r="C2249" t="s">
        <v>360</v>
      </c>
      <c r="D2249">
        <v>443</v>
      </c>
      <c r="E2249">
        <v>3</v>
      </c>
      <c r="F2249">
        <v>194</v>
      </c>
      <c r="G2249">
        <v>3</v>
      </c>
      <c r="H2249">
        <v>194</v>
      </c>
      <c r="I2249">
        <v>0</v>
      </c>
      <c r="J2249">
        <v>0</v>
      </c>
      <c r="K2249">
        <v>875.96910600000001</v>
      </c>
      <c r="L2249">
        <v>8.9994709999999696</v>
      </c>
      <c r="M2249">
        <v>172.45458094148</v>
      </c>
      <c r="N2249">
        <v>0</v>
      </c>
      <c r="O2249" s="8" t="str">
        <f>formatIP(Table1[[#This Row],[Address A]])</f>
        <v>192.168.100.002</v>
      </c>
      <c r="P2249" s="8" t="str">
        <f>formatIP(Table1[[#This Row],[Address B]])</f>
        <v>064.004.023.174</v>
      </c>
      <c r="Q2249" s="8" t="e">
        <f>VLOOKUP(Table1[[#This Row],[Address A]],IP_Master[],4,FALSE)</f>
        <v>#N/A</v>
      </c>
      <c r="R2249" s="8" t="e">
        <f>VLOOKUP(Table1[[#This Row],[Address B]],IP_Master[],4,FALSE)</f>
        <v>#N/A</v>
      </c>
      <c r="S2249" s="8" t="e">
        <f>VLOOKUP(Table1[[#This Row],[Address A]],IP_Master[],2,FALSE)</f>
        <v>#N/A</v>
      </c>
      <c r="T2249" s="8" t="e">
        <f>VLOOKUP(Table1[[#This Row],[Address B]],IP_Master[],2,FALSE)</f>
        <v>#N/A</v>
      </c>
      <c r="U2249" s="9" t="e">
        <f>VLOOKUP(Table1[[#This Row],[Address A]],IP_Master[],3,FALSE)</f>
        <v>#N/A</v>
      </c>
      <c r="V2249" s="9" t="e">
        <f>VLOOKUP(Table1[[#This Row],[Address B]],IP_Master[],3,FALSE)</f>
        <v>#N/A</v>
      </c>
      <c r="W2249" s="9" t="str">
        <f>VLOOKUP(Table1[[#This Row],[Port B]],traffic_types[],2,FALSE)</f>
        <v>HTTP/S</v>
      </c>
    </row>
    <row r="2250" spans="1:23" x14ac:dyDescent="0.6">
      <c r="A2250" t="s">
        <v>224</v>
      </c>
      <c r="B2250">
        <v>60365</v>
      </c>
      <c r="C2250" t="s">
        <v>361</v>
      </c>
      <c r="D2250">
        <v>443</v>
      </c>
      <c r="E2250">
        <v>3</v>
      </c>
      <c r="F2250">
        <v>194</v>
      </c>
      <c r="G2250">
        <v>3</v>
      </c>
      <c r="H2250">
        <v>194</v>
      </c>
      <c r="I2250">
        <v>0</v>
      </c>
      <c r="J2250">
        <v>0</v>
      </c>
      <c r="K2250">
        <v>875.969111</v>
      </c>
      <c r="L2250">
        <v>8.9994669999999797</v>
      </c>
      <c r="M2250">
        <v>172.45465759250001</v>
      </c>
      <c r="N2250">
        <v>0</v>
      </c>
      <c r="O2250" s="8" t="str">
        <f>formatIP(Table1[[#This Row],[Address A]])</f>
        <v>192.168.100.002</v>
      </c>
      <c r="P2250" s="8" t="str">
        <f>formatIP(Table1[[#This Row],[Address B]])</f>
        <v>157.055.056.173</v>
      </c>
      <c r="Q2250" s="8" t="e">
        <f>VLOOKUP(Table1[[#This Row],[Address A]],IP_Master[],4,FALSE)</f>
        <v>#N/A</v>
      </c>
      <c r="R2250" s="8" t="e">
        <f>VLOOKUP(Table1[[#This Row],[Address B]],IP_Master[],4,FALSE)</f>
        <v>#N/A</v>
      </c>
      <c r="S2250" s="8" t="e">
        <f>VLOOKUP(Table1[[#This Row],[Address A]],IP_Master[],2,FALSE)</f>
        <v>#N/A</v>
      </c>
      <c r="T2250" s="8" t="e">
        <f>VLOOKUP(Table1[[#This Row],[Address B]],IP_Master[],2,FALSE)</f>
        <v>#N/A</v>
      </c>
      <c r="U2250" s="9" t="e">
        <f>VLOOKUP(Table1[[#This Row],[Address A]],IP_Master[],3,FALSE)</f>
        <v>#N/A</v>
      </c>
      <c r="V2250" s="9" t="e">
        <f>VLOOKUP(Table1[[#This Row],[Address B]],IP_Master[],3,FALSE)</f>
        <v>#N/A</v>
      </c>
      <c r="W2250" s="9" t="str">
        <f>VLOOKUP(Table1[[#This Row],[Port B]],traffic_types[],2,FALSE)</f>
        <v>HTTP/S</v>
      </c>
    </row>
    <row r="2251" spans="1:23" x14ac:dyDescent="0.6">
      <c r="A2251" t="s">
        <v>224</v>
      </c>
      <c r="B2251">
        <v>60366</v>
      </c>
      <c r="C2251" t="s">
        <v>362</v>
      </c>
      <c r="D2251">
        <v>443</v>
      </c>
      <c r="E2251">
        <v>3</v>
      </c>
      <c r="F2251">
        <v>194</v>
      </c>
      <c r="G2251">
        <v>3</v>
      </c>
      <c r="H2251">
        <v>194</v>
      </c>
      <c r="I2251">
        <v>0</v>
      </c>
      <c r="J2251">
        <v>0</v>
      </c>
      <c r="K2251">
        <v>875.969112</v>
      </c>
      <c r="L2251">
        <v>8.9994599999999991</v>
      </c>
      <c r="M2251">
        <v>172.45479173194801</v>
      </c>
      <c r="N2251">
        <v>0</v>
      </c>
      <c r="O2251" s="8" t="str">
        <f>formatIP(Table1[[#This Row],[Address A]])</f>
        <v>192.168.100.002</v>
      </c>
      <c r="P2251" s="8" t="str">
        <f>formatIP(Table1[[#This Row],[Address B]])</f>
        <v>157.056.052.035</v>
      </c>
      <c r="Q2251" s="8" t="e">
        <f>VLOOKUP(Table1[[#This Row],[Address A]],IP_Master[],4,FALSE)</f>
        <v>#N/A</v>
      </c>
      <c r="R2251" s="8" t="e">
        <f>VLOOKUP(Table1[[#This Row],[Address B]],IP_Master[],4,FALSE)</f>
        <v>#N/A</v>
      </c>
      <c r="S2251" s="8" t="e">
        <f>VLOOKUP(Table1[[#This Row],[Address A]],IP_Master[],2,FALSE)</f>
        <v>#N/A</v>
      </c>
      <c r="T2251" s="8" t="e">
        <f>VLOOKUP(Table1[[#This Row],[Address B]],IP_Master[],2,FALSE)</f>
        <v>#N/A</v>
      </c>
      <c r="U2251" s="9" t="e">
        <f>VLOOKUP(Table1[[#This Row],[Address A]],IP_Master[],3,FALSE)</f>
        <v>#N/A</v>
      </c>
      <c r="V2251" s="9" t="e">
        <f>VLOOKUP(Table1[[#This Row],[Address B]],IP_Master[],3,FALSE)</f>
        <v>#N/A</v>
      </c>
      <c r="W2251" s="9" t="str">
        <f>VLOOKUP(Table1[[#This Row],[Port B]],traffic_types[],2,FALSE)</f>
        <v>HTTP/S</v>
      </c>
    </row>
    <row r="2252" spans="1:23" x14ac:dyDescent="0.6">
      <c r="A2252" t="s">
        <v>224</v>
      </c>
      <c r="B2252">
        <v>60367</v>
      </c>
      <c r="C2252" t="s">
        <v>363</v>
      </c>
      <c r="D2252">
        <v>443</v>
      </c>
      <c r="E2252">
        <v>3</v>
      </c>
      <c r="F2252">
        <v>194</v>
      </c>
      <c r="G2252">
        <v>3</v>
      </c>
      <c r="H2252">
        <v>194</v>
      </c>
      <c r="I2252">
        <v>0</v>
      </c>
      <c r="J2252">
        <v>0</v>
      </c>
      <c r="K2252">
        <v>875.97020499999996</v>
      </c>
      <c r="L2252">
        <v>8.9983740000000108</v>
      </c>
      <c r="M2252">
        <v>172.475605037088</v>
      </c>
      <c r="N2252">
        <v>0</v>
      </c>
      <c r="O2252" s="8" t="str">
        <f>formatIP(Table1[[#This Row],[Address A]])</f>
        <v>192.168.100.002</v>
      </c>
      <c r="P2252" s="8" t="str">
        <f>formatIP(Table1[[#This Row],[Address B]])</f>
        <v>111.221.077.170</v>
      </c>
      <c r="Q2252" s="8" t="e">
        <f>VLOOKUP(Table1[[#This Row],[Address A]],IP_Master[],4,FALSE)</f>
        <v>#N/A</v>
      </c>
      <c r="R2252" s="8" t="e">
        <f>VLOOKUP(Table1[[#This Row],[Address B]],IP_Master[],4,FALSE)</f>
        <v>#N/A</v>
      </c>
      <c r="S2252" s="8" t="e">
        <f>VLOOKUP(Table1[[#This Row],[Address A]],IP_Master[],2,FALSE)</f>
        <v>#N/A</v>
      </c>
      <c r="T2252" s="8" t="e">
        <f>VLOOKUP(Table1[[#This Row],[Address B]],IP_Master[],2,FALSE)</f>
        <v>#N/A</v>
      </c>
      <c r="U2252" s="9" t="e">
        <f>VLOOKUP(Table1[[#This Row],[Address A]],IP_Master[],3,FALSE)</f>
        <v>#N/A</v>
      </c>
      <c r="V2252" s="9" t="e">
        <f>VLOOKUP(Table1[[#This Row],[Address B]],IP_Master[],3,FALSE)</f>
        <v>#N/A</v>
      </c>
      <c r="W2252" s="9" t="str">
        <f>VLOOKUP(Table1[[#This Row],[Port B]],traffic_types[],2,FALSE)</f>
        <v>HTTP/S</v>
      </c>
    </row>
    <row r="2253" spans="1:23" hidden="1" x14ac:dyDescent="0.6">
      <c r="A2253" t="s">
        <v>224</v>
      </c>
      <c r="B2253">
        <v>60368</v>
      </c>
      <c r="C2253" t="s">
        <v>233</v>
      </c>
      <c r="D2253">
        <v>12350</v>
      </c>
      <c r="E2253">
        <v>3</v>
      </c>
      <c r="F2253">
        <v>194</v>
      </c>
      <c r="G2253">
        <v>3</v>
      </c>
      <c r="H2253">
        <v>194</v>
      </c>
      <c r="I2253">
        <v>0</v>
      </c>
      <c r="J2253">
        <v>0</v>
      </c>
      <c r="K2253">
        <v>876.12939700000004</v>
      </c>
      <c r="L2253">
        <v>9.0000870000000095</v>
      </c>
      <c r="M2253">
        <v>172.44277749759499</v>
      </c>
      <c r="N2253">
        <v>0</v>
      </c>
      <c r="O2253" s="8" t="str">
        <f>formatIP(Table1[[#This Row],[Address A]])</f>
        <v>192.168.100.002</v>
      </c>
      <c r="P2253" s="8" t="str">
        <f>formatIP(Table1[[#This Row],[Address B]])</f>
        <v>091.190.218.052</v>
      </c>
      <c r="Q2253" s="8" t="e">
        <f>VLOOKUP(Table1[[#This Row],[Address A]],IP_Master[],4,FALSE)</f>
        <v>#N/A</v>
      </c>
      <c r="R2253" s="8" t="e">
        <f>VLOOKUP(Table1[[#This Row],[Address B]],IP_Master[],4,FALSE)</f>
        <v>#N/A</v>
      </c>
      <c r="S2253" s="8" t="e">
        <f>VLOOKUP(Table1[[#This Row],[Address A]],IP_Master[],2,FALSE)</f>
        <v>#N/A</v>
      </c>
      <c r="T2253" s="8" t="e">
        <f>VLOOKUP(Table1[[#This Row],[Address B]],IP_Master[],2,FALSE)</f>
        <v>#N/A</v>
      </c>
      <c r="U2253" s="9" t="e">
        <f>VLOOKUP(Table1[[#This Row],[Address A]],IP_Master[],3,FALSE)</f>
        <v>#N/A</v>
      </c>
      <c r="V2253" s="9" t="e">
        <f>VLOOKUP(Table1[[#This Row],[Address B]],IP_Master[],3,FALSE)</f>
        <v>#N/A</v>
      </c>
      <c r="W2253" s="9" t="e">
        <f>VLOOKUP(Table1[[#This Row],[Port B]],traffic_types[],2,FALSE)</f>
        <v>#N/A</v>
      </c>
    </row>
    <row r="2254" spans="1:23" x14ac:dyDescent="0.6">
      <c r="A2254" t="s">
        <v>224</v>
      </c>
      <c r="B2254">
        <v>60369</v>
      </c>
      <c r="C2254" t="s">
        <v>359</v>
      </c>
      <c r="D2254">
        <v>80</v>
      </c>
      <c r="E2254">
        <v>3</v>
      </c>
      <c r="F2254">
        <v>194</v>
      </c>
      <c r="G2254">
        <v>3</v>
      </c>
      <c r="H2254">
        <v>194</v>
      </c>
      <c r="I2254">
        <v>0</v>
      </c>
      <c r="J2254">
        <v>0</v>
      </c>
      <c r="K2254">
        <v>876.53909799999997</v>
      </c>
      <c r="L2254">
        <v>9.0005370000000102</v>
      </c>
      <c r="M2254">
        <v>172.43415587314399</v>
      </c>
      <c r="N2254">
        <v>0</v>
      </c>
      <c r="O2254" s="8" t="str">
        <f>formatIP(Table1[[#This Row],[Address A]])</f>
        <v>192.168.100.002</v>
      </c>
      <c r="P2254" s="8" t="str">
        <f>formatIP(Table1[[#This Row],[Address B]])</f>
        <v>065.055.223.013</v>
      </c>
      <c r="Q2254" s="8" t="e">
        <f>VLOOKUP(Table1[[#This Row],[Address A]],IP_Master[],4,FALSE)</f>
        <v>#N/A</v>
      </c>
      <c r="R2254" s="8" t="e">
        <f>VLOOKUP(Table1[[#This Row],[Address B]],IP_Master[],4,FALSE)</f>
        <v>#N/A</v>
      </c>
      <c r="S2254" s="8" t="e">
        <f>VLOOKUP(Table1[[#This Row],[Address A]],IP_Master[],2,FALSE)</f>
        <v>#N/A</v>
      </c>
      <c r="T2254" s="8" t="e">
        <f>VLOOKUP(Table1[[#This Row],[Address B]],IP_Master[],2,FALSE)</f>
        <v>#N/A</v>
      </c>
      <c r="U2254" s="9" t="e">
        <f>VLOOKUP(Table1[[#This Row],[Address A]],IP_Master[],3,FALSE)</f>
        <v>#N/A</v>
      </c>
      <c r="V2254" s="9" t="e">
        <f>VLOOKUP(Table1[[#This Row],[Address B]],IP_Master[],3,FALSE)</f>
        <v>#N/A</v>
      </c>
      <c r="W2254" s="9" t="str">
        <f>VLOOKUP(Table1[[#This Row],[Port B]],traffic_types[],2,FALSE)</f>
        <v>HTTP</v>
      </c>
    </row>
    <row r="2255" spans="1:23" x14ac:dyDescent="0.6">
      <c r="A2255" t="s">
        <v>224</v>
      </c>
      <c r="B2255">
        <v>60370</v>
      </c>
      <c r="C2255" t="s">
        <v>360</v>
      </c>
      <c r="D2255">
        <v>80</v>
      </c>
      <c r="E2255">
        <v>3</v>
      </c>
      <c r="F2255">
        <v>194</v>
      </c>
      <c r="G2255">
        <v>3</v>
      </c>
      <c r="H2255">
        <v>194</v>
      </c>
      <c r="I2255">
        <v>0</v>
      </c>
      <c r="J2255">
        <v>0</v>
      </c>
      <c r="K2255">
        <v>877.57904199999996</v>
      </c>
      <c r="L2255">
        <v>8.9995470000000104</v>
      </c>
      <c r="M2255">
        <v>172.45312458504799</v>
      </c>
      <c r="N2255">
        <v>0</v>
      </c>
      <c r="O2255" s="8" t="str">
        <f>formatIP(Table1[[#This Row],[Address A]])</f>
        <v>192.168.100.002</v>
      </c>
      <c r="P2255" s="8" t="str">
        <f>formatIP(Table1[[#This Row],[Address B]])</f>
        <v>064.004.023.174</v>
      </c>
      <c r="Q2255" s="8" t="e">
        <f>VLOOKUP(Table1[[#This Row],[Address A]],IP_Master[],4,FALSE)</f>
        <v>#N/A</v>
      </c>
      <c r="R2255" s="8" t="e">
        <f>VLOOKUP(Table1[[#This Row],[Address B]],IP_Master[],4,FALSE)</f>
        <v>#N/A</v>
      </c>
      <c r="S2255" s="8" t="e">
        <f>VLOOKUP(Table1[[#This Row],[Address A]],IP_Master[],2,FALSE)</f>
        <v>#N/A</v>
      </c>
      <c r="T2255" s="8" t="e">
        <f>VLOOKUP(Table1[[#This Row],[Address B]],IP_Master[],2,FALSE)</f>
        <v>#N/A</v>
      </c>
      <c r="U2255" s="9" t="e">
        <f>VLOOKUP(Table1[[#This Row],[Address A]],IP_Master[],3,FALSE)</f>
        <v>#N/A</v>
      </c>
      <c r="V2255" s="9" t="e">
        <f>VLOOKUP(Table1[[#This Row],[Address B]],IP_Master[],3,FALSE)</f>
        <v>#N/A</v>
      </c>
      <c r="W2255" s="9" t="str">
        <f>VLOOKUP(Table1[[#This Row],[Port B]],traffic_types[],2,FALSE)</f>
        <v>HTTP</v>
      </c>
    </row>
    <row r="2256" spans="1:23" x14ac:dyDescent="0.6">
      <c r="A2256" t="s">
        <v>224</v>
      </c>
      <c r="B2256">
        <v>60371</v>
      </c>
      <c r="C2256" t="s">
        <v>361</v>
      </c>
      <c r="D2256">
        <v>80</v>
      </c>
      <c r="E2256">
        <v>3</v>
      </c>
      <c r="F2256">
        <v>194</v>
      </c>
      <c r="G2256">
        <v>3</v>
      </c>
      <c r="H2256">
        <v>194</v>
      </c>
      <c r="I2256">
        <v>0</v>
      </c>
      <c r="J2256">
        <v>0</v>
      </c>
      <c r="K2256">
        <v>877.57904499999995</v>
      </c>
      <c r="L2256">
        <v>8.9995480000000008</v>
      </c>
      <c r="M2256">
        <v>172.453105422628</v>
      </c>
      <c r="N2256">
        <v>0</v>
      </c>
      <c r="O2256" s="8" t="str">
        <f>formatIP(Table1[[#This Row],[Address A]])</f>
        <v>192.168.100.002</v>
      </c>
      <c r="P2256" s="8" t="str">
        <f>formatIP(Table1[[#This Row],[Address B]])</f>
        <v>157.055.056.173</v>
      </c>
      <c r="Q2256" s="8" t="e">
        <f>VLOOKUP(Table1[[#This Row],[Address A]],IP_Master[],4,FALSE)</f>
        <v>#N/A</v>
      </c>
      <c r="R2256" s="8" t="e">
        <f>VLOOKUP(Table1[[#This Row],[Address B]],IP_Master[],4,FALSE)</f>
        <v>#N/A</v>
      </c>
      <c r="S2256" s="8" t="e">
        <f>VLOOKUP(Table1[[#This Row],[Address A]],IP_Master[],2,FALSE)</f>
        <v>#N/A</v>
      </c>
      <c r="T2256" s="8" t="e">
        <f>VLOOKUP(Table1[[#This Row],[Address B]],IP_Master[],2,FALSE)</f>
        <v>#N/A</v>
      </c>
      <c r="U2256" s="9" t="e">
        <f>VLOOKUP(Table1[[#This Row],[Address A]],IP_Master[],3,FALSE)</f>
        <v>#N/A</v>
      </c>
      <c r="V2256" s="9" t="e">
        <f>VLOOKUP(Table1[[#This Row],[Address B]],IP_Master[],3,FALSE)</f>
        <v>#N/A</v>
      </c>
      <c r="W2256" s="9" t="str">
        <f>VLOOKUP(Table1[[#This Row],[Port B]],traffic_types[],2,FALSE)</f>
        <v>HTTP</v>
      </c>
    </row>
    <row r="2257" spans="1:23" x14ac:dyDescent="0.6">
      <c r="A2257" t="s">
        <v>224</v>
      </c>
      <c r="B2257">
        <v>60372</v>
      </c>
      <c r="C2257" t="s">
        <v>362</v>
      </c>
      <c r="D2257">
        <v>80</v>
      </c>
      <c r="E2257">
        <v>3</v>
      </c>
      <c r="F2257">
        <v>194</v>
      </c>
      <c r="G2257">
        <v>3</v>
      </c>
      <c r="H2257">
        <v>194</v>
      </c>
      <c r="I2257">
        <v>0</v>
      </c>
      <c r="J2257">
        <v>0</v>
      </c>
      <c r="K2257">
        <v>877.57904599999995</v>
      </c>
      <c r="L2257">
        <v>8.9995480000000008</v>
      </c>
      <c r="M2257">
        <v>172.453105422628</v>
      </c>
      <c r="N2257">
        <v>0</v>
      </c>
      <c r="O2257" s="8" t="str">
        <f>formatIP(Table1[[#This Row],[Address A]])</f>
        <v>192.168.100.002</v>
      </c>
      <c r="P2257" s="8" t="str">
        <f>formatIP(Table1[[#This Row],[Address B]])</f>
        <v>157.056.052.035</v>
      </c>
      <c r="Q2257" s="8" t="e">
        <f>VLOOKUP(Table1[[#This Row],[Address A]],IP_Master[],4,FALSE)</f>
        <v>#N/A</v>
      </c>
      <c r="R2257" s="8" t="e">
        <f>VLOOKUP(Table1[[#This Row],[Address B]],IP_Master[],4,FALSE)</f>
        <v>#N/A</v>
      </c>
      <c r="S2257" s="8" t="e">
        <f>VLOOKUP(Table1[[#This Row],[Address A]],IP_Master[],2,FALSE)</f>
        <v>#N/A</v>
      </c>
      <c r="T2257" s="8" t="e">
        <f>VLOOKUP(Table1[[#This Row],[Address B]],IP_Master[],2,FALSE)</f>
        <v>#N/A</v>
      </c>
      <c r="U2257" s="9" t="e">
        <f>VLOOKUP(Table1[[#This Row],[Address A]],IP_Master[],3,FALSE)</f>
        <v>#N/A</v>
      </c>
      <c r="V2257" s="9" t="e">
        <f>VLOOKUP(Table1[[#This Row],[Address B]],IP_Master[],3,FALSE)</f>
        <v>#N/A</v>
      </c>
      <c r="W2257" s="9" t="str">
        <f>VLOOKUP(Table1[[#This Row],[Port B]],traffic_types[],2,FALSE)</f>
        <v>HTTP</v>
      </c>
    </row>
    <row r="2258" spans="1:23" x14ac:dyDescent="0.6">
      <c r="A2258" t="s">
        <v>224</v>
      </c>
      <c r="B2258">
        <v>60373</v>
      </c>
      <c r="C2258" t="s">
        <v>363</v>
      </c>
      <c r="D2258">
        <v>80</v>
      </c>
      <c r="E2258">
        <v>3</v>
      </c>
      <c r="F2258">
        <v>194</v>
      </c>
      <c r="G2258">
        <v>3</v>
      </c>
      <c r="H2258">
        <v>194</v>
      </c>
      <c r="I2258">
        <v>0</v>
      </c>
      <c r="J2258">
        <v>0</v>
      </c>
      <c r="K2258">
        <v>877.58015399999999</v>
      </c>
      <c r="L2258">
        <v>8.9984409999999606</v>
      </c>
      <c r="M2258">
        <v>172.47432082957599</v>
      </c>
      <c r="N2258">
        <v>0</v>
      </c>
      <c r="O2258" s="8" t="str">
        <f>formatIP(Table1[[#This Row],[Address A]])</f>
        <v>192.168.100.002</v>
      </c>
      <c r="P2258" s="8" t="str">
        <f>formatIP(Table1[[#This Row],[Address B]])</f>
        <v>111.221.077.170</v>
      </c>
      <c r="Q2258" s="8" t="e">
        <f>VLOOKUP(Table1[[#This Row],[Address A]],IP_Master[],4,FALSE)</f>
        <v>#N/A</v>
      </c>
      <c r="R2258" s="8" t="e">
        <f>VLOOKUP(Table1[[#This Row],[Address B]],IP_Master[],4,FALSE)</f>
        <v>#N/A</v>
      </c>
      <c r="S2258" s="8" t="e">
        <f>VLOOKUP(Table1[[#This Row],[Address A]],IP_Master[],2,FALSE)</f>
        <v>#N/A</v>
      </c>
      <c r="T2258" s="8" t="e">
        <f>VLOOKUP(Table1[[#This Row],[Address B]],IP_Master[],2,FALSE)</f>
        <v>#N/A</v>
      </c>
      <c r="U2258" s="9" t="e">
        <f>VLOOKUP(Table1[[#This Row],[Address A]],IP_Master[],3,FALSE)</f>
        <v>#N/A</v>
      </c>
      <c r="V2258" s="9" t="e">
        <f>VLOOKUP(Table1[[#This Row],[Address B]],IP_Master[],3,FALSE)</f>
        <v>#N/A</v>
      </c>
      <c r="W2258" s="9" t="str">
        <f>VLOOKUP(Table1[[#This Row],[Port B]],traffic_types[],2,FALSE)</f>
        <v>HTTP</v>
      </c>
    </row>
    <row r="2259" spans="1:23" x14ac:dyDescent="0.6">
      <c r="A2259" t="s">
        <v>224</v>
      </c>
      <c r="B2259">
        <v>60374</v>
      </c>
      <c r="C2259" t="s">
        <v>233</v>
      </c>
      <c r="D2259">
        <v>443</v>
      </c>
      <c r="E2259">
        <v>3</v>
      </c>
      <c r="F2259">
        <v>194</v>
      </c>
      <c r="G2259">
        <v>3</v>
      </c>
      <c r="H2259">
        <v>194</v>
      </c>
      <c r="I2259">
        <v>0</v>
      </c>
      <c r="J2259">
        <v>0</v>
      </c>
      <c r="K2259">
        <v>877.75018599999999</v>
      </c>
      <c r="L2259">
        <v>8.9998090000000293</v>
      </c>
      <c r="M2259">
        <v>172.44810417643299</v>
      </c>
      <c r="N2259">
        <v>0</v>
      </c>
      <c r="O2259" s="8" t="str">
        <f>formatIP(Table1[[#This Row],[Address A]])</f>
        <v>192.168.100.002</v>
      </c>
      <c r="P2259" s="8" t="str">
        <f>formatIP(Table1[[#This Row],[Address B]])</f>
        <v>091.190.218.052</v>
      </c>
      <c r="Q2259" s="8" t="e">
        <f>VLOOKUP(Table1[[#This Row],[Address A]],IP_Master[],4,FALSE)</f>
        <v>#N/A</v>
      </c>
      <c r="R2259" s="8" t="e">
        <f>VLOOKUP(Table1[[#This Row],[Address B]],IP_Master[],4,FALSE)</f>
        <v>#N/A</v>
      </c>
      <c r="S2259" s="8" t="e">
        <f>VLOOKUP(Table1[[#This Row],[Address A]],IP_Master[],2,FALSE)</f>
        <v>#N/A</v>
      </c>
      <c r="T2259" s="8" t="e">
        <f>VLOOKUP(Table1[[#This Row],[Address B]],IP_Master[],2,FALSE)</f>
        <v>#N/A</v>
      </c>
      <c r="U2259" s="9" t="e">
        <f>VLOOKUP(Table1[[#This Row],[Address A]],IP_Master[],3,FALSE)</f>
        <v>#N/A</v>
      </c>
      <c r="V2259" s="9" t="e">
        <f>VLOOKUP(Table1[[#This Row],[Address B]],IP_Master[],3,FALSE)</f>
        <v>#N/A</v>
      </c>
      <c r="W2259" s="9" t="str">
        <f>VLOOKUP(Table1[[#This Row],[Port B]],traffic_types[],2,FALSE)</f>
        <v>HTTP/S</v>
      </c>
    </row>
    <row r="2260" spans="1:23" x14ac:dyDescent="0.6">
      <c r="A2260" t="s">
        <v>224</v>
      </c>
      <c r="B2260">
        <v>60375</v>
      </c>
      <c r="C2260" t="s">
        <v>233</v>
      </c>
      <c r="D2260">
        <v>80</v>
      </c>
      <c r="E2260">
        <v>3</v>
      </c>
      <c r="F2260">
        <v>194</v>
      </c>
      <c r="G2260">
        <v>3</v>
      </c>
      <c r="H2260">
        <v>194</v>
      </c>
      <c r="I2260">
        <v>0</v>
      </c>
      <c r="J2260">
        <v>0</v>
      </c>
      <c r="K2260">
        <v>879.36004400000002</v>
      </c>
      <c r="L2260">
        <v>8.9995099999999901</v>
      </c>
      <c r="M2260">
        <v>172.453833597607</v>
      </c>
      <c r="N2260">
        <v>0</v>
      </c>
      <c r="O2260" s="8" t="str">
        <f>formatIP(Table1[[#This Row],[Address A]])</f>
        <v>192.168.100.002</v>
      </c>
      <c r="P2260" s="8" t="str">
        <f>formatIP(Table1[[#This Row],[Address B]])</f>
        <v>091.190.218.052</v>
      </c>
      <c r="Q2260" s="8" t="e">
        <f>VLOOKUP(Table1[[#This Row],[Address A]],IP_Master[],4,FALSE)</f>
        <v>#N/A</v>
      </c>
      <c r="R2260" s="8" t="e">
        <f>VLOOKUP(Table1[[#This Row],[Address B]],IP_Master[],4,FALSE)</f>
        <v>#N/A</v>
      </c>
      <c r="S2260" s="8" t="e">
        <f>VLOOKUP(Table1[[#This Row],[Address A]],IP_Master[],2,FALSE)</f>
        <v>#N/A</v>
      </c>
      <c r="T2260" s="8" t="e">
        <f>VLOOKUP(Table1[[#This Row],[Address B]],IP_Master[],2,FALSE)</f>
        <v>#N/A</v>
      </c>
      <c r="U2260" s="9" t="e">
        <f>VLOOKUP(Table1[[#This Row],[Address A]],IP_Master[],3,FALSE)</f>
        <v>#N/A</v>
      </c>
      <c r="V2260" s="9" t="e">
        <f>VLOOKUP(Table1[[#This Row],[Address B]],IP_Master[],3,FALSE)</f>
        <v>#N/A</v>
      </c>
      <c r="W2260" s="9" t="str">
        <f>VLOOKUP(Table1[[#This Row],[Port B]],traffic_types[],2,FALSE)</f>
        <v>HTTP</v>
      </c>
    </row>
    <row r="2261" spans="1:23" hidden="1" x14ac:dyDescent="0.6">
      <c r="A2261" t="s">
        <v>224</v>
      </c>
      <c r="B2261">
        <v>60376</v>
      </c>
      <c r="C2261" t="s">
        <v>364</v>
      </c>
      <c r="D2261">
        <v>40031</v>
      </c>
      <c r="E2261">
        <v>3</v>
      </c>
      <c r="F2261">
        <v>194</v>
      </c>
      <c r="G2261">
        <v>3</v>
      </c>
      <c r="H2261">
        <v>194</v>
      </c>
      <c r="I2261">
        <v>0</v>
      </c>
      <c r="J2261">
        <v>0</v>
      </c>
      <c r="K2261">
        <v>884.50958300000002</v>
      </c>
      <c r="L2261">
        <v>9.0000410000000102</v>
      </c>
      <c r="M2261">
        <v>172.44365886777601</v>
      </c>
      <c r="N2261">
        <v>0</v>
      </c>
      <c r="O2261" s="8" t="str">
        <f>formatIP(Table1[[#This Row],[Address A]])</f>
        <v>192.168.100.002</v>
      </c>
      <c r="P2261" s="8" t="str">
        <f>formatIP(Table1[[#This Row],[Address B]])</f>
        <v>065.055.223.017</v>
      </c>
      <c r="Q2261" s="8" t="e">
        <f>VLOOKUP(Table1[[#This Row],[Address A]],IP_Master[],4,FALSE)</f>
        <v>#N/A</v>
      </c>
      <c r="R2261" s="8" t="e">
        <f>VLOOKUP(Table1[[#This Row],[Address B]],IP_Master[],4,FALSE)</f>
        <v>#N/A</v>
      </c>
      <c r="S2261" s="8" t="e">
        <f>VLOOKUP(Table1[[#This Row],[Address A]],IP_Master[],2,FALSE)</f>
        <v>#N/A</v>
      </c>
      <c r="T2261" s="8" t="e">
        <f>VLOOKUP(Table1[[#This Row],[Address B]],IP_Master[],2,FALSE)</f>
        <v>#N/A</v>
      </c>
      <c r="U2261" s="9" t="e">
        <f>VLOOKUP(Table1[[#This Row],[Address A]],IP_Master[],3,FALSE)</f>
        <v>#N/A</v>
      </c>
      <c r="V2261" s="9" t="e">
        <f>VLOOKUP(Table1[[#This Row],[Address B]],IP_Master[],3,FALSE)</f>
        <v>#N/A</v>
      </c>
      <c r="W2261" s="9" t="e">
        <f>VLOOKUP(Table1[[#This Row],[Port B]],traffic_types[],2,FALSE)</f>
        <v>#N/A</v>
      </c>
    </row>
    <row r="2262" spans="1:23" x14ac:dyDescent="0.6">
      <c r="A2262" t="s">
        <v>224</v>
      </c>
      <c r="B2262">
        <v>60377</v>
      </c>
      <c r="C2262" t="s">
        <v>364</v>
      </c>
      <c r="D2262">
        <v>443</v>
      </c>
      <c r="E2262">
        <v>3</v>
      </c>
      <c r="F2262">
        <v>194</v>
      </c>
      <c r="G2262">
        <v>3</v>
      </c>
      <c r="H2262">
        <v>194</v>
      </c>
      <c r="I2262">
        <v>0</v>
      </c>
      <c r="J2262">
        <v>0</v>
      </c>
      <c r="K2262">
        <v>886.11986400000001</v>
      </c>
      <c r="L2262">
        <v>9.0006600000000407</v>
      </c>
      <c r="M2262">
        <v>172.431799445818</v>
      </c>
      <c r="N2262">
        <v>0</v>
      </c>
      <c r="O2262" s="8" t="str">
        <f>formatIP(Table1[[#This Row],[Address A]])</f>
        <v>192.168.100.002</v>
      </c>
      <c r="P2262" s="8" t="str">
        <f>formatIP(Table1[[#This Row],[Address B]])</f>
        <v>065.055.223.017</v>
      </c>
      <c r="Q2262" s="8" t="e">
        <f>VLOOKUP(Table1[[#This Row],[Address A]],IP_Master[],4,FALSE)</f>
        <v>#N/A</v>
      </c>
      <c r="R2262" s="8" t="e">
        <f>VLOOKUP(Table1[[#This Row],[Address B]],IP_Master[],4,FALSE)</f>
        <v>#N/A</v>
      </c>
      <c r="S2262" s="8" t="e">
        <f>VLOOKUP(Table1[[#This Row],[Address A]],IP_Master[],2,FALSE)</f>
        <v>#N/A</v>
      </c>
      <c r="T2262" s="8" t="e">
        <f>VLOOKUP(Table1[[#This Row],[Address B]],IP_Master[],2,FALSE)</f>
        <v>#N/A</v>
      </c>
      <c r="U2262" s="9" t="e">
        <f>VLOOKUP(Table1[[#This Row],[Address A]],IP_Master[],3,FALSE)</f>
        <v>#N/A</v>
      </c>
      <c r="V2262" s="9" t="e">
        <f>VLOOKUP(Table1[[#This Row],[Address B]],IP_Master[],3,FALSE)</f>
        <v>#N/A</v>
      </c>
      <c r="W2262" s="9" t="str">
        <f>VLOOKUP(Table1[[#This Row],[Port B]],traffic_types[],2,FALSE)</f>
        <v>HTTP/S</v>
      </c>
    </row>
    <row r="2263" spans="1:23" x14ac:dyDescent="0.6">
      <c r="A2263" t="s">
        <v>224</v>
      </c>
      <c r="B2263">
        <v>60378</v>
      </c>
      <c r="C2263" t="s">
        <v>364</v>
      </c>
      <c r="D2263">
        <v>80</v>
      </c>
      <c r="E2263">
        <v>3</v>
      </c>
      <c r="F2263">
        <v>194</v>
      </c>
      <c r="G2263">
        <v>3</v>
      </c>
      <c r="H2263">
        <v>194</v>
      </c>
      <c r="I2263">
        <v>0</v>
      </c>
      <c r="J2263">
        <v>0</v>
      </c>
      <c r="K2263">
        <v>887.73010399999998</v>
      </c>
      <c r="L2263">
        <v>9.0003729999999695</v>
      </c>
      <c r="M2263">
        <v>172.43729787643301</v>
      </c>
      <c r="N2263">
        <v>0</v>
      </c>
      <c r="O2263" s="8" t="str">
        <f>formatIP(Table1[[#This Row],[Address A]])</f>
        <v>192.168.100.002</v>
      </c>
      <c r="P2263" s="8" t="str">
        <f>formatIP(Table1[[#This Row],[Address B]])</f>
        <v>065.055.223.017</v>
      </c>
      <c r="Q2263" s="8" t="e">
        <f>VLOOKUP(Table1[[#This Row],[Address A]],IP_Master[],4,FALSE)</f>
        <v>#N/A</v>
      </c>
      <c r="R2263" s="8" t="e">
        <f>VLOOKUP(Table1[[#This Row],[Address B]],IP_Master[],4,FALSE)</f>
        <v>#N/A</v>
      </c>
      <c r="S2263" s="8" t="e">
        <f>VLOOKUP(Table1[[#This Row],[Address A]],IP_Master[],2,FALSE)</f>
        <v>#N/A</v>
      </c>
      <c r="T2263" s="8" t="e">
        <f>VLOOKUP(Table1[[#This Row],[Address B]],IP_Master[],2,FALSE)</f>
        <v>#N/A</v>
      </c>
      <c r="U2263" s="9" t="e">
        <f>VLOOKUP(Table1[[#This Row],[Address A]],IP_Master[],3,FALSE)</f>
        <v>#N/A</v>
      </c>
      <c r="V2263" s="9" t="e">
        <f>VLOOKUP(Table1[[#This Row],[Address B]],IP_Master[],3,FALSE)</f>
        <v>#N/A</v>
      </c>
      <c r="W2263" s="9" t="str">
        <f>VLOOKUP(Table1[[#This Row],[Port B]],traffic_types[],2,FALSE)</f>
        <v>HTTP</v>
      </c>
    </row>
    <row r="2264" spans="1:23" hidden="1" x14ac:dyDescent="0.6">
      <c r="A2264" t="s">
        <v>224</v>
      </c>
      <c r="B2264">
        <v>60379</v>
      </c>
      <c r="C2264" t="s">
        <v>365</v>
      </c>
      <c r="D2264">
        <v>40035</v>
      </c>
      <c r="E2264">
        <v>2</v>
      </c>
      <c r="F2264">
        <v>132</v>
      </c>
      <c r="G2264">
        <v>2</v>
      </c>
      <c r="H2264">
        <v>132</v>
      </c>
      <c r="I2264">
        <v>0</v>
      </c>
      <c r="J2264">
        <v>0</v>
      </c>
      <c r="K2264">
        <v>896.61130100000003</v>
      </c>
      <c r="L2264">
        <v>3.00009399999999</v>
      </c>
      <c r="M2264">
        <v>351.98897101224298</v>
      </c>
      <c r="N2264">
        <v>0</v>
      </c>
      <c r="O2264" s="8" t="str">
        <f>formatIP(Table1[[#This Row],[Address A]])</f>
        <v>192.168.100.002</v>
      </c>
      <c r="P2264" s="8" t="str">
        <f>formatIP(Table1[[#This Row],[Address B]])</f>
        <v>157.056.052.041</v>
      </c>
      <c r="Q2264" s="8" t="e">
        <f>VLOOKUP(Table1[[#This Row],[Address A]],IP_Master[],4,FALSE)</f>
        <v>#N/A</v>
      </c>
      <c r="R2264" s="8" t="e">
        <f>VLOOKUP(Table1[[#This Row],[Address B]],IP_Master[],4,FALSE)</f>
        <v>#N/A</v>
      </c>
      <c r="S2264" s="8" t="e">
        <f>VLOOKUP(Table1[[#This Row],[Address A]],IP_Master[],2,FALSE)</f>
        <v>#N/A</v>
      </c>
      <c r="T2264" s="8" t="e">
        <f>VLOOKUP(Table1[[#This Row],[Address B]],IP_Master[],2,FALSE)</f>
        <v>#N/A</v>
      </c>
      <c r="U2264" s="9" t="e">
        <f>VLOOKUP(Table1[[#This Row],[Address A]],IP_Master[],3,FALSE)</f>
        <v>#N/A</v>
      </c>
      <c r="V2264" s="9" t="e">
        <f>VLOOKUP(Table1[[#This Row],[Address B]],IP_Master[],3,FALSE)</f>
        <v>#N/A</v>
      </c>
      <c r="W2264" s="9" t="e">
        <f>VLOOKUP(Table1[[#This Row],[Port B]],traffic_types[],2,FALSE)</f>
        <v>#N/A</v>
      </c>
    </row>
    <row r="2265" spans="1:23" hidden="1" x14ac:dyDescent="0.6">
      <c r="A2265" t="s">
        <v>224</v>
      </c>
      <c r="B2265">
        <v>60380</v>
      </c>
      <c r="C2265" t="s">
        <v>366</v>
      </c>
      <c r="D2265">
        <v>40029</v>
      </c>
      <c r="E2265">
        <v>2</v>
      </c>
      <c r="F2265">
        <v>132</v>
      </c>
      <c r="G2265">
        <v>2</v>
      </c>
      <c r="H2265">
        <v>132</v>
      </c>
      <c r="I2265">
        <v>0</v>
      </c>
      <c r="J2265">
        <v>0</v>
      </c>
      <c r="K2265">
        <v>897.642878</v>
      </c>
      <c r="L2265">
        <v>2.9985659999999799</v>
      </c>
      <c r="M2265">
        <v>352.16833646483201</v>
      </c>
      <c r="N2265">
        <v>0</v>
      </c>
      <c r="O2265" s="8" t="str">
        <f>formatIP(Table1[[#This Row],[Address A]])</f>
        <v>192.168.100.002</v>
      </c>
      <c r="P2265" s="8" t="str">
        <f>formatIP(Table1[[#This Row],[Address B]])</f>
        <v>157.055.130.155</v>
      </c>
      <c r="Q2265" s="8" t="e">
        <f>VLOOKUP(Table1[[#This Row],[Address A]],IP_Master[],4,FALSE)</f>
        <v>#N/A</v>
      </c>
      <c r="R2265" s="8" t="e">
        <f>VLOOKUP(Table1[[#This Row],[Address B]],IP_Master[],4,FALSE)</f>
        <v>#N/A</v>
      </c>
      <c r="S2265" s="8" t="e">
        <f>VLOOKUP(Table1[[#This Row],[Address A]],IP_Master[],2,FALSE)</f>
        <v>#N/A</v>
      </c>
      <c r="T2265" s="8" t="e">
        <f>VLOOKUP(Table1[[#This Row],[Address B]],IP_Master[],2,FALSE)</f>
        <v>#N/A</v>
      </c>
      <c r="U2265" s="9" t="e">
        <f>VLOOKUP(Table1[[#This Row],[Address A]],IP_Master[],3,FALSE)</f>
        <v>#N/A</v>
      </c>
      <c r="V2265" s="9" t="e">
        <f>VLOOKUP(Table1[[#This Row],[Address B]],IP_Master[],3,FALSE)</f>
        <v>#N/A</v>
      </c>
      <c r="W2265" s="9" t="e">
        <f>VLOOKUP(Table1[[#This Row],[Port B]],traffic_types[],2,FALSE)</f>
        <v>#N/A</v>
      </c>
    </row>
    <row r="2266" spans="1:23" x14ac:dyDescent="0.6">
      <c r="A2266" t="s">
        <v>224</v>
      </c>
      <c r="B2266">
        <v>60381</v>
      </c>
      <c r="C2266" t="s">
        <v>365</v>
      </c>
      <c r="D2266">
        <v>443</v>
      </c>
      <c r="E2266">
        <v>2</v>
      </c>
      <c r="F2266">
        <v>132</v>
      </c>
      <c r="G2266">
        <v>2</v>
      </c>
      <c r="H2266">
        <v>132</v>
      </c>
      <c r="I2266">
        <v>0</v>
      </c>
      <c r="J2266">
        <v>0</v>
      </c>
      <c r="K2266">
        <v>898.26147100000003</v>
      </c>
      <c r="L2266">
        <v>2.9703039999999401</v>
      </c>
      <c r="M2266">
        <v>355.51916571503102</v>
      </c>
      <c r="N2266">
        <v>0</v>
      </c>
      <c r="O2266" s="8" t="str">
        <f>formatIP(Table1[[#This Row],[Address A]])</f>
        <v>192.168.100.002</v>
      </c>
      <c r="P2266" s="8" t="str">
        <f>formatIP(Table1[[#This Row],[Address B]])</f>
        <v>157.056.052.041</v>
      </c>
      <c r="Q2266" s="8" t="e">
        <f>VLOOKUP(Table1[[#This Row],[Address A]],IP_Master[],4,FALSE)</f>
        <v>#N/A</v>
      </c>
      <c r="R2266" s="8" t="e">
        <f>VLOOKUP(Table1[[#This Row],[Address B]],IP_Master[],4,FALSE)</f>
        <v>#N/A</v>
      </c>
      <c r="S2266" s="8" t="e">
        <f>VLOOKUP(Table1[[#This Row],[Address A]],IP_Master[],2,FALSE)</f>
        <v>#N/A</v>
      </c>
      <c r="T2266" s="8" t="e">
        <f>VLOOKUP(Table1[[#This Row],[Address B]],IP_Master[],2,FALSE)</f>
        <v>#N/A</v>
      </c>
      <c r="U2266" s="9" t="e">
        <f>VLOOKUP(Table1[[#This Row],[Address A]],IP_Master[],3,FALSE)</f>
        <v>#N/A</v>
      </c>
      <c r="V2266" s="9" t="e">
        <f>VLOOKUP(Table1[[#This Row],[Address B]],IP_Master[],3,FALSE)</f>
        <v>#N/A</v>
      </c>
      <c r="W2266" s="9" t="str">
        <f>VLOOKUP(Table1[[#This Row],[Port B]],traffic_types[],2,FALSE)</f>
        <v>HTTP/S</v>
      </c>
    </row>
    <row r="2267" spans="1:23" hidden="1" x14ac:dyDescent="0.6">
      <c r="A2267" t="s">
        <v>224</v>
      </c>
      <c r="B2267">
        <v>60382</v>
      </c>
      <c r="C2267" t="s">
        <v>225</v>
      </c>
      <c r="D2267">
        <v>40022</v>
      </c>
      <c r="E2267">
        <v>2</v>
      </c>
      <c r="F2267">
        <v>132</v>
      </c>
      <c r="G2267">
        <v>2</v>
      </c>
      <c r="H2267">
        <v>132</v>
      </c>
      <c r="I2267">
        <v>0</v>
      </c>
      <c r="J2267">
        <v>0</v>
      </c>
      <c r="K2267">
        <v>898.68279299999995</v>
      </c>
      <c r="L2267">
        <v>3.0000760000000399</v>
      </c>
      <c r="M2267">
        <v>351.99108289256299</v>
      </c>
      <c r="N2267">
        <v>0</v>
      </c>
      <c r="O2267" s="8" t="str">
        <f>formatIP(Table1[[#This Row],[Address A]])</f>
        <v>192.168.100.002</v>
      </c>
      <c r="P2267" s="8" t="str">
        <f>formatIP(Table1[[#This Row],[Address B]])</f>
        <v>111.221.077.162</v>
      </c>
      <c r="Q2267" s="8" t="e">
        <f>VLOOKUP(Table1[[#This Row],[Address A]],IP_Master[],4,FALSE)</f>
        <v>#N/A</v>
      </c>
      <c r="R2267" s="8" t="e">
        <f>VLOOKUP(Table1[[#This Row],[Address B]],IP_Master[],4,FALSE)</f>
        <v>#N/A</v>
      </c>
      <c r="S2267" s="8" t="e">
        <f>VLOOKUP(Table1[[#This Row],[Address A]],IP_Master[],2,FALSE)</f>
        <v>#N/A</v>
      </c>
      <c r="T2267" s="8" t="e">
        <f>VLOOKUP(Table1[[#This Row],[Address B]],IP_Master[],2,FALSE)</f>
        <v>#N/A</v>
      </c>
      <c r="U2267" s="9" t="e">
        <f>VLOOKUP(Table1[[#This Row],[Address A]],IP_Master[],3,FALSE)</f>
        <v>#N/A</v>
      </c>
      <c r="V2267" s="9" t="e">
        <f>VLOOKUP(Table1[[#This Row],[Address B]],IP_Master[],3,FALSE)</f>
        <v>#N/A</v>
      </c>
      <c r="W2267" s="9" t="e">
        <f>VLOOKUP(Table1[[#This Row],[Port B]],traffic_types[],2,FALSE)</f>
        <v>#N/A</v>
      </c>
    </row>
    <row r="2268" spans="1:23" x14ac:dyDescent="0.6">
      <c r="A2268" t="s">
        <v>224</v>
      </c>
      <c r="B2268">
        <v>60383</v>
      </c>
      <c r="C2268" t="s">
        <v>366</v>
      </c>
      <c r="D2268">
        <v>443</v>
      </c>
      <c r="E2268">
        <v>2</v>
      </c>
      <c r="F2268">
        <v>132</v>
      </c>
      <c r="G2268">
        <v>2</v>
      </c>
      <c r="H2268">
        <v>132</v>
      </c>
      <c r="I2268">
        <v>0</v>
      </c>
      <c r="J2268">
        <v>0</v>
      </c>
      <c r="K2268">
        <v>899.291877</v>
      </c>
      <c r="L2268">
        <v>2.9706370000000102</v>
      </c>
      <c r="M2268">
        <v>355.479313022761</v>
      </c>
      <c r="N2268">
        <v>0</v>
      </c>
      <c r="O2268" s="8" t="str">
        <f>formatIP(Table1[[#This Row],[Address A]])</f>
        <v>192.168.100.002</v>
      </c>
      <c r="P2268" s="8" t="str">
        <f>formatIP(Table1[[#This Row],[Address B]])</f>
        <v>157.055.130.155</v>
      </c>
      <c r="Q2268" s="8" t="e">
        <f>VLOOKUP(Table1[[#This Row],[Address A]],IP_Master[],4,FALSE)</f>
        <v>#N/A</v>
      </c>
      <c r="R2268" s="8" t="e">
        <f>VLOOKUP(Table1[[#This Row],[Address B]],IP_Master[],4,FALSE)</f>
        <v>#N/A</v>
      </c>
      <c r="S2268" s="8" t="e">
        <f>VLOOKUP(Table1[[#This Row],[Address A]],IP_Master[],2,FALSE)</f>
        <v>#N/A</v>
      </c>
      <c r="T2268" s="8" t="e">
        <f>VLOOKUP(Table1[[#This Row],[Address B]],IP_Master[],2,FALSE)</f>
        <v>#N/A</v>
      </c>
      <c r="U2268" s="9" t="e">
        <f>VLOOKUP(Table1[[#This Row],[Address A]],IP_Master[],3,FALSE)</f>
        <v>#N/A</v>
      </c>
      <c r="V2268" s="9" t="e">
        <f>VLOOKUP(Table1[[#This Row],[Address B]],IP_Master[],3,FALSE)</f>
        <v>#N/A</v>
      </c>
      <c r="W2268" s="9" t="str">
        <f>VLOOKUP(Table1[[#This Row],[Port B]],traffic_types[],2,FALSE)</f>
        <v>HTTP/S</v>
      </c>
    </row>
    <row r="2269" spans="1:23" hidden="1" x14ac:dyDescent="0.6">
      <c r="A2269" t="s">
        <v>224</v>
      </c>
      <c r="B2269">
        <v>60384</v>
      </c>
      <c r="C2269" t="s">
        <v>235</v>
      </c>
      <c r="D2269">
        <v>40015</v>
      </c>
      <c r="E2269">
        <v>2</v>
      </c>
      <c r="F2269">
        <v>132</v>
      </c>
      <c r="G2269">
        <v>2</v>
      </c>
      <c r="H2269">
        <v>132</v>
      </c>
      <c r="I2269">
        <v>0</v>
      </c>
      <c r="J2269">
        <v>0</v>
      </c>
      <c r="K2269">
        <v>899.72272499999997</v>
      </c>
      <c r="L2269">
        <v>2.99871700000006</v>
      </c>
      <c r="M2269">
        <v>352.15060307457497</v>
      </c>
      <c r="N2269">
        <v>0</v>
      </c>
      <c r="O2269" s="8" t="str">
        <f>formatIP(Table1[[#This Row],[Address A]])</f>
        <v>192.168.100.002</v>
      </c>
      <c r="P2269" s="8" t="str">
        <f>formatIP(Table1[[#This Row],[Address B]])</f>
        <v>157.055.235.153</v>
      </c>
      <c r="Q2269" s="8" t="e">
        <f>VLOOKUP(Table1[[#This Row],[Address A]],IP_Master[],4,FALSE)</f>
        <v>#N/A</v>
      </c>
      <c r="R2269" s="8" t="e">
        <f>VLOOKUP(Table1[[#This Row],[Address B]],IP_Master[],4,FALSE)</f>
        <v>#N/A</v>
      </c>
      <c r="S2269" s="8" t="e">
        <f>VLOOKUP(Table1[[#This Row],[Address A]],IP_Master[],2,FALSE)</f>
        <v>#N/A</v>
      </c>
      <c r="T2269" s="8" t="e">
        <f>VLOOKUP(Table1[[#This Row],[Address B]],IP_Master[],2,FALSE)</f>
        <v>#N/A</v>
      </c>
      <c r="U2269" s="9" t="e">
        <f>VLOOKUP(Table1[[#This Row],[Address A]],IP_Master[],3,FALSE)</f>
        <v>#N/A</v>
      </c>
      <c r="V2269" s="9" t="e">
        <f>VLOOKUP(Table1[[#This Row],[Address B]],IP_Master[],3,FALSE)</f>
        <v>#N/A</v>
      </c>
      <c r="W2269" s="9" t="e">
        <f>VLOOKUP(Table1[[#This Row],[Port B]],traffic_types[],2,FALSE)</f>
        <v>#N/A</v>
      </c>
    </row>
    <row r="2270" spans="1:23" hidden="1" x14ac:dyDescent="0.6">
      <c r="A2270" t="s">
        <v>224</v>
      </c>
      <c r="B2270">
        <v>60385</v>
      </c>
      <c r="C2270" t="s">
        <v>234</v>
      </c>
      <c r="D2270">
        <v>40020</v>
      </c>
      <c r="E2270">
        <v>2</v>
      </c>
      <c r="F2270">
        <v>132</v>
      </c>
      <c r="G2270">
        <v>2</v>
      </c>
      <c r="H2270">
        <v>132</v>
      </c>
      <c r="I2270">
        <v>0</v>
      </c>
      <c r="J2270">
        <v>0</v>
      </c>
      <c r="K2270">
        <v>899.72272799999996</v>
      </c>
      <c r="L2270">
        <v>2.9987110000000698</v>
      </c>
      <c r="M2270">
        <v>352.15130767852401</v>
      </c>
      <c r="N2270">
        <v>0</v>
      </c>
      <c r="O2270" s="8" t="str">
        <f>formatIP(Table1[[#This Row],[Address A]])</f>
        <v>192.168.100.002</v>
      </c>
      <c r="P2270" s="8" t="str">
        <f>formatIP(Table1[[#This Row],[Address B]])</f>
        <v>157.055.056.161</v>
      </c>
      <c r="Q2270" s="8" t="e">
        <f>VLOOKUP(Table1[[#This Row],[Address A]],IP_Master[],4,FALSE)</f>
        <v>#N/A</v>
      </c>
      <c r="R2270" s="8" t="e">
        <f>VLOOKUP(Table1[[#This Row],[Address B]],IP_Master[],4,FALSE)</f>
        <v>#N/A</v>
      </c>
      <c r="S2270" s="8" t="e">
        <f>VLOOKUP(Table1[[#This Row],[Address A]],IP_Master[],2,FALSE)</f>
        <v>#N/A</v>
      </c>
      <c r="T2270" s="8" t="e">
        <f>VLOOKUP(Table1[[#This Row],[Address B]],IP_Master[],2,FALSE)</f>
        <v>#N/A</v>
      </c>
      <c r="U2270" s="9" t="e">
        <f>VLOOKUP(Table1[[#This Row],[Address A]],IP_Master[],3,FALSE)</f>
        <v>#N/A</v>
      </c>
      <c r="V2270" s="9" t="e">
        <f>VLOOKUP(Table1[[#This Row],[Address B]],IP_Master[],3,FALSE)</f>
        <v>#N/A</v>
      </c>
      <c r="W2270" s="9" t="e">
        <f>VLOOKUP(Table1[[#This Row],[Port B]],traffic_types[],2,FALSE)</f>
        <v>#N/A</v>
      </c>
    </row>
    <row r="2271" spans="1:23" hidden="1" x14ac:dyDescent="0.6">
      <c r="A2271" t="s">
        <v>224</v>
      </c>
      <c r="B2271">
        <v>60386</v>
      </c>
      <c r="C2271" t="s">
        <v>367</v>
      </c>
      <c r="D2271">
        <v>33033</v>
      </c>
      <c r="E2271">
        <v>2</v>
      </c>
      <c r="F2271">
        <v>132</v>
      </c>
      <c r="G2271">
        <v>2</v>
      </c>
      <c r="H2271">
        <v>132</v>
      </c>
      <c r="I2271">
        <v>0</v>
      </c>
      <c r="J2271">
        <v>0</v>
      </c>
      <c r="K2271">
        <v>899.72378100000003</v>
      </c>
      <c r="L2271">
        <v>2.9976619999999898</v>
      </c>
      <c r="M2271">
        <v>352.27453929095498</v>
      </c>
      <c r="N2271">
        <v>0</v>
      </c>
      <c r="O2271" s="8" t="str">
        <f>formatIP(Table1[[#This Row],[Address A]])</f>
        <v>192.168.100.002</v>
      </c>
      <c r="P2271" s="8" t="str">
        <f>formatIP(Table1[[#This Row],[Address B]])</f>
        <v>157.055.130.146</v>
      </c>
      <c r="Q2271" s="8" t="e">
        <f>VLOOKUP(Table1[[#This Row],[Address A]],IP_Master[],4,FALSE)</f>
        <v>#N/A</v>
      </c>
      <c r="R2271" s="8" t="e">
        <f>VLOOKUP(Table1[[#This Row],[Address B]],IP_Master[],4,FALSE)</f>
        <v>#N/A</v>
      </c>
      <c r="S2271" s="8" t="e">
        <f>VLOOKUP(Table1[[#This Row],[Address A]],IP_Master[],2,FALSE)</f>
        <v>#N/A</v>
      </c>
      <c r="T2271" s="8" t="e">
        <f>VLOOKUP(Table1[[#This Row],[Address B]],IP_Master[],2,FALSE)</f>
        <v>#N/A</v>
      </c>
      <c r="U2271" s="9" t="e">
        <f>VLOOKUP(Table1[[#This Row],[Address A]],IP_Master[],3,FALSE)</f>
        <v>#N/A</v>
      </c>
      <c r="V2271" s="9" t="e">
        <f>VLOOKUP(Table1[[#This Row],[Address B]],IP_Master[],3,FALSE)</f>
        <v>#N/A</v>
      </c>
      <c r="W2271" s="9" t="e">
        <f>VLOOKUP(Table1[[#This Row],[Port B]],traffic_types[],2,FALSE)</f>
        <v>#N/A</v>
      </c>
    </row>
    <row r="2272" spans="1:23" x14ac:dyDescent="0.6">
      <c r="A2272" t="s">
        <v>224</v>
      </c>
      <c r="B2272">
        <v>60387</v>
      </c>
      <c r="C2272" t="s">
        <v>365</v>
      </c>
      <c r="D2272">
        <v>80</v>
      </c>
      <c r="E2272">
        <v>2</v>
      </c>
      <c r="F2272">
        <v>132</v>
      </c>
      <c r="G2272">
        <v>2</v>
      </c>
      <c r="H2272">
        <v>132</v>
      </c>
      <c r="I2272">
        <v>0</v>
      </c>
      <c r="J2272">
        <v>0</v>
      </c>
      <c r="K2272">
        <v>899.85187099999996</v>
      </c>
      <c r="L2272">
        <v>3.0006620000000299</v>
      </c>
      <c r="M2272">
        <v>351.92234246975801</v>
      </c>
      <c r="N2272">
        <v>0</v>
      </c>
      <c r="O2272" s="8" t="str">
        <f>formatIP(Table1[[#This Row],[Address A]])</f>
        <v>192.168.100.002</v>
      </c>
      <c r="P2272" s="8" t="str">
        <f>formatIP(Table1[[#This Row],[Address B]])</f>
        <v>157.056.052.041</v>
      </c>
      <c r="Q2272" s="8" t="e">
        <f>VLOOKUP(Table1[[#This Row],[Address A]],IP_Master[],4,FALSE)</f>
        <v>#N/A</v>
      </c>
      <c r="R2272" s="8" t="e">
        <f>VLOOKUP(Table1[[#This Row],[Address B]],IP_Master[],4,FALSE)</f>
        <v>#N/A</v>
      </c>
      <c r="S2272" s="8" t="e">
        <f>VLOOKUP(Table1[[#This Row],[Address A]],IP_Master[],2,FALSE)</f>
        <v>#N/A</v>
      </c>
      <c r="T2272" s="8" t="e">
        <f>VLOOKUP(Table1[[#This Row],[Address B]],IP_Master[],2,FALSE)</f>
        <v>#N/A</v>
      </c>
      <c r="U2272" s="9" t="e">
        <f>VLOOKUP(Table1[[#This Row],[Address A]],IP_Master[],3,FALSE)</f>
        <v>#N/A</v>
      </c>
      <c r="V2272" s="9" t="e">
        <f>VLOOKUP(Table1[[#This Row],[Address B]],IP_Master[],3,FALSE)</f>
        <v>#N/A</v>
      </c>
      <c r="W2272" s="9" t="str">
        <f>VLOOKUP(Table1[[#This Row],[Port B]],traffic_types[],2,FALSE)</f>
        <v>HTTP</v>
      </c>
    </row>
    <row r="2273" spans="1:23" x14ac:dyDescent="0.6">
      <c r="A2273" t="s">
        <v>224</v>
      </c>
      <c r="B2273">
        <v>60388</v>
      </c>
      <c r="C2273" t="s">
        <v>225</v>
      </c>
      <c r="D2273">
        <v>443</v>
      </c>
      <c r="E2273">
        <v>1</v>
      </c>
      <c r="F2273">
        <v>66</v>
      </c>
      <c r="G2273">
        <v>1</v>
      </c>
      <c r="H2273">
        <v>66</v>
      </c>
      <c r="I2273">
        <v>0</v>
      </c>
      <c r="J2273">
        <v>0</v>
      </c>
      <c r="K2273">
        <v>900.30207299999995</v>
      </c>
      <c r="L2273">
        <v>0</v>
      </c>
      <c r="M2273">
        <v>0</v>
      </c>
      <c r="N2273">
        <v>0</v>
      </c>
      <c r="O2273" s="8" t="str">
        <f>formatIP(Table1[[#This Row],[Address A]])</f>
        <v>192.168.100.002</v>
      </c>
      <c r="P2273" s="8" t="str">
        <f>formatIP(Table1[[#This Row],[Address B]])</f>
        <v>111.221.077.162</v>
      </c>
      <c r="Q2273" s="8" t="e">
        <f>VLOOKUP(Table1[[#This Row],[Address A]],IP_Master[],4,FALSE)</f>
        <v>#N/A</v>
      </c>
      <c r="R2273" s="8" t="e">
        <f>VLOOKUP(Table1[[#This Row],[Address B]],IP_Master[],4,FALSE)</f>
        <v>#N/A</v>
      </c>
      <c r="S2273" s="8" t="e">
        <f>VLOOKUP(Table1[[#This Row],[Address A]],IP_Master[],2,FALSE)</f>
        <v>#N/A</v>
      </c>
      <c r="T2273" s="8" t="e">
        <f>VLOOKUP(Table1[[#This Row],[Address B]],IP_Master[],2,FALSE)</f>
        <v>#N/A</v>
      </c>
      <c r="U2273" s="9" t="e">
        <f>VLOOKUP(Table1[[#This Row],[Address A]],IP_Master[],3,FALSE)</f>
        <v>#N/A</v>
      </c>
      <c r="V2273" s="9" t="e">
        <f>VLOOKUP(Table1[[#This Row],[Address B]],IP_Master[],3,FALSE)</f>
        <v>#N/A</v>
      </c>
      <c r="W2273" s="9" t="str">
        <f>VLOOKUP(Table1[[#This Row],[Port B]],traffic_types[],2,FALSE)</f>
        <v>HTTP/S</v>
      </c>
    </row>
    <row r="2274" spans="1:23" x14ac:dyDescent="0.6">
      <c r="A2274" t="s">
        <v>224</v>
      </c>
      <c r="B2274">
        <v>60389</v>
      </c>
      <c r="C2274" t="s">
        <v>366</v>
      </c>
      <c r="D2274">
        <v>80</v>
      </c>
      <c r="E2274">
        <v>1</v>
      </c>
      <c r="F2274">
        <v>66</v>
      </c>
      <c r="G2274">
        <v>1</v>
      </c>
      <c r="H2274">
        <v>66</v>
      </c>
      <c r="I2274">
        <v>0</v>
      </c>
      <c r="J2274">
        <v>0</v>
      </c>
      <c r="K2274">
        <v>900.88197700000001</v>
      </c>
      <c r="L2274">
        <v>0</v>
      </c>
      <c r="M2274">
        <v>0</v>
      </c>
      <c r="N2274">
        <v>0</v>
      </c>
      <c r="O2274" s="8" t="str">
        <f>formatIP(Table1[[#This Row],[Address A]])</f>
        <v>192.168.100.002</v>
      </c>
      <c r="P2274" s="8" t="str">
        <f>formatIP(Table1[[#This Row],[Address B]])</f>
        <v>157.055.130.155</v>
      </c>
      <c r="Q2274" s="8" t="e">
        <f>VLOOKUP(Table1[[#This Row],[Address A]],IP_Master[],4,FALSE)</f>
        <v>#N/A</v>
      </c>
      <c r="R2274" s="8" t="e">
        <f>VLOOKUP(Table1[[#This Row],[Address B]],IP_Master[],4,FALSE)</f>
        <v>#N/A</v>
      </c>
      <c r="S2274" s="8" t="e">
        <f>VLOOKUP(Table1[[#This Row],[Address A]],IP_Master[],2,FALSE)</f>
        <v>#N/A</v>
      </c>
      <c r="T2274" s="8" t="e">
        <f>VLOOKUP(Table1[[#This Row],[Address B]],IP_Master[],2,FALSE)</f>
        <v>#N/A</v>
      </c>
      <c r="U2274" s="9" t="e">
        <f>VLOOKUP(Table1[[#This Row],[Address A]],IP_Master[],3,FALSE)</f>
        <v>#N/A</v>
      </c>
      <c r="V2274" s="9" t="e">
        <f>VLOOKUP(Table1[[#This Row],[Address B]],IP_Master[],3,FALSE)</f>
        <v>#N/A</v>
      </c>
      <c r="W2274" s="9" t="str">
        <f>VLOOKUP(Table1[[#This Row],[Port B]],traffic_types[],2,FALSE)</f>
        <v>HTTP</v>
      </c>
    </row>
    <row r="2275" spans="1:23" x14ac:dyDescent="0.6">
      <c r="A2275" t="s">
        <v>224</v>
      </c>
      <c r="B2275">
        <v>60390</v>
      </c>
      <c r="C2275" t="s">
        <v>235</v>
      </c>
      <c r="D2275">
        <v>443</v>
      </c>
      <c r="E2275">
        <v>1</v>
      </c>
      <c r="F2275">
        <v>66</v>
      </c>
      <c r="G2275">
        <v>1</v>
      </c>
      <c r="H2275">
        <v>66</v>
      </c>
      <c r="I2275">
        <v>0</v>
      </c>
      <c r="J2275">
        <v>0</v>
      </c>
      <c r="K2275">
        <v>901.34202100000005</v>
      </c>
      <c r="L2275">
        <v>0</v>
      </c>
      <c r="M2275">
        <v>0</v>
      </c>
      <c r="N2275">
        <v>0</v>
      </c>
      <c r="O2275" s="8" t="str">
        <f>formatIP(Table1[[#This Row],[Address A]])</f>
        <v>192.168.100.002</v>
      </c>
      <c r="P2275" s="8" t="str">
        <f>formatIP(Table1[[#This Row],[Address B]])</f>
        <v>157.055.235.153</v>
      </c>
      <c r="Q2275" s="8" t="e">
        <f>VLOOKUP(Table1[[#This Row],[Address A]],IP_Master[],4,FALSE)</f>
        <v>#N/A</v>
      </c>
      <c r="R2275" s="8" t="e">
        <f>VLOOKUP(Table1[[#This Row],[Address B]],IP_Master[],4,FALSE)</f>
        <v>#N/A</v>
      </c>
      <c r="S2275" s="8" t="e">
        <f>VLOOKUP(Table1[[#This Row],[Address A]],IP_Master[],2,FALSE)</f>
        <v>#N/A</v>
      </c>
      <c r="T2275" s="8" t="e">
        <f>VLOOKUP(Table1[[#This Row],[Address B]],IP_Master[],2,FALSE)</f>
        <v>#N/A</v>
      </c>
      <c r="U2275" s="9" t="e">
        <f>VLOOKUP(Table1[[#This Row],[Address A]],IP_Master[],3,FALSE)</f>
        <v>#N/A</v>
      </c>
      <c r="V2275" s="9" t="e">
        <f>VLOOKUP(Table1[[#This Row],[Address B]],IP_Master[],3,FALSE)</f>
        <v>#N/A</v>
      </c>
      <c r="W2275" s="9" t="str">
        <f>VLOOKUP(Table1[[#This Row],[Port B]],traffic_types[],2,FALSE)</f>
        <v>HTTP/S</v>
      </c>
    </row>
    <row r="2276" spans="1:23" x14ac:dyDescent="0.6">
      <c r="A2276" t="s">
        <v>224</v>
      </c>
      <c r="B2276">
        <v>60391</v>
      </c>
      <c r="C2276" t="s">
        <v>234</v>
      </c>
      <c r="D2276">
        <v>443</v>
      </c>
      <c r="E2276">
        <v>1</v>
      </c>
      <c r="F2276">
        <v>66</v>
      </c>
      <c r="G2276">
        <v>1</v>
      </c>
      <c r="H2276">
        <v>66</v>
      </c>
      <c r="I2276">
        <v>0</v>
      </c>
      <c r="J2276">
        <v>0</v>
      </c>
      <c r="K2276">
        <v>901.34202300000004</v>
      </c>
      <c r="L2276">
        <v>0</v>
      </c>
      <c r="M2276">
        <v>0</v>
      </c>
      <c r="N2276">
        <v>0</v>
      </c>
      <c r="O2276" s="8" t="str">
        <f>formatIP(Table1[[#This Row],[Address A]])</f>
        <v>192.168.100.002</v>
      </c>
      <c r="P2276" s="8" t="str">
        <f>formatIP(Table1[[#This Row],[Address B]])</f>
        <v>157.055.056.161</v>
      </c>
      <c r="Q2276" s="8" t="e">
        <f>VLOOKUP(Table1[[#This Row],[Address A]],IP_Master[],4,FALSE)</f>
        <v>#N/A</v>
      </c>
      <c r="R2276" s="8" t="e">
        <f>VLOOKUP(Table1[[#This Row],[Address B]],IP_Master[],4,FALSE)</f>
        <v>#N/A</v>
      </c>
      <c r="S2276" s="8" t="e">
        <f>VLOOKUP(Table1[[#This Row],[Address A]],IP_Master[],2,FALSE)</f>
        <v>#N/A</v>
      </c>
      <c r="T2276" s="8" t="e">
        <f>VLOOKUP(Table1[[#This Row],[Address B]],IP_Master[],2,FALSE)</f>
        <v>#N/A</v>
      </c>
      <c r="U2276" s="9" t="e">
        <f>VLOOKUP(Table1[[#This Row],[Address A]],IP_Master[],3,FALSE)</f>
        <v>#N/A</v>
      </c>
      <c r="V2276" s="9" t="e">
        <f>VLOOKUP(Table1[[#This Row],[Address B]],IP_Master[],3,FALSE)</f>
        <v>#N/A</v>
      </c>
      <c r="W2276" s="9" t="str">
        <f>VLOOKUP(Table1[[#This Row],[Port B]],traffic_types[],2,FALSE)</f>
        <v>HTTP/S</v>
      </c>
    </row>
    <row r="2277" spans="1:23" x14ac:dyDescent="0.6">
      <c r="A2277" t="s">
        <v>224</v>
      </c>
      <c r="B2277">
        <v>60392</v>
      </c>
      <c r="C2277" t="s">
        <v>367</v>
      </c>
      <c r="D2277">
        <v>443</v>
      </c>
      <c r="E2277">
        <v>1</v>
      </c>
      <c r="F2277">
        <v>66</v>
      </c>
      <c r="G2277">
        <v>1</v>
      </c>
      <c r="H2277">
        <v>66</v>
      </c>
      <c r="I2277">
        <v>0</v>
      </c>
      <c r="J2277">
        <v>0</v>
      </c>
      <c r="K2277">
        <v>901.34202500000004</v>
      </c>
      <c r="L2277">
        <v>0</v>
      </c>
      <c r="M2277">
        <v>0</v>
      </c>
      <c r="N2277">
        <v>0</v>
      </c>
      <c r="O2277" s="8" t="str">
        <f>formatIP(Table1[[#This Row],[Address A]])</f>
        <v>192.168.100.002</v>
      </c>
      <c r="P2277" s="8" t="str">
        <f>formatIP(Table1[[#This Row],[Address B]])</f>
        <v>157.055.130.146</v>
      </c>
      <c r="Q2277" s="8" t="e">
        <f>VLOOKUP(Table1[[#This Row],[Address A]],IP_Master[],4,FALSE)</f>
        <v>#N/A</v>
      </c>
      <c r="R2277" s="8" t="e">
        <f>VLOOKUP(Table1[[#This Row],[Address B]],IP_Master[],4,FALSE)</f>
        <v>#N/A</v>
      </c>
      <c r="S2277" s="8" t="e">
        <f>VLOOKUP(Table1[[#This Row],[Address A]],IP_Master[],2,FALSE)</f>
        <v>#N/A</v>
      </c>
      <c r="T2277" s="8" t="e">
        <f>VLOOKUP(Table1[[#This Row],[Address B]],IP_Master[],2,FALSE)</f>
        <v>#N/A</v>
      </c>
      <c r="U2277" s="9" t="e">
        <f>VLOOKUP(Table1[[#This Row],[Address A]],IP_Master[],3,FALSE)</f>
        <v>#N/A</v>
      </c>
      <c r="V2277" s="9" t="e">
        <f>VLOOKUP(Table1[[#This Row],[Address B]],IP_Master[],3,FALSE)</f>
        <v>#N/A</v>
      </c>
      <c r="W2277" s="9" t="str">
        <f>VLOOKUP(Table1[[#This Row],[Port B]],traffic_types[],2,FALSE)</f>
        <v>HTTP/S</v>
      </c>
    </row>
    <row r="2278" spans="1:23" x14ac:dyDescent="0.6">
      <c r="A2278" t="s">
        <v>224</v>
      </c>
      <c r="B2278">
        <v>60393</v>
      </c>
      <c r="C2278" t="s">
        <v>225</v>
      </c>
      <c r="D2278">
        <v>80</v>
      </c>
      <c r="E2278">
        <v>1</v>
      </c>
      <c r="F2278">
        <v>66</v>
      </c>
      <c r="G2278">
        <v>1</v>
      </c>
      <c r="H2278">
        <v>66</v>
      </c>
      <c r="I2278">
        <v>0</v>
      </c>
      <c r="J2278">
        <v>0</v>
      </c>
      <c r="K2278">
        <v>901.913229</v>
      </c>
      <c r="L2278">
        <v>0</v>
      </c>
      <c r="M2278">
        <v>0</v>
      </c>
      <c r="N2278">
        <v>0</v>
      </c>
      <c r="O2278" s="8" t="str">
        <f>formatIP(Table1[[#This Row],[Address A]])</f>
        <v>192.168.100.002</v>
      </c>
      <c r="P2278" s="8" t="str">
        <f>formatIP(Table1[[#This Row],[Address B]])</f>
        <v>111.221.077.162</v>
      </c>
      <c r="Q2278" s="8" t="e">
        <f>VLOOKUP(Table1[[#This Row],[Address A]],IP_Master[],4,FALSE)</f>
        <v>#N/A</v>
      </c>
      <c r="R2278" s="8" t="e">
        <f>VLOOKUP(Table1[[#This Row],[Address B]],IP_Master[],4,FALSE)</f>
        <v>#N/A</v>
      </c>
      <c r="S2278" s="8" t="e">
        <f>VLOOKUP(Table1[[#This Row],[Address A]],IP_Master[],2,FALSE)</f>
        <v>#N/A</v>
      </c>
      <c r="T2278" s="8" t="e">
        <f>VLOOKUP(Table1[[#This Row],[Address B]],IP_Master[],2,FALSE)</f>
        <v>#N/A</v>
      </c>
      <c r="U2278" s="9" t="e">
        <f>VLOOKUP(Table1[[#This Row],[Address A]],IP_Master[],3,FALSE)</f>
        <v>#N/A</v>
      </c>
      <c r="V2278" s="9" t="e">
        <f>VLOOKUP(Table1[[#This Row],[Address B]],IP_Master[],3,FALSE)</f>
        <v>#N/A</v>
      </c>
      <c r="W2278" s="9" t="str">
        <f>VLOOKUP(Table1[[#This Row],[Port B]],traffic_types[],2,FALSE)</f>
        <v>HTTP</v>
      </c>
    </row>
  </sheetData>
  <mergeCells count="2">
    <mergeCell ref="A1:K1"/>
    <mergeCell ref="B2:N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1"/>
  <sheetViews>
    <sheetView workbookViewId="0">
      <selection activeCell="A9" sqref="A9"/>
    </sheetView>
  </sheetViews>
  <sheetFormatPr defaultColWidth="11" defaultRowHeight="15.6" x14ac:dyDescent="0.6"/>
  <cols>
    <col min="2" max="2" width="19.34765625" customWidth="1"/>
  </cols>
  <sheetData>
    <row r="1" spans="1:14" ht="30.6" x14ac:dyDescent="1.1000000000000001">
      <c r="A1" s="20" t="s">
        <v>368</v>
      </c>
      <c r="B1" s="20"/>
      <c r="C1" s="20"/>
      <c r="D1" s="20"/>
      <c r="E1" s="20"/>
      <c r="F1" s="20"/>
      <c r="G1" s="20"/>
      <c r="H1" s="20"/>
      <c r="I1" s="20"/>
      <c r="J1" s="20"/>
      <c r="K1" s="20"/>
    </row>
    <row r="2" spans="1:14" ht="123" customHeight="1" x14ac:dyDescent="0.6">
      <c r="A2" s="15" t="s">
        <v>3</v>
      </c>
      <c r="B2" s="18" t="s">
        <v>369</v>
      </c>
      <c r="C2" s="18"/>
      <c r="D2" s="18"/>
      <c r="E2" s="18"/>
      <c r="F2" s="18"/>
      <c r="G2" s="18"/>
      <c r="H2" s="18"/>
      <c r="I2" s="18"/>
      <c r="J2" s="18"/>
      <c r="K2" s="18"/>
      <c r="L2" s="18"/>
      <c r="M2" s="18"/>
      <c r="N2" s="18"/>
    </row>
    <row r="3" spans="1:14" x14ac:dyDescent="0.6">
      <c r="A3" t="s">
        <v>370</v>
      </c>
      <c r="B3" t="s">
        <v>371</v>
      </c>
      <c r="C3" t="s">
        <v>372</v>
      </c>
    </row>
    <row r="4" spans="1:14" x14ac:dyDescent="0.6">
      <c r="A4">
        <v>80</v>
      </c>
      <c r="B4" t="s">
        <v>373</v>
      </c>
    </row>
    <row r="5" spans="1:14" x14ac:dyDescent="0.6">
      <c r="A5">
        <v>139</v>
      </c>
      <c r="B5" t="s">
        <v>374</v>
      </c>
    </row>
    <row r="6" spans="1:14" x14ac:dyDescent="0.6">
      <c r="A6">
        <v>389</v>
      </c>
      <c r="B6" t="s">
        <v>375</v>
      </c>
    </row>
    <row r="7" spans="1:14" x14ac:dyDescent="0.6">
      <c r="A7">
        <v>443</v>
      </c>
      <c r="B7" t="s">
        <v>376</v>
      </c>
    </row>
    <row r="8" spans="1:14" x14ac:dyDescent="0.6">
      <c r="A8">
        <v>445</v>
      </c>
      <c r="B8" t="s">
        <v>377</v>
      </c>
    </row>
    <row r="9" spans="1:14" x14ac:dyDescent="0.6">
      <c r="A9">
        <v>502</v>
      </c>
      <c r="B9" t="s">
        <v>378</v>
      </c>
    </row>
    <row r="10" spans="1:14" x14ac:dyDescent="0.6">
      <c r="A10">
        <v>1433</v>
      </c>
      <c r="B10" t="s">
        <v>379</v>
      </c>
    </row>
    <row r="11" spans="1:14" x14ac:dyDescent="0.6">
      <c r="A11">
        <v>3389</v>
      </c>
      <c r="B11" t="s">
        <v>380</v>
      </c>
    </row>
  </sheetData>
  <mergeCells count="2">
    <mergeCell ref="A1:K1"/>
    <mergeCell ref="B2:N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G834"/>
  <sheetViews>
    <sheetView zoomScale="110" zoomScaleNormal="110" zoomScalePageLayoutView="110" workbookViewId="0">
      <pane xSplit="1" ySplit="3" topLeftCell="B130" activePane="bottomRight" state="frozen"/>
      <selection pane="topRight" activeCell="C1" sqref="C1"/>
      <selection pane="bottomLeft" activeCell="A6" sqref="A6"/>
      <selection pane="bottomRight" activeCell="D4" sqref="D4"/>
    </sheetView>
  </sheetViews>
  <sheetFormatPr defaultColWidth="9.09765625" defaultRowHeight="15.6" x14ac:dyDescent="0.6"/>
  <cols>
    <col min="1" max="1" width="19.09765625" bestFit="1" customWidth="1"/>
    <col min="2" max="2" width="16.59765625" bestFit="1" customWidth="1"/>
    <col min="3" max="3" width="24.84765625" style="5" bestFit="1" customWidth="1"/>
    <col min="4" max="4" width="14.09765625" style="4" bestFit="1" customWidth="1"/>
    <col min="5" max="5" width="56.34765625" style="4" bestFit="1" customWidth="1"/>
    <col min="6" max="6" width="12.34765625" style="5" bestFit="1" customWidth="1"/>
    <col min="7" max="7" width="39.34765625" style="5" bestFit="1" customWidth="1"/>
    <col min="8" max="8" width="11.34765625" style="5" bestFit="1" customWidth="1"/>
    <col min="9" max="9" width="13.59765625" style="5" bestFit="1" customWidth="1"/>
    <col min="10" max="16384" width="9.09765625" style="5"/>
  </cols>
  <sheetData>
    <row r="1" spans="1:7" ht="5.25" customHeight="1" x14ac:dyDescent="0.4">
      <c r="A1" s="5"/>
      <c r="B1" s="4"/>
      <c r="C1" s="4"/>
      <c r="D1" s="5"/>
      <c r="E1" s="5"/>
    </row>
    <row r="2" spans="1:7" ht="6.75" customHeight="1" x14ac:dyDescent="0.4">
      <c r="A2" s="5"/>
      <c r="B2" s="4"/>
      <c r="C2" s="4"/>
      <c r="D2" s="5"/>
      <c r="E2" s="5"/>
    </row>
    <row r="3" spans="1:7" s="7" customFormat="1" ht="12.3" x14ac:dyDescent="0.4">
      <c r="A3" s="6" t="s">
        <v>381</v>
      </c>
      <c r="B3" s="6" t="s">
        <v>382</v>
      </c>
      <c r="C3" s="6" t="s">
        <v>383</v>
      </c>
      <c r="D3" s="6" t="s">
        <v>384</v>
      </c>
      <c r="E3" s="6" t="s">
        <v>385</v>
      </c>
      <c r="F3" s="6" t="s">
        <v>386</v>
      </c>
      <c r="G3" s="7" t="s">
        <v>387</v>
      </c>
    </row>
    <row r="4" spans="1:7" ht="18" customHeight="1" x14ac:dyDescent="0.4">
      <c r="A4" s="3" t="s">
        <v>388</v>
      </c>
      <c r="B4" s="3" t="s">
        <v>389</v>
      </c>
      <c r="C4" s="3" t="s">
        <v>18</v>
      </c>
      <c r="D4" s="3" t="s">
        <v>390</v>
      </c>
      <c r="E4" s="3" t="s">
        <v>391</v>
      </c>
      <c r="F4" s="3"/>
      <c r="G4" s="5" t="str">
        <f>formatIP(IP_Master[[#This Row],[LAN IP Address]])</f>
        <v>010.011.009.002</v>
      </c>
    </row>
    <row r="5" spans="1:7" ht="18" customHeight="1" x14ac:dyDescent="0.4">
      <c r="A5" s="3" t="s">
        <v>392</v>
      </c>
      <c r="B5" s="3" t="s">
        <v>393</v>
      </c>
      <c r="C5" s="3" t="s">
        <v>18</v>
      </c>
      <c r="D5" s="3" t="s">
        <v>394</v>
      </c>
      <c r="E5" s="3" t="s">
        <v>395</v>
      </c>
      <c r="F5" s="3">
        <v>2001760626</v>
      </c>
      <c r="G5" s="5" t="str">
        <f>formatIP(IP_Master[[#This Row],[LAN IP Address]])</f>
        <v>010.011.009.014</v>
      </c>
    </row>
    <row r="6" spans="1:7" ht="18" customHeight="1" x14ac:dyDescent="0.4">
      <c r="A6" s="3" t="s">
        <v>396</v>
      </c>
      <c r="B6" s="3" t="s">
        <v>393</v>
      </c>
      <c r="C6" s="3" t="s">
        <v>19</v>
      </c>
      <c r="D6" s="3" t="s">
        <v>397</v>
      </c>
      <c r="E6" s="3" t="s">
        <v>398</v>
      </c>
      <c r="F6" s="3"/>
      <c r="G6" s="5" t="str">
        <f>formatIP(IP_Master[[#This Row],[LAN IP Address]])</f>
        <v>010.011.009.015</v>
      </c>
    </row>
    <row r="7" spans="1:7" ht="18" customHeight="1" x14ac:dyDescent="0.4">
      <c r="A7" s="3" t="s">
        <v>399</v>
      </c>
      <c r="B7" s="3" t="s">
        <v>393</v>
      </c>
      <c r="C7" s="3" t="s">
        <v>18</v>
      </c>
      <c r="D7" s="3" t="s">
        <v>400</v>
      </c>
      <c r="E7" s="3" t="s">
        <v>401</v>
      </c>
      <c r="F7" s="3">
        <v>200170627</v>
      </c>
      <c r="G7" s="5" t="str">
        <f>formatIP(IP_Master[[#This Row],[LAN IP Address]])</f>
        <v>010.011.009.016</v>
      </c>
    </row>
    <row r="8" spans="1:7" ht="18" customHeight="1" x14ac:dyDescent="0.4">
      <c r="A8" s="3" t="s">
        <v>87</v>
      </c>
      <c r="B8" s="3" t="s">
        <v>402</v>
      </c>
      <c r="C8" s="3" t="s">
        <v>18</v>
      </c>
      <c r="D8" s="3" t="s">
        <v>403</v>
      </c>
      <c r="E8" s="3" t="s">
        <v>404</v>
      </c>
      <c r="F8" s="3"/>
      <c r="G8" s="5" t="str">
        <f>formatIP(IP_Master[[#This Row],[LAN IP Address]])</f>
        <v>010.011.009.028</v>
      </c>
    </row>
    <row r="9" spans="1:7" ht="18" customHeight="1" x14ac:dyDescent="0.4">
      <c r="A9" s="3" t="s">
        <v>405</v>
      </c>
      <c r="B9" s="3" t="s">
        <v>406</v>
      </c>
      <c r="C9" s="3" t="s">
        <v>18</v>
      </c>
      <c r="D9" s="3" t="s">
        <v>407</v>
      </c>
      <c r="E9" s="3" t="s">
        <v>408</v>
      </c>
      <c r="F9" s="3">
        <v>200250094</v>
      </c>
      <c r="G9" s="5" t="str">
        <f>formatIP(IP_Master[[#This Row],[LAN IP Address]])</f>
        <v>010.011.009.035</v>
      </c>
    </row>
    <row r="10" spans="1:7" ht="18" customHeight="1" x14ac:dyDescent="0.4">
      <c r="A10" s="3" t="s">
        <v>80</v>
      </c>
      <c r="B10" s="3" t="s">
        <v>406</v>
      </c>
      <c r="C10" s="3" t="s">
        <v>18</v>
      </c>
      <c r="D10" s="3" t="s">
        <v>409</v>
      </c>
      <c r="E10" s="3" t="s">
        <v>410</v>
      </c>
      <c r="F10" s="3">
        <v>200250092</v>
      </c>
      <c r="G10" s="5" t="str">
        <f>formatIP(IP_Master[[#This Row],[LAN IP Address]])</f>
        <v>010.011.009.036</v>
      </c>
    </row>
    <row r="11" spans="1:7" ht="18" customHeight="1" x14ac:dyDescent="0.4">
      <c r="A11" s="3" t="s">
        <v>81</v>
      </c>
      <c r="B11" s="3" t="s">
        <v>406</v>
      </c>
      <c r="C11" s="3" t="s">
        <v>18</v>
      </c>
      <c r="D11" s="3" t="s">
        <v>411</v>
      </c>
      <c r="E11" s="3" t="s">
        <v>412</v>
      </c>
      <c r="F11" s="3">
        <v>200250091</v>
      </c>
      <c r="G11" s="5" t="str">
        <f>formatIP(IP_Master[[#This Row],[LAN IP Address]])</f>
        <v>010.011.009.037</v>
      </c>
    </row>
    <row r="12" spans="1:7" ht="18" customHeight="1" x14ac:dyDescent="0.4">
      <c r="A12" s="3" t="s">
        <v>413</v>
      </c>
      <c r="B12" s="3" t="s">
        <v>393</v>
      </c>
      <c r="C12" s="3" t="s">
        <v>18</v>
      </c>
      <c r="D12" s="3" t="s">
        <v>414</v>
      </c>
      <c r="E12" s="3" t="s">
        <v>401</v>
      </c>
      <c r="F12" s="3"/>
      <c r="G12" s="5" t="str">
        <f>formatIP(IP_Master[[#This Row],[LAN IP Address]])</f>
        <v>010.011.009.041</v>
      </c>
    </row>
    <row r="13" spans="1:7" ht="18" customHeight="1" x14ac:dyDescent="0.4">
      <c r="A13" s="3" t="s">
        <v>415</v>
      </c>
      <c r="B13" s="3" t="s">
        <v>389</v>
      </c>
      <c r="C13" s="3" t="s">
        <v>19</v>
      </c>
      <c r="D13" s="3" t="s">
        <v>416</v>
      </c>
      <c r="E13" s="3" t="s">
        <v>398</v>
      </c>
      <c r="F13" s="3"/>
      <c r="G13" s="5" t="str">
        <f>formatIP(IP_Master[[#This Row],[LAN IP Address]])</f>
        <v>010.011.009.043</v>
      </c>
    </row>
    <row r="14" spans="1:7" ht="18" customHeight="1" x14ac:dyDescent="0.4">
      <c r="A14" s="3" t="s">
        <v>417</v>
      </c>
      <c r="B14" s="3" t="s">
        <v>402</v>
      </c>
      <c r="C14" s="3" t="s">
        <v>18</v>
      </c>
      <c r="D14" s="3"/>
      <c r="E14" s="3" t="s">
        <v>418</v>
      </c>
      <c r="F14" s="3"/>
      <c r="G14" s="5" t="str">
        <f>formatIP(IP_Master[[#This Row],[LAN IP Address]])</f>
        <v>010.011.009.045</v>
      </c>
    </row>
    <row r="15" spans="1:7" ht="18" customHeight="1" x14ac:dyDescent="0.4">
      <c r="A15" s="3" t="s">
        <v>419</v>
      </c>
      <c r="B15" s="3" t="s">
        <v>402</v>
      </c>
      <c r="C15" s="3" t="s">
        <v>18</v>
      </c>
      <c r="D15" s="3" t="s">
        <v>420</v>
      </c>
      <c r="E15" s="3" t="s">
        <v>421</v>
      </c>
      <c r="F15" s="3"/>
      <c r="G15" s="5" t="str">
        <f>formatIP(IP_Master[[#This Row],[LAN IP Address]])</f>
        <v>010.011.009.047</v>
      </c>
    </row>
    <row r="16" spans="1:7" ht="18" customHeight="1" x14ac:dyDescent="0.4">
      <c r="A16" s="3" t="s">
        <v>422</v>
      </c>
      <c r="B16" s="3" t="s">
        <v>389</v>
      </c>
      <c r="C16" s="3" t="s">
        <v>18</v>
      </c>
      <c r="D16" s="3" t="s">
        <v>423</v>
      </c>
      <c r="E16" s="3" t="s">
        <v>424</v>
      </c>
      <c r="F16" s="3">
        <v>200250082</v>
      </c>
      <c r="G16" s="5" t="str">
        <f>formatIP(IP_Master[[#This Row],[LAN IP Address]])</f>
        <v>010.011.009.053</v>
      </c>
    </row>
    <row r="17" spans="1:7" ht="18" customHeight="1" x14ac:dyDescent="0.4">
      <c r="A17" s="3" t="s">
        <v>425</v>
      </c>
      <c r="B17" s="3" t="s">
        <v>389</v>
      </c>
      <c r="C17" s="3" t="s">
        <v>18</v>
      </c>
      <c r="D17" s="3" t="s">
        <v>426</v>
      </c>
      <c r="E17" s="3" t="s">
        <v>427</v>
      </c>
      <c r="F17" s="3">
        <v>200033538</v>
      </c>
      <c r="G17" s="5" t="str">
        <f>formatIP(IP_Master[[#This Row],[LAN IP Address]])</f>
        <v>010.011.009.054</v>
      </c>
    </row>
    <row r="18" spans="1:7" ht="18" customHeight="1" x14ac:dyDescent="0.4">
      <c r="A18" s="3" t="s">
        <v>428</v>
      </c>
      <c r="B18" s="3" t="s">
        <v>389</v>
      </c>
      <c r="C18" s="3" t="s">
        <v>18</v>
      </c>
      <c r="D18" s="3" t="s">
        <v>429</v>
      </c>
      <c r="E18" s="3" t="s">
        <v>430</v>
      </c>
      <c r="F18" s="3"/>
      <c r="G18" s="5" t="str">
        <f>formatIP(IP_Master[[#This Row],[LAN IP Address]])</f>
        <v>010.011.009.057</v>
      </c>
    </row>
    <row r="19" spans="1:7" ht="18" customHeight="1" x14ac:dyDescent="0.4">
      <c r="A19" s="3" t="s">
        <v>431</v>
      </c>
      <c r="B19" s="3" t="s">
        <v>432</v>
      </c>
      <c r="C19" s="3" t="s">
        <v>18</v>
      </c>
      <c r="D19" s="3" t="s">
        <v>433</v>
      </c>
      <c r="E19" s="3" t="s">
        <v>434</v>
      </c>
      <c r="F19" s="3"/>
      <c r="G19" s="5" t="str">
        <f>formatIP(IP_Master[[#This Row],[LAN IP Address]])</f>
        <v>010.011.009.059</v>
      </c>
    </row>
    <row r="20" spans="1:7" ht="18" customHeight="1" x14ac:dyDescent="0.4">
      <c r="A20" s="3" t="s">
        <v>435</v>
      </c>
      <c r="B20" s="3" t="s">
        <v>432</v>
      </c>
      <c r="C20" s="3" t="s">
        <v>18</v>
      </c>
      <c r="D20" s="3"/>
      <c r="E20" s="3" t="s">
        <v>436</v>
      </c>
      <c r="F20" s="3"/>
      <c r="G20" s="5" t="str">
        <f>formatIP(IP_Master[[#This Row],[LAN IP Address]])</f>
        <v>010.011.009.061</v>
      </c>
    </row>
    <row r="21" spans="1:7" ht="18" customHeight="1" x14ac:dyDescent="0.4">
      <c r="A21" s="3" t="s">
        <v>437</v>
      </c>
      <c r="B21" s="3" t="s">
        <v>389</v>
      </c>
      <c r="C21" s="3" t="s">
        <v>19</v>
      </c>
      <c r="D21" s="3" t="s">
        <v>438</v>
      </c>
      <c r="E21" s="3" t="s">
        <v>439</v>
      </c>
      <c r="F21" s="3"/>
      <c r="G21" s="5" t="str">
        <f>formatIP(IP_Master[[#This Row],[LAN IP Address]])</f>
        <v>010.011.009.063</v>
      </c>
    </row>
    <row r="22" spans="1:7" ht="18" customHeight="1" x14ac:dyDescent="0.4">
      <c r="A22" s="3" t="s">
        <v>440</v>
      </c>
      <c r="B22" s="3" t="s">
        <v>389</v>
      </c>
      <c r="C22" s="3" t="s">
        <v>19</v>
      </c>
      <c r="D22" s="3"/>
      <c r="E22" s="3" t="s">
        <v>441</v>
      </c>
      <c r="F22" s="3"/>
      <c r="G22" s="5" t="str">
        <f>formatIP(IP_Master[[#This Row],[LAN IP Address]])</f>
        <v>010.011.009.064</v>
      </c>
    </row>
    <row r="23" spans="1:7" ht="18" customHeight="1" x14ac:dyDescent="0.4">
      <c r="A23" s="3" t="s">
        <v>442</v>
      </c>
      <c r="B23" s="3" t="s">
        <v>406</v>
      </c>
      <c r="C23" s="3" t="s">
        <v>19</v>
      </c>
      <c r="D23" s="3" t="s">
        <v>443</v>
      </c>
      <c r="E23" s="3" t="s">
        <v>398</v>
      </c>
      <c r="F23" s="3"/>
      <c r="G23" s="5" t="str">
        <f>formatIP(IP_Master[[#This Row],[LAN IP Address]])</f>
        <v>010.011.009.065</v>
      </c>
    </row>
    <row r="24" spans="1:7" ht="18" customHeight="1" x14ac:dyDescent="0.4">
      <c r="A24" s="3" t="s">
        <v>444</v>
      </c>
      <c r="B24" s="3" t="s">
        <v>432</v>
      </c>
      <c r="C24" s="3" t="s">
        <v>19</v>
      </c>
      <c r="D24" s="3"/>
      <c r="E24" s="3" t="s">
        <v>445</v>
      </c>
      <c r="F24" s="3"/>
      <c r="G24" s="5" t="str">
        <f>formatIP(IP_Master[[#This Row],[LAN IP Address]])</f>
        <v>010.011.009.067</v>
      </c>
    </row>
    <row r="25" spans="1:7" ht="18" customHeight="1" x14ac:dyDescent="0.4">
      <c r="A25" s="3" t="s">
        <v>446</v>
      </c>
      <c r="B25" s="3" t="s">
        <v>402</v>
      </c>
      <c r="C25" s="3" t="s">
        <v>18</v>
      </c>
      <c r="D25" s="3"/>
      <c r="E25" s="3" t="s">
        <v>447</v>
      </c>
      <c r="F25" s="3"/>
      <c r="G25" s="5" t="str">
        <f>formatIP(IP_Master[[#This Row],[LAN IP Address]])</f>
        <v>010.011.009.069</v>
      </c>
    </row>
    <row r="26" spans="1:7" ht="18" customHeight="1" x14ac:dyDescent="0.4">
      <c r="A26" s="3" t="s">
        <v>448</v>
      </c>
      <c r="B26" s="3" t="s">
        <v>449</v>
      </c>
      <c r="C26" s="3" t="s">
        <v>18</v>
      </c>
      <c r="D26" s="3"/>
      <c r="E26" s="3" t="s">
        <v>450</v>
      </c>
      <c r="F26" s="3"/>
      <c r="G26" s="5" t="str">
        <f>formatIP(IP_Master[[#This Row],[LAN IP Address]])</f>
        <v>010.011.009.081</v>
      </c>
    </row>
    <row r="27" spans="1:7" ht="18" customHeight="1" x14ac:dyDescent="0.4">
      <c r="A27" s="3" t="s">
        <v>451</v>
      </c>
      <c r="B27" s="3" t="s">
        <v>389</v>
      </c>
      <c r="C27" s="3" t="s">
        <v>18</v>
      </c>
      <c r="D27" s="3" t="s">
        <v>452</v>
      </c>
      <c r="E27" s="3"/>
      <c r="F27" s="3"/>
      <c r="G27" s="5" t="str">
        <f>formatIP(IP_Master[[#This Row],[LAN IP Address]])</f>
        <v>010.011.009.084</v>
      </c>
    </row>
    <row r="28" spans="1:7" ht="18" customHeight="1" x14ac:dyDescent="0.4">
      <c r="A28" s="3" t="s">
        <v>453</v>
      </c>
      <c r="B28" s="3" t="s">
        <v>389</v>
      </c>
      <c r="C28" s="3" t="s">
        <v>18</v>
      </c>
      <c r="D28" s="3" t="s">
        <v>454</v>
      </c>
      <c r="E28" s="3"/>
      <c r="F28" s="3"/>
      <c r="G28" s="5" t="str">
        <f>formatIP(IP_Master[[#This Row],[LAN IP Address]])</f>
        <v>010.011.009.085</v>
      </c>
    </row>
    <row r="29" spans="1:7" ht="18" customHeight="1" x14ac:dyDescent="0.4">
      <c r="A29" s="3" t="s">
        <v>455</v>
      </c>
      <c r="B29" s="3" t="s">
        <v>389</v>
      </c>
      <c r="C29" s="3" t="s">
        <v>19</v>
      </c>
      <c r="D29" s="3"/>
      <c r="E29" s="3" t="s">
        <v>456</v>
      </c>
      <c r="F29" s="3"/>
      <c r="G29" s="5" t="str">
        <f>formatIP(IP_Master[[#This Row],[LAN IP Address]])</f>
        <v>010.011.009.088</v>
      </c>
    </row>
    <row r="30" spans="1:7" ht="18" customHeight="1" x14ac:dyDescent="0.4">
      <c r="A30" s="3" t="s">
        <v>457</v>
      </c>
      <c r="B30" s="3" t="s">
        <v>389</v>
      </c>
      <c r="C30" s="3" t="s">
        <v>19</v>
      </c>
      <c r="D30" s="3"/>
      <c r="E30" s="3"/>
      <c r="F30" s="3"/>
      <c r="G30" s="5" t="str">
        <f>formatIP(IP_Master[[#This Row],[LAN IP Address]])</f>
        <v>010.011.009.089</v>
      </c>
    </row>
    <row r="31" spans="1:7" ht="18" customHeight="1" x14ac:dyDescent="0.4">
      <c r="A31" s="3" t="s">
        <v>458</v>
      </c>
      <c r="B31" s="3" t="s">
        <v>389</v>
      </c>
      <c r="C31" s="3" t="s">
        <v>19</v>
      </c>
      <c r="D31" s="3"/>
      <c r="E31" s="3"/>
      <c r="F31" s="3"/>
      <c r="G31" s="5" t="str">
        <f>formatIP(IP_Master[[#This Row],[LAN IP Address]])</f>
        <v>010.011.009.090</v>
      </c>
    </row>
    <row r="32" spans="1:7" ht="18" customHeight="1" x14ac:dyDescent="0.4">
      <c r="A32" s="3" t="s">
        <v>459</v>
      </c>
      <c r="B32" s="3" t="s">
        <v>402</v>
      </c>
      <c r="C32" s="3" t="s">
        <v>18</v>
      </c>
      <c r="D32" s="3" t="s">
        <v>460</v>
      </c>
      <c r="E32" s="3" t="s">
        <v>461</v>
      </c>
      <c r="F32" s="3"/>
      <c r="G32" s="5" t="str">
        <f>formatIP(IP_Master[[#This Row],[LAN IP Address]])</f>
        <v>010.011.009.093</v>
      </c>
    </row>
    <row r="33" spans="1:7" ht="18" customHeight="1" x14ac:dyDescent="0.4">
      <c r="A33" s="3" t="s">
        <v>462</v>
      </c>
      <c r="B33" s="3" t="s">
        <v>402</v>
      </c>
      <c r="C33" s="3" t="s">
        <v>18</v>
      </c>
      <c r="D33" s="3" t="s">
        <v>463</v>
      </c>
      <c r="E33" s="3" t="s">
        <v>464</v>
      </c>
      <c r="F33" s="3"/>
      <c r="G33" s="5" t="str">
        <f>formatIP(IP_Master[[#This Row],[LAN IP Address]])</f>
        <v>010.011.009.095</v>
      </c>
    </row>
    <row r="34" spans="1:7" ht="18" customHeight="1" x14ac:dyDescent="0.4">
      <c r="A34" s="3" t="s">
        <v>465</v>
      </c>
      <c r="B34" s="3" t="s">
        <v>406</v>
      </c>
      <c r="C34" s="3" t="s">
        <v>18</v>
      </c>
      <c r="D34" s="3"/>
      <c r="E34" s="3" t="s">
        <v>466</v>
      </c>
      <c r="F34" s="3"/>
      <c r="G34" s="5" t="str">
        <f>formatIP(IP_Master[[#This Row],[LAN IP Address]])</f>
        <v>010.011.009.101</v>
      </c>
    </row>
    <row r="35" spans="1:7" ht="18" customHeight="1" x14ac:dyDescent="0.4">
      <c r="A35" s="3" t="s">
        <v>465</v>
      </c>
      <c r="B35" s="3" t="s">
        <v>402</v>
      </c>
      <c r="C35" s="3" t="s">
        <v>18</v>
      </c>
      <c r="D35" s="3"/>
      <c r="E35" s="3" t="s">
        <v>467</v>
      </c>
      <c r="F35" s="3"/>
      <c r="G35" s="5" t="str">
        <f>formatIP(IP_Master[[#This Row],[LAN IP Address]])</f>
        <v>010.011.009.101</v>
      </c>
    </row>
    <row r="36" spans="1:7" ht="18" customHeight="1" x14ac:dyDescent="0.4">
      <c r="A36" s="3" t="s">
        <v>468</v>
      </c>
      <c r="B36" s="3" t="s">
        <v>402</v>
      </c>
      <c r="C36" s="3" t="s">
        <v>18</v>
      </c>
      <c r="D36" s="3"/>
      <c r="E36" s="3" t="s">
        <v>469</v>
      </c>
      <c r="F36" s="3"/>
      <c r="G36" s="5" t="str">
        <f>formatIP(IP_Master[[#This Row],[LAN IP Address]])</f>
        <v>010.011.009.103</v>
      </c>
    </row>
    <row r="37" spans="1:7" ht="18" customHeight="1" x14ac:dyDescent="0.4">
      <c r="A37" s="3" t="s">
        <v>470</v>
      </c>
      <c r="B37" s="3" t="s">
        <v>471</v>
      </c>
      <c r="C37" s="3" t="s">
        <v>19</v>
      </c>
      <c r="D37" s="3"/>
      <c r="E37" s="3" t="s">
        <v>472</v>
      </c>
      <c r="F37" s="3"/>
      <c r="G37" s="5" t="str">
        <f>formatIP(IP_Master[[#This Row],[LAN IP Address]])</f>
        <v>010.011.009.105</v>
      </c>
    </row>
    <row r="38" spans="1:7" ht="18" customHeight="1" x14ac:dyDescent="0.4">
      <c r="A38" s="3" t="s">
        <v>473</v>
      </c>
      <c r="B38" s="3" t="s">
        <v>471</v>
      </c>
      <c r="C38" s="3" t="s">
        <v>19</v>
      </c>
      <c r="D38" s="3" t="s">
        <v>474</v>
      </c>
      <c r="E38" s="3" t="s">
        <v>475</v>
      </c>
      <c r="F38" s="3"/>
      <c r="G38" s="5" t="str">
        <f>formatIP(IP_Master[[#This Row],[LAN IP Address]])</f>
        <v>010.011.009.106</v>
      </c>
    </row>
    <row r="39" spans="1:7" ht="18" customHeight="1" x14ac:dyDescent="0.4">
      <c r="A39" s="3" t="s">
        <v>476</v>
      </c>
      <c r="B39" s="3" t="s">
        <v>402</v>
      </c>
      <c r="C39" s="3" t="s">
        <v>18</v>
      </c>
      <c r="D39" s="3"/>
      <c r="E39" s="3" t="s">
        <v>477</v>
      </c>
      <c r="F39" s="3"/>
      <c r="G39" s="5" t="str">
        <f>formatIP(IP_Master[[#This Row],[LAN IP Address]])</f>
        <v>010.011.009.107</v>
      </c>
    </row>
    <row r="40" spans="1:7" ht="18" customHeight="1" x14ac:dyDescent="0.4">
      <c r="A40" s="3" t="s">
        <v>478</v>
      </c>
      <c r="B40" s="3" t="s">
        <v>389</v>
      </c>
      <c r="C40" s="3" t="s">
        <v>19</v>
      </c>
      <c r="D40" s="3"/>
      <c r="E40" s="3" t="s">
        <v>479</v>
      </c>
      <c r="F40" s="3"/>
      <c r="G40" s="5" t="str">
        <f>formatIP(IP_Master[[#This Row],[LAN IP Address]])</f>
        <v>010.011.009.108</v>
      </c>
    </row>
    <row r="41" spans="1:7" ht="18" customHeight="1" x14ac:dyDescent="0.4">
      <c r="A41" s="3" t="s">
        <v>480</v>
      </c>
      <c r="B41" s="3" t="s">
        <v>406</v>
      </c>
      <c r="C41" s="3" t="s">
        <v>18</v>
      </c>
      <c r="D41" s="3"/>
      <c r="E41" s="3" t="s">
        <v>481</v>
      </c>
      <c r="F41" s="3"/>
      <c r="G41" s="5" t="str">
        <f>formatIP(IP_Master[[#This Row],[LAN IP Address]])</f>
        <v>010.011.009.109</v>
      </c>
    </row>
    <row r="42" spans="1:7" ht="18" customHeight="1" x14ac:dyDescent="0.4">
      <c r="A42" s="3" t="s">
        <v>480</v>
      </c>
      <c r="B42" s="3" t="s">
        <v>402</v>
      </c>
      <c r="C42" s="3" t="s">
        <v>18</v>
      </c>
      <c r="D42" s="3"/>
      <c r="E42" s="3" t="s">
        <v>467</v>
      </c>
      <c r="F42" s="3"/>
      <c r="G42" s="5" t="str">
        <f>formatIP(IP_Master[[#This Row],[LAN IP Address]])</f>
        <v>010.011.009.109</v>
      </c>
    </row>
    <row r="43" spans="1:7" ht="18" customHeight="1" x14ac:dyDescent="0.4">
      <c r="A43" s="3" t="s">
        <v>482</v>
      </c>
      <c r="B43" s="3" t="s">
        <v>393</v>
      </c>
      <c r="C43" s="3" t="s">
        <v>18</v>
      </c>
      <c r="D43" s="3" t="s">
        <v>483</v>
      </c>
      <c r="E43" s="3" t="s">
        <v>484</v>
      </c>
      <c r="F43" s="3">
        <v>200250089</v>
      </c>
      <c r="G43" s="5" t="str">
        <f>formatIP(IP_Master[[#This Row],[LAN IP Address]])</f>
        <v>010.011.009.111</v>
      </c>
    </row>
    <row r="44" spans="1:7" ht="18" customHeight="1" x14ac:dyDescent="0.4">
      <c r="A44" s="3" t="s">
        <v>485</v>
      </c>
      <c r="B44" s="3" t="s">
        <v>393</v>
      </c>
      <c r="C44" s="3" t="s">
        <v>18</v>
      </c>
      <c r="D44" s="3" t="s">
        <v>486</v>
      </c>
      <c r="E44" s="3" t="s">
        <v>487</v>
      </c>
      <c r="F44" s="3"/>
      <c r="G44" s="5" t="str">
        <f>formatIP(IP_Master[[#This Row],[LAN IP Address]])</f>
        <v>010.011.009.113</v>
      </c>
    </row>
    <row r="45" spans="1:7" ht="18" customHeight="1" x14ac:dyDescent="0.4">
      <c r="A45" s="3" t="s">
        <v>488</v>
      </c>
      <c r="B45" s="3" t="s">
        <v>393</v>
      </c>
      <c r="C45" s="3" t="s">
        <v>18</v>
      </c>
      <c r="D45" s="3" t="s">
        <v>489</v>
      </c>
      <c r="E45" s="3" t="s">
        <v>490</v>
      </c>
      <c r="F45" s="3">
        <v>200250088</v>
      </c>
      <c r="G45" s="5" t="str">
        <f>formatIP(IP_Master[[#This Row],[LAN IP Address]])</f>
        <v>010.011.009.115</v>
      </c>
    </row>
    <row r="46" spans="1:7" ht="18" customHeight="1" x14ac:dyDescent="0.4">
      <c r="A46" s="3" t="s">
        <v>491</v>
      </c>
      <c r="B46" s="3" t="s">
        <v>492</v>
      </c>
      <c r="C46" s="3" t="s">
        <v>18</v>
      </c>
      <c r="D46" s="3" t="s">
        <v>493</v>
      </c>
      <c r="E46" s="3" t="s">
        <v>494</v>
      </c>
      <c r="F46" s="3"/>
      <c r="G46" s="5" t="str">
        <f>formatIP(IP_Master[[#This Row],[LAN IP Address]])</f>
        <v>010.011.009.127</v>
      </c>
    </row>
    <row r="47" spans="1:7" ht="18" customHeight="1" x14ac:dyDescent="0.4">
      <c r="A47" s="3" t="s">
        <v>495</v>
      </c>
      <c r="B47" s="3" t="s">
        <v>492</v>
      </c>
      <c r="C47" s="3" t="s">
        <v>18</v>
      </c>
      <c r="D47" s="3" t="s">
        <v>496</v>
      </c>
      <c r="E47" s="3" t="s">
        <v>497</v>
      </c>
      <c r="F47" s="3"/>
      <c r="G47" s="5" t="str">
        <f>formatIP(IP_Master[[#This Row],[LAN IP Address]])</f>
        <v>010.011.009.128</v>
      </c>
    </row>
    <row r="48" spans="1:7" ht="18" customHeight="1" x14ac:dyDescent="0.4">
      <c r="A48" s="3" t="s">
        <v>498</v>
      </c>
      <c r="B48" s="3" t="s">
        <v>393</v>
      </c>
      <c r="C48" s="3" t="s">
        <v>18</v>
      </c>
      <c r="D48" s="3" t="s">
        <v>499</v>
      </c>
      <c r="E48" s="3" t="s">
        <v>500</v>
      </c>
      <c r="F48" s="3">
        <v>200250077</v>
      </c>
      <c r="G48" s="5" t="str">
        <f>formatIP(IP_Master[[#This Row],[LAN IP Address]])</f>
        <v>010.011.009.132</v>
      </c>
    </row>
    <row r="49" spans="1:7" ht="18" customHeight="1" x14ac:dyDescent="0.4">
      <c r="A49" s="3" t="s">
        <v>501</v>
      </c>
      <c r="B49" s="3" t="s">
        <v>393</v>
      </c>
      <c r="C49" s="3" t="s">
        <v>19</v>
      </c>
      <c r="D49" s="3"/>
      <c r="E49" s="3" t="s">
        <v>502</v>
      </c>
      <c r="F49" s="3"/>
      <c r="G49" s="5" t="str">
        <f>formatIP(IP_Master[[#This Row],[LAN IP Address]])</f>
        <v>010.011.009.133</v>
      </c>
    </row>
    <row r="50" spans="1:7" ht="18" customHeight="1" x14ac:dyDescent="0.4">
      <c r="A50" s="3" t="s">
        <v>503</v>
      </c>
      <c r="B50" s="3" t="s">
        <v>389</v>
      </c>
      <c r="C50" s="3" t="s">
        <v>19</v>
      </c>
      <c r="D50" s="3"/>
      <c r="E50" s="3" t="s">
        <v>504</v>
      </c>
      <c r="F50" s="3"/>
      <c r="G50" s="5" t="str">
        <f>formatIP(IP_Master[[#This Row],[LAN IP Address]])</f>
        <v>010.011.009.136</v>
      </c>
    </row>
    <row r="51" spans="1:7" ht="18" customHeight="1" x14ac:dyDescent="0.4">
      <c r="A51" s="3" t="s">
        <v>505</v>
      </c>
      <c r="B51" s="3" t="s">
        <v>471</v>
      </c>
      <c r="C51" s="3" t="s">
        <v>19</v>
      </c>
      <c r="D51" s="3" t="s">
        <v>506</v>
      </c>
      <c r="E51" s="3" t="s">
        <v>507</v>
      </c>
      <c r="F51" s="3"/>
      <c r="G51" s="5" t="str">
        <f>formatIP(IP_Master[[#This Row],[LAN IP Address]])</f>
        <v>010.011.009.176</v>
      </c>
    </row>
    <row r="52" spans="1:7" ht="18" customHeight="1" x14ac:dyDescent="0.4">
      <c r="A52" s="3" t="s">
        <v>82</v>
      </c>
      <c r="B52" s="3" t="s">
        <v>471</v>
      </c>
      <c r="C52" s="3" t="s">
        <v>18</v>
      </c>
      <c r="D52" s="3" t="s">
        <v>508</v>
      </c>
      <c r="E52" s="3" t="s">
        <v>509</v>
      </c>
      <c r="F52" s="3">
        <v>200247417</v>
      </c>
      <c r="G52" s="5" t="str">
        <f>formatIP(IP_Master[[#This Row],[LAN IP Address]])</f>
        <v>010.011.009.178</v>
      </c>
    </row>
    <row r="53" spans="1:7" ht="18" customHeight="1" x14ac:dyDescent="0.4">
      <c r="A53" s="3" t="s">
        <v>510</v>
      </c>
      <c r="B53" s="3" t="s">
        <v>471</v>
      </c>
      <c r="C53" s="3" t="s">
        <v>19</v>
      </c>
      <c r="D53" s="3" t="s">
        <v>511</v>
      </c>
      <c r="E53" s="3" t="s">
        <v>512</v>
      </c>
      <c r="F53" s="3"/>
      <c r="G53" s="5" t="str">
        <f>formatIP(IP_Master[[#This Row],[LAN IP Address]])</f>
        <v>010.011.009.180</v>
      </c>
    </row>
    <row r="54" spans="1:7" ht="18" customHeight="1" x14ac:dyDescent="0.4">
      <c r="A54" s="3" t="s">
        <v>513</v>
      </c>
      <c r="B54" s="3" t="s">
        <v>389</v>
      </c>
      <c r="C54" s="3" t="s">
        <v>18</v>
      </c>
      <c r="D54" s="3" t="s">
        <v>514</v>
      </c>
      <c r="E54" s="3"/>
      <c r="F54" s="3"/>
      <c r="G54" s="5" t="str">
        <f>formatIP(IP_Master[[#This Row],[LAN IP Address]])</f>
        <v>010.011.009.205</v>
      </c>
    </row>
    <row r="55" spans="1:7" ht="18" customHeight="1" x14ac:dyDescent="0.4">
      <c r="A55" s="3" t="s">
        <v>515</v>
      </c>
      <c r="B55" s="3" t="s">
        <v>389</v>
      </c>
      <c r="C55" s="3" t="s">
        <v>18</v>
      </c>
      <c r="D55" s="3" t="s">
        <v>516</v>
      </c>
      <c r="E55" s="3" t="s">
        <v>517</v>
      </c>
      <c r="F55" s="3"/>
      <c r="G55" s="5" t="str">
        <f>formatIP(IP_Master[[#This Row],[LAN IP Address]])</f>
        <v>010.011.009.206</v>
      </c>
    </row>
    <row r="56" spans="1:7" ht="18" customHeight="1" x14ac:dyDescent="0.4">
      <c r="A56" s="3" t="s">
        <v>518</v>
      </c>
      <c r="B56" s="3" t="s">
        <v>389</v>
      </c>
      <c r="C56" s="3" t="s">
        <v>19</v>
      </c>
      <c r="D56" s="3" t="s">
        <v>403</v>
      </c>
      <c r="E56" s="3" t="s">
        <v>519</v>
      </c>
      <c r="F56" s="3"/>
      <c r="G56" s="5" t="str">
        <f>formatIP(IP_Master[[#This Row],[LAN IP Address]])</f>
        <v>010.011.009.207</v>
      </c>
    </row>
    <row r="57" spans="1:7" ht="18" customHeight="1" x14ac:dyDescent="0.4">
      <c r="A57" s="3" t="s">
        <v>103</v>
      </c>
      <c r="B57" s="3" t="s">
        <v>520</v>
      </c>
      <c r="C57" s="3" t="s">
        <v>19</v>
      </c>
      <c r="D57" s="3" t="s">
        <v>403</v>
      </c>
      <c r="E57" s="3" t="s">
        <v>521</v>
      </c>
      <c r="F57" s="3"/>
      <c r="G57" s="5" t="str">
        <f>formatIP(IP_Master[[#This Row],[LAN IP Address]])</f>
        <v>010.011.009.208</v>
      </c>
    </row>
    <row r="58" spans="1:7" ht="18" customHeight="1" x14ac:dyDescent="0.4">
      <c r="A58" s="3" t="s">
        <v>522</v>
      </c>
      <c r="B58" s="3" t="s">
        <v>402</v>
      </c>
      <c r="C58" s="3" t="s">
        <v>18</v>
      </c>
      <c r="D58" s="3" t="s">
        <v>403</v>
      </c>
      <c r="E58" s="3" t="s">
        <v>523</v>
      </c>
      <c r="F58" s="3"/>
      <c r="G58" s="5" t="str">
        <f>formatIP(IP_Master[[#This Row],[LAN IP Address]])</f>
        <v>010.011.009.209</v>
      </c>
    </row>
    <row r="59" spans="1:7" ht="18" customHeight="1" x14ac:dyDescent="0.4">
      <c r="A59" s="3" t="s">
        <v>524</v>
      </c>
      <c r="B59" s="3" t="s">
        <v>402</v>
      </c>
      <c r="C59" s="3" t="s">
        <v>18</v>
      </c>
      <c r="D59" s="3" t="s">
        <v>403</v>
      </c>
      <c r="E59" s="3" t="s">
        <v>525</v>
      </c>
      <c r="F59" s="3"/>
      <c r="G59" s="5" t="str">
        <f>formatIP(IP_Master[[#This Row],[LAN IP Address]])</f>
        <v>010.011.009.210</v>
      </c>
    </row>
    <row r="60" spans="1:7" ht="18" customHeight="1" x14ac:dyDescent="0.4">
      <c r="A60" s="3" t="s">
        <v>526</v>
      </c>
      <c r="B60" s="3" t="s">
        <v>402</v>
      </c>
      <c r="C60" s="3" t="s">
        <v>18</v>
      </c>
      <c r="D60" s="3"/>
      <c r="E60" s="3" t="s">
        <v>525</v>
      </c>
      <c r="F60" s="3"/>
      <c r="G60" s="5" t="str">
        <f>formatIP(IP_Master[[#This Row],[LAN IP Address]])</f>
        <v>010.011.009.211</v>
      </c>
    </row>
    <row r="61" spans="1:7" ht="18" customHeight="1" x14ac:dyDescent="0.4">
      <c r="A61" s="3" t="s">
        <v>527</v>
      </c>
      <c r="B61" s="3" t="s">
        <v>402</v>
      </c>
      <c r="C61" s="3" t="s">
        <v>18</v>
      </c>
      <c r="D61" s="3"/>
      <c r="E61" s="3" t="s">
        <v>525</v>
      </c>
      <c r="F61" s="3"/>
      <c r="G61" s="5" t="str">
        <f>formatIP(IP_Master[[#This Row],[LAN IP Address]])</f>
        <v>010.011.009.212</v>
      </c>
    </row>
    <row r="62" spans="1:7" ht="18" customHeight="1" x14ac:dyDescent="0.4">
      <c r="A62" s="3" t="s">
        <v>528</v>
      </c>
      <c r="B62" s="3" t="s">
        <v>402</v>
      </c>
      <c r="C62" s="3" t="s">
        <v>18</v>
      </c>
      <c r="D62" s="3"/>
      <c r="E62" s="3" t="s">
        <v>525</v>
      </c>
      <c r="F62" s="3"/>
      <c r="G62" s="5" t="str">
        <f>formatIP(IP_Master[[#This Row],[LAN IP Address]])</f>
        <v>010.011.009.213</v>
      </c>
    </row>
    <row r="63" spans="1:7" ht="18" customHeight="1" x14ac:dyDescent="0.4">
      <c r="A63" s="3" t="s">
        <v>53</v>
      </c>
      <c r="B63" s="3" t="s">
        <v>529</v>
      </c>
      <c r="C63" s="3" t="s">
        <v>18</v>
      </c>
      <c r="D63" s="3" t="s">
        <v>530</v>
      </c>
      <c r="E63" s="3" t="s">
        <v>531</v>
      </c>
      <c r="F63" s="3">
        <v>200250071</v>
      </c>
      <c r="G63" s="5" t="str">
        <f>formatIP(IP_Master[[#This Row],[LAN IP Address]])</f>
        <v>010.012.000.001</v>
      </c>
    </row>
    <row r="64" spans="1:7" ht="18" customHeight="1" x14ac:dyDescent="0.4">
      <c r="A64" s="3" t="s">
        <v>97</v>
      </c>
      <c r="B64" s="3" t="s">
        <v>529</v>
      </c>
      <c r="C64" s="3" t="s">
        <v>18</v>
      </c>
      <c r="D64" s="3" t="s">
        <v>532</v>
      </c>
      <c r="E64" s="3" t="s">
        <v>533</v>
      </c>
      <c r="F64" s="3">
        <v>200250072</v>
      </c>
      <c r="G64" s="5" t="str">
        <f>formatIP(IP_Master[[#This Row],[LAN IP Address]])</f>
        <v>010.012.000.002</v>
      </c>
    </row>
    <row r="65" spans="1:7" ht="18" customHeight="1" x14ac:dyDescent="0.4">
      <c r="A65" s="3" t="s">
        <v>534</v>
      </c>
      <c r="B65" s="3" t="s">
        <v>529</v>
      </c>
      <c r="C65" s="3" t="s">
        <v>18</v>
      </c>
      <c r="D65" s="3" t="s">
        <v>535</v>
      </c>
      <c r="E65" s="3" t="s">
        <v>536</v>
      </c>
      <c r="F65" s="3">
        <v>200250101</v>
      </c>
      <c r="G65" s="5" t="str">
        <f>formatIP(IP_Master[[#This Row],[LAN IP Address]])</f>
        <v>010.012.000.003</v>
      </c>
    </row>
    <row r="66" spans="1:7" ht="18" customHeight="1" x14ac:dyDescent="0.4">
      <c r="A66" s="3" t="s">
        <v>537</v>
      </c>
      <c r="B66" s="3" t="s">
        <v>529</v>
      </c>
      <c r="C66" s="3" t="s">
        <v>18</v>
      </c>
      <c r="D66" s="3" t="s">
        <v>538</v>
      </c>
      <c r="E66" s="3" t="s">
        <v>539</v>
      </c>
      <c r="F66" s="3">
        <v>200250111</v>
      </c>
      <c r="G66" s="5" t="str">
        <f>formatIP(IP_Master[[#This Row],[LAN IP Address]])</f>
        <v>010.012.000.004</v>
      </c>
    </row>
    <row r="67" spans="1:7" ht="18" customHeight="1" x14ac:dyDescent="0.4">
      <c r="A67" s="3" t="s">
        <v>540</v>
      </c>
      <c r="B67" s="3" t="s">
        <v>529</v>
      </c>
      <c r="C67" s="3" t="s">
        <v>18</v>
      </c>
      <c r="D67" s="3" t="s">
        <v>541</v>
      </c>
      <c r="E67" s="3" t="s">
        <v>539</v>
      </c>
      <c r="F67" s="3">
        <v>200187982</v>
      </c>
      <c r="G67" s="5" t="str">
        <f>formatIP(IP_Master[[#This Row],[LAN IP Address]])</f>
        <v>010.012.000.005</v>
      </c>
    </row>
    <row r="68" spans="1:7" ht="18" customHeight="1" x14ac:dyDescent="0.4">
      <c r="A68" s="3" t="s">
        <v>542</v>
      </c>
      <c r="B68" s="3" t="s">
        <v>529</v>
      </c>
      <c r="C68" s="3" t="s">
        <v>18</v>
      </c>
      <c r="D68" s="3" t="s">
        <v>543</v>
      </c>
      <c r="E68" s="3" t="s">
        <v>544</v>
      </c>
      <c r="F68" s="3">
        <v>200250104</v>
      </c>
      <c r="G68" s="5" t="str">
        <f>formatIP(IP_Master[[#This Row],[LAN IP Address]])</f>
        <v>010.012.000.006</v>
      </c>
    </row>
    <row r="69" spans="1:7" ht="18" customHeight="1" x14ac:dyDescent="0.4">
      <c r="A69" s="3" t="s">
        <v>98</v>
      </c>
      <c r="B69" s="3" t="s">
        <v>529</v>
      </c>
      <c r="C69" s="3" t="s">
        <v>18</v>
      </c>
      <c r="D69" s="3" t="s">
        <v>545</v>
      </c>
      <c r="E69" s="3" t="s">
        <v>544</v>
      </c>
      <c r="F69" s="3">
        <v>200250105</v>
      </c>
      <c r="G69" s="5" t="str">
        <f>formatIP(IP_Master[[#This Row],[LAN IP Address]])</f>
        <v>010.012.000.007</v>
      </c>
    </row>
    <row r="70" spans="1:7" ht="18" customHeight="1" x14ac:dyDescent="0.4">
      <c r="A70" s="3" t="s">
        <v>546</v>
      </c>
      <c r="B70" s="3" t="s">
        <v>529</v>
      </c>
      <c r="C70" s="3" t="s">
        <v>18</v>
      </c>
      <c r="D70" s="3" t="s">
        <v>547</v>
      </c>
      <c r="E70" s="3" t="s">
        <v>539</v>
      </c>
      <c r="F70" s="3">
        <v>200250103</v>
      </c>
      <c r="G70" s="5" t="str">
        <f>formatIP(IP_Master[[#This Row],[LAN IP Address]])</f>
        <v>010.012.000.008</v>
      </c>
    </row>
    <row r="71" spans="1:7" ht="18" customHeight="1" x14ac:dyDescent="0.4">
      <c r="A71" s="3" t="s">
        <v>548</v>
      </c>
      <c r="B71" s="3" t="s">
        <v>529</v>
      </c>
      <c r="C71" s="3" t="s">
        <v>18</v>
      </c>
      <c r="D71" s="3" t="s">
        <v>549</v>
      </c>
      <c r="E71" s="3" t="s">
        <v>550</v>
      </c>
      <c r="F71" s="3"/>
      <c r="G71" s="5" t="str">
        <f>formatIP(IP_Master[[#This Row],[LAN IP Address]])</f>
        <v>010.012.000.009</v>
      </c>
    </row>
    <row r="72" spans="1:7" ht="18" customHeight="1" x14ac:dyDescent="0.4">
      <c r="A72" s="3" t="s">
        <v>551</v>
      </c>
      <c r="B72" s="3" t="s">
        <v>529</v>
      </c>
      <c r="C72" s="3" t="s">
        <v>18</v>
      </c>
      <c r="D72" s="3"/>
      <c r="E72" s="3"/>
      <c r="F72" s="3"/>
      <c r="G72" s="5" t="str">
        <f>formatIP(IP_Master[[#This Row],[LAN IP Address]])</f>
        <v>010.012.000.010</v>
      </c>
    </row>
    <row r="73" spans="1:7" ht="18" customHeight="1" x14ac:dyDescent="0.4">
      <c r="A73" s="3" t="s">
        <v>552</v>
      </c>
      <c r="B73" s="3" t="s">
        <v>529</v>
      </c>
      <c r="C73" s="3" t="s">
        <v>18</v>
      </c>
      <c r="D73" s="3"/>
      <c r="E73" s="3"/>
      <c r="F73" s="3"/>
      <c r="G73" s="5" t="str">
        <f>formatIP(IP_Master[[#This Row],[LAN IP Address]])</f>
        <v>010.012.000.011</v>
      </c>
    </row>
    <row r="74" spans="1:7" ht="18" customHeight="1" x14ac:dyDescent="0.4">
      <c r="A74" s="3" t="s">
        <v>553</v>
      </c>
      <c r="B74" s="3" t="s">
        <v>529</v>
      </c>
      <c r="C74" s="3" t="s">
        <v>18</v>
      </c>
      <c r="D74" s="3"/>
      <c r="E74" s="3"/>
      <c r="F74" s="3"/>
      <c r="G74" s="5" t="str">
        <f>formatIP(IP_Master[[#This Row],[LAN IP Address]])</f>
        <v>010.012.000.012</v>
      </c>
    </row>
    <row r="75" spans="1:7" ht="18" customHeight="1" x14ac:dyDescent="0.4">
      <c r="A75" s="3" t="s">
        <v>554</v>
      </c>
      <c r="B75" s="3" t="s">
        <v>529</v>
      </c>
      <c r="C75" s="3" t="s">
        <v>18</v>
      </c>
      <c r="D75" s="3"/>
      <c r="E75" s="3"/>
      <c r="F75" s="3"/>
      <c r="G75" s="5" t="str">
        <f>formatIP(IP_Master[[#This Row],[LAN IP Address]])</f>
        <v>010.012.000.013</v>
      </c>
    </row>
    <row r="76" spans="1:7" ht="18" customHeight="1" x14ac:dyDescent="0.4">
      <c r="A76" s="3" t="s">
        <v>555</v>
      </c>
      <c r="B76" s="3" t="s">
        <v>529</v>
      </c>
      <c r="C76" s="3" t="s">
        <v>18</v>
      </c>
      <c r="D76" s="3"/>
      <c r="E76" s="3"/>
      <c r="F76" s="3"/>
      <c r="G76" s="5" t="str">
        <f>formatIP(IP_Master[[#This Row],[LAN IP Address]])</f>
        <v>010.012.000.014</v>
      </c>
    </row>
    <row r="77" spans="1:7" ht="18" customHeight="1" x14ac:dyDescent="0.4">
      <c r="A77" s="3" t="s">
        <v>556</v>
      </c>
      <c r="B77" s="3" t="s">
        <v>529</v>
      </c>
      <c r="C77" s="3" t="s">
        <v>18</v>
      </c>
      <c r="D77" s="3"/>
      <c r="E77" s="3"/>
      <c r="F77" s="3"/>
      <c r="G77" s="5" t="str">
        <f>formatIP(IP_Master[[#This Row],[LAN IP Address]])</f>
        <v>010.012.000.015</v>
      </c>
    </row>
    <row r="78" spans="1:7" ht="18" customHeight="1" x14ac:dyDescent="0.4">
      <c r="A78" s="3" t="s">
        <v>557</v>
      </c>
      <c r="B78" s="3" t="s">
        <v>529</v>
      </c>
      <c r="C78" s="3" t="s">
        <v>18</v>
      </c>
      <c r="D78" s="3"/>
      <c r="E78" s="3" t="s">
        <v>558</v>
      </c>
      <c r="F78" s="3"/>
      <c r="G78" s="5" t="str">
        <f>formatIP(IP_Master[[#This Row],[LAN IP Address]])</f>
        <v>010.012.000.016</v>
      </c>
    </row>
    <row r="79" spans="1:7" ht="18" customHeight="1" x14ac:dyDescent="0.4">
      <c r="A79" s="3" t="s">
        <v>162</v>
      </c>
      <c r="B79" s="3" t="s">
        <v>529</v>
      </c>
      <c r="C79" s="3" t="s">
        <v>18</v>
      </c>
      <c r="D79" s="3" t="s">
        <v>559</v>
      </c>
      <c r="E79" s="3" t="s">
        <v>560</v>
      </c>
      <c r="F79" s="3"/>
      <c r="G79" s="5" t="str">
        <f>formatIP(IP_Master[[#This Row],[LAN IP Address]])</f>
        <v>010.012.000.017</v>
      </c>
    </row>
    <row r="80" spans="1:7" ht="18" customHeight="1" x14ac:dyDescent="0.4">
      <c r="A80" s="3" t="s">
        <v>148</v>
      </c>
      <c r="B80" s="3" t="s">
        <v>529</v>
      </c>
      <c r="C80" s="3" t="s">
        <v>18</v>
      </c>
      <c r="D80" s="3" t="s">
        <v>561</v>
      </c>
      <c r="E80" s="3" t="s">
        <v>562</v>
      </c>
      <c r="F80" s="3"/>
      <c r="G80" s="5" t="str">
        <f>formatIP(IP_Master[[#This Row],[LAN IP Address]])</f>
        <v>010.012.000.018</v>
      </c>
    </row>
    <row r="81" spans="1:7" ht="18" customHeight="1" x14ac:dyDescent="0.4">
      <c r="A81" s="3" t="s">
        <v>563</v>
      </c>
      <c r="B81" s="3" t="s">
        <v>529</v>
      </c>
      <c r="C81" s="3" t="s">
        <v>18</v>
      </c>
      <c r="D81" s="3" t="s">
        <v>564</v>
      </c>
      <c r="E81" s="3" t="s">
        <v>565</v>
      </c>
      <c r="F81" s="3"/>
      <c r="G81" s="5" t="str">
        <f>formatIP(IP_Master[[#This Row],[LAN IP Address]])</f>
        <v>010.012.000.019</v>
      </c>
    </row>
    <row r="82" spans="1:7" ht="18" customHeight="1" x14ac:dyDescent="0.4">
      <c r="A82" s="3" t="s">
        <v>566</v>
      </c>
      <c r="B82" s="3" t="s">
        <v>529</v>
      </c>
      <c r="C82" s="3" t="s">
        <v>18</v>
      </c>
      <c r="D82" s="3" t="s">
        <v>567</v>
      </c>
      <c r="E82" s="3" t="s">
        <v>562</v>
      </c>
      <c r="F82" s="3"/>
      <c r="G82" s="5" t="str">
        <f>formatIP(IP_Master[[#This Row],[LAN IP Address]])</f>
        <v>010.012.000.020</v>
      </c>
    </row>
    <row r="83" spans="1:7" ht="18" customHeight="1" x14ac:dyDescent="0.4">
      <c r="A83" s="3" t="s">
        <v>568</v>
      </c>
      <c r="B83" s="3" t="s">
        <v>569</v>
      </c>
      <c r="C83" s="3" t="s">
        <v>18</v>
      </c>
      <c r="D83" s="3" t="s">
        <v>570</v>
      </c>
      <c r="E83" s="3" t="s">
        <v>531</v>
      </c>
      <c r="F83" s="3">
        <v>200250067</v>
      </c>
      <c r="G83" s="5" t="str">
        <f>formatIP(IP_Master[[#This Row],[LAN IP Address]])</f>
        <v>010.012.000.021</v>
      </c>
    </row>
    <row r="84" spans="1:7" ht="18" customHeight="1" x14ac:dyDescent="0.4">
      <c r="A84" s="3" t="s">
        <v>100</v>
      </c>
      <c r="B84" s="3" t="s">
        <v>569</v>
      </c>
      <c r="C84" s="3" t="s">
        <v>18</v>
      </c>
      <c r="D84" s="3" t="s">
        <v>571</v>
      </c>
      <c r="E84" s="3" t="s">
        <v>533</v>
      </c>
      <c r="F84" s="3">
        <v>200250068</v>
      </c>
      <c r="G84" s="5" t="str">
        <f>formatIP(IP_Master[[#This Row],[LAN IP Address]])</f>
        <v>010.012.000.022</v>
      </c>
    </row>
    <row r="85" spans="1:7" ht="18" customHeight="1" x14ac:dyDescent="0.4">
      <c r="A85" s="3" t="s">
        <v>572</v>
      </c>
      <c r="B85" s="3" t="s">
        <v>569</v>
      </c>
      <c r="C85" s="3" t="s">
        <v>18</v>
      </c>
      <c r="D85" s="3" t="s">
        <v>573</v>
      </c>
      <c r="E85" s="3" t="s">
        <v>536</v>
      </c>
      <c r="F85" s="3">
        <v>200250098</v>
      </c>
      <c r="G85" s="5" t="str">
        <f>formatIP(IP_Master[[#This Row],[LAN IP Address]])</f>
        <v>010.012.000.023</v>
      </c>
    </row>
    <row r="86" spans="1:7" ht="18" customHeight="1" x14ac:dyDescent="0.4">
      <c r="A86" s="3" t="s">
        <v>574</v>
      </c>
      <c r="B86" s="3" t="s">
        <v>569</v>
      </c>
      <c r="C86" s="3" t="s">
        <v>18</v>
      </c>
      <c r="D86" s="3" t="s">
        <v>575</v>
      </c>
      <c r="E86" s="3" t="s">
        <v>576</v>
      </c>
      <c r="F86" s="3">
        <v>200250097</v>
      </c>
      <c r="G86" s="5" t="str">
        <f>formatIP(IP_Master[[#This Row],[LAN IP Address]])</f>
        <v>010.012.000.024</v>
      </c>
    </row>
    <row r="87" spans="1:7" ht="18" customHeight="1" x14ac:dyDescent="0.4">
      <c r="A87" s="3" t="s">
        <v>577</v>
      </c>
      <c r="B87" s="3" t="s">
        <v>569</v>
      </c>
      <c r="C87" s="3" t="s">
        <v>18</v>
      </c>
      <c r="D87" s="3" t="s">
        <v>578</v>
      </c>
      <c r="E87" s="3" t="s">
        <v>579</v>
      </c>
      <c r="F87" s="3">
        <v>200250100</v>
      </c>
      <c r="G87" s="5" t="str">
        <f>formatIP(IP_Master[[#This Row],[LAN IP Address]])</f>
        <v>010.012.000.025</v>
      </c>
    </row>
    <row r="88" spans="1:7" ht="18" customHeight="1" x14ac:dyDescent="0.4">
      <c r="A88" s="3" t="s">
        <v>580</v>
      </c>
      <c r="B88" s="3" t="s">
        <v>569</v>
      </c>
      <c r="C88" s="3" t="s">
        <v>18</v>
      </c>
      <c r="D88" s="3" t="s">
        <v>581</v>
      </c>
      <c r="E88" s="3"/>
      <c r="F88" s="3"/>
      <c r="G88" s="5" t="str">
        <f>formatIP(IP_Master[[#This Row],[LAN IP Address]])</f>
        <v>010.012.000.026</v>
      </c>
    </row>
    <row r="89" spans="1:7" ht="18" customHeight="1" x14ac:dyDescent="0.4">
      <c r="A89" s="3" t="s">
        <v>582</v>
      </c>
      <c r="B89" s="3" t="s">
        <v>569</v>
      </c>
      <c r="C89" s="3" t="s">
        <v>18</v>
      </c>
      <c r="D89" s="3" t="s">
        <v>583</v>
      </c>
      <c r="E89" s="3" t="s">
        <v>584</v>
      </c>
      <c r="F89" s="3">
        <v>200250085</v>
      </c>
      <c r="G89" s="5" t="str">
        <f>formatIP(IP_Master[[#This Row],[LAN IP Address]])</f>
        <v>010.012.000.027</v>
      </c>
    </row>
    <row r="90" spans="1:7" ht="18" customHeight="1" x14ac:dyDescent="0.4">
      <c r="A90" s="3" t="s">
        <v>585</v>
      </c>
      <c r="B90" s="3" t="s">
        <v>569</v>
      </c>
      <c r="C90" s="3" t="s">
        <v>18</v>
      </c>
      <c r="D90" s="3"/>
      <c r="E90" s="3"/>
      <c r="F90" s="3"/>
      <c r="G90" s="5" t="str">
        <f>formatIP(IP_Master[[#This Row],[LAN IP Address]])</f>
        <v>010.012.000.028</v>
      </c>
    </row>
    <row r="91" spans="1:7" ht="18" customHeight="1" x14ac:dyDescent="0.4">
      <c r="A91" s="3" t="s">
        <v>586</v>
      </c>
      <c r="B91" s="3" t="s">
        <v>569</v>
      </c>
      <c r="C91" s="3" t="s">
        <v>18</v>
      </c>
      <c r="D91" s="3" t="s">
        <v>587</v>
      </c>
      <c r="E91" s="3" t="s">
        <v>588</v>
      </c>
      <c r="F91" s="3">
        <v>200250102</v>
      </c>
      <c r="G91" s="5" t="str">
        <f>formatIP(IP_Master[[#This Row],[LAN IP Address]])</f>
        <v>010.012.000.029</v>
      </c>
    </row>
    <row r="92" spans="1:7" ht="18" customHeight="1" x14ac:dyDescent="0.4">
      <c r="A92" s="3" t="s">
        <v>589</v>
      </c>
      <c r="B92" s="3" t="s">
        <v>569</v>
      </c>
      <c r="C92" s="3" t="s">
        <v>18</v>
      </c>
      <c r="D92" s="3"/>
      <c r="E92" s="3"/>
      <c r="F92" s="3"/>
      <c r="G92" s="5" t="str">
        <f>formatIP(IP_Master[[#This Row],[LAN IP Address]])</f>
        <v>010.012.000.030</v>
      </c>
    </row>
    <row r="93" spans="1:7" ht="18" customHeight="1" x14ac:dyDescent="0.4">
      <c r="A93" s="3" t="s">
        <v>590</v>
      </c>
      <c r="B93" s="3" t="s">
        <v>569</v>
      </c>
      <c r="C93" s="3" t="s">
        <v>18</v>
      </c>
      <c r="D93" s="3"/>
      <c r="E93" s="3" t="s">
        <v>591</v>
      </c>
      <c r="F93" s="3"/>
      <c r="G93" s="5" t="str">
        <f>formatIP(IP_Master[[#This Row],[LAN IP Address]])</f>
        <v>010.012.000.031</v>
      </c>
    </row>
    <row r="94" spans="1:7" ht="18" customHeight="1" x14ac:dyDescent="0.4">
      <c r="A94" s="3" t="s">
        <v>592</v>
      </c>
      <c r="B94" s="3" t="s">
        <v>569</v>
      </c>
      <c r="C94" s="3" t="s">
        <v>18</v>
      </c>
      <c r="D94" s="3" t="s">
        <v>593</v>
      </c>
      <c r="E94" s="3" t="s">
        <v>594</v>
      </c>
      <c r="F94" s="3"/>
      <c r="G94" s="5" t="str">
        <f>formatIP(IP_Master[[#This Row],[LAN IP Address]])</f>
        <v>010.012.000.032</v>
      </c>
    </row>
    <row r="95" spans="1:7" ht="18" customHeight="1" x14ac:dyDescent="0.4">
      <c r="A95" s="3" t="s">
        <v>595</v>
      </c>
      <c r="B95" s="3" t="s">
        <v>569</v>
      </c>
      <c r="C95" s="3" t="s">
        <v>18</v>
      </c>
      <c r="D95" s="3" t="s">
        <v>596</v>
      </c>
      <c r="E95" s="3" t="s">
        <v>597</v>
      </c>
      <c r="F95" s="3">
        <v>200250099</v>
      </c>
      <c r="G95" s="5" t="str">
        <f>formatIP(IP_Master[[#This Row],[LAN IP Address]])</f>
        <v>010.012.000.033</v>
      </c>
    </row>
    <row r="96" spans="1:7" ht="18" customHeight="1" x14ac:dyDescent="0.4">
      <c r="A96" s="3" t="s">
        <v>598</v>
      </c>
      <c r="B96" s="3" t="s">
        <v>569</v>
      </c>
      <c r="C96" s="3" t="s">
        <v>18</v>
      </c>
      <c r="D96" s="3" t="s">
        <v>599</v>
      </c>
      <c r="E96" s="3" t="s">
        <v>600</v>
      </c>
      <c r="F96" s="3"/>
      <c r="G96" s="5" t="str">
        <f>formatIP(IP_Master[[#This Row],[LAN IP Address]])</f>
        <v>010.012.000.034</v>
      </c>
    </row>
    <row r="97" spans="1:7" ht="18" customHeight="1" x14ac:dyDescent="0.4">
      <c r="A97" s="3" t="s">
        <v>601</v>
      </c>
      <c r="B97" s="3" t="s">
        <v>569</v>
      </c>
      <c r="C97" s="3" t="s">
        <v>18</v>
      </c>
      <c r="D97" s="3" t="s">
        <v>602</v>
      </c>
      <c r="E97" s="3"/>
      <c r="F97" s="3"/>
      <c r="G97" s="5" t="str">
        <f>formatIP(IP_Master[[#This Row],[LAN IP Address]])</f>
        <v>010.012.000.035</v>
      </c>
    </row>
    <row r="98" spans="1:7" ht="18" customHeight="1" x14ac:dyDescent="0.4">
      <c r="A98" s="3" t="s">
        <v>152</v>
      </c>
      <c r="B98" s="3" t="s">
        <v>569</v>
      </c>
      <c r="C98" s="3" t="s">
        <v>18</v>
      </c>
      <c r="D98" s="3" t="s">
        <v>603</v>
      </c>
      <c r="E98" s="3" t="s">
        <v>604</v>
      </c>
      <c r="F98" s="3"/>
      <c r="G98" s="5" t="str">
        <f>formatIP(IP_Master[[#This Row],[LAN IP Address]])</f>
        <v>010.012.000.036</v>
      </c>
    </row>
    <row r="99" spans="1:7" ht="18" customHeight="1" x14ac:dyDescent="0.4">
      <c r="A99" s="3" t="s">
        <v>605</v>
      </c>
      <c r="B99" s="3" t="s">
        <v>569</v>
      </c>
      <c r="C99" s="3" t="s">
        <v>18</v>
      </c>
      <c r="D99" s="3" t="s">
        <v>606</v>
      </c>
      <c r="E99" s="3" t="s">
        <v>607</v>
      </c>
      <c r="F99" s="3"/>
      <c r="G99" s="5" t="str">
        <f>formatIP(IP_Master[[#This Row],[LAN IP Address]])</f>
        <v>010.012.000.037</v>
      </c>
    </row>
    <row r="100" spans="1:7" ht="18" customHeight="1" x14ac:dyDescent="0.4">
      <c r="A100" s="3" t="s">
        <v>153</v>
      </c>
      <c r="B100" s="3" t="s">
        <v>569</v>
      </c>
      <c r="C100" s="3" t="s">
        <v>18</v>
      </c>
      <c r="D100" s="3" t="s">
        <v>608</v>
      </c>
      <c r="E100" s="3" t="s">
        <v>609</v>
      </c>
      <c r="F100" s="3"/>
      <c r="G100" s="5" t="str">
        <f>formatIP(IP_Master[[#This Row],[LAN IP Address]])</f>
        <v>010.012.000.038</v>
      </c>
    </row>
    <row r="101" spans="1:7" ht="18" customHeight="1" x14ac:dyDescent="0.4">
      <c r="A101" s="3" t="s">
        <v>154</v>
      </c>
      <c r="B101" s="3" t="s">
        <v>569</v>
      </c>
      <c r="C101" s="3" t="s">
        <v>18</v>
      </c>
      <c r="D101" s="3" t="s">
        <v>610</v>
      </c>
      <c r="E101" s="3" t="s">
        <v>611</v>
      </c>
      <c r="F101" s="3"/>
      <c r="G101" s="5" t="str">
        <f>formatIP(IP_Master[[#This Row],[LAN IP Address]])</f>
        <v>010.012.000.039</v>
      </c>
    </row>
    <row r="102" spans="1:7" ht="18" customHeight="1" x14ac:dyDescent="0.4">
      <c r="A102" s="3" t="s">
        <v>151</v>
      </c>
      <c r="B102" s="3" t="s">
        <v>569</v>
      </c>
      <c r="C102" s="3" t="s">
        <v>18</v>
      </c>
      <c r="D102" s="3" t="s">
        <v>612</v>
      </c>
      <c r="E102" s="3" t="s">
        <v>613</v>
      </c>
      <c r="F102" s="3"/>
      <c r="G102" s="5" t="str">
        <f>formatIP(IP_Master[[#This Row],[LAN IP Address]])</f>
        <v>010.012.000.040</v>
      </c>
    </row>
    <row r="103" spans="1:7" ht="18" customHeight="1" x14ac:dyDescent="0.4">
      <c r="A103" s="3" t="s">
        <v>69</v>
      </c>
      <c r="B103" s="3" t="s">
        <v>520</v>
      </c>
      <c r="C103" s="3" t="s">
        <v>18</v>
      </c>
      <c r="D103" s="3" t="s">
        <v>614</v>
      </c>
      <c r="E103" s="3" t="s">
        <v>531</v>
      </c>
      <c r="F103" s="3">
        <v>200236158</v>
      </c>
      <c r="G103" s="5" t="str">
        <f>formatIP(IP_Master[[#This Row],[LAN IP Address]])</f>
        <v>010.012.000.041</v>
      </c>
    </row>
    <row r="104" spans="1:7" ht="18" customHeight="1" x14ac:dyDescent="0.4">
      <c r="A104" s="3" t="s">
        <v>102</v>
      </c>
      <c r="B104" s="3" t="s">
        <v>520</v>
      </c>
      <c r="C104" s="3" t="s">
        <v>18</v>
      </c>
      <c r="D104" s="3" t="s">
        <v>615</v>
      </c>
      <c r="E104" s="3" t="s">
        <v>533</v>
      </c>
      <c r="F104" s="3">
        <v>200236159</v>
      </c>
      <c r="G104" s="5" t="str">
        <f>formatIP(IP_Master[[#This Row],[LAN IP Address]])</f>
        <v>010.012.000.042</v>
      </c>
    </row>
    <row r="105" spans="1:7" ht="18" customHeight="1" x14ac:dyDescent="0.4">
      <c r="A105" s="3" t="s">
        <v>616</v>
      </c>
      <c r="B105" s="3" t="s">
        <v>520</v>
      </c>
      <c r="C105" s="3" t="s">
        <v>18</v>
      </c>
      <c r="D105" s="3" t="s">
        <v>617</v>
      </c>
      <c r="E105" s="3" t="s">
        <v>536</v>
      </c>
      <c r="F105" s="3">
        <v>100228780</v>
      </c>
      <c r="G105" s="5" t="str">
        <f>formatIP(IP_Master[[#This Row],[LAN IP Address]])</f>
        <v>010.012.000.043</v>
      </c>
    </row>
    <row r="106" spans="1:7" ht="18" customHeight="1" x14ac:dyDescent="0.4">
      <c r="A106" s="3" t="s">
        <v>618</v>
      </c>
      <c r="B106" s="3" t="s">
        <v>520</v>
      </c>
      <c r="C106" s="3" t="s">
        <v>18</v>
      </c>
      <c r="D106" s="3" t="s">
        <v>619</v>
      </c>
      <c r="E106" s="3" t="s">
        <v>620</v>
      </c>
      <c r="F106" s="3"/>
      <c r="G106" s="5" t="str">
        <f>formatIP(IP_Master[[#This Row],[LAN IP Address]])</f>
        <v>010.012.000.044</v>
      </c>
    </row>
    <row r="107" spans="1:7" ht="18" customHeight="1" x14ac:dyDescent="0.4">
      <c r="A107" s="3" t="s">
        <v>621</v>
      </c>
      <c r="B107" s="3" t="s">
        <v>520</v>
      </c>
      <c r="C107" s="3" t="s">
        <v>18</v>
      </c>
      <c r="D107" s="3"/>
      <c r="E107" s="3"/>
      <c r="F107" s="3"/>
      <c r="G107" s="5" t="str">
        <f>formatIP(IP_Master[[#This Row],[LAN IP Address]])</f>
        <v>010.012.000.045</v>
      </c>
    </row>
    <row r="108" spans="1:7" ht="18" customHeight="1" x14ac:dyDescent="0.4">
      <c r="A108" s="3" t="s">
        <v>622</v>
      </c>
      <c r="B108" s="3" t="s">
        <v>520</v>
      </c>
      <c r="C108" s="3" t="s">
        <v>18</v>
      </c>
      <c r="D108" s="3"/>
      <c r="E108" s="3"/>
      <c r="F108" s="3"/>
      <c r="G108" s="5" t="str">
        <f>formatIP(IP_Master[[#This Row],[LAN IP Address]])</f>
        <v>010.012.000.046</v>
      </c>
    </row>
    <row r="109" spans="1:7" ht="18" customHeight="1" x14ac:dyDescent="0.4">
      <c r="A109" s="3" t="s">
        <v>623</v>
      </c>
      <c r="B109" s="3" t="s">
        <v>520</v>
      </c>
      <c r="C109" s="3" t="s">
        <v>18</v>
      </c>
      <c r="D109" s="3"/>
      <c r="E109" s="3"/>
      <c r="F109" s="3"/>
      <c r="G109" s="5" t="str">
        <f>formatIP(IP_Master[[#This Row],[LAN IP Address]])</f>
        <v>010.012.000.047</v>
      </c>
    </row>
    <row r="110" spans="1:7" ht="18" customHeight="1" x14ac:dyDescent="0.4">
      <c r="A110" s="3" t="s">
        <v>624</v>
      </c>
      <c r="B110" s="3" t="s">
        <v>520</v>
      </c>
      <c r="C110" s="3" t="s">
        <v>18</v>
      </c>
      <c r="D110" s="3"/>
      <c r="E110" s="3"/>
      <c r="F110" s="3"/>
      <c r="G110" s="5" t="str">
        <f>formatIP(IP_Master[[#This Row],[LAN IP Address]])</f>
        <v>010.012.000.048</v>
      </c>
    </row>
    <row r="111" spans="1:7" ht="18" customHeight="1" x14ac:dyDescent="0.4">
      <c r="A111" s="3" t="s">
        <v>625</v>
      </c>
      <c r="B111" s="3" t="s">
        <v>520</v>
      </c>
      <c r="C111" s="3" t="s">
        <v>18</v>
      </c>
      <c r="D111" s="3"/>
      <c r="E111" s="3"/>
      <c r="F111" s="3"/>
      <c r="G111" s="5" t="str">
        <f>formatIP(IP_Master[[#This Row],[LAN IP Address]])</f>
        <v>010.012.000.049</v>
      </c>
    </row>
    <row r="112" spans="1:7" ht="18" customHeight="1" x14ac:dyDescent="0.4">
      <c r="A112" s="3" t="s">
        <v>626</v>
      </c>
      <c r="B112" s="3" t="s">
        <v>520</v>
      </c>
      <c r="C112" s="3" t="s">
        <v>18</v>
      </c>
      <c r="D112" s="3"/>
      <c r="E112" s="3"/>
      <c r="F112" s="3"/>
      <c r="G112" s="5" t="str">
        <f>formatIP(IP_Master[[#This Row],[LAN IP Address]])</f>
        <v>010.012.000.050</v>
      </c>
    </row>
    <row r="113" spans="1:7" ht="18" customHeight="1" x14ac:dyDescent="0.4">
      <c r="A113" s="3" t="s">
        <v>627</v>
      </c>
      <c r="B113" s="3" t="s">
        <v>520</v>
      </c>
      <c r="C113" s="3" t="s">
        <v>18</v>
      </c>
      <c r="D113" s="3"/>
      <c r="E113" s="3"/>
      <c r="F113" s="3"/>
      <c r="G113" s="5" t="str">
        <f>formatIP(IP_Master[[#This Row],[LAN IP Address]])</f>
        <v>010.012.000.051</v>
      </c>
    </row>
    <row r="114" spans="1:7" ht="18" customHeight="1" x14ac:dyDescent="0.4">
      <c r="A114" s="3" t="s">
        <v>628</v>
      </c>
      <c r="B114" s="3" t="s">
        <v>520</v>
      </c>
      <c r="C114" s="3" t="s">
        <v>18</v>
      </c>
      <c r="D114" s="3"/>
      <c r="E114" s="3"/>
      <c r="F114" s="3"/>
      <c r="G114" s="5" t="str">
        <f>formatIP(IP_Master[[#This Row],[LAN IP Address]])</f>
        <v>010.012.000.052</v>
      </c>
    </row>
    <row r="115" spans="1:7" ht="18" customHeight="1" x14ac:dyDescent="0.4">
      <c r="A115" s="3" t="s">
        <v>629</v>
      </c>
      <c r="B115" s="3" t="s">
        <v>520</v>
      </c>
      <c r="C115" s="3" t="s">
        <v>18</v>
      </c>
      <c r="D115" s="3"/>
      <c r="E115" s="3"/>
      <c r="F115" s="3"/>
      <c r="G115" s="5" t="str">
        <f>formatIP(IP_Master[[#This Row],[LAN IP Address]])</f>
        <v>010.012.000.053</v>
      </c>
    </row>
    <row r="116" spans="1:7" ht="18" customHeight="1" x14ac:dyDescent="0.4">
      <c r="A116" s="3" t="s">
        <v>630</v>
      </c>
      <c r="B116" s="3" t="s">
        <v>520</v>
      </c>
      <c r="C116" s="3" t="s">
        <v>18</v>
      </c>
      <c r="D116" s="3"/>
      <c r="E116" s="3"/>
      <c r="F116" s="3"/>
      <c r="G116" s="5" t="str">
        <f>formatIP(IP_Master[[#This Row],[LAN IP Address]])</f>
        <v>010.012.000.054</v>
      </c>
    </row>
    <row r="117" spans="1:7" ht="18" customHeight="1" x14ac:dyDescent="0.4">
      <c r="A117" s="3" t="s">
        <v>631</v>
      </c>
      <c r="B117" s="3" t="s">
        <v>520</v>
      </c>
      <c r="C117" s="3" t="s">
        <v>18</v>
      </c>
      <c r="D117" s="3"/>
      <c r="E117" s="3"/>
      <c r="F117" s="3"/>
      <c r="G117" s="5" t="str">
        <f>formatIP(IP_Master[[#This Row],[LAN IP Address]])</f>
        <v>010.012.000.055</v>
      </c>
    </row>
    <row r="118" spans="1:7" ht="18" customHeight="1" x14ac:dyDescent="0.4">
      <c r="A118" s="3" t="s">
        <v>632</v>
      </c>
      <c r="B118" s="3" t="s">
        <v>520</v>
      </c>
      <c r="C118" s="3" t="s">
        <v>18</v>
      </c>
      <c r="D118" s="3"/>
      <c r="E118" s="3"/>
      <c r="F118" s="3"/>
      <c r="G118" s="5" t="str">
        <f>formatIP(IP_Master[[#This Row],[LAN IP Address]])</f>
        <v>010.012.000.056</v>
      </c>
    </row>
    <row r="119" spans="1:7" ht="18" customHeight="1" x14ac:dyDescent="0.4">
      <c r="A119" s="3" t="s">
        <v>633</v>
      </c>
      <c r="B119" s="3" t="s">
        <v>520</v>
      </c>
      <c r="C119" s="3" t="s">
        <v>18</v>
      </c>
      <c r="D119" s="3"/>
      <c r="E119" s="3"/>
      <c r="F119" s="3"/>
      <c r="G119" s="5" t="str">
        <f>formatIP(IP_Master[[#This Row],[LAN IP Address]])</f>
        <v>010.012.000.057</v>
      </c>
    </row>
    <row r="120" spans="1:7" ht="18" customHeight="1" x14ac:dyDescent="0.4">
      <c r="A120" s="3" t="s">
        <v>634</v>
      </c>
      <c r="B120" s="3" t="s">
        <v>520</v>
      </c>
      <c r="C120" s="3" t="s">
        <v>18</v>
      </c>
      <c r="D120" s="3"/>
      <c r="E120" s="3"/>
      <c r="F120" s="3"/>
      <c r="G120" s="5" t="str">
        <f>formatIP(IP_Master[[#This Row],[LAN IP Address]])</f>
        <v>010.012.000.058</v>
      </c>
    </row>
    <row r="121" spans="1:7" ht="18" customHeight="1" x14ac:dyDescent="0.4">
      <c r="A121" s="3" t="s">
        <v>155</v>
      </c>
      <c r="B121" s="3" t="s">
        <v>520</v>
      </c>
      <c r="C121" s="3" t="s">
        <v>18</v>
      </c>
      <c r="D121" s="3" t="s">
        <v>635</v>
      </c>
      <c r="E121" s="3" t="s">
        <v>636</v>
      </c>
      <c r="F121" s="3"/>
      <c r="G121" s="5" t="str">
        <f>formatIP(IP_Master[[#This Row],[LAN IP Address]])</f>
        <v>010.012.000.059</v>
      </c>
    </row>
    <row r="122" spans="1:7" ht="18" customHeight="1" x14ac:dyDescent="0.4">
      <c r="A122" s="3" t="s">
        <v>156</v>
      </c>
      <c r="B122" s="3" t="s">
        <v>520</v>
      </c>
      <c r="C122" s="3" t="s">
        <v>18</v>
      </c>
      <c r="D122" s="3" t="s">
        <v>637</v>
      </c>
      <c r="E122" s="3" t="s">
        <v>638</v>
      </c>
      <c r="F122" s="3"/>
      <c r="G122" s="5" t="str">
        <f>formatIP(IP_Master[[#This Row],[LAN IP Address]])</f>
        <v>010.012.000.060</v>
      </c>
    </row>
    <row r="123" spans="1:7" ht="18" customHeight="1" x14ac:dyDescent="0.4">
      <c r="A123" s="3" t="s">
        <v>192</v>
      </c>
      <c r="B123" s="3" t="s">
        <v>639</v>
      </c>
      <c r="C123" s="3" t="s">
        <v>18</v>
      </c>
      <c r="D123" s="3" t="s">
        <v>640</v>
      </c>
      <c r="E123" s="3" t="s">
        <v>531</v>
      </c>
      <c r="F123" s="3">
        <v>200250073</v>
      </c>
      <c r="G123" s="5" t="str">
        <f>formatIP(IP_Master[[#This Row],[LAN IP Address]])</f>
        <v>010.012.000.061</v>
      </c>
    </row>
    <row r="124" spans="1:7" ht="18" customHeight="1" x14ac:dyDescent="0.4">
      <c r="A124" s="3" t="s">
        <v>104</v>
      </c>
      <c r="B124" s="3" t="s">
        <v>639</v>
      </c>
      <c r="C124" s="3" t="s">
        <v>18</v>
      </c>
      <c r="D124" s="3" t="s">
        <v>641</v>
      </c>
      <c r="E124" s="3" t="s">
        <v>533</v>
      </c>
      <c r="F124" s="3">
        <v>200250074</v>
      </c>
      <c r="G124" s="5" t="str">
        <f>formatIP(IP_Master[[#This Row],[LAN IP Address]])</f>
        <v>010.012.000.062</v>
      </c>
    </row>
    <row r="125" spans="1:7" ht="18" customHeight="1" x14ac:dyDescent="0.4">
      <c r="A125" s="3" t="s">
        <v>54</v>
      </c>
      <c r="B125" s="3" t="s">
        <v>639</v>
      </c>
      <c r="C125" s="3" t="s">
        <v>18</v>
      </c>
      <c r="D125" s="3" t="s">
        <v>642</v>
      </c>
      <c r="E125" s="3" t="s">
        <v>536</v>
      </c>
      <c r="F125" s="3">
        <v>200250107</v>
      </c>
      <c r="G125" s="5" t="str">
        <f>formatIP(IP_Master[[#This Row],[LAN IP Address]])</f>
        <v>010.012.000.063</v>
      </c>
    </row>
    <row r="126" spans="1:7" ht="18" customHeight="1" x14ac:dyDescent="0.4">
      <c r="A126" s="3" t="s">
        <v>55</v>
      </c>
      <c r="B126" s="3" t="s">
        <v>639</v>
      </c>
      <c r="C126" s="3" t="s">
        <v>18</v>
      </c>
      <c r="D126" s="3" t="s">
        <v>643</v>
      </c>
      <c r="E126" s="3" t="s">
        <v>576</v>
      </c>
      <c r="F126" s="3">
        <v>200250109</v>
      </c>
      <c r="G126" s="5" t="str">
        <f>formatIP(IP_Master[[#This Row],[LAN IP Address]])</f>
        <v>010.012.000.064</v>
      </c>
    </row>
    <row r="127" spans="1:7" ht="18" customHeight="1" x14ac:dyDescent="0.4">
      <c r="A127" s="3" t="s">
        <v>108</v>
      </c>
      <c r="B127" s="3" t="s">
        <v>639</v>
      </c>
      <c r="C127" s="3" t="s">
        <v>18</v>
      </c>
      <c r="D127" s="3" t="s">
        <v>644</v>
      </c>
      <c r="E127" s="3" t="s">
        <v>579</v>
      </c>
      <c r="F127" s="3">
        <v>200250106</v>
      </c>
      <c r="G127" s="5" t="str">
        <f>formatIP(IP_Master[[#This Row],[LAN IP Address]])</f>
        <v>010.012.000.065</v>
      </c>
    </row>
    <row r="128" spans="1:7" ht="18" customHeight="1" x14ac:dyDescent="0.4">
      <c r="A128" s="3" t="s">
        <v>645</v>
      </c>
      <c r="B128" s="3" t="s">
        <v>639</v>
      </c>
      <c r="C128" s="3" t="s">
        <v>18</v>
      </c>
      <c r="D128" s="3" t="s">
        <v>646</v>
      </c>
      <c r="E128" s="3" t="s">
        <v>647</v>
      </c>
      <c r="F128" s="3"/>
      <c r="G128" s="5" t="str">
        <f>formatIP(IP_Master[[#This Row],[LAN IP Address]])</f>
        <v>010.012.000.066</v>
      </c>
    </row>
    <row r="129" spans="1:7" ht="18" customHeight="1" x14ac:dyDescent="0.4">
      <c r="A129" s="3" t="s">
        <v>648</v>
      </c>
      <c r="B129" s="3" t="s">
        <v>639</v>
      </c>
      <c r="C129" s="3" t="s">
        <v>18</v>
      </c>
      <c r="D129" s="3" t="s">
        <v>649</v>
      </c>
      <c r="E129" s="3" t="s">
        <v>650</v>
      </c>
      <c r="F129" s="3">
        <v>200250108</v>
      </c>
      <c r="G129" s="5" t="str">
        <f>formatIP(IP_Master[[#This Row],[LAN IP Address]])</f>
        <v>010.012.000.067</v>
      </c>
    </row>
    <row r="130" spans="1:7" ht="18" customHeight="1" x14ac:dyDescent="0.4">
      <c r="A130" s="3" t="s">
        <v>651</v>
      </c>
      <c r="B130" s="3" t="s">
        <v>639</v>
      </c>
      <c r="C130" s="3" t="s">
        <v>18</v>
      </c>
      <c r="D130" s="3"/>
      <c r="E130" s="3"/>
      <c r="F130" s="3"/>
      <c r="G130" s="5" t="str">
        <f>formatIP(IP_Master[[#This Row],[LAN IP Address]])</f>
        <v>010.012.000.068</v>
      </c>
    </row>
    <row r="131" spans="1:7" ht="18" customHeight="1" x14ac:dyDescent="0.4">
      <c r="A131" s="3" t="s">
        <v>652</v>
      </c>
      <c r="B131" s="3" t="s">
        <v>639</v>
      </c>
      <c r="C131" s="3" t="s">
        <v>18</v>
      </c>
      <c r="D131" s="3"/>
      <c r="E131" s="3"/>
      <c r="F131" s="3"/>
      <c r="G131" s="5" t="str">
        <f>formatIP(IP_Master[[#This Row],[LAN IP Address]])</f>
        <v>010.012.000.069</v>
      </c>
    </row>
    <row r="132" spans="1:7" ht="18" customHeight="1" x14ac:dyDescent="0.4">
      <c r="A132" s="3" t="s">
        <v>653</v>
      </c>
      <c r="B132" s="3" t="s">
        <v>639</v>
      </c>
      <c r="C132" s="3" t="s">
        <v>18</v>
      </c>
      <c r="D132" s="3"/>
      <c r="E132" s="3"/>
      <c r="F132" s="3"/>
      <c r="G132" s="5" t="str">
        <f>formatIP(IP_Master[[#This Row],[LAN IP Address]])</f>
        <v>010.012.000.070</v>
      </c>
    </row>
    <row r="133" spans="1:7" ht="18" customHeight="1" x14ac:dyDescent="0.4">
      <c r="A133" s="3" t="s">
        <v>115</v>
      </c>
      <c r="B133" s="3" t="s">
        <v>639</v>
      </c>
      <c r="C133" s="3" t="s">
        <v>18</v>
      </c>
      <c r="D133" s="3" t="s">
        <v>654</v>
      </c>
      <c r="E133" s="3" t="s">
        <v>655</v>
      </c>
      <c r="F133" s="3">
        <v>200250084</v>
      </c>
      <c r="G133" s="5" t="str">
        <f>formatIP(IP_Master[[#This Row],[LAN IP Address]])</f>
        <v>010.012.000.071</v>
      </c>
    </row>
    <row r="134" spans="1:7" ht="18" customHeight="1" x14ac:dyDescent="0.4">
      <c r="A134" s="3" t="s">
        <v>62</v>
      </c>
      <c r="B134" s="3" t="s">
        <v>639</v>
      </c>
      <c r="C134" s="3" t="s">
        <v>18</v>
      </c>
      <c r="D134" s="3"/>
      <c r="E134" s="3" t="s">
        <v>656</v>
      </c>
      <c r="F134" s="3"/>
      <c r="G134" s="5" t="str">
        <f>formatIP(IP_Master[[#This Row],[LAN IP Address]])</f>
        <v>010.012.000.072</v>
      </c>
    </row>
    <row r="135" spans="1:7" ht="18" customHeight="1" x14ac:dyDescent="0.4">
      <c r="A135" s="3" t="s">
        <v>63</v>
      </c>
      <c r="B135" s="3" t="s">
        <v>639</v>
      </c>
      <c r="C135" s="3" t="s">
        <v>18</v>
      </c>
      <c r="D135" s="3"/>
      <c r="E135" s="3" t="s">
        <v>657</v>
      </c>
      <c r="F135" s="3"/>
      <c r="G135" s="5" t="str">
        <f>formatIP(IP_Master[[#This Row],[LAN IP Address]])</f>
        <v>010.012.000.073</v>
      </c>
    </row>
    <row r="136" spans="1:7" ht="18" customHeight="1" x14ac:dyDescent="0.4">
      <c r="A136" s="3" t="s">
        <v>61</v>
      </c>
      <c r="B136" s="3" t="s">
        <v>639</v>
      </c>
      <c r="C136" s="3" t="s">
        <v>18</v>
      </c>
      <c r="D136" s="3"/>
      <c r="E136" s="3" t="s">
        <v>658</v>
      </c>
      <c r="F136" s="3"/>
      <c r="G136" s="5" t="str">
        <f>formatIP(IP_Master[[#This Row],[LAN IP Address]])</f>
        <v>010.012.000.074</v>
      </c>
    </row>
    <row r="137" spans="1:7" ht="18" customHeight="1" x14ac:dyDescent="0.4">
      <c r="A137" s="3" t="s">
        <v>659</v>
      </c>
      <c r="B137" s="3" t="s">
        <v>639</v>
      </c>
      <c r="C137" s="3" t="s">
        <v>18</v>
      </c>
      <c r="D137" s="3" t="s">
        <v>660</v>
      </c>
      <c r="E137" s="3"/>
      <c r="F137" s="3"/>
      <c r="G137" s="5" t="str">
        <f>formatIP(IP_Master[[#This Row],[LAN IP Address]])</f>
        <v>010.012.000.075</v>
      </c>
    </row>
    <row r="138" spans="1:7" ht="18" customHeight="1" x14ac:dyDescent="0.4">
      <c r="A138" s="3" t="s">
        <v>661</v>
      </c>
      <c r="B138" s="3" t="s">
        <v>639</v>
      </c>
      <c r="C138" s="3" t="s">
        <v>18</v>
      </c>
      <c r="D138" s="3"/>
      <c r="E138" s="3"/>
      <c r="F138" s="3"/>
      <c r="G138" s="5" t="str">
        <f>formatIP(IP_Master[[#This Row],[LAN IP Address]])</f>
        <v>010.012.000.076</v>
      </c>
    </row>
    <row r="139" spans="1:7" ht="18" customHeight="1" x14ac:dyDescent="0.4">
      <c r="A139" s="3" t="s">
        <v>662</v>
      </c>
      <c r="B139" s="3" t="s">
        <v>639</v>
      </c>
      <c r="C139" s="3" t="s">
        <v>18</v>
      </c>
      <c r="D139" s="3"/>
      <c r="E139" s="3"/>
      <c r="F139" s="3"/>
      <c r="G139" s="5" t="str">
        <f>formatIP(IP_Master[[#This Row],[LAN IP Address]])</f>
        <v>010.012.000.077</v>
      </c>
    </row>
    <row r="140" spans="1:7" ht="18" customHeight="1" x14ac:dyDescent="0.4">
      <c r="A140" s="3" t="s">
        <v>663</v>
      </c>
      <c r="B140" s="3" t="s">
        <v>639</v>
      </c>
      <c r="C140" s="3" t="s">
        <v>18</v>
      </c>
      <c r="D140" s="3"/>
      <c r="E140" s="3"/>
      <c r="F140" s="3"/>
      <c r="G140" s="5" t="str">
        <f>formatIP(IP_Master[[#This Row],[LAN IP Address]])</f>
        <v>010.012.000.078</v>
      </c>
    </row>
    <row r="141" spans="1:7" ht="18" customHeight="1" x14ac:dyDescent="0.4">
      <c r="A141" s="3" t="s">
        <v>160</v>
      </c>
      <c r="B141" s="3" t="s">
        <v>639</v>
      </c>
      <c r="C141" s="3" t="s">
        <v>18</v>
      </c>
      <c r="D141" s="3" t="s">
        <v>664</v>
      </c>
      <c r="E141" s="3" t="s">
        <v>665</v>
      </c>
      <c r="F141" s="3"/>
      <c r="G141" s="5" t="str">
        <f>formatIP(IP_Master[[#This Row],[LAN IP Address]])</f>
        <v>010.012.000.079</v>
      </c>
    </row>
    <row r="142" spans="1:7" ht="18" customHeight="1" x14ac:dyDescent="0.4">
      <c r="A142" s="3" t="s">
        <v>159</v>
      </c>
      <c r="B142" s="3" t="s">
        <v>639</v>
      </c>
      <c r="C142" s="3" t="s">
        <v>18</v>
      </c>
      <c r="D142" s="3" t="s">
        <v>666</v>
      </c>
      <c r="E142" s="3" t="s">
        <v>562</v>
      </c>
      <c r="F142" s="3"/>
      <c r="G142" s="5" t="str">
        <f>formatIP(IP_Master[[#This Row],[LAN IP Address]])</f>
        <v>010.012.000.080</v>
      </c>
    </row>
    <row r="143" spans="1:7" ht="18" customHeight="1" x14ac:dyDescent="0.4">
      <c r="A143" s="3" t="s">
        <v>667</v>
      </c>
      <c r="B143" s="3" t="s">
        <v>389</v>
      </c>
      <c r="C143" s="3" t="s">
        <v>18</v>
      </c>
      <c r="D143" s="3"/>
      <c r="E143" s="3"/>
      <c r="F143" s="3"/>
      <c r="G143" s="5" t="str">
        <f>formatIP(IP_Master[[#This Row],[LAN IP Address]])</f>
        <v>010.012.000.087</v>
      </c>
    </row>
    <row r="144" spans="1:7" ht="18" customHeight="1" x14ac:dyDescent="0.4">
      <c r="A144" s="3" t="s">
        <v>668</v>
      </c>
      <c r="B144" s="3" t="s">
        <v>389</v>
      </c>
      <c r="C144" s="3" t="s">
        <v>18</v>
      </c>
      <c r="D144" s="3"/>
      <c r="E144" s="3"/>
      <c r="F144" s="3"/>
      <c r="G144" s="5" t="str">
        <f>formatIP(IP_Master[[#This Row],[LAN IP Address]])</f>
        <v>010.012.000.088</v>
      </c>
    </row>
    <row r="145" spans="1:7" ht="18" customHeight="1" x14ac:dyDescent="0.4">
      <c r="A145" s="3" t="s">
        <v>669</v>
      </c>
      <c r="B145" s="3" t="s">
        <v>389</v>
      </c>
      <c r="C145" s="3" t="s">
        <v>18</v>
      </c>
      <c r="D145" s="3"/>
      <c r="E145" s="3"/>
      <c r="F145" s="3"/>
      <c r="G145" s="5" t="str">
        <f>formatIP(IP_Master[[#This Row],[LAN IP Address]])</f>
        <v>010.012.000.089</v>
      </c>
    </row>
    <row r="146" spans="1:7" ht="18" customHeight="1" x14ac:dyDescent="0.4">
      <c r="A146" s="3" t="s">
        <v>670</v>
      </c>
      <c r="B146" s="3" t="s">
        <v>389</v>
      </c>
      <c r="C146" s="3" t="s">
        <v>18</v>
      </c>
      <c r="D146" s="3"/>
      <c r="E146" s="3"/>
      <c r="F146" s="3"/>
      <c r="G146" s="5" t="str">
        <f>formatIP(IP_Master[[#This Row],[LAN IP Address]])</f>
        <v>010.012.000.090</v>
      </c>
    </row>
    <row r="147" spans="1:7" ht="18" customHeight="1" x14ac:dyDescent="0.4">
      <c r="A147" s="3" t="s">
        <v>671</v>
      </c>
      <c r="B147" s="3" t="s">
        <v>389</v>
      </c>
      <c r="C147" s="3" t="s">
        <v>18</v>
      </c>
      <c r="D147" s="3"/>
      <c r="E147" s="3" t="s">
        <v>672</v>
      </c>
      <c r="F147" s="3"/>
      <c r="G147" s="5" t="str">
        <f>formatIP(IP_Master[[#This Row],[LAN IP Address]])</f>
        <v>010.012.000.092</v>
      </c>
    </row>
    <row r="148" spans="1:7" ht="18" customHeight="1" x14ac:dyDescent="0.4">
      <c r="A148" s="3" t="s">
        <v>673</v>
      </c>
      <c r="B148" s="3" t="s">
        <v>389</v>
      </c>
      <c r="C148" s="3" t="s">
        <v>18</v>
      </c>
      <c r="D148" s="3"/>
      <c r="E148" s="3" t="s">
        <v>674</v>
      </c>
      <c r="F148" s="3"/>
      <c r="G148" s="5" t="str">
        <f>formatIP(IP_Master[[#This Row],[LAN IP Address]])</f>
        <v>010.012.000.093</v>
      </c>
    </row>
    <row r="149" spans="1:7" ht="18" customHeight="1" x14ac:dyDescent="0.4">
      <c r="A149" s="3" t="s">
        <v>675</v>
      </c>
      <c r="B149" s="3" t="s">
        <v>389</v>
      </c>
      <c r="C149" s="3" t="s">
        <v>18</v>
      </c>
      <c r="D149" s="3"/>
      <c r="E149" s="3" t="s">
        <v>676</v>
      </c>
      <c r="F149" s="3"/>
      <c r="G149" s="5" t="str">
        <f>formatIP(IP_Master[[#This Row],[LAN IP Address]])</f>
        <v>010.012.000.094</v>
      </c>
    </row>
    <row r="150" spans="1:7" ht="18" customHeight="1" x14ac:dyDescent="0.4">
      <c r="A150" s="3" t="s">
        <v>677</v>
      </c>
      <c r="B150" s="3" t="s">
        <v>389</v>
      </c>
      <c r="C150" s="3" t="s">
        <v>18</v>
      </c>
      <c r="D150" s="3"/>
      <c r="E150" s="3"/>
      <c r="F150" s="3"/>
      <c r="G150" s="5" t="str">
        <f>formatIP(IP_Master[[#This Row],[LAN IP Address]])</f>
        <v>010.012.000.095</v>
      </c>
    </row>
    <row r="151" spans="1:7" ht="18" customHeight="1" x14ac:dyDescent="0.4">
      <c r="A151" s="3" t="s">
        <v>678</v>
      </c>
      <c r="B151" s="3" t="s">
        <v>389</v>
      </c>
      <c r="C151" s="3" t="s">
        <v>18</v>
      </c>
      <c r="D151" s="3"/>
      <c r="E151" s="3"/>
      <c r="F151" s="3"/>
      <c r="G151" s="5" t="str">
        <f>formatIP(IP_Master[[#This Row],[LAN IP Address]])</f>
        <v>010.012.000.096</v>
      </c>
    </row>
    <row r="152" spans="1:7" ht="18" customHeight="1" x14ac:dyDescent="0.4">
      <c r="A152" s="3" t="s">
        <v>679</v>
      </c>
      <c r="B152" s="3" t="s">
        <v>389</v>
      </c>
      <c r="C152" s="3" t="s">
        <v>18</v>
      </c>
      <c r="D152" s="3"/>
      <c r="E152" s="3"/>
      <c r="F152" s="3"/>
      <c r="G152" s="5" t="str">
        <f>formatIP(IP_Master[[#This Row],[LAN IP Address]])</f>
        <v>010.012.000.097</v>
      </c>
    </row>
    <row r="153" spans="1:7" ht="18" customHeight="1" x14ac:dyDescent="0.4">
      <c r="A153" s="3" t="s">
        <v>680</v>
      </c>
      <c r="B153" s="3" t="s">
        <v>389</v>
      </c>
      <c r="C153" s="3" t="s">
        <v>18</v>
      </c>
      <c r="D153" s="3"/>
      <c r="E153" s="3"/>
      <c r="F153" s="3"/>
      <c r="G153" s="5" t="str">
        <f>formatIP(IP_Master[[#This Row],[LAN IP Address]])</f>
        <v>010.012.000.098</v>
      </c>
    </row>
    <row r="154" spans="1:7" ht="18" customHeight="1" x14ac:dyDescent="0.4">
      <c r="A154" s="3" t="s">
        <v>681</v>
      </c>
      <c r="B154" s="3" t="s">
        <v>389</v>
      </c>
      <c r="C154" s="3" t="s">
        <v>18</v>
      </c>
      <c r="D154" s="3"/>
      <c r="E154" s="3"/>
      <c r="F154" s="3"/>
      <c r="G154" s="5" t="str">
        <f>formatIP(IP_Master[[#This Row],[LAN IP Address]])</f>
        <v>010.012.000.099</v>
      </c>
    </row>
    <row r="155" spans="1:7" ht="18" customHeight="1" x14ac:dyDescent="0.4">
      <c r="A155" s="3" t="s">
        <v>682</v>
      </c>
      <c r="B155" s="3" t="s">
        <v>471</v>
      </c>
      <c r="C155" s="3" t="s">
        <v>18</v>
      </c>
      <c r="D155" s="3"/>
      <c r="E155" s="3"/>
      <c r="F155" s="3"/>
      <c r="G155" s="5" t="str">
        <f>formatIP(IP_Master[[#This Row],[LAN IP Address]])</f>
        <v>010.012.000.102</v>
      </c>
    </row>
    <row r="156" spans="1:7" ht="18" customHeight="1" x14ac:dyDescent="0.4">
      <c r="A156" s="3" t="s">
        <v>683</v>
      </c>
      <c r="B156" s="3" t="s">
        <v>471</v>
      </c>
      <c r="C156" s="3" t="s">
        <v>18</v>
      </c>
      <c r="D156" s="3"/>
      <c r="E156" s="3"/>
      <c r="F156" s="3"/>
      <c r="G156" s="5" t="str">
        <f>formatIP(IP_Master[[#This Row],[LAN IP Address]])</f>
        <v>010.012.000.103</v>
      </c>
    </row>
    <row r="157" spans="1:7" ht="18" customHeight="1" x14ac:dyDescent="0.4">
      <c r="A157" s="3" t="s">
        <v>684</v>
      </c>
      <c r="B157" s="3" t="s">
        <v>471</v>
      </c>
      <c r="C157" s="3" t="s">
        <v>18</v>
      </c>
      <c r="D157" s="3"/>
      <c r="E157" s="3"/>
      <c r="F157" s="3"/>
      <c r="G157" s="5" t="str">
        <f>formatIP(IP_Master[[#This Row],[LAN IP Address]])</f>
        <v>010.012.000.104</v>
      </c>
    </row>
    <row r="158" spans="1:7" ht="18" customHeight="1" x14ac:dyDescent="0.4">
      <c r="A158" s="3" t="s">
        <v>685</v>
      </c>
      <c r="B158" s="3" t="s">
        <v>471</v>
      </c>
      <c r="C158" s="3" t="s">
        <v>18</v>
      </c>
      <c r="D158" s="3"/>
      <c r="E158" s="3"/>
      <c r="F158" s="3"/>
      <c r="G158" s="5" t="str">
        <f>formatIP(IP_Master[[#This Row],[LAN IP Address]])</f>
        <v>010.012.000.105</v>
      </c>
    </row>
    <row r="159" spans="1:7" ht="18" customHeight="1" x14ac:dyDescent="0.4">
      <c r="A159" s="3" t="s">
        <v>686</v>
      </c>
      <c r="B159" s="3" t="s">
        <v>471</v>
      </c>
      <c r="C159" s="3" t="s">
        <v>18</v>
      </c>
      <c r="D159" s="3"/>
      <c r="E159" s="3"/>
      <c r="F159" s="3"/>
      <c r="G159" s="5" t="str">
        <f>formatIP(IP_Master[[#This Row],[LAN IP Address]])</f>
        <v>010.012.000.106</v>
      </c>
    </row>
    <row r="160" spans="1:7" ht="18" customHeight="1" x14ac:dyDescent="0.4">
      <c r="A160" s="3" t="s">
        <v>687</v>
      </c>
      <c r="B160" s="3" t="s">
        <v>471</v>
      </c>
      <c r="C160" s="3" t="s">
        <v>18</v>
      </c>
      <c r="D160" s="3"/>
      <c r="E160" s="3"/>
      <c r="F160" s="3"/>
      <c r="G160" s="5" t="str">
        <f>formatIP(IP_Master[[#This Row],[LAN IP Address]])</f>
        <v>010.012.000.107</v>
      </c>
    </row>
    <row r="161" spans="1:7" ht="18" customHeight="1" x14ac:dyDescent="0.4">
      <c r="A161" s="3" t="s">
        <v>688</v>
      </c>
      <c r="B161" s="3" t="s">
        <v>471</v>
      </c>
      <c r="C161" s="3" t="s">
        <v>18</v>
      </c>
      <c r="D161" s="3"/>
      <c r="E161" s="3"/>
      <c r="F161" s="3"/>
      <c r="G161" s="5" t="str">
        <f>formatIP(IP_Master[[#This Row],[LAN IP Address]])</f>
        <v>010.012.000.108</v>
      </c>
    </row>
    <row r="162" spans="1:7" ht="18" customHeight="1" x14ac:dyDescent="0.4">
      <c r="A162" s="3" t="s">
        <v>689</v>
      </c>
      <c r="B162" s="3" t="s">
        <v>471</v>
      </c>
      <c r="C162" s="3" t="s">
        <v>18</v>
      </c>
      <c r="D162" s="3"/>
      <c r="E162" s="3"/>
      <c r="F162" s="3"/>
      <c r="G162" s="5" t="str">
        <f>formatIP(IP_Master[[#This Row],[LAN IP Address]])</f>
        <v>010.012.000.109</v>
      </c>
    </row>
    <row r="163" spans="1:7" ht="18" customHeight="1" x14ac:dyDescent="0.4">
      <c r="A163" s="3" t="s">
        <v>690</v>
      </c>
      <c r="B163" s="3" t="s">
        <v>471</v>
      </c>
      <c r="C163" s="3" t="s">
        <v>18</v>
      </c>
      <c r="D163" s="3"/>
      <c r="E163" s="3"/>
      <c r="F163" s="3"/>
      <c r="G163" s="5" t="str">
        <f>formatIP(IP_Master[[#This Row],[LAN IP Address]])</f>
        <v>010.012.000.110</v>
      </c>
    </row>
    <row r="164" spans="1:7" ht="18" customHeight="1" x14ac:dyDescent="0.4">
      <c r="A164" s="3" t="s">
        <v>691</v>
      </c>
      <c r="B164" s="3" t="s">
        <v>471</v>
      </c>
      <c r="C164" s="3" t="s">
        <v>18</v>
      </c>
      <c r="D164" s="3"/>
      <c r="E164" s="3"/>
      <c r="F164" s="3"/>
      <c r="G164" s="5" t="str">
        <f>formatIP(IP_Master[[#This Row],[LAN IP Address]])</f>
        <v>010.012.000.111</v>
      </c>
    </row>
    <row r="165" spans="1:7" ht="18" customHeight="1" x14ac:dyDescent="0.4">
      <c r="A165" s="3" t="s">
        <v>692</v>
      </c>
      <c r="B165" s="3" t="s">
        <v>471</v>
      </c>
      <c r="C165" s="3" t="s">
        <v>18</v>
      </c>
      <c r="D165" s="3"/>
      <c r="E165" s="3"/>
      <c r="F165" s="3"/>
      <c r="G165" s="5" t="str">
        <f>formatIP(IP_Master[[#This Row],[LAN IP Address]])</f>
        <v>010.012.000.112</v>
      </c>
    </row>
    <row r="166" spans="1:7" ht="18" customHeight="1" x14ac:dyDescent="0.4">
      <c r="A166" s="3" t="s">
        <v>693</v>
      </c>
      <c r="B166" s="3" t="s">
        <v>471</v>
      </c>
      <c r="C166" s="3" t="s">
        <v>18</v>
      </c>
      <c r="D166" s="3"/>
      <c r="E166" s="3"/>
      <c r="F166" s="3"/>
      <c r="G166" s="5" t="str">
        <f>formatIP(IP_Master[[#This Row],[LAN IP Address]])</f>
        <v>010.012.000.113</v>
      </c>
    </row>
    <row r="167" spans="1:7" ht="18" customHeight="1" x14ac:dyDescent="0.4">
      <c r="A167" s="3" t="s">
        <v>694</v>
      </c>
      <c r="B167" s="3" t="s">
        <v>471</v>
      </c>
      <c r="C167" s="3" t="s">
        <v>18</v>
      </c>
      <c r="D167" s="3"/>
      <c r="E167" s="3"/>
      <c r="F167" s="3"/>
      <c r="G167" s="5" t="str">
        <f>formatIP(IP_Master[[#This Row],[LAN IP Address]])</f>
        <v>010.012.000.114</v>
      </c>
    </row>
    <row r="168" spans="1:7" ht="18" customHeight="1" x14ac:dyDescent="0.4">
      <c r="A168" s="3" t="s">
        <v>695</v>
      </c>
      <c r="B168" s="3" t="s">
        <v>471</v>
      </c>
      <c r="C168" s="3" t="s">
        <v>18</v>
      </c>
      <c r="D168" s="3"/>
      <c r="E168" s="3"/>
      <c r="F168" s="3"/>
      <c r="G168" s="5" t="str">
        <f>formatIP(IP_Master[[#This Row],[LAN IP Address]])</f>
        <v>010.012.000.115</v>
      </c>
    </row>
    <row r="169" spans="1:7" ht="18" customHeight="1" x14ac:dyDescent="0.4">
      <c r="A169" s="3" t="s">
        <v>696</v>
      </c>
      <c r="B169" s="3" t="s">
        <v>471</v>
      </c>
      <c r="C169" s="3" t="s">
        <v>18</v>
      </c>
      <c r="D169" s="3"/>
      <c r="E169" s="3"/>
      <c r="F169" s="3"/>
      <c r="G169" s="5" t="str">
        <f>formatIP(IP_Master[[#This Row],[LAN IP Address]])</f>
        <v>010.012.000.116</v>
      </c>
    </row>
    <row r="170" spans="1:7" ht="18" customHeight="1" x14ac:dyDescent="0.4">
      <c r="A170" s="3" t="s">
        <v>697</v>
      </c>
      <c r="B170" s="3" t="s">
        <v>471</v>
      </c>
      <c r="C170" s="3" t="s">
        <v>18</v>
      </c>
      <c r="D170" s="3"/>
      <c r="E170" s="3"/>
      <c r="F170" s="3"/>
      <c r="G170" s="5" t="str">
        <f>formatIP(IP_Master[[#This Row],[LAN IP Address]])</f>
        <v>010.012.000.117</v>
      </c>
    </row>
    <row r="171" spans="1:7" ht="18" customHeight="1" x14ac:dyDescent="0.4">
      <c r="A171" s="3" t="s">
        <v>698</v>
      </c>
      <c r="B171" s="3" t="s">
        <v>471</v>
      </c>
      <c r="C171" s="3" t="s">
        <v>18</v>
      </c>
      <c r="D171" s="3"/>
      <c r="E171" s="3"/>
      <c r="F171" s="3"/>
      <c r="G171" s="5" t="str">
        <f>formatIP(IP_Master[[#This Row],[LAN IP Address]])</f>
        <v>010.012.000.118</v>
      </c>
    </row>
    <row r="172" spans="1:7" ht="18" customHeight="1" x14ac:dyDescent="0.4">
      <c r="A172" s="3" t="s">
        <v>699</v>
      </c>
      <c r="B172" s="3" t="s">
        <v>471</v>
      </c>
      <c r="C172" s="3" t="s">
        <v>18</v>
      </c>
      <c r="D172" s="3"/>
      <c r="E172" s="3"/>
      <c r="F172" s="3"/>
      <c r="G172" s="5" t="str">
        <f>formatIP(IP_Master[[#This Row],[LAN IP Address]])</f>
        <v>010.012.000.119</v>
      </c>
    </row>
    <row r="173" spans="1:7" ht="18" customHeight="1" x14ac:dyDescent="0.4">
      <c r="A173" s="3" t="s">
        <v>700</v>
      </c>
      <c r="B173" s="3" t="s">
        <v>471</v>
      </c>
      <c r="C173" s="3" t="s">
        <v>18</v>
      </c>
      <c r="D173" s="3" t="s">
        <v>701</v>
      </c>
      <c r="E173" s="3" t="s">
        <v>562</v>
      </c>
      <c r="F173" s="3"/>
      <c r="G173" s="5" t="str">
        <f>formatIP(IP_Master[[#This Row],[LAN IP Address]])</f>
        <v>010.012.000.120</v>
      </c>
    </row>
    <row r="174" spans="1:7" ht="18" customHeight="1" x14ac:dyDescent="0.4">
      <c r="A174" s="3" t="s">
        <v>190</v>
      </c>
      <c r="B174" s="3" t="s">
        <v>406</v>
      </c>
      <c r="C174" s="3" t="s">
        <v>18</v>
      </c>
      <c r="D174" s="3" t="s">
        <v>702</v>
      </c>
      <c r="E174" s="3" t="s">
        <v>703</v>
      </c>
      <c r="F174" s="3">
        <v>200250065</v>
      </c>
      <c r="G174" s="5" t="str">
        <f>formatIP(IP_Master[[#This Row],[LAN IP Address]])</f>
        <v>010.012.000.121</v>
      </c>
    </row>
    <row r="175" spans="1:7" ht="18" customHeight="1" x14ac:dyDescent="0.4">
      <c r="A175" s="3" t="s">
        <v>118</v>
      </c>
      <c r="B175" s="3" t="s">
        <v>406</v>
      </c>
      <c r="C175" s="3" t="s">
        <v>18</v>
      </c>
      <c r="D175" s="3" t="s">
        <v>704</v>
      </c>
      <c r="E175" s="3" t="s">
        <v>705</v>
      </c>
      <c r="F175" s="3">
        <v>200250066</v>
      </c>
      <c r="G175" s="5" t="str">
        <f>formatIP(IP_Master[[#This Row],[LAN IP Address]])</f>
        <v>010.012.000.122</v>
      </c>
    </row>
    <row r="176" spans="1:7" ht="18" customHeight="1" x14ac:dyDescent="0.4">
      <c r="A176" s="3" t="s">
        <v>706</v>
      </c>
      <c r="B176" s="3" t="s">
        <v>406</v>
      </c>
      <c r="C176" s="3" t="s">
        <v>18</v>
      </c>
      <c r="D176" s="3" t="s">
        <v>707</v>
      </c>
      <c r="E176" s="3" t="s">
        <v>708</v>
      </c>
      <c r="F176" s="3">
        <v>200250087</v>
      </c>
      <c r="G176" s="5" t="str">
        <f>formatIP(IP_Master[[#This Row],[LAN IP Address]])</f>
        <v>010.012.000.123</v>
      </c>
    </row>
    <row r="177" spans="1:7" ht="18" customHeight="1" x14ac:dyDescent="0.4">
      <c r="A177" s="3" t="s">
        <v>709</v>
      </c>
      <c r="B177" s="3" t="s">
        <v>406</v>
      </c>
      <c r="C177" s="3" t="s">
        <v>18</v>
      </c>
      <c r="D177" s="3" t="s">
        <v>710</v>
      </c>
      <c r="E177" s="3" t="s">
        <v>408</v>
      </c>
      <c r="F177" s="3">
        <v>200250095</v>
      </c>
      <c r="G177" s="5" t="str">
        <f>formatIP(IP_Master[[#This Row],[LAN IP Address]])</f>
        <v>010.012.000.125</v>
      </c>
    </row>
    <row r="178" spans="1:7" ht="18" customHeight="1" x14ac:dyDescent="0.4">
      <c r="A178" s="3" t="s">
        <v>711</v>
      </c>
      <c r="B178" s="3" t="s">
        <v>406</v>
      </c>
      <c r="C178" s="3" t="s">
        <v>18</v>
      </c>
      <c r="D178" s="3" t="s">
        <v>712</v>
      </c>
      <c r="E178" s="3"/>
      <c r="F178" s="3"/>
      <c r="G178" s="5" t="str">
        <f>formatIP(IP_Master[[#This Row],[LAN IP Address]])</f>
        <v>010.012.000.126</v>
      </c>
    </row>
    <row r="179" spans="1:7" ht="18" customHeight="1" x14ac:dyDescent="0.4">
      <c r="A179" s="3" t="s">
        <v>713</v>
      </c>
      <c r="B179" s="3" t="s">
        <v>406</v>
      </c>
      <c r="C179" s="3" t="s">
        <v>18</v>
      </c>
      <c r="D179" s="3" t="s">
        <v>714</v>
      </c>
      <c r="E179" s="3" t="s">
        <v>408</v>
      </c>
      <c r="F179" s="3">
        <v>200250093</v>
      </c>
      <c r="G179" s="5" t="str">
        <f>formatIP(IP_Master[[#This Row],[LAN IP Address]])</f>
        <v>010.012.000.127</v>
      </c>
    </row>
    <row r="180" spans="1:7" ht="18" customHeight="1" x14ac:dyDescent="0.4">
      <c r="A180" s="3" t="s">
        <v>715</v>
      </c>
      <c r="B180" s="3" t="s">
        <v>406</v>
      </c>
      <c r="C180" s="3" t="s">
        <v>18</v>
      </c>
      <c r="D180" s="3" t="s">
        <v>716</v>
      </c>
      <c r="E180" s="3"/>
      <c r="F180" s="3"/>
      <c r="G180" s="5" t="str">
        <f>formatIP(IP_Master[[#This Row],[LAN IP Address]])</f>
        <v>010.012.000.128</v>
      </c>
    </row>
    <row r="181" spans="1:7" ht="18" customHeight="1" x14ac:dyDescent="0.4">
      <c r="A181" s="3" t="s">
        <v>717</v>
      </c>
      <c r="B181" s="3" t="s">
        <v>406</v>
      </c>
      <c r="C181" s="3" t="s">
        <v>18</v>
      </c>
      <c r="D181" s="3" t="s">
        <v>718</v>
      </c>
      <c r="E181" s="3" t="s">
        <v>719</v>
      </c>
      <c r="F181" s="3">
        <v>200250083</v>
      </c>
      <c r="G181" s="5" t="str">
        <f>formatIP(IP_Master[[#This Row],[LAN IP Address]])</f>
        <v>010.012.000.129</v>
      </c>
    </row>
    <row r="182" spans="1:7" ht="18" customHeight="1" x14ac:dyDescent="0.4">
      <c r="A182" s="3" t="s">
        <v>720</v>
      </c>
      <c r="B182" s="3" t="s">
        <v>406</v>
      </c>
      <c r="C182" s="3" t="s">
        <v>18</v>
      </c>
      <c r="D182" s="3" t="s">
        <v>721</v>
      </c>
      <c r="E182" s="3" t="s">
        <v>719</v>
      </c>
      <c r="F182" s="3">
        <v>200250086</v>
      </c>
      <c r="G182" s="5" t="str">
        <f>formatIP(IP_Master[[#This Row],[LAN IP Address]])</f>
        <v>010.012.000.130</v>
      </c>
    </row>
    <row r="183" spans="1:7" ht="18" customHeight="1" x14ac:dyDescent="0.4">
      <c r="A183" s="3" t="s">
        <v>722</v>
      </c>
      <c r="B183" s="3" t="s">
        <v>406</v>
      </c>
      <c r="C183" s="3" t="s">
        <v>18</v>
      </c>
      <c r="D183" s="3" t="s">
        <v>723</v>
      </c>
      <c r="E183" s="3" t="s">
        <v>724</v>
      </c>
      <c r="F183" s="3">
        <v>200250113</v>
      </c>
      <c r="G183" s="5" t="str">
        <f>formatIP(IP_Master[[#This Row],[LAN IP Address]])</f>
        <v>010.012.000.131</v>
      </c>
    </row>
    <row r="184" spans="1:7" ht="18" customHeight="1" x14ac:dyDescent="0.4">
      <c r="A184" s="3" t="s">
        <v>168</v>
      </c>
      <c r="B184" s="3" t="s">
        <v>406</v>
      </c>
      <c r="C184" s="3" t="s">
        <v>18</v>
      </c>
      <c r="D184" s="3" t="s">
        <v>725</v>
      </c>
      <c r="E184" s="3" t="s">
        <v>726</v>
      </c>
      <c r="F184" s="3"/>
      <c r="G184" s="5" t="str">
        <f>formatIP(IP_Master[[#This Row],[LAN IP Address]])</f>
        <v>010.012.000.134</v>
      </c>
    </row>
    <row r="185" spans="1:7" ht="18" customHeight="1" x14ac:dyDescent="0.4">
      <c r="A185" s="3" t="s">
        <v>161</v>
      </c>
      <c r="B185" s="3" t="s">
        <v>406</v>
      </c>
      <c r="C185" s="3" t="s">
        <v>18</v>
      </c>
      <c r="D185" s="3" t="s">
        <v>727</v>
      </c>
      <c r="E185" s="3" t="s">
        <v>728</v>
      </c>
      <c r="F185" s="3"/>
      <c r="G185" s="5" t="str">
        <f>formatIP(IP_Master[[#This Row],[LAN IP Address]])</f>
        <v>010.012.000.135</v>
      </c>
    </row>
    <row r="186" spans="1:7" ht="18" customHeight="1" x14ac:dyDescent="0.4">
      <c r="A186" s="3" t="s">
        <v>729</v>
      </c>
      <c r="B186" s="3" t="s">
        <v>406</v>
      </c>
      <c r="C186" s="3" t="s">
        <v>18</v>
      </c>
      <c r="D186" s="3" t="s">
        <v>727</v>
      </c>
      <c r="E186" s="3" t="s">
        <v>730</v>
      </c>
      <c r="F186" s="3"/>
      <c r="G186" s="5" t="str">
        <f>formatIP(IP_Master[[#This Row],[LAN IP Address]])</f>
        <v>010.012.000.137</v>
      </c>
    </row>
    <row r="187" spans="1:7" ht="18" customHeight="1" x14ac:dyDescent="0.4">
      <c r="A187" s="3" t="s">
        <v>731</v>
      </c>
      <c r="B187" s="3" t="s">
        <v>406</v>
      </c>
      <c r="C187" s="3" t="s">
        <v>18</v>
      </c>
      <c r="D187" s="3" t="s">
        <v>732</v>
      </c>
      <c r="E187" s="3" t="s">
        <v>733</v>
      </c>
      <c r="F187" s="3"/>
      <c r="G187" s="5" t="str">
        <f>formatIP(IP_Master[[#This Row],[LAN IP Address]])</f>
        <v>010.012.000.138</v>
      </c>
    </row>
    <row r="188" spans="1:7" ht="18" customHeight="1" x14ac:dyDescent="0.4">
      <c r="A188" s="3" t="s">
        <v>158</v>
      </c>
      <c r="B188" s="3" t="s">
        <v>406</v>
      </c>
      <c r="C188" s="3" t="s">
        <v>18</v>
      </c>
      <c r="D188" s="3" t="s">
        <v>734</v>
      </c>
      <c r="E188" s="3" t="s">
        <v>735</v>
      </c>
      <c r="F188" s="3"/>
      <c r="G188" s="5" t="str">
        <f>formatIP(IP_Master[[#This Row],[LAN IP Address]])</f>
        <v>010.012.000.139</v>
      </c>
    </row>
    <row r="189" spans="1:7" ht="18" customHeight="1" x14ac:dyDescent="0.4">
      <c r="A189" s="3" t="s">
        <v>736</v>
      </c>
      <c r="B189" s="3" t="s">
        <v>406</v>
      </c>
      <c r="C189" s="3" t="s">
        <v>18</v>
      </c>
      <c r="D189" s="3" t="s">
        <v>737</v>
      </c>
      <c r="E189" s="3" t="s">
        <v>562</v>
      </c>
      <c r="F189" s="3"/>
      <c r="G189" s="5" t="str">
        <f>formatIP(IP_Master[[#This Row],[LAN IP Address]])</f>
        <v>010.012.000.140</v>
      </c>
    </row>
    <row r="190" spans="1:7" ht="18" customHeight="1" x14ac:dyDescent="0.4">
      <c r="A190" s="3" t="s">
        <v>120</v>
      </c>
      <c r="B190" s="3" t="s">
        <v>449</v>
      </c>
      <c r="C190" s="3" t="s">
        <v>18</v>
      </c>
      <c r="D190" s="3" t="s">
        <v>738</v>
      </c>
      <c r="E190" s="3" t="s">
        <v>739</v>
      </c>
      <c r="F190" s="3">
        <v>200250069</v>
      </c>
      <c r="G190" s="5" t="str">
        <f>formatIP(IP_Master[[#This Row],[LAN IP Address]])</f>
        <v>010.012.000.141</v>
      </c>
    </row>
    <row r="191" spans="1:7" ht="18" hidden="1" customHeight="1" x14ac:dyDescent="0.4">
      <c r="A191" s="3" t="s">
        <v>79</v>
      </c>
      <c r="B191" s="3" t="s">
        <v>393</v>
      </c>
      <c r="C191" s="3" t="s">
        <v>18</v>
      </c>
      <c r="D191" s="3" t="s">
        <v>740</v>
      </c>
      <c r="E191" s="3" t="s">
        <v>741</v>
      </c>
      <c r="F191" s="3">
        <v>200170624</v>
      </c>
      <c r="G191" s="5" t="str">
        <f>formatIP(IP_Master[[#This Row],[LAN IP Address]])</f>
        <v>010.011.009.008</v>
      </c>
    </row>
    <row r="192" spans="1:7" ht="18" customHeight="1" x14ac:dyDescent="0.4">
      <c r="A192" s="3" t="s">
        <v>742</v>
      </c>
      <c r="B192" s="3" t="s">
        <v>449</v>
      </c>
      <c r="C192" s="3" t="s">
        <v>18</v>
      </c>
      <c r="D192" s="3" t="s">
        <v>743</v>
      </c>
      <c r="E192" s="3" t="s">
        <v>744</v>
      </c>
      <c r="F192" s="3">
        <v>200250070</v>
      </c>
      <c r="G192" s="5" t="str">
        <f>formatIP(IP_Master[[#This Row],[LAN IP Address]])</f>
        <v>010.012.000.142</v>
      </c>
    </row>
    <row r="193" spans="1:7" ht="18" customHeight="1" x14ac:dyDescent="0.4">
      <c r="A193" s="3" t="s">
        <v>188</v>
      </c>
      <c r="B193" s="3" t="s">
        <v>449</v>
      </c>
      <c r="C193" s="3" t="s">
        <v>18</v>
      </c>
      <c r="D193" s="3" t="s">
        <v>745</v>
      </c>
      <c r="E193" s="3" t="s">
        <v>536</v>
      </c>
      <c r="F193" s="3">
        <v>200267933</v>
      </c>
      <c r="G193" s="5" t="str">
        <f>formatIP(IP_Master[[#This Row],[LAN IP Address]])</f>
        <v>010.012.000.143</v>
      </c>
    </row>
    <row r="194" spans="1:7" ht="18" customHeight="1" x14ac:dyDescent="0.4">
      <c r="A194" s="3" t="s">
        <v>189</v>
      </c>
      <c r="B194" s="3" t="s">
        <v>449</v>
      </c>
      <c r="C194" s="3" t="s">
        <v>18</v>
      </c>
      <c r="D194" s="3" t="s">
        <v>746</v>
      </c>
      <c r="E194" s="3" t="s">
        <v>584</v>
      </c>
      <c r="F194" s="3">
        <v>200267934</v>
      </c>
      <c r="G194" s="5" t="str">
        <f>formatIP(IP_Master[[#This Row],[LAN IP Address]])</f>
        <v>010.012.000.144</v>
      </c>
    </row>
    <row r="195" spans="1:7" ht="18" customHeight="1" x14ac:dyDescent="0.4">
      <c r="A195" s="3" t="s">
        <v>187</v>
      </c>
      <c r="B195" s="3" t="s">
        <v>449</v>
      </c>
      <c r="C195" s="3" t="s">
        <v>18</v>
      </c>
      <c r="D195" s="3" t="s">
        <v>747</v>
      </c>
      <c r="E195" s="3" t="s">
        <v>584</v>
      </c>
      <c r="F195" s="3">
        <v>200267935</v>
      </c>
      <c r="G195" s="5" t="str">
        <f>formatIP(IP_Master[[#This Row],[LAN IP Address]])</f>
        <v>010.012.000.145</v>
      </c>
    </row>
    <row r="196" spans="1:7" ht="18" customHeight="1" x14ac:dyDescent="0.4">
      <c r="A196" s="3" t="s">
        <v>748</v>
      </c>
      <c r="B196" s="3" t="s">
        <v>449</v>
      </c>
      <c r="C196" s="3" t="s">
        <v>18</v>
      </c>
      <c r="D196" s="3" t="s">
        <v>749</v>
      </c>
      <c r="E196" s="3" t="s">
        <v>750</v>
      </c>
      <c r="F196" s="3"/>
      <c r="G196" s="5" t="str">
        <f>formatIP(IP_Master[[#This Row],[LAN IP Address]])</f>
        <v>010.012.000.146</v>
      </c>
    </row>
    <row r="197" spans="1:7" ht="18" customHeight="1" x14ac:dyDescent="0.4">
      <c r="A197" s="3" t="s">
        <v>751</v>
      </c>
      <c r="B197" s="3" t="s">
        <v>449</v>
      </c>
      <c r="C197" s="3" t="s">
        <v>18</v>
      </c>
      <c r="D197" s="3"/>
      <c r="E197" s="3"/>
      <c r="F197" s="3"/>
      <c r="G197" s="5" t="str">
        <f>formatIP(IP_Master[[#This Row],[LAN IP Address]])</f>
        <v>010.012.000.147</v>
      </c>
    </row>
    <row r="198" spans="1:7" ht="18" customHeight="1" x14ac:dyDescent="0.4">
      <c r="A198" s="3" t="s">
        <v>752</v>
      </c>
      <c r="B198" s="3" t="s">
        <v>449</v>
      </c>
      <c r="C198" s="3" t="s">
        <v>18</v>
      </c>
      <c r="D198" s="3"/>
      <c r="E198" s="3"/>
      <c r="F198" s="3"/>
      <c r="G198" s="5" t="str">
        <f>formatIP(IP_Master[[#This Row],[LAN IP Address]])</f>
        <v>010.012.000.148</v>
      </c>
    </row>
    <row r="199" spans="1:7" ht="18" customHeight="1" x14ac:dyDescent="0.4">
      <c r="A199" s="3" t="s">
        <v>753</v>
      </c>
      <c r="B199" s="3" t="s">
        <v>449</v>
      </c>
      <c r="C199" s="3" t="s">
        <v>18</v>
      </c>
      <c r="D199" s="3"/>
      <c r="E199" s="3"/>
      <c r="F199" s="3"/>
      <c r="G199" s="5" t="str">
        <f>formatIP(IP_Master[[#This Row],[LAN IP Address]])</f>
        <v>010.012.000.149</v>
      </c>
    </row>
    <row r="200" spans="1:7" ht="18" customHeight="1" x14ac:dyDescent="0.4">
      <c r="A200" s="3" t="s">
        <v>754</v>
      </c>
      <c r="B200" s="3" t="s">
        <v>449</v>
      </c>
      <c r="C200" s="3" t="s">
        <v>18</v>
      </c>
      <c r="D200" s="3"/>
      <c r="E200" s="3"/>
      <c r="F200" s="3"/>
      <c r="G200" s="5" t="str">
        <f>formatIP(IP_Master[[#This Row],[LAN IP Address]])</f>
        <v>010.012.000.150</v>
      </c>
    </row>
    <row r="201" spans="1:7" ht="18" customHeight="1" x14ac:dyDescent="0.4">
      <c r="A201" s="3" t="s">
        <v>755</v>
      </c>
      <c r="B201" s="3" t="s">
        <v>449</v>
      </c>
      <c r="C201" s="3" t="s">
        <v>18</v>
      </c>
      <c r="D201" s="3"/>
      <c r="E201" s="3"/>
      <c r="F201" s="3"/>
      <c r="G201" s="5" t="str">
        <f>formatIP(IP_Master[[#This Row],[LAN IP Address]])</f>
        <v>010.012.000.151</v>
      </c>
    </row>
    <row r="202" spans="1:7" ht="18" customHeight="1" x14ac:dyDescent="0.4">
      <c r="A202" s="3" t="s">
        <v>756</v>
      </c>
      <c r="B202" s="3" t="s">
        <v>449</v>
      </c>
      <c r="C202" s="3" t="s">
        <v>18</v>
      </c>
      <c r="D202" s="3"/>
      <c r="E202" s="3"/>
      <c r="F202" s="3"/>
      <c r="G202" s="5" t="str">
        <f>formatIP(IP_Master[[#This Row],[LAN IP Address]])</f>
        <v>010.012.000.152</v>
      </c>
    </row>
    <row r="203" spans="1:7" ht="18" customHeight="1" x14ac:dyDescent="0.4">
      <c r="A203" s="3" t="s">
        <v>757</v>
      </c>
      <c r="B203" s="3" t="s">
        <v>449</v>
      </c>
      <c r="C203" s="3" t="s">
        <v>18</v>
      </c>
      <c r="D203" s="3"/>
      <c r="E203" s="3"/>
      <c r="F203" s="3"/>
      <c r="G203" s="5" t="str">
        <f>formatIP(IP_Master[[#This Row],[LAN IP Address]])</f>
        <v>010.012.000.153</v>
      </c>
    </row>
    <row r="204" spans="1:7" ht="18" customHeight="1" x14ac:dyDescent="0.4">
      <c r="A204" s="3" t="s">
        <v>758</v>
      </c>
      <c r="B204" s="3" t="s">
        <v>449</v>
      </c>
      <c r="C204" s="3" t="s">
        <v>18</v>
      </c>
      <c r="D204" s="3"/>
      <c r="E204" s="3"/>
      <c r="F204" s="3"/>
      <c r="G204" s="5" t="str">
        <f>formatIP(IP_Master[[#This Row],[LAN IP Address]])</f>
        <v>010.012.000.154</v>
      </c>
    </row>
    <row r="205" spans="1:7" ht="18" customHeight="1" x14ac:dyDescent="0.4">
      <c r="A205" s="3" t="s">
        <v>759</v>
      </c>
      <c r="B205" s="3" t="s">
        <v>449</v>
      </c>
      <c r="C205" s="3" t="s">
        <v>18</v>
      </c>
      <c r="D205" s="3"/>
      <c r="E205" s="3"/>
      <c r="F205" s="3"/>
      <c r="G205" s="5" t="str">
        <f>formatIP(IP_Master[[#This Row],[LAN IP Address]])</f>
        <v>010.012.000.155</v>
      </c>
    </row>
    <row r="206" spans="1:7" ht="18" customHeight="1" x14ac:dyDescent="0.4">
      <c r="A206" s="3" t="s">
        <v>760</v>
      </c>
      <c r="B206" s="3" t="s">
        <v>449</v>
      </c>
      <c r="C206" s="3" t="s">
        <v>18</v>
      </c>
      <c r="D206" s="3"/>
      <c r="E206" s="3"/>
      <c r="F206" s="3"/>
      <c r="G206" s="5" t="str">
        <f>formatIP(IP_Master[[#This Row],[LAN IP Address]])</f>
        <v>010.012.000.156</v>
      </c>
    </row>
    <row r="207" spans="1:7" ht="18" customHeight="1" x14ac:dyDescent="0.4">
      <c r="A207" s="3" t="s">
        <v>761</v>
      </c>
      <c r="B207" s="3" t="s">
        <v>449</v>
      </c>
      <c r="C207" s="3" t="s">
        <v>18</v>
      </c>
      <c r="D207" s="3"/>
      <c r="E207" s="3" t="s">
        <v>762</v>
      </c>
      <c r="F207" s="3"/>
      <c r="G207" s="5" t="str">
        <f>formatIP(IP_Master[[#This Row],[LAN IP Address]])</f>
        <v>010.012.000.157</v>
      </c>
    </row>
    <row r="208" spans="1:7" ht="18" customHeight="1" x14ac:dyDescent="0.4">
      <c r="A208" s="3" t="s">
        <v>763</v>
      </c>
      <c r="B208" s="3" t="s">
        <v>449</v>
      </c>
      <c r="C208" s="3" t="s">
        <v>18</v>
      </c>
      <c r="D208" s="3"/>
      <c r="E208" s="3"/>
      <c r="F208" s="3"/>
      <c r="G208" s="5" t="str">
        <f>formatIP(IP_Master[[#This Row],[LAN IP Address]])</f>
        <v>010.012.000.158</v>
      </c>
    </row>
    <row r="209" spans="1:7" ht="18" customHeight="1" x14ac:dyDescent="0.4">
      <c r="A209" s="3" t="s">
        <v>764</v>
      </c>
      <c r="B209" s="3" t="s">
        <v>449</v>
      </c>
      <c r="C209" s="3" t="s">
        <v>18</v>
      </c>
      <c r="D209" s="3" t="s">
        <v>765</v>
      </c>
      <c r="E209" s="3" t="s">
        <v>766</v>
      </c>
      <c r="F209" s="3"/>
      <c r="G209" s="5" t="str">
        <f>formatIP(IP_Master[[#This Row],[LAN IP Address]])</f>
        <v>010.012.000.159</v>
      </c>
    </row>
    <row r="210" spans="1:7" ht="18" customHeight="1" x14ac:dyDescent="0.4">
      <c r="A210" s="3" t="s">
        <v>767</v>
      </c>
      <c r="B210" s="3" t="s">
        <v>768</v>
      </c>
      <c r="C210" s="3" t="s">
        <v>18</v>
      </c>
      <c r="D210" s="3" t="s">
        <v>769</v>
      </c>
      <c r="E210" s="3" t="s">
        <v>770</v>
      </c>
      <c r="F210" s="3">
        <v>200250075</v>
      </c>
      <c r="G210" s="5" t="str">
        <f>formatIP(IP_Master[[#This Row],[LAN IP Address]])</f>
        <v>010.012.000.161</v>
      </c>
    </row>
    <row r="211" spans="1:7" ht="18" customHeight="1" x14ac:dyDescent="0.4">
      <c r="A211" s="3" t="s">
        <v>122</v>
      </c>
      <c r="B211" s="3" t="s">
        <v>768</v>
      </c>
      <c r="C211" s="3" t="s">
        <v>18</v>
      </c>
      <c r="D211" s="3" t="s">
        <v>771</v>
      </c>
      <c r="E211" s="3" t="s">
        <v>772</v>
      </c>
      <c r="F211" s="3">
        <v>200250076</v>
      </c>
      <c r="G211" s="5" t="str">
        <f>formatIP(IP_Master[[#This Row],[LAN IP Address]])</f>
        <v>010.012.000.162</v>
      </c>
    </row>
    <row r="212" spans="1:7" ht="18" customHeight="1" x14ac:dyDescent="0.4">
      <c r="A212" s="3" t="s">
        <v>124</v>
      </c>
      <c r="B212" s="3" t="s">
        <v>768</v>
      </c>
      <c r="C212" s="3" t="s">
        <v>18</v>
      </c>
      <c r="D212" s="3" t="s">
        <v>773</v>
      </c>
      <c r="E212" s="3" t="s">
        <v>536</v>
      </c>
      <c r="F212" s="3"/>
      <c r="G212" s="5" t="str">
        <f>formatIP(IP_Master[[#This Row],[LAN IP Address]])</f>
        <v>010.012.000.163</v>
      </c>
    </row>
    <row r="213" spans="1:7" ht="18" customHeight="1" x14ac:dyDescent="0.4">
      <c r="A213" s="3" t="s">
        <v>774</v>
      </c>
      <c r="B213" s="3" t="s">
        <v>768</v>
      </c>
      <c r="C213" s="3" t="s">
        <v>18</v>
      </c>
      <c r="D213" s="3" t="s">
        <v>775</v>
      </c>
      <c r="E213" s="3" t="s">
        <v>776</v>
      </c>
      <c r="F213" s="3">
        <v>200250110</v>
      </c>
      <c r="G213" s="5" t="str">
        <f>formatIP(IP_Master[[#This Row],[LAN IP Address]])</f>
        <v>010.012.000.164</v>
      </c>
    </row>
    <row r="214" spans="1:7" ht="18" customHeight="1" x14ac:dyDescent="0.4">
      <c r="A214" s="3" t="s">
        <v>777</v>
      </c>
      <c r="B214" s="3" t="s">
        <v>768</v>
      </c>
      <c r="C214" s="3" t="s">
        <v>18</v>
      </c>
      <c r="D214" s="3" t="s">
        <v>778</v>
      </c>
      <c r="E214" s="3" t="s">
        <v>779</v>
      </c>
      <c r="F214" s="3"/>
      <c r="G214" s="5" t="str">
        <f>formatIP(IP_Master[[#This Row],[LAN IP Address]])</f>
        <v>010.012.000.165</v>
      </c>
    </row>
    <row r="215" spans="1:7" ht="18" customHeight="1" x14ac:dyDescent="0.4">
      <c r="A215" s="3" t="s">
        <v>780</v>
      </c>
      <c r="B215" s="3" t="s">
        <v>768</v>
      </c>
      <c r="C215" s="3" t="s">
        <v>18</v>
      </c>
      <c r="D215" s="3" t="s">
        <v>781</v>
      </c>
      <c r="E215" s="3" t="s">
        <v>782</v>
      </c>
      <c r="F215" s="3"/>
      <c r="G215" s="5" t="str">
        <f>formatIP(IP_Master[[#This Row],[LAN IP Address]])</f>
        <v>010.012.000.166</v>
      </c>
    </row>
    <row r="216" spans="1:7" ht="18" customHeight="1" x14ac:dyDescent="0.4">
      <c r="A216" s="3" t="s">
        <v>783</v>
      </c>
      <c r="B216" s="3" t="s">
        <v>768</v>
      </c>
      <c r="C216" s="3" t="s">
        <v>18</v>
      </c>
      <c r="D216" s="3"/>
      <c r="E216" s="3"/>
      <c r="F216" s="3"/>
      <c r="G216" s="5" t="str">
        <f>formatIP(IP_Master[[#This Row],[LAN IP Address]])</f>
        <v>010.012.000.167</v>
      </c>
    </row>
    <row r="217" spans="1:7" ht="18" customHeight="1" x14ac:dyDescent="0.4">
      <c r="A217" s="3" t="s">
        <v>784</v>
      </c>
      <c r="B217" s="3" t="s">
        <v>768</v>
      </c>
      <c r="C217" s="3" t="s">
        <v>18</v>
      </c>
      <c r="D217" s="3"/>
      <c r="E217" s="3"/>
      <c r="F217" s="3"/>
      <c r="G217" s="5" t="str">
        <f>formatIP(IP_Master[[#This Row],[LAN IP Address]])</f>
        <v>010.012.000.168</v>
      </c>
    </row>
    <row r="218" spans="1:7" ht="18" customHeight="1" x14ac:dyDescent="0.4">
      <c r="A218" s="3" t="s">
        <v>785</v>
      </c>
      <c r="B218" s="3" t="s">
        <v>768</v>
      </c>
      <c r="C218" s="3" t="s">
        <v>18</v>
      </c>
      <c r="D218" s="3"/>
      <c r="E218" s="3"/>
      <c r="F218" s="3"/>
      <c r="G218" s="5" t="str">
        <f>formatIP(IP_Master[[#This Row],[LAN IP Address]])</f>
        <v>010.012.000.169</v>
      </c>
    </row>
    <row r="219" spans="1:7" ht="18" customHeight="1" x14ac:dyDescent="0.4">
      <c r="A219" s="3" t="s">
        <v>786</v>
      </c>
      <c r="B219" s="3" t="s">
        <v>768</v>
      </c>
      <c r="C219" s="3" t="s">
        <v>18</v>
      </c>
      <c r="D219" s="3"/>
      <c r="E219" s="3" t="s">
        <v>787</v>
      </c>
      <c r="F219" s="3"/>
      <c r="G219" s="5" t="str">
        <f>formatIP(IP_Master[[#This Row],[LAN IP Address]])</f>
        <v>010.012.000.170</v>
      </c>
    </row>
    <row r="220" spans="1:7" ht="18" customHeight="1" x14ac:dyDescent="0.4">
      <c r="A220" s="3" t="s">
        <v>788</v>
      </c>
      <c r="B220" s="3" t="s">
        <v>768</v>
      </c>
      <c r="C220" s="3" t="s">
        <v>18</v>
      </c>
      <c r="D220" s="3"/>
      <c r="E220" s="3"/>
      <c r="F220" s="3"/>
      <c r="G220" s="5" t="str">
        <f>formatIP(IP_Master[[#This Row],[LAN IP Address]])</f>
        <v>010.012.000.171</v>
      </c>
    </row>
    <row r="221" spans="1:7" ht="18" customHeight="1" x14ac:dyDescent="0.4">
      <c r="A221" s="3" t="s">
        <v>789</v>
      </c>
      <c r="B221" s="3" t="s">
        <v>768</v>
      </c>
      <c r="C221" s="3" t="s">
        <v>18</v>
      </c>
      <c r="D221" s="3"/>
      <c r="E221" s="3"/>
      <c r="F221" s="3"/>
      <c r="G221" s="5" t="str">
        <f>formatIP(IP_Master[[#This Row],[LAN IP Address]])</f>
        <v>010.012.000.172</v>
      </c>
    </row>
    <row r="222" spans="1:7" ht="18" customHeight="1" x14ac:dyDescent="0.4">
      <c r="A222" s="3" t="s">
        <v>790</v>
      </c>
      <c r="B222" s="3" t="s">
        <v>768</v>
      </c>
      <c r="C222" s="3" t="s">
        <v>18</v>
      </c>
      <c r="D222" s="3"/>
      <c r="E222" s="3"/>
      <c r="F222" s="3"/>
      <c r="G222" s="5" t="str">
        <f>formatIP(IP_Master[[#This Row],[LAN IP Address]])</f>
        <v>010.012.000.173</v>
      </c>
    </row>
    <row r="223" spans="1:7" ht="18" customHeight="1" x14ac:dyDescent="0.4">
      <c r="A223" s="3" t="s">
        <v>791</v>
      </c>
      <c r="B223" s="3" t="s">
        <v>768</v>
      </c>
      <c r="C223" s="3" t="s">
        <v>18</v>
      </c>
      <c r="D223" s="3"/>
      <c r="E223" s="3"/>
      <c r="F223" s="3"/>
      <c r="G223" s="5" t="str">
        <f>formatIP(IP_Master[[#This Row],[LAN IP Address]])</f>
        <v>010.012.000.174</v>
      </c>
    </row>
    <row r="224" spans="1:7" ht="18" customHeight="1" x14ac:dyDescent="0.4">
      <c r="A224" s="3" t="s">
        <v>792</v>
      </c>
      <c r="B224" s="3" t="s">
        <v>768</v>
      </c>
      <c r="C224" s="3" t="s">
        <v>18</v>
      </c>
      <c r="D224" s="3"/>
      <c r="E224" s="3"/>
      <c r="F224" s="3"/>
      <c r="G224" s="5" t="str">
        <f>formatIP(IP_Master[[#This Row],[LAN IP Address]])</f>
        <v>010.012.000.175</v>
      </c>
    </row>
    <row r="225" spans="1:7" ht="18" customHeight="1" x14ac:dyDescent="0.4">
      <c r="A225" s="3" t="s">
        <v>793</v>
      </c>
      <c r="B225" s="3" t="s">
        <v>768</v>
      </c>
      <c r="C225" s="3" t="s">
        <v>18</v>
      </c>
      <c r="D225" s="3"/>
      <c r="E225" s="3"/>
      <c r="F225" s="3"/>
      <c r="G225" s="5" t="str">
        <f>formatIP(IP_Master[[#This Row],[LAN IP Address]])</f>
        <v>010.012.000.176</v>
      </c>
    </row>
    <row r="226" spans="1:7" ht="18" customHeight="1" x14ac:dyDescent="0.4">
      <c r="A226" s="3" t="s">
        <v>163</v>
      </c>
      <c r="B226" s="3" t="s">
        <v>768</v>
      </c>
      <c r="C226" s="3" t="s">
        <v>18</v>
      </c>
      <c r="D226" s="3" t="s">
        <v>794</v>
      </c>
      <c r="E226" s="3" t="s">
        <v>795</v>
      </c>
      <c r="F226" s="3"/>
      <c r="G226" s="5" t="str">
        <f>formatIP(IP_Master[[#This Row],[LAN IP Address]])</f>
        <v>010.012.000.177</v>
      </c>
    </row>
    <row r="227" spans="1:7" ht="18" customHeight="1" x14ac:dyDescent="0.4">
      <c r="A227" s="3" t="s">
        <v>149</v>
      </c>
      <c r="B227" s="3" t="s">
        <v>768</v>
      </c>
      <c r="C227" s="3" t="s">
        <v>18</v>
      </c>
      <c r="D227" s="3" t="s">
        <v>796</v>
      </c>
      <c r="E227" s="3" t="s">
        <v>797</v>
      </c>
      <c r="F227" s="3"/>
      <c r="G227" s="5" t="str">
        <f>formatIP(IP_Master[[#This Row],[LAN IP Address]])</f>
        <v>010.012.000.178</v>
      </c>
    </row>
    <row r="228" spans="1:7" ht="18" customHeight="1" x14ac:dyDescent="0.4">
      <c r="A228" s="3" t="s">
        <v>798</v>
      </c>
      <c r="B228" s="3" t="s">
        <v>768</v>
      </c>
      <c r="C228" s="3" t="s">
        <v>18</v>
      </c>
      <c r="D228" s="3" t="s">
        <v>799</v>
      </c>
      <c r="E228" s="3" t="s">
        <v>800</v>
      </c>
      <c r="F228" s="3"/>
      <c r="G228" s="5" t="str">
        <f>formatIP(IP_Master[[#This Row],[LAN IP Address]])</f>
        <v>010.012.000.179</v>
      </c>
    </row>
    <row r="229" spans="1:7" ht="18" customHeight="1" x14ac:dyDescent="0.4">
      <c r="A229" s="3" t="s">
        <v>167</v>
      </c>
      <c r="B229" s="3" t="s">
        <v>768</v>
      </c>
      <c r="C229" s="3" t="s">
        <v>18</v>
      </c>
      <c r="D229" s="3" t="s">
        <v>801</v>
      </c>
      <c r="E229" s="3" t="s">
        <v>802</v>
      </c>
      <c r="F229" s="3"/>
      <c r="G229" s="5" t="str">
        <f>formatIP(IP_Master[[#This Row],[LAN IP Address]])</f>
        <v>010.012.000.180</v>
      </c>
    </row>
    <row r="230" spans="1:7" ht="18" customHeight="1" x14ac:dyDescent="0.4">
      <c r="A230" s="3" t="s">
        <v>803</v>
      </c>
      <c r="B230" s="3" t="s">
        <v>393</v>
      </c>
      <c r="C230" s="3" t="s">
        <v>18</v>
      </c>
      <c r="D230" s="3" t="s">
        <v>804</v>
      </c>
      <c r="E230" s="3" t="s">
        <v>805</v>
      </c>
      <c r="F230" s="3">
        <v>200170630</v>
      </c>
      <c r="G230" s="5" t="str">
        <f>formatIP(IP_Master[[#This Row],[LAN IP Address]])</f>
        <v>010.012.000.181</v>
      </c>
    </row>
    <row r="231" spans="1:7" ht="18" customHeight="1" x14ac:dyDescent="0.4">
      <c r="A231" s="3" t="s">
        <v>806</v>
      </c>
      <c r="B231" s="3" t="s">
        <v>393</v>
      </c>
      <c r="C231" s="3" t="s">
        <v>18</v>
      </c>
      <c r="D231" s="3" t="s">
        <v>807</v>
      </c>
      <c r="E231" s="3" t="s">
        <v>808</v>
      </c>
      <c r="F231" s="3">
        <v>200170629</v>
      </c>
      <c r="G231" s="5" t="str">
        <f>formatIP(IP_Master[[#This Row],[LAN IP Address]])</f>
        <v>010.012.000.182</v>
      </c>
    </row>
    <row r="232" spans="1:7" ht="18" customHeight="1" x14ac:dyDescent="0.4">
      <c r="A232" s="3" t="s">
        <v>809</v>
      </c>
      <c r="B232" s="3" t="s">
        <v>393</v>
      </c>
      <c r="C232" s="3" t="s">
        <v>18</v>
      </c>
      <c r="D232" s="3" t="s">
        <v>810</v>
      </c>
      <c r="E232" s="3" t="s">
        <v>811</v>
      </c>
      <c r="F232" s="3">
        <v>200170625</v>
      </c>
      <c r="G232" s="5" t="str">
        <f>formatIP(IP_Master[[#This Row],[LAN IP Address]])</f>
        <v>010.012.000.183</v>
      </c>
    </row>
    <row r="233" spans="1:7" ht="18" customHeight="1" x14ac:dyDescent="0.4">
      <c r="A233" s="3" t="s">
        <v>126</v>
      </c>
      <c r="B233" s="3" t="s">
        <v>393</v>
      </c>
      <c r="C233" s="3" t="s">
        <v>18</v>
      </c>
      <c r="D233" s="3" t="s">
        <v>394</v>
      </c>
      <c r="E233" s="3" t="s">
        <v>395</v>
      </c>
      <c r="F233" s="3">
        <v>2001760626</v>
      </c>
      <c r="G233" s="5" t="str">
        <f>formatIP(IP_Master[[#This Row],[LAN IP Address]])</f>
        <v>010.012.000.184</v>
      </c>
    </row>
    <row r="234" spans="1:7" ht="18" customHeight="1" x14ac:dyDescent="0.4">
      <c r="A234" s="3" t="s">
        <v>201</v>
      </c>
      <c r="B234" s="3" t="s">
        <v>393</v>
      </c>
      <c r="C234" s="3" t="s">
        <v>18</v>
      </c>
      <c r="D234" s="3" t="s">
        <v>400</v>
      </c>
      <c r="E234" s="3" t="s">
        <v>401</v>
      </c>
      <c r="F234" s="3">
        <v>200170627</v>
      </c>
      <c r="G234" s="5" t="str">
        <f>formatIP(IP_Master[[#This Row],[LAN IP Address]])</f>
        <v>010.012.000.186</v>
      </c>
    </row>
    <row r="235" spans="1:7" ht="18" customHeight="1" x14ac:dyDescent="0.4">
      <c r="A235" s="3" t="s">
        <v>812</v>
      </c>
      <c r="B235" s="3" t="s">
        <v>393</v>
      </c>
      <c r="C235" s="3" t="s">
        <v>18</v>
      </c>
      <c r="D235" s="3"/>
      <c r="E235" s="3"/>
      <c r="F235" s="3"/>
      <c r="G235" s="5" t="str">
        <f>formatIP(IP_Master[[#This Row],[LAN IP Address]])</f>
        <v>010.012.000.189</v>
      </c>
    </row>
    <row r="236" spans="1:7" ht="18" customHeight="1" x14ac:dyDescent="0.4">
      <c r="A236" s="3" t="s">
        <v>49</v>
      </c>
      <c r="B236" s="3" t="s">
        <v>393</v>
      </c>
      <c r="C236" s="3" t="s">
        <v>18</v>
      </c>
      <c r="D236" s="3" t="s">
        <v>813</v>
      </c>
      <c r="E236" s="3" t="s">
        <v>814</v>
      </c>
      <c r="F236" s="3">
        <v>200170628</v>
      </c>
      <c r="G236" s="5" t="str">
        <f>formatIP(IP_Master[[#This Row],[LAN IP Address]])</f>
        <v>010.012.000.190</v>
      </c>
    </row>
    <row r="237" spans="1:7" ht="18" customHeight="1" x14ac:dyDescent="0.4">
      <c r="A237" s="3" t="s">
        <v>815</v>
      </c>
      <c r="B237" s="3" t="s">
        <v>393</v>
      </c>
      <c r="C237" s="3" t="s">
        <v>18</v>
      </c>
      <c r="D237" s="3" t="s">
        <v>483</v>
      </c>
      <c r="E237" s="3" t="s">
        <v>484</v>
      </c>
      <c r="F237" s="3">
        <v>200250089</v>
      </c>
      <c r="G237" s="5" t="str">
        <f>formatIP(IP_Master[[#This Row],[LAN IP Address]])</f>
        <v>010.012.000.192</v>
      </c>
    </row>
    <row r="238" spans="1:7" ht="18" customHeight="1" x14ac:dyDescent="0.4">
      <c r="A238" s="3" t="s">
        <v>816</v>
      </c>
      <c r="B238" s="3" t="s">
        <v>393</v>
      </c>
      <c r="C238" s="3" t="s">
        <v>18</v>
      </c>
      <c r="D238" s="3" t="s">
        <v>489</v>
      </c>
      <c r="E238" s="3" t="s">
        <v>817</v>
      </c>
      <c r="F238" s="3">
        <v>200250088</v>
      </c>
      <c r="G238" s="5" t="str">
        <f>formatIP(IP_Master[[#This Row],[LAN IP Address]])</f>
        <v>010.012.000.194</v>
      </c>
    </row>
    <row r="239" spans="1:7" ht="18" hidden="1" customHeight="1" x14ac:dyDescent="0.4">
      <c r="A239" s="3" t="s">
        <v>78</v>
      </c>
      <c r="B239" s="3" t="s">
        <v>492</v>
      </c>
      <c r="C239" s="3" t="s">
        <v>18</v>
      </c>
      <c r="D239" s="3" t="s">
        <v>818</v>
      </c>
      <c r="E239" s="3" t="s">
        <v>819</v>
      </c>
      <c r="F239" s="3">
        <v>200066649</v>
      </c>
      <c r="G239" s="5" t="str">
        <f>formatIP(IP_Master[[#This Row],[LAN IP Address]])</f>
        <v>010.012.000.241</v>
      </c>
    </row>
    <row r="240" spans="1:7" ht="18" hidden="1" customHeight="1" x14ac:dyDescent="0.4">
      <c r="A240" s="3" t="s">
        <v>86</v>
      </c>
      <c r="B240" s="3" t="s">
        <v>492</v>
      </c>
      <c r="C240" s="3" t="s">
        <v>18</v>
      </c>
      <c r="D240" s="3" t="s">
        <v>818</v>
      </c>
      <c r="E240" s="3" t="s">
        <v>819</v>
      </c>
      <c r="F240" s="3">
        <v>200066649</v>
      </c>
      <c r="G240" s="5" t="str">
        <f>formatIP(IP_Master[[#This Row],[LAN IP Address]])</f>
        <v>010.011.009.194</v>
      </c>
    </row>
    <row r="241" spans="1:7" ht="18" customHeight="1" x14ac:dyDescent="0.4">
      <c r="A241" s="3" t="s">
        <v>820</v>
      </c>
      <c r="B241" s="3" t="s">
        <v>393</v>
      </c>
      <c r="C241" s="3" t="s">
        <v>18</v>
      </c>
      <c r="D241" s="3"/>
      <c r="E241" s="3"/>
      <c r="F241" s="3"/>
      <c r="G241" s="5" t="str">
        <f>formatIP(IP_Master[[#This Row],[LAN IP Address]])</f>
        <v>010.012.000.195</v>
      </c>
    </row>
    <row r="242" spans="1:7" ht="18" hidden="1" customHeight="1" x14ac:dyDescent="0.4">
      <c r="A242" s="3" t="s">
        <v>157</v>
      </c>
      <c r="B242" s="3" t="s">
        <v>492</v>
      </c>
      <c r="C242" s="3" t="s">
        <v>18</v>
      </c>
      <c r="D242" s="3" t="s">
        <v>821</v>
      </c>
      <c r="E242" s="3" t="s">
        <v>822</v>
      </c>
      <c r="F242" s="3"/>
      <c r="G242" s="5" t="str">
        <f>formatIP(IP_Master[[#This Row],[LAN IP Address]])</f>
        <v>010.012.000.254</v>
      </c>
    </row>
    <row r="243" spans="1:7" ht="18" hidden="1" customHeight="1" x14ac:dyDescent="0.4">
      <c r="A243" s="3" t="s">
        <v>823</v>
      </c>
      <c r="B243" s="3" t="s">
        <v>492</v>
      </c>
      <c r="C243" s="3" t="s">
        <v>18</v>
      </c>
      <c r="D243" s="3" t="s">
        <v>821</v>
      </c>
      <c r="E243" s="3" t="s">
        <v>822</v>
      </c>
      <c r="F243" s="3"/>
      <c r="G243" s="5" t="str">
        <f>formatIP(IP_Master[[#This Row],[LAN IP Address]])</f>
        <v>010.011.009.195</v>
      </c>
    </row>
    <row r="244" spans="1:7" ht="18" customHeight="1" x14ac:dyDescent="0.4">
      <c r="A244" s="3" t="s">
        <v>824</v>
      </c>
      <c r="B244" s="3" t="s">
        <v>393</v>
      </c>
      <c r="C244" s="3" t="s">
        <v>18</v>
      </c>
      <c r="D244" s="3"/>
      <c r="E244" s="3"/>
      <c r="F244" s="3"/>
      <c r="G244" s="5" t="str">
        <f>formatIP(IP_Master[[#This Row],[LAN IP Address]])</f>
        <v>010.012.000.196</v>
      </c>
    </row>
    <row r="245" spans="1:7" ht="18" customHeight="1" x14ac:dyDescent="0.4">
      <c r="A245" s="3" t="s">
        <v>825</v>
      </c>
      <c r="B245" s="3" t="s">
        <v>393</v>
      </c>
      <c r="C245" s="3" t="s">
        <v>18</v>
      </c>
      <c r="D245" s="3"/>
      <c r="E245" s="3"/>
      <c r="F245" s="3"/>
      <c r="G245" s="5" t="str">
        <f>formatIP(IP_Master[[#This Row],[LAN IP Address]])</f>
        <v>010.012.000.197</v>
      </c>
    </row>
    <row r="246" spans="1:7" ht="18" customHeight="1" x14ac:dyDescent="0.4">
      <c r="A246" s="3" t="s">
        <v>826</v>
      </c>
      <c r="B246" s="3" t="s">
        <v>393</v>
      </c>
      <c r="C246" s="3" t="s">
        <v>18</v>
      </c>
      <c r="D246" s="3"/>
      <c r="E246" s="3"/>
      <c r="F246" s="3"/>
      <c r="G246" s="5" t="str">
        <f>formatIP(IP_Master[[#This Row],[LAN IP Address]])</f>
        <v>010.012.000.198</v>
      </c>
    </row>
    <row r="247" spans="1:7" ht="18" customHeight="1" x14ac:dyDescent="0.4">
      <c r="A247" s="3" t="s">
        <v>166</v>
      </c>
      <c r="B247" s="3" t="s">
        <v>393</v>
      </c>
      <c r="C247" s="3" t="s">
        <v>18</v>
      </c>
      <c r="D247" s="3" t="s">
        <v>827</v>
      </c>
      <c r="E247" s="3" t="s">
        <v>828</v>
      </c>
      <c r="F247" s="3"/>
      <c r="G247" s="5" t="str">
        <f>formatIP(IP_Master[[#This Row],[LAN IP Address]])</f>
        <v>010.012.000.199</v>
      </c>
    </row>
    <row r="248" spans="1:7" ht="18" customHeight="1" x14ac:dyDescent="0.4">
      <c r="A248" s="3" t="s">
        <v>164</v>
      </c>
      <c r="B248" s="3" t="s">
        <v>393</v>
      </c>
      <c r="C248" s="3" t="s">
        <v>18</v>
      </c>
      <c r="D248" s="3" t="s">
        <v>829</v>
      </c>
      <c r="E248" s="3" t="s">
        <v>830</v>
      </c>
      <c r="F248" s="3"/>
      <c r="G248" s="5" t="str">
        <f>formatIP(IP_Master[[#This Row],[LAN IP Address]])</f>
        <v>010.012.000.200</v>
      </c>
    </row>
    <row r="249" spans="1:7" ht="18" customHeight="1" x14ac:dyDescent="0.4">
      <c r="A249" s="3" t="s">
        <v>144</v>
      </c>
      <c r="B249" s="3" t="s">
        <v>432</v>
      </c>
      <c r="C249" s="3" t="s">
        <v>18</v>
      </c>
      <c r="D249" s="3" t="s">
        <v>831</v>
      </c>
      <c r="E249" s="3" t="s">
        <v>832</v>
      </c>
      <c r="F249" s="3">
        <v>200037176</v>
      </c>
      <c r="G249" s="5" t="str">
        <f>formatIP(IP_Master[[#This Row],[LAN IP Address]])</f>
        <v>010.012.000.201</v>
      </c>
    </row>
    <row r="250" spans="1:7" ht="18" customHeight="1" x14ac:dyDescent="0.4">
      <c r="A250" s="3" t="s">
        <v>145</v>
      </c>
      <c r="B250" s="3" t="s">
        <v>432</v>
      </c>
      <c r="C250" s="3" t="s">
        <v>18</v>
      </c>
      <c r="D250" s="3" t="s">
        <v>833</v>
      </c>
      <c r="E250" s="3" t="s">
        <v>834</v>
      </c>
      <c r="F250" s="3">
        <v>200037177</v>
      </c>
      <c r="G250" s="5" t="str">
        <f>formatIP(IP_Master[[#This Row],[LAN IP Address]])</f>
        <v>010.012.000.202</v>
      </c>
    </row>
    <row r="251" spans="1:7" ht="18" customHeight="1" x14ac:dyDescent="0.4">
      <c r="A251" s="3" t="s">
        <v>835</v>
      </c>
      <c r="B251" s="3" t="s">
        <v>432</v>
      </c>
      <c r="C251" s="3" t="s">
        <v>18</v>
      </c>
      <c r="D251" s="3"/>
      <c r="E251" s="3"/>
      <c r="F251" s="3"/>
      <c r="G251" s="5" t="str">
        <f>formatIP(IP_Master[[#This Row],[LAN IP Address]])</f>
        <v>010.012.000.203</v>
      </c>
    </row>
    <row r="252" spans="1:7" ht="18" customHeight="1" x14ac:dyDescent="0.4">
      <c r="A252" s="3" t="s">
        <v>836</v>
      </c>
      <c r="B252" s="3" t="s">
        <v>432</v>
      </c>
      <c r="C252" s="3" t="s">
        <v>18</v>
      </c>
      <c r="D252" s="3"/>
      <c r="E252" s="3"/>
      <c r="F252" s="3"/>
      <c r="G252" s="5" t="str">
        <f>formatIP(IP_Master[[#This Row],[LAN IP Address]])</f>
        <v>010.012.000.204</v>
      </c>
    </row>
    <row r="253" spans="1:7" ht="18" customHeight="1" x14ac:dyDescent="0.4">
      <c r="A253" s="3" t="s">
        <v>837</v>
      </c>
      <c r="B253" s="3" t="s">
        <v>432</v>
      </c>
      <c r="C253" s="3" t="s">
        <v>18</v>
      </c>
      <c r="D253" s="3"/>
      <c r="E253" s="3"/>
      <c r="F253" s="3"/>
      <c r="G253" s="5" t="str">
        <f>formatIP(IP_Master[[#This Row],[LAN IP Address]])</f>
        <v>010.012.000.205</v>
      </c>
    </row>
    <row r="254" spans="1:7" ht="18" customHeight="1" x14ac:dyDescent="0.4">
      <c r="A254" s="3" t="s">
        <v>838</v>
      </c>
      <c r="B254" s="3" t="s">
        <v>432</v>
      </c>
      <c r="C254" s="3" t="s">
        <v>18</v>
      </c>
      <c r="D254" s="3"/>
      <c r="E254" s="3"/>
      <c r="F254" s="3"/>
      <c r="G254" s="5" t="str">
        <f>formatIP(IP_Master[[#This Row],[LAN IP Address]])</f>
        <v>010.012.000.206</v>
      </c>
    </row>
    <row r="255" spans="1:7" ht="18" customHeight="1" x14ac:dyDescent="0.4">
      <c r="A255" s="3" t="s">
        <v>839</v>
      </c>
      <c r="B255" s="3" t="s">
        <v>432</v>
      </c>
      <c r="C255" s="3" t="s">
        <v>18</v>
      </c>
      <c r="D255" s="3"/>
      <c r="E255" s="3"/>
      <c r="F255" s="3"/>
      <c r="G255" s="5" t="str">
        <f>formatIP(IP_Master[[#This Row],[LAN IP Address]])</f>
        <v>010.012.000.207</v>
      </c>
    </row>
    <row r="256" spans="1:7" ht="18" customHeight="1" x14ac:dyDescent="0.4">
      <c r="A256" s="3" t="s">
        <v>840</v>
      </c>
      <c r="B256" s="3" t="s">
        <v>432</v>
      </c>
      <c r="C256" s="3" t="s">
        <v>18</v>
      </c>
      <c r="D256" s="3"/>
      <c r="E256" s="3"/>
      <c r="F256" s="3"/>
      <c r="G256" s="5" t="str">
        <f>formatIP(IP_Master[[#This Row],[LAN IP Address]])</f>
        <v>010.012.000.208</v>
      </c>
    </row>
    <row r="257" spans="1:7" ht="18" customHeight="1" x14ac:dyDescent="0.4">
      <c r="A257" s="3" t="s">
        <v>841</v>
      </c>
      <c r="B257" s="3" t="s">
        <v>432</v>
      </c>
      <c r="C257" s="3" t="s">
        <v>18</v>
      </c>
      <c r="D257" s="3"/>
      <c r="E257" s="3"/>
      <c r="F257" s="3"/>
      <c r="G257" s="5" t="str">
        <f>formatIP(IP_Master[[#This Row],[LAN IP Address]])</f>
        <v>010.012.000.209</v>
      </c>
    </row>
    <row r="258" spans="1:7" ht="18" customHeight="1" x14ac:dyDescent="0.4">
      <c r="A258" s="3" t="s">
        <v>842</v>
      </c>
      <c r="B258" s="3" t="s">
        <v>432</v>
      </c>
      <c r="C258" s="3" t="s">
        <v>18</v>
      </c>
      <c r="D258" s="3"/>
      <c r="E258" s="3"/>
      <c r="F258" s="3"/>
      <c r="G258" s="5" t="str">
        <f>formatIP(IP_Master[[#This Row],[LAN IP Address]])</f>
        <v>010.012.000.210</v>
      </c>
    </row>
    <row r="259" spans="1:7" ht="18" customHeight="1" x14ac:dyDescent="0.4">
      <c r="A259" s="3" t="s">
        <v>843</v>
      </c>
      <c r="B259" s="3" t="s">
        <v>432</v>
      </c>
      <c r="C259" s="3" t="s">
        <v>18</v>
      </c>
      <c r="D259" s="3"/>
      <c r="E259" s="3"/>
      <c r="F259" s="3"/>
      <c r="G259" s="5" t="str">
        <f>formatIP(IP_Master[[#This Row],[LAN IP Address]])</f>
        <v>010.012.000.211</v>
      </c>
    </row>
    <row r="260" spans="1:7" ht="18" customHeight="1" x14ac:dyDescent="0.4">
      <c r="A260" s="3" t="s">
        <v>844</v>
      </c>
      <c r="B260" s="3" t="s">
        <v>432</v>
      </c>
      <c r="C260" s="3" t="s">
        <v>18</v>
      </c>
      <c r="D260" s="3"/>
      <c r="E260" s="3"/>
      <c r="F260" s="3"/>
      <c r="G260" s="5" t="str">
        <f>formatIP(IP_Master[[#This Row],[LAN IP Address]])</f>
        <v>010.012.000.212</v>
      </c>
    </row>
    <row r="261" spans="1:7" ht="18" customHeight="1" x14ac:dyDescent="0.4">
      <c r="A261" s="3" t="s">
        <v>845</v>
      </c>
      <c r="B261" s="3" t="s">
        <v>432</v>
      </c>
      <c r="C261" s="3" t="s">
        <v>18</v>
      </c>
      <c r="D261" s="3"/>
      <c r="E261" s="3"/>
      <c r="F261" s="3"/>
      <c r="G261" s="5" t="str">
        <f>formatIP(IP_Master[[#This Row],[LAN IP Address]])</f>
        <v>010.012.000.213</v>
      </c>
    </row>
    <row r="262" spans="1:7" ht="18" customHeight="1" x14ac:dyDescent="0.4">
      <c r="A262" s="3" t="s">
        <v>846</v>
      </c>
      <c r="B262" s="3" t="s">
        <v>432</v>
      </c>
      <c r="C262" s="3" t="s">
        <v>18</v>
      </c>
      <c r="D262" s="3"/>
      <c r="E262" s="3"/>
      <c r="F262" s="3"/>
      <c r="G262" s="5" t="str">
        <f>formatIP(IP_Master[[#This Row],[LAN IP Address]])</f>
        <v>010.012.000.214</v>
      </c>
    </row>
    <row r="263" spans="1:7" ht="18" customHeight="1" x14ac:dyDescent="0.4">
      <c r="A263" s="3" t="s">
        <v>847</v>
      </c>
      <c r="B263" s="3" t="s">
        <v>432</v>
      </c>
      <c r="C263" s="3" t="s">
        <v>18</v>
      </c>
      <c r="D263" s="3"/>
      <c r="E263" s="3"/>
      <c r="F263" s="3"/>
      <c r="G263" s="5" t="str">
        <f>formatIP(IP_Master[[#This Row],[LAN IP Address]])</f>
        <v>010.012.000.215</v>
      </c>
    </row>
    <row r="264" spans="1:7" ht="18" customHeight="1" x14ac:dyDescent="0.4">
      <c r="A264" s="3" t="s">
        <v>848</v>
      </c>
      <c r="B264" s="3" t="s">
        <v>432</v>
      </c>
      <c r="C264" s="3" t="s">
        <v>18</v>
      </c>
      <c r="D264" s="3"/>
      <c r="E264" s="3"/>
      <c r="F264" s="3"/>
      <c r="G264" s="5" t="str">
        <f>formatIP(IP_Master[[#This Row],[LAN IP Address]])</f>
        <v>010.012.000.216</v>
      </c>
    </row>
    <row r="265" spans="1:7" ht="18" customHeight="1" x14ac:dyDescent="0.4">
      <c r="A265" s="3" t="s">
        <v>849</v>
      </c>
      <c r="B265" s="3" t="s">
        <v>432</v>
      </c>
      <c r="C265" s="3" t="s">
        <v>18</v>
      </c>
      <c r="D265" s="3"/>
      <c r="E265" s="3"/>
      <c r="F265" s="3"/>
      <c r="G265" s="5" t="str">
        <f>formatIP(IP_Master[[#This Row],[LAN IP Address]])</f>
        <v>010.012.000.217</v>
      </c>
    </row>
    <row r="266" spans="1:7" ht="18" customHeight="1" x14ac:dyDescent="0.4">
      <c r="A266" s="3" t="s">
        <v>850</v>
      </c>
      <c r="B266" s="3" t="s">
        <v>432</v>
      </c>
      <c r="C266" s="3" t="s">
        <v>18</v>
      </c>
      <c r="D266" s="3"/>
      <c r="E266" s="3"/>
      <c r="F266" s="3"/>
      <c r="G266" s="5" t="str">
        <f>formatIP(IP_Master[[#This Row],[LAN IP Address]])</f>
        <v>010.012.000.218</v>
      </c>
    </row>
    <row r="267" spans="1:7" ht="18" customHeight="1" x14ac:dyDescent="0.4">
      <c r="A267" s="3" t="s">
        <v>851</v>
      </c>
      <c r="B267" s="3" t="s">
        <v>852</v>
      </c>
      <c r="C267" s="3" t="s">
        <v>18</v>
      </c>
      <c r="D267" s="3"/>
      <c r="E267" s="3"/>
      <c r="F267" s="3"/>
      <c r="G267" s="5" t="str">
        <f>formatIP(IP_Master[[#This Row],[LAN IP Address]])</f>
        <v>010.012.000.221</v>
      </c>
    </row>
    <row r="268" spans="1:7" ht="18" customHeight="1" x14ac:dyDescent="0.4">
      <c r="A268" s="3" t="s">
        <v>853</v>
      </c>
      <c r="B268" s="3" t="s">
        <v>852</v>
      </c>
      <c r="C268" s="3" t="s">
        <v>18</v>
      </c>
      <c r="D268" s="3"/>
      <c r="E268" s="3"/>
      <c r="F268" s="3"/>
      <c r="G268" s="5" t="str">
        <f>formatIP(IP_Master[[#This Row],[LAN IP Address]])</f>
        <v>010.012.000.222</v>
      </c>
    </row>
    <row r="269" spans="1:7" ht="18" customHeight="1" x14ac:dyDescent="0.4">
      <c r="A269" s="3" t="s">
        <v>186</v>
      </c>
      <c r="B269" s="3" t="s">
        <v>852</v>
      </c>
      <c r="C269" s="3" t="s">
        <v>18</v>
      </c>
      <c r="D269" s="3" t="s">
        <v>854</v>
      </c>
      <c r="E269" s="3" t="s">
        <v>855</v>
      </c>
      <c r="F269" s="3">
        <v>200082982</v>
      </c>
      <c r="G269" s="5" t="str">
        <f>formatIP(IP_Master[[#This Row],[LAN IP Address]])</f>
        <v>010.012.000.223</v>
      </c>
    </row>
    <row r="270" spans="1:7" ht="18" customHeight="1" x14ac:dyDescent="0.4">
      <c r="A270" s="3" t="s">
        <v>856</v>
      </c>
      <c r="B270" s="3" t="s">
        <v>852</v>
      </c>
      <c r="C270" s="3" t="s">
        <v>18</v>
      </c>
      <c r="D270" s="3" t="s">
        <v>857</v>
      </c>
      <c r="E270" s="3" t="s">
        <v>858</v>
      </c>
      <c r="F270" s="3">
        <v>200177172</v>
      </c>
      <c r="G270" s="5" t="str">
        <f>formatIP(IP_Master[[#This Row],[LAN IP Address]])</f>
        <v>010.012.000.224</v>
      </c>
    </row>
    <row r="271" spans="1:7" ht="18" customHeight="1" x14ac:dyDescent="0.4">
      <c r="A271" s="3" t="s">
        <v>859</v>
      </c>
      <c r="B271" s="3" t="s">
        <v>852</v>
      </c>
      <c r="C271" s="3" t="s">
        <v>18</v>
      </c>
      <c r="D271" s="3"/>
      <c r="E271" s="3"/>
      <c r="F271" s="3"/>
      <c r="G271" s="5" t="str">
        <f>formatIP(IP_Master[[#This Row],[LAN IP Address]])</f>
        <v>010.012.000.225</v>
      </c>
    </row>
    <row r="272" spans="1:7" ht="18" customHeight="1" x14ac:dyDescent="0.4">
      <c r="A272" s="3" t="s">
        <v>860</v>
      </c>
      <c r="B272" s="3" t="s">
        <v>852</v>
      </c>
      <c r="C272" s="3" t="s">
        <v>18</v>
      </c>
      <c r="D272" s="3" t="s">
        <v>861</v>
      </c>
      <c r="E272" s="3" t="s">
        <v>862</v>
      </c>
      <c r="F272" s="3"/>
      <c r="G272" s="5" t="str">
        <f>formatIP(IP_Master[[#This Row],[LAN IP Address]])</f>
        <v>010.012.000.226</v>
      </c>
    </row>
    <row r="273" spans="1:7" ht="18" customHeight="1" x14ac:dyDescent="0.4">
      <c r="A273" s="3" t="s">
        <v>863</v>
      </c>
      <c r="B273" s="3" t="s">
        <v>852</v>
      </c>
      <c r="C273" s="3" t="s">
        <v>18</v>
      </c>
      <c r="D273" s="3"/>
      <c r="E273" s="3"/>
      <c r="F273" s="3"/>
      <c r="G273" s="5" t="str">
        <f>formatIP(IP_Master[[#This Row],[LAN IP Address]])</f>
        <v>010.012.000.227</v>
      </c>
    </row>
    <row r="274" spans="1:7" ht="18" customHeight="1" x14ac:dyDescent="0.4">
      <c r="A274" s="3" t="s">
        <v>864</v>
      </c>
      <c r="B274" s="3" t="s">
        <v>852</v>
      </c>
      <c r="C274" s="3" t="s">
        <v>18</v>
      </c>
      <c r="D274" s="3"/>
      <c r="E274" s="3"/>
      <c r="F274" s="3"/>
      <c r="G274" s="5" t="str">
        <f>formatIP(IP_Master[[#This Row],[LAN IP Address]])</f>
        <v>010.012.000.228</v>
      </c>
    </row>
    <row r="275" spans="1:7" ht="18" customHeight="1" x14ac:dyDescent="0.4">
      <c r="A275" s="3" t="s">
        <v>865</v>
      </c>
      <c r="B275" s="3" t="s">
        <v>852</v>
      </c>
      <c r="C275" s="3" t="s">
        <v>18</v>
      </c>
      <c r="D275" s="3"/>
      <c r="E275" s="3"/>
      <c r="F275" s="3"/>
      <c r="G275" s="5" t="str">
        <f>formatIP(IP_Master[[#This Row],[LAN IP Address]])</f>
        <v>010.012.000.229</v>
      </c>
    </row>
    <row r="276" spans="1:7" ht="18" customHeight="1" x14ac:dyDescent="0.4">
      <c r="A276" s="3" t="s">
        <v>866</v>
      </c>
      <c r="B276" s="3" t="s">
        <v>852</v>
      </c>
      <c r="C276" s="3" t="s">
        <v>18</v>
      </c>
      <c r="D276" s="3"/>
      <c r="E276" s="3"/>
      <c r="F276" s="3"/>
      <c r="G276" s="5" t="str">
        <f>formatIP(IP_Master[[#This Row],[LAN IP Address]])</f>
        <v>010.012.000.230</v>
      </c>
    </row>
    <row r="277" spans="1:7" ht="18" customHeight="1" x14ac:dyDescent="0.4">
      <c r="A277" s="3" t="s">
        <v>867</v>
      </c>
      <c r="B277" s="3" t="s">
        <v>852</v>
      </c>
      <c r="C277" s="3" t="s">
        <v>18</v>
      </c>
      <c r="D277" s="3"/>
      <c r="E277" s="3"/>
      <c r="F277" s="3"/>
      <c r="G277" s="5" t="str">
        <f>formatIP(IP_Master[[#This Row],[LAN IP Address]])</f>
        <v>010.012.000.231</v>
      </c>
    </row>
    <row r="278" spans="1:7" ht="18" customHeight="1" x14ac:dyDescent="0.4">
      <c r="A278" s="3" t="s">
        <v>868</v>
      </c>
      <c r="B278" s="3" t="s">
        <v>852</v>
      </c>
      <c r="C278" s="3" t="s">
        <v>18</v>
      </c>
      <c r="D278" s="3"/>
      <c r="E278" s="3"/>
      <c r="F278" s="3"/>
      <c r="G278" s="5" t="str">
        <f>formatIP(IP_Master[[#This Row],[LAN IP Address]])</f>
        <v>010.012.000.232</v>
      </c>
    </row>
    <row r="279" spans="1:7" ht="18" customHeight="1" x14ac:dyDescent="0.4">
      <c r="A279" s="3" t="s">
        <v>869</v>
      </c>
      <c r="B279" s="3" t="s">
        <v>852</v>
      </c>
      <c r="C279" s="3" t="s">
        <v>18</v>
      </c>
      <c r="D279" s="3"/>
      <c r="E279" s="3"/>
      <c r="F279" s="3"/>
      <c r="G279" s="5" t="str">
        <f>formatIP(IP_Master[[#This Row],[LAN IP Address]])</f>
        <v>010.012.000.233</v>
      </c>
    </row>
    <row r="280" spans="1:7" ht="18" customHeight="1" x14ac:dyDescent="0.4">
      <c r="A280" s="3" t="s">
        <v>870</v>
      </c>
      <c r="B280" s="3" t="s">
        <v>852</v>
      </c>
      <c r="C280" s="3" t="s">
        <v>18</v>
      </c>
      <c r="D280" s="3"/>
      <c r="E280" s="3"/>
      <c r="F280" s="3"/>
      <c r="G280" s="5" t="str">
        <f>formatIP(IP_Master[[#This Row],[LAN IP Address]])</f>
        <v>010.012.000.234</v>
      </c>
    </row>
    <row r="281" spans="1:7" ht="18" customHeight="1" x14ac:dyDescent="0.4">
      <c r="A281" s="3" t="s">
        <v>871</v>
      </c>
      <c r="B281" s="3" t="s">
        <v>852</v>
      </c>
      <c r="C281" s="3" t="s">
        <v>18</v>
      </c>
      <c r="D281" s="3"/>
      <c r="E281" s="3"/>
      <c r="F281" s="3"/>
      <c r="G281" s="5" t="str">
        <f>formatIP(IP_Master[[#This Row],[LAN IP Address]])</f>
        <v>010.012.000.235</v>
      </c>
    </row>
    <row r="282" spans="1:7" ht="18" customHeight="1" x14ac:dyDescent="0.4">
      <c r="A282" s="3" t="s">
        <v>872</v>
      </c>
      <c r="B282" s="3" t="s">
        <v>852</v>
      </c>
      <c r="C282" s="3" t="s">
        <v>18</v>
      </c>
      <c r="D282" s="3"/>
      <c r="E282" s="3"/>
      <c r="F282" s="3"/>
      <c r="G282" s="5" t="str">
        <f>formatIP(IP_Master[[#This Row],[LAN IP Address]])</f>
        <v>010.012.000.236</v>
      </c>
    </row>
    <row r="283" spans="1:7" ht="18" customHeight="1" x14ac:dyDescent="0.4">
      <c r="A283" s="3" t="s">
        <v>873</v>
      </c>
      <c r="B283" s="3" t="s">
        <v>852</v>
      </c>
      <c r="C283" s="3" t="s">
        <v>18</v>
      </c>
      <c r="D283" s="3"/>
      <c r="E283" s="3"/>
      <c r="F283" s="3"/>
      <c r="G283" s="5" t="str">
        <f>formatIP(IP_Master[[#This Row],[LAN IP Address]])</f>
        <v>010.012.000.237</v>
      </c>
    </row>
    <row r="284" spans="1:7" ht="18" customHeight="1" x14ac:dyDescent="0.4">
      <c r="A284" s="3" t="s">
        <v>874</v>
      </c>
      <c r="B284" s="3" t="s">
        <v>852</v>
      </c>
      <c r="C284" s="3" t="s">
        <v>18</v>
      </c>
      <c r="D284" s="3"/>
      <c r="E284" s="3"/>
      <c r="F284" s="3"/>
      <c r="G284" s="5" t="str">
        <f>formatIP(IP_Master[[#This Row],[LAN IP Address]])</f>
        <v>010.012.000.238</v>
      </c>
    </row>
    <row r="285" spans="1:7" ht="18" customHeight="1" x14ac:dyDescent="0.4">
      <c r="A285" s="3" t="s">
        <v>875</v>
      </c>
      <c r="B285" s="3" t="s">
        <v>852</v>
      </c>
      <c r="C285" s="3" t="s">
        <v>18</v>
      </c>
      <c r="D285" s="3"/>
      <c r="E285" s="3"/>
      <c r="F285" s="3"/>
      <c r="G285" s="5" t="str">
        <f>formatIP(IP_Master[[#This Row],[LAN IP Address]])</f>
        <v>010.012.000.239</v>
      </c>
    </row>
    <row r="286" spans="1:7" ht="18" customHeight="1" x14ac:dyDescent="0.4">
      <c r="A286" s="3" t="s">
        <v>150</v>
      </c>
      <c r="B286" s="3" t="s">
        <v>852</v>
      </c>
      <c r="C286" s="3" t="s">
        <v>18</v>
      </c>
      <c r="D286" s="3" t="s">
        <v>876</v>
      </c>
      <c r="E286" s="3"/>
      <c r="F286" s="3"/>
      <c r="G286" s="5" t="str">
        <f>formatIP(IP_Master[[#This Row],[LAN IP Address]])</f>
        <v>010.012.000.240</v>
      </c>
    </row>
    <row r="287" spans="1:7" ht="18" customHeight="1" x14ac:dyDescent="0.4">
      <c r="A287" s="3" t="s">
        <v>877</v>
      </c>
      <c r="B287" s="3" t="s">
        <v>492</v>
      </c>
      <c r="C287" s="3" t="s">
        <v>18</v>
      </c>
      <c r="D287" s="3" t="s">
        <v>878</v>
      </c>
      <c r="E287" s="3" t="s">
        <v>879</v>
      </c>
      <c r="F287" s="3"/>
      <c r="G287" s="5" t="str">
        <f>formatIP(IP_Master[[#This Row],[LAN IP Address]])</f>
        <v>010.012.000.242</v>
      </c>
    </row>
    <row r="288" spans="1:7" ht="18" customHeight="1" x14ac:dyDescent="0.4">
      <c r="A288" s="3" t="s">
        <v>880</v>
      </c>
      <c r="B288" s="3" t="s">
        <v>492</v>
      </c>
      <c r="C288" s="3" t="s">
        <v>18</v>
      </c>
      <c r="D288" s="3" t="s">
        <v>881</v>
      </c>
      <c r="E288" s="3" t="s">
        <v>882</v>
      </c>
      <c r="F288" s="3"/>
      <c r="G288" s="5" t="str">
        <f>formatIP(IP_Master[[#This Row],[LAN IP Address]])</f>
        <v>010.012.000.243</v>
      </c>
    </row>
    <row r="289" spans="1:7" ht="18" customHeight="1" x14ac:dyDescent="0.4">
      <c r="A289" s="3" t="s">
        <v>883</v>
      </c>
      <c r="B289" s="3" t="s">
        <v>492</v>
      </c>
      <c r="C289" s="3" t="s">
        <v>18</v>
      </c>
      <c r="D289" s="3" t="s">
        <v>884</v>
      </c>
      <c r="E289" s="3" t="s">
        <v>885</v>
      </c>
      <c r="F289" s="3"/>
      <c r="G289" s="5" t="str">
        <f>formatIP(IP_Master[[#This Row],[LAN IP Address]])</f>
        <v>010.012.000.244</v>
      </c>
    </row>
    <row r="290" spans="1:7" ht="18" customHeight="1" x14ac:dyDescent="0.4">
      <c r="A290" s="3" t="s">
        <v>886</v>
      </c>
      <c r="B290" s="3" t="s">
        <v>492</v>
      </c>
      <c r="C290" s="3" t="s">
        <v>18</v>
      </c>
      <c r="D290" s="3" t="s">
        <v>887</v>
      </c>
      <c r="E290" s="3" t="s">
        <v>888</v>
      </c>
      <c r="F290" s="3"/>
      <c r="G290" s="5" t="str">
        <f>formatIP(IP_Master[[#This Row],[LAN IP Address]])</f>
        <v>010.012.000.245</v>
      </c>
    </row>
    <row r="291" spans="1:7" ht="18" customHeight="1" x14ac:dyDescent="0.4">
      <c r="A291" s="3" t="s">
        <v>889</v>
      </c>
      <c r="B291" s="3" t="s">
        <v>492</v>
      </c>
      <c r="C291" s="3" t="s">
        <v>18</v>
      </c>
      <c r="D291" s="3" t="s">
        <v>890</v>
      </c>
      <c r="E291" s="3" t="s">
        <v>891</v>
      </c>
      <c r="F291" s="3"/>
      <c r="G291" s="5" t="str">
        <f>formatIP(IP_Master[[#This Row],[LAN IP Address]])</f>
        <v>010.012.000.246</v>
      </c>
    </row>
    <row r="292" spans="1:7" ht="18" customHeight="1" x14ac:dyDescent="0.4">
      <c r="A292" s="3" t="s">
        <v>892</v>
      </c>
      <c r="B292" s="3" t="s">
        <v>492</v>
      </c>
      <c r="C292" s="3" t="s">
        <v>18</v>
      </c>
      <c r="D292" s="3" t="s">
        <v>893</v>
      </c>
      <c r="E292" s="3" t="s">
        <v>894</v>
      </c>
      <c r="F292" s="3"/>
      <c r="G292" s="5" t="str">
        <f>formatIP(IP_Master[[#This Row],[LAN IP Address]])</f>
        <v>010.012.000.247</v>
      </c>
    </row>
    <row r="293" spans="1:7" ht="18" customHeight="1" x14ac:dyDescent="0.4">
      <c r="A293" s="3" t="s">
        <v>895</v>
      </c>
      <c r="B293" s="3" t="s">
        <v>492</v>
      </c>
      <c r="C293" s="3" t="s">
        <v>18</v>
      </c>
      <c r="D293" s="3" t="s">
        <v>896</v>
      </c>
      <c r="E293" s="3" t="s">
        <v>897</v>
      </c>
      <c r="F293" s="3"/>
      <c r="G293" s="5" t="str">
        <f>formatIP(IP_Master[[#This Row],[LAN IP Address]])</f>
        <v>010.012.000.248</v>
      </c>
    </row>
    <row r="294" spans="1:7" ht="18" customHeight="1" x14ac:dyDescent="0.4">
      <c r="A294" s="3" t="s">
        <v>898</v>
      </c>
      <c r="B294" s="3" t="s">
        <v>492</v>
      </c>
      <c r="C294" s="3" t="s">
        <v>18</v>
      </c>
      <c r="D294" s="3" t="s">
        <v>899</v>
      </c>
      <c r="E294" s="3" t="s">
        <v>900</v>
      </c>
      <c r="F294" s="3"/>
      <c r="G294" s="5" t="str">
        <f>formatIP(IP_Master[[#This Row],[LAN IP Address]])</f>
        <v>010.012.000.249</v>
      </c>
    </row>
    <row r="295" spans="1:7" ht="18" customHeight="1" x14ac:dyDescent="0.4">
      <c r="A295" s="3" t="s">
        <v>901</v>
      </c>
      <c r="B295" s="3" t="s">
        <v>492</v>
      </c>
      <c r="C295" s="3" t="s">
        <v>18</v>
      </c>
      <c r="D295" s="3" t="s">
        <v>902</v>
      </c>
      <c r="E295" s="3" t="s">
        <v>903</v>
      </c>
      <c r="F295" s="3"/>
      <c r="G295" s="5" t="str">
        <f>formatIP(IP_Master[[#This Row],[LAN IP Address]])</f>
        <v>010.012.000.250</v>
      </c>
    </row>
    <row r="296" spans="1:7" ht="18" customHeight="1" x14ac:dyDescent="0.4">
      <c r="A296" s="3" t="s">
        <v>147</v>
      </c>
      <c r="B296" s="3" t="s">
        <v>492</v>
      </c>
      <c r="C296" s="3" t="s">
        <v>18</v>
      </c>
      <c r="D296" s="3" t="s">
        <v>463</v>
      </c>
      <c r="E296" s="3" t="s">
        <v>904</v>
      </c>
      <c r="F296" s="3"/>
      <c r="G296" s="5" t="str">
        <f>formatIP(IP_Master[[#This Row],[LAN IP Address]])</f>
        <v>010.012.000.251</v>
      </c>
    </row>
    <row r="297" spans="1:7" ht="18" customHeight="1" x14ac:dyDescent="0.4">
      <c r="A297" s="3" t="s">
        <v>51</v>
      </c>
      <c r="B297" s="3" t="s">
        <v>492</v>
      </c>
      <c r="C297" s="3" t="s">
        <v>18</v>
      </c>
      <c r="D297" s="3" t="s">
        <v>905</v>
      </c>
      <c r="E297" s="3" t="s">
        <v>906</v>
      </c>
      <c r="F297" s="3"/>
      <c r="G297" s="5" t="str">
        <f>formatIP(IP_Master[[#This Row],[LAN IP Address]])</f>
        <v>010.012.000.252</v>
      </c>
    </row>
    <row r="298" spans="1:7" ht="18" customHeight="1" x14ac:dyDescent="0.4">
      <c r="A298" s="3" t="s">
        <v>169</v>
      </c>
      <c r="B298" s="3" t="s">
        <v>492</v>
      </c>
      <c r="C298" s="3" t="s">
        <v>18</v>
      </c>
      <c r="D298" s="3" t="s">
        <v>907</v>
      </c>
      <c r="E298" s="3" t="s">
        <v>908</v>
      </c>
      <c r="F298" s="3"/>
      <c r="G298" s="5" t="str">
        <f>formatIP(IP_Master[[#This Row],[LAN IP Address]])</f>
        <v>010.012.000.253</v>
      </c>
    </row>
    <row r="299" spans="1:7" ht="18" customHeight="1" x14ac:dyDescent="0.4">
      <c r="A299" s="3" t="s">
        <v>909</v>
      </c>
      <c r="B299" s="3" t="s">
        <v>492</v>
      </c>
      <c r="C299" s="3" t="s">
        <v>18</v>
      </c>
      <c r="D299" s="3"/>
      <c r="E299" s="3"/>
      <c r="F299" s="3"/>
      <c r="G299" s="5" t="str">
        <f>formatIP(IP_Master[[#This Row],[LAN IP Address]])</f>
        <v>010.012.000.255</v>
      </c>
    </row>
    <row r="300" spans="1:7" ht="18" customHeight="1" x14ac:dyDescent="0.4">
      <c r="A300" s="3" t="s">
        <v>910</v>
      </c>
      <c r="B300" s="3" t="s">
        <v>569</v>
      </c>
      <c r="C300" s="3" t="s">
        <v>19</v>
      </c>
      <c r="D300" s="3" t="s">
        <v>911</v>
      </c>
      <c r="E300" s="3" t="s">
        <v>912</v>
      </c>
      <c r="F300" s="3"/>
      <c r="G300" s="5" t="str">
        <f>formatIP(IP_Master[[#This Row],[LAN IP Address]])</f>
        <v>010.012.001.021</v>
      </c>
    </row>
    <row r="301" spans="1:7" ht="18" customHeight="1" x14ac:dyDescent="0.4">
      <c r="A301" s="3" t="s">
        <v>913</v>
      </c>
      <c r="B301" s="3" t="s">
        <v>569</v>
      </c>
      <c r="C301" s="3" t="s">
        <v>19</v>
      </c>
      <c r="D301" s="3" t="s">
        <v>914</v>
      </c>
      <c r="E301" s="3" t="s">
        <v>915</v>
      </c>
      <c r="F301" s="3"/>
      <c r="G301" s="5" t="str">
        <f>formatIP(IP_Master[[#This Row],[LAN IP Address]])</f>
        <v>010.012.001.022</v>
      </c>
    </row>
    <row r="302" spans="1:7" ht="18" customHeight="1" x14ac:dyDescent="0.4">
      <c r="A302" s="3" t="s">
        <v>916</v>
      </c>
      <c r="B302" s="3" t="s">
        <v>569</v>
      </c>
      <c r="C302" s="3" t="s">
        <v>19</v>
      </c>
      <c r="D302" s="3" t="s">
        <v>917</v>
      </c>
      <c r="E302" s="3" t="s">
        <v>918</v>
      </c>
      <c r="F302" s="3"/>
      <c r="G302" s="5" t="str">
        <f>formatIP(IP_Master[[#This Row],[LAN IP Address]])</f>
        <v>010.012.001.023</v>
      </c>
    </row>
    <row r="303" spans="1:7" ht="18" customHeight="1" x14ac:dyDescent="0.4">
      <c r="A303" s="3" t="s">
        <v>65</v>
      </c>
      <c r="B303" s="3" t="s">
        <v>569</v>
      </c>
      <c r="C303" s="3" t="s">
        <v>19</v>
      </c>
      <c r="D303" s="3" t="s">
        <v>919</v>
      </c>
      <c r="E303" s="3" t="s">
        <v>920</v>
      </c>
      <c r="F303" s="3"/>
      <c r="G303" s="5" t="str">
        <f>formatIP(IP_Master[[#This Row],[LAN IP Address]])</f>
        <v>010.012.001.024</v>
      </c>
    </row>
    <row r="304" spans="1:7" ht="18" customHeight="1" x14ac:dyDescent="0.4">
      <c r="A304" s="3" t="s">
        <v>921</v>
      </c>
      <c r="B304" s="3" t="s">
        <v>569</v>
      </c>
      <c r="C304" s="3" t="s">
        <v>19</v>
      </c>
      <c r="D304" s="3" t="s">
        <v>922</v>
      </c>
      <c r="E304" s="3" t="s">
        <v>923</v>
      </c>
      <c r="F304" s="3"/>
      <c r="G304" s="5" t="str">
        <f>formatIP(IP_Master[[#This Row],[LAN IP Address]])</f>
        <v>010.012.001.025</v>
      </c>
    </row>
    <row r="305" spans="1:7" ht="18" customHeight="1" x14ac:dyDescent="0.4">
      <c r="A305" s="3" t="s">
        <v>924</v>
      </c>
      <c r="B305" s="3" t="s">
        <v>569</v>
      </c>
      <c r="C305" s="3" t="s">
        <v>19</v>
      </c>
      <c r="D305" s="3" t="s">
        <v>925</v>
      </c>
      <c r="E305" s="3" t="s">
        <v>926</v>
      </c>
      <c r="F305" s="3"/>
      <c r="G305" s="5" t="str">
        <f>formatIP(IP_Master[[#This Row],[LAN IP Address]])</f>
        <v>010.012.001.026</v>
      </c>
    </row>
    <row r="306" spans="1:7" ht="18" customHeight="1" x14ac:dyDescent="0.4">
      <c r="A306" s="3" t="s">
        <v>927</v>
      </c>
      <c r="B306" s="3" t="s">
        <v>569</v>
      </c>
      <c r="C306" s="3" t="s">
        <v>19</v>
      </c>
      <c r="D306" s="3"/>
      <c r="E306" s="3"/>
      <c r="F306" s="3"/>
      <c r="G306" s="5" t="str">
        <f>formatIP(IP_Master[[#This Row],[LAN IP Address]])</f>
        <v>010.012.001.027</v>
      </c>
    </row>
    <row r="307" spans="1:7" ht="18" customHeight="1" x14ac:dyDescent="0.4">
      <c r="A307" s="3" t="s">
        <v>928</v>
      </c>
      <c r="B307" s="3" t="s">
        <v>569</v>
      </c>
      <c r="C307" s="3" t="s">
        <v>19</v>
      </c>
      <c r="D307" s="3"/>
      <c r="E307" s="3"/>
      <c r="F307" s="3"/>
      <c r="G307" s="5" t="str">
        <f>formatIP(IP_Master[[#This Row],[LAN IP Address]])</f>
        <v>010.012.001.028</v>
      </c>
    </row>
    <row r="308" spans="1:7" ht="18" customHeight="1" x14ac:dyDescent="0.4">
      <c r="A308" s="3" t="s">
        <v>929</v>
      </c>
      <c r="B308" s="3" t="s">
        <v>569</v>
      </c>
      <c r="C308" s="3" t="s">
        <v>19</v>
      </c>
      <c r="D308" s="3"/>
      <c r="E308" s="3"/>
      <c r="F308" s="3"/>
      <c r="G308" s="5" t="str">
        <f>formatIP(IP_Master[[#This Row],[LAN IP Address]])</f>
        <v>010.012.001.029</v>
      </c>
    </row>
    <row r="309" spans="1:7" ht="18" customHeight="1" x14ac:dyDescent="0.4">
      <c r="A309" s="3" t="s">
        <v>930</v>
      </c>
      <c r="B309" s="3" t="s">
        <v>569</v>
      </c>
      <c r="C309" s="3" t="s">
        <v>19</v>
      </c>
      <c r="D309" s="3"/>
      <c r="E309" s="3"/>
      <c r="F309" s="3"/>
      <c r="G309" s="5" t="str">
        <f>formatIP(IP_Master[[#This Row],[LAN IP Address]])</f>
        <v>010.012.001.030</v>
      </c>
    </row>
    <row r="310" spans="1:7" ht="18" customHeight="1" x14ac:dyDescent="0.4">
      <c r="A310" s="3" t="s">
        <v>931</v>
      </c>
      <c r="B310" s="3" t="s">
        <v>569</v>
      </c>
      <c r="C310" s="3" t="s">
        <v>19</v>
      </c>
      <c r="D310" s="3"/>
      <c r="E310" s="3"/>
      <c r="F310" s="3"/>
      <c r="G310" s="5" t="str">
        <f>formatIP(IP_Master[[#This Row],[LAN IP Address]])</f>
        <v>010.012.001.031</v>
      </c>
    </row>
    <row r="311" spans="1:7" ht="18" customHeight="1" x14ac:dyDescent="0.4">
      <c r="A311" s="3" t="s">
        <v>932</v>
      </c>
      <c r="B311" s="3" t="s">
        <v>569</v>
      </c>
      <c r="C311" s="3" t="s">
        <v>19</v>
      </c>
      <c r="D311" s="3"/>
      <c r="E311" s="3"/>
      <c r="F311" s="3"/>
      <c r="G311" s="5" t="str">
        <f>formatIP(IP_Master[[#This Row],[LAN IP Address]])</f>
        <v>010.012.001.032</v>
      </c>
    </row>
    <row r="312" spans="1:7" ht="18" customHeight="1" x14ac:dyDescent="0.4">
      <c r="A312" s="3" t="s">
        <v>76</v>
      </c>
      <c r="B312" s="3" t="s">
        <v>569</v>
      </c>
      <c r="C312" s="3" t="s">
        <v>19</v>
      </c>
      <c r="D312" s="3" t="s">
        <v>403</v>
      </c>
      <c r="E312" s="3" t="s">
        <v>933</v>
      </c>
      <c r="F312" s="3"/>
      <c r="G312" s="5" t="str">
        <f>formatIP(IP_Master[[#This Row],[LAN IP Address]])</f>
        <v>010.012.001.033</v>
      </c>
    </row>
    <row r="313" spans="1:7" ht="18" customHeight="1" x14ac:dyDescent="0.4">
      <c r="A313" s="3" t="s">
        <v>934</v>
      </c>
      <c r="B313" s="3" t="s">
        <v>569</v>
      </c>
      <c r="C313" s="3" t="s">
        <v>19</v>
      </c>
      <c r="D313" s="3" t="s">
        <v>935</v>
      </c>
      <c r="E313" s="3"/>
      <c r="F313" s="3"/>
      <c r="G313" s="5" t="str">
        <f>formatIP(IP_Master[[#This Row],[LAN IP Address]])</f>
        <v>010.012.001.034</v>
      </c>
    </row>
    <row r="314" spans="1:7" ht="18" customHeight="1" x14ac:dyDescent="0.4">
      <c r="A314" s="3" t="s">
        <v>936</v>
      </c>
      <c r="B314" s="3" t="s">
        <v>569</v>
      </c>
      <c r="C314" s="3" t="s">
        <v>19</v>
      </c>
      <c r="D314" s="3" t="s">
        <v>937</v>
      </c>
      <c r="E314" s="3"/>
      <c r="F314" s="3"/>
      <c r="G314" s="5" t="str">
        <f>formatIP(IP_Master[[#This Row],[LAN IP Address]])</f>
        <v>010.012.001.035</v>
      </c>
    </row>
    <row r="315" spans="1:7" ht="18" customHeight="1" x14ac:dyDescent="0.4">
      <c r="A315" s="3" t="s">
        <v>938</v>
      </c>
      <c r="B315" s="3" t="s">
        <v>569</v>
      </c>
      <c r="C315" s="3" t="s">
        <v>19</v>
      </c>
      <c r="D315" s="3" t="s">
        <v>939</v>
      </c>
      <c r="E315" s="3"/>
      <c r="F315" s="3"/>
      <c r="G315" s="5" t="str">
        <f>formatIP(IP_Master[[#This Row],[LAN IP Address]])</f>
        <v>010.012.001.036</v>
      </c>
    </row>
    <row r="316" spans="1:7" ht="18" customHeight="1" x14ac:dyDescent="0.4">
      <c r="A316" s="3" t="s">
        <v>940</v>
      </c>
      <c r="B316" s="3" t="s">
        <v>569</v>
      </c>
      <c r="C316" s="3" t="s">
        <v>19</v>
      </c>
      <c r="D316" s="3" t="s">
        <v>941</v>
      </c>
      <c r="E316" s="3" t="s">
        <v>942</v>
      </c>
      <c r="F316" s="3"/>
      <c r="G316" s="5" t="str">
        <f>formatIP(IP_Master[[#This Row],[LAN IP Address]])</f>
        <v>010.012.001.037</v>
      </c>
    </row>
    <row r="317" spans="1:7" ht="18" customHeight="1" x14ac:dyDescent="0.4">
      <c r="A317" s="3" t="s">
        <v>943</v>
      </c>
      <c r="B317" s="3" t="s">
        <v>569</v>
      </c>
      <c r="C317" s="3" t="s">
        <v>19</v>
      </c>
      <c r="D317" s="3" t="s">
        <v>944</v>
      </c>
      <c r="E317" s="3" t="s">
        <v>945</v>
      </c>
      <c r="F317" s="3"/>
      <c r="G317" s="5" t="str">
        <f>formatIP(IP_Master[[#This Row],[LAN IP Address]])</f>
        <v>010.012.001.038</v>
      </c>
    </row>
    <row r="318" spans="1:7" ht="18" customHeight="1" x14ac:dyDescent="0.4">
      <c r="A318" s="3" t="s">
        <v>946</v>
      </c>
      <c r="B318" s="3" t="s">
        <v>569</v>
      </c>
      <c r="C318" s="3" t="s">
        <v>19</v>
      </c>
      <c r="D318" s="3" t="s">
        <v>947</v>
      </c>
      <c r="E318" s="3" t="s">
        <v>948</v>
      </c>
      <c r="F318" s="3"/>
      <c r="G318" s="5" t="str">
        <f>formatIP(IP_Master[[#This Row],[LAN IP Address]])</f>
        <v>010.012.001.039</v>
      </c>
    </row>
    <row r="319" spans="1:7" ht="18" customHeight="1" x14ac:dyDescent="0.4">
      <c r="A319" s="3" t="s">
        <v>949</v>
      </c>
      <c r="B319" s="3" t="s">
        <v>569</v>
      </c>
      <c r="C319" s="3" t="s">
        <v>19</v>
      </c>
      <c r="D319" s="3" t="s">
        <v>950</v>
      </c>
      <c r="E319" s="3" t="s">
        <v>951</v>
      </c>
      <c r="F319" s="3"/>
      <c r="G319" s="5" t="str">
        <f>formatIP(IP_Master[[#This Row],[LAN IP Address]])</f>
        <v>010.012.001.040</v>
      </c>
    </row>
    <row r="320" spans="1:7" ht="18" customHeight="1" x14ac:dyDescent="0.4">
      <c r="A320" s="3" t="s">
        <v>952</v>
      </c>
      <c r="B320" s="3" t="s">
        <v>520</v>
      </c>
      <c r="C320" s="3" t="s">
        <v>19</v>
      </c>
      <c r="D320" s="3" t="s">
        <v>953</v>
      </c>
      <c r="E320" s="3" t="s">
        <v>954</v>
      </c>
      <c r="F320" s="3"/>
      <c r="G320" s="5" t="str">
        <f>formatIP(IP_Master[[#This Row],[LAN IP Address]])</f>
        <v>010.012.001.041</v>
      </c>
    </row>
    <row r="321" spans="1:7" ht="18" customHeight="1" x14ac:dyDescent="0.4">
      <c r="A321" s="3" t="s">
        <v>955</v>
      </c>
      <c r="B321" s="3" t="s">
        <v>520</v>
      </c>
      <c r="C321" s="3" t="s">
        <v>19</v>
      </c>
      <c r="D321" s="3" t="s">
        <v>956</v>
      </c>
      <c r="E321" s="3" t="s">
        <v>957</v>
      </c>
      <c r="F321" s="3"/>
      <c r="G321" s="5" t="str">
        <f>formatIP(IP_Master[[#This Row],[LAN IP Address]])</f>
        <v>010.012.001.042</v>
      </c>
    </row>
    <row r="322" spans="1:7" ht="18" customHeight="1" x14ac:dyDescent="0.4">
      <c r="A322" s="3" t="s">
        <v>958</v>
      </c>
      <c r="B322" s="3" t="s">
        <v>520</v>
      </c>
      <c r="C322" s="3" t="s">
        <v>19</v>
      </c>
      <c r="D322" s="3" t="s">
        <v>959</v>
      </c>
      <c r="E322" s="3" t="s">
        <v>960</v>
      </c>
      <c r="F322" s="3"/>
      <c r="G322" s="5" t="str">
        <f>formatIP(IP_Master[[#This Row],[LAN IP Address]])</f>
        <v>010.012.001.043</v>
      </c>
    </row>
    <row r="323" spans="1:7" ht="18" customHeight="1" x14ac:dyDescent="0.4">
      <c r="A323" s="3" t="s">
        <v>961</v>
      </c>
      <c r="B323" s="3" t="s">
        <v>520</v>
      </c>
      <c r="C323" s="3" t="s">
        <v>19</v>
      </c>
      <c r="D323" s="3"/>
      <c r="E323" s="3"/>
      <c r="F323" s="3"/>
      <c r="G323" s="5" t="str">
        <f>formatIP(IP_Master[[#This Row],[LAN IP Address]])</f>
        <v>010.012.001.044</v>
      </c>
    </row>
    <row r="324" spans="1:7" ht="18" customHeight="1" x14ac:dyDescent="0.4">
      <c r="A324" s="3" t="s">
        <v>962</v>
      </c>
      <c r="B324" s="3" t="s">
        <v>520</v>
      </c>
      <c r="C324" s="3" t="s">
        <v>19</v>
      </c>
      <c r="D324" s="3"/>
      <c r="E324" s="3"/>
      <c r="F324" s="3"/>
      <c r="G324" s="5" t="str">
        <f>formatIP(IP_Master[[#This Row],[LAN IP Address]])</f>
        <v>010.012.001.045</v>
      </c>
    </row>
    <row r="325" spans="1:7" ht="18" customHeight="1" x14ac:dyDescent="0.4">
      <c r="A325" s="3" t="s">
        <v>963</v>
      </c>
      <c r="B325" s="3" t="s">
        <v>520</v>
      </c>
      <c r="C325" s="3" t="s">
        <v>19</v>
      </c>
      <c r="D325" s="3"/>
      <c r="E325" s="3"/>
      <c r="F325" s="3"/>
      <c r="G325" s="5" t="str">
        <f>formatIP(IP_Master[[#This Row],[LAN IP Address]])</f>
        <v>010.012.001.046</v>
      </c>
    </row>
    <row r="326" spans="1:7" ht="18" customHeight="1" x14ac:dyDescent="0.4">
      <c r="A326" s="3" t="s">
        <v>964</v>
      </c>
      <c r="B326" s="3" t="s">
        <v>520</v>
      </c>
      <c r="C326" s="3" t="s">
        <v>19</v>
      </c>
      <c r="D326" s="3"/>
      <c r="E326" s="3"/>
      <c r="F326" s="3"/>
      <c r="G326" s="5" t="str">
        <f>formatIP(IP_Master[[#This Row],[LAN IP Address]])</f>
        <v>010.012.001.047</v>
      </c>
    </row>
    <row r="327" spans="1:7" ht="18" customHeight="1" x14ac:dyDescent="0.4">
      <c r="A327" s="3" t="s">
        <v>965</v>
      </c>
      <c r="B327" s="3" t="s">
        <v>520</v>
      </c>
      <c r="C327" s="3" t="s">
        <v>19</v>
      </c>
      <c r="D327" s="3"/>
      <c r="E327" s="3"/>
      <c r="F327" s="3"/>
      <c r="G327" s="5" t="str">
        <f>formatIP(IP_Master[[#This Row],[LAN IP Address]])</f>
        <v>010.012.001.048</v>
      </c>
    </row>
    <row r="328" spans="1:7" ht="18" customHeight="1" x14ac:dyDescent="0.4">
      <c r="A328" s="3" t="s">
        <v>966</v>
      </c>
      <c r="B328" s="3" t="s">
        <v>520</v>
      </c>
      <c r="C328" s="3" t="s">
        <v>19</v>
      </c>
      <c r="D328" s="3"/>
      <c r="E328" s="3"/>
      <c r="F328" s="3"/>
      <c r="G328" s="5" t="str">
        <f>formatIP(IP_Master[[#This Row],[LAN IP Address]])</f>
        <v>010.012.001.049</v>
      </c>
    </row>
    <row r="329" spans="1:7" ht="18" customHeight="1" x14ac:dyDescent="0.4">
      <c r="A329" s="3" t="s">
        <v>967</v>
      </c>
      <c r="B329" s="3" t="s">
        <v>520</v>
      </c>
      <c r="C329" s="3" t="s">
        <v>19</v>
      </c>
      <c r="D329" s="3"/>
      <c r="E329" s="3"/>
      <c r="F329" s="3"/>
      <c r="G329" s="5" t="str">
        <f>formatIP(IP_Master[[#This Row],[LAN IP Address]])</f>
        <v>010.012.001.050</v>
      </c>
    </row>
    <row r="330" spans="1:7" ht="18" customHeight="1" x14ac:dyDescent="0.4">
      <c r="A330" s="3" t="s">
        <v>968</v>
      </c>
      <c r="B330" s="3" t="s">
        <v>520</v>
      </c>
      <c r="C330" s="3" t="s">
        <v>19</v>
      </c>
      <c r="D330" s="3"/>
      <c r="E330" s="3"/>
      <c r="F330" s="3"/>
      <c r="G330" s="5" t="str">
        <f>formatIP(IP_Master[[#This Row],[LAN IP Address]])</f>
        <v>010.012.001.051</v>
      </c>
    </row>
    <row r="331" spans="1:7" ht="18" customHeight="1" x14ac:dyDescent="0.4">
      <c r="A331" s="3" t="s">
        <v>969</v>
      </c>
      <c r="B331" s="3" t="s">
        <v>520</v>
      </c>
      <c r="C331" s="3" t="s">
        <v>19</v>
      </c>
      <c r="D331" s="3"/>
      <c r="E331" s="3"/>
      <c r="F331" s="3"/>
      <c r="G331" s="5" t="str">
        <f>formatIP(IP_Master[[#This Row],[LAN IP Address]])</f>
        <v>010.012.001.052</v>
      </c>
    </row>
    <row r="332" spans="1:7" ht="18" customHeight="1" x14ac:dyDescent="0.4">
      <c r="A332" s="3" t="s">
        <v>970</v>
      </c>
      <c r="B332" s="3" t="s">
        <v>520</v>
      </c>
      <c r="C332" s="3" t="s">
        <v>19</v>
      </c>
      <c r="D332" s="3"/>
      <c r="E332" s="3"/>
      <c r="F332" s="3"/>
      <c r="G332" s="5" t="str">
        <f>formatIP(IP_Master[[#This Row],[LAN IP Address]])</f>
        <v>010.012.001.053</v>
      </c>
    </row>
    <row r="333" spans="1:7" ht="18" customHeight="1" x14ac:dyDescent="0.4">
      <c r="A333" s="3" t="s">
        <v>971</v>
      </c>
      <c r="B333" s="3" t="s">
        <v>520</v>
      </c>
      <c r="C333" s="3" t="s">
        <v>19</v>
      </c>
      <c r="D333" s="3"/>
      <c r="E333" s="3"/>
      <c r="F333" s="3"/>
      <c r="G333" s="5" t="str">
        <f>formatIP(IP_Master[[#This Row],[LAN IP Address]])</f>
        <v>010.012.001.054</v>
      </c>
    </row>
    <row r="334" spans="1:7" ht="18" customHeight="1" x14ac:dyDescent="0.4">
      <c r="A334" s="3" t="s">
        <v>972</v>
      </c>
      <c r="B334" s="3" t="s">
        <v>520</v>
      </c>
      <c r="C334" s="3" t="s">
        <v>19</v>
      </c>
      <c r="D334" s="3"/>
      <c r="E334" s="3"/>
      <c r="F334" s="3"/>
      <c r="G334" s="5" t="str">
        <f>formatIP(IP_Master[[#This Row],[LAN IP Address]])</f>
        <v>010.012.001.055</v>
      </c>
    </row>
    <row r="335" spans="1:7" ht="18" customHeight="1" x14ac:dyDescent="0.4">
      <c r="A335" s="3" t="s">
        <v>973</v>
      </c>
      <c r="B335" s="3" t="s">
        <v>520</v>
      </c>
      <c r="C335" s="3" t="s">
        <v>19</v>
      </c>
      <c r="D335" s="3"/>
      <c r="E335" s="3"/>
      <c r="F335" s="3"/>
      <c r="G335" s="5" t="str">
        <f>formatIP(IP_Master[[#This Row],[LAN IP Address]])</f>
        <v>010.012.001.056</v>
      </c>
    </row>
    <row r="336" spans="1:7" ht="18" customHeight="1" x14ac:dyDescent="0.4">
      <c r="A336" s="3" t="s">
        <v>974</v>
      </c>
      <c r="B336" s="3" t="s">
        <v>520</v>
      </c>
      <c r="C336" s="3" t="s">
        <v>19</v>
      </c>
      <c r="D336" s="3"/>
      <c r="E336" s="3"/>
      <c r="F336" s="3"/>
      <c r="G336" s="5" t="str">
        <f>formatIP(IP_Master[[#This Row],[LAN IP Address]])</f>
        <v>010.012.001.057</v>
      </c>
    </row>
    <row r="337" spans="1:7" ht="18" customHeight="1" x14ac:dyDescent="0.4">
      <c r="A337" s="3" t="s">
        <v>975</v>
      </c>
      <c r="B337" s="3" t="s">
        <v>520</v>
      </c>
      <c r="C337" s="3" t="s">
        <v>19</v>
      </c>
      <c r="D337" s="3"/>
      <c r="E337" s="3"/>
      <c r="F337" s="3"/>
      <c r="G337" s="5" t="str">
        <f>formatIP(IP_Master[[#This Row],[LAN IP Address]])</f>
        <v>010.012.001.058</v>
      </c>
    </row>
    <row r="338" spans="1:7" ht="18" customHeight="1" x14ac:dyDescent="0.4">
      <c r="A338" s="3" t="s">
        <v>976</v>
      </c>
      <c r="B338" s="3" t="s">
        <v>520</v>
      </c>
      <c r="C338" s="3" t="s">
        <v>19</v>
      </c>
      <c r="D338" s="3"/>
      <c r="E338" s="3"/>
      <c r="F338" s="3"/>
      <c r="G338" s="5" t="str">
        <f>formatIP(IP_Master[[#This Row],[LAN IP Address]])</f>
        <v>010.012.001.059</v>
      </c>
    </row>
    <row r="339" spans="1:7" ht="18" customHeight="1" x14ac:dyDescent="0.4">
      <c r="A339" s="3" t="s">
        <v>977</v>
      </c>
      <c r="B339" s="3" t="s">
        <v>520</v>
      </c>
      <c r="C339" s="3" t="s">
        <v>19</v>
      </c>
      <c r="D339" s="3" t="s">
        <v>978</v>
      </c>
      <c r="E339" s="3" t="s">
        <v>979</v>
      </c>
      <c r="F339" s="3"/>
      <c r="G339" s="5" t="str">
        <f>formatIP(IP_Master[[#This Row],[LAN IP Address]])</f>
        <v>010.012.001.060</v>
      </c>
    </row>
    <row r="340" spans="1:7" ht="18" customHeight="1" x14ac:dyDescent="0.4">
      <c r="A340" s="3" t="s">
        <v>980</v>
      </c>
      <c r="B340" s="3" t="s">
        <v>639</v>
      </c>
      <c r="C340" s="3" t="s">
        <v>19</v>
      </c>
      <c r="D340" s="3" t="s">
        <v>981</v>
      </c>
      <c r="E340" s="3" t="s">
        <v>982</v>
      </c>
      <c r="F340" s="3"/>
      <c r="G340" s="5" t="str">
        <f>formatIP(IP_Master[[#This Row],[LAN IP Address]])</f>
        <v>010.012.001.061</v>
      </c>
    </row>
    <row r="341" spans="1:7" ht="18" customHeight="1" x14ac:dyDescent="0.4">
      <c r="A341" s="3" t="s">
        <v>983</v>
      </c>
      <c r="B341" s="3" t="s">
        <v>639</v>
      </c>
      <c r="C341" s="3" t="s">
        <v>19</v>
      </c>
      <c r="D341" s="3"/>
      <c r="E341" s="3"/>
      <c r="F341" s="3"/>
      <c r="G341" s="5" t="str">
        <f>formatIP(IP_Master[[#This Row],[LAN IP Address]])</f>
        <v>010.012.001.062</v>
      </c>
    </row>
    <row r="342" spans="1:7" ht="18" customHeight="1" x14ac:dyDescent="0.4">
      <c r="A342" s="3" t="s">
        <v>984</v>
      </c>
      <c r="B342" s="3" t="s">
        <v>639</v>
      </c>
      <c r="C342" s="3" t="s">
        <v>19</v>
      </c>
      <c r="D342" s="3"/>
      <c r="E342" s="3"/>
      <c r="F342" s="3"/>
      <c r="G342" s="5" t="str">
        <f>formatIP(IP_Master[[#This Row],[LAN IP Address]])</f>
        <v>010.012.001.063</v>
      </c>
    </row>
    <row r="343" spans="1:7" ht="18" customHeight="1" x14ac:dyDescent="0.4">
      <c r="A343" s="3" t="s">
        <v>985</v>
      </c>
      <c r="B343" s="3" t="s">
        <v>639</v>
      </c>
      <c r="C343" s="3" t="s">
        <v>19</v>
      </c>
      <c r="D343" s="3"/>
      <c r="E343" s="3"/>
      <c r="F343" s="3"/>
      <c r="G343" s="5" t="str">
        <f>formatIP(IP_Master[[#This Row],[LAN IP Address]])</f>
        <v>010.012.001.064</v>
      </c>
    </row>
    <row r="344" spans="1:7" ht="18" customHeight="1" x14ac:dyDescent="0.4">
      <c r="A344" s="3" t="s">
        <v>986</v>
      </c>
      <c r="B344" s="3" t="s">
        <v>639</v>
      </c>
      <c r="C344" s="3" t="s">
        <v>19</v>
      </c>
      <c r="D344" s="3"/>
      <c r="E344" s="3"/>
      <c r="F344" s="3"/>
      <c r="G344" s="5" t="str">
        <f>formatIP(IP_Master[[#This Row],[LAN IP Address]])</f>
        <v>010.012.001.065</v>
      </c>
    </row>
    <row r="345" spans="1:7" ht="18" customHeight="1" x14ac:dyDescent="0.4">
      <c r="A345" s="3" t="s">
        <v>987</v>
      </c>
      <c r="B345" s="3" t="s">
        <v>639</v>
      </c>
      <c r="C345" s="3" t="s">
        <v>19</v>
      </c>
      <c r="D345" s="3"/>
      <c r="E345" s="3"/>
      <c r="F345" s="3"/>
      <c r="G345" s="5" t="str">
        <f>formatIP(IP_Master[[#This Row],[LAN IP Address]])</f>
        <v>010.012.001.066</v>
      </c>
    </row>
    <row r="346" spans="1:7" ht="18" customHeight="1" x14ac:dyDescent="0.4">
      <c r="A346" s="3" t="s">
        <v>988</v>
      </c>
      <c r="B346" s="3" t="s">
        <v>639</v>
      </c>
      <c r="C346" s="3" t="s">
        <v>19</v>
      </c>
      <c r="D346" s="3"/>
      <c r="E346" s="3"/>
      <c r="F346" s="3"/>
      <c r="G346" s="5" t="str">
        <f>formatIP(IP_Master[[#This Row],[LAN IP Address]])</f>
        <v>010.012.001.067</v>
      </c>
    </row>
    <row r="347" spans="1:7" ht="18" customHeight="1" x14ac:dyDescent="0.4">
      <c r="A347" s="3" t="s">
        <v>989</v>
      </c>
      <c r="B347" s="3" t="s">
        <v>639</v>
      </c>
      <c r="C347" s="3" t="s">
        <v>19</v>
      </c>
      <c r="D347" s="3"/>
      <c r="E347" s="3"/>
      <c r="F347" s="3"/>
      <c r="G347" s="5" t="str">
        <f>formatIP(IP_Master[[#This Row],[LAN IP Address]])</f>
        <v>010.012.001.068</v>
      </c>
    </row>
    <row r="348" spans="1:7" ht="18" customHeight="1" x14ac:dyDescent="0.4">
      <c r="A348" s="3" t="s">
        <v>990</v>
      </c>
      <c r="B348" s="3" t="s">
        <v>639</v>
      </c>
      <c r="C348" s="3" t="s">
        <v>19</v>
      </c>
      <c r="D348" s="3"/>
      <c r="E348" s="3"/>
      <c r="F348" s="3"/>
      <c r="G348" s="5" t="str">
        <f>formatIP(IP_Master[[#This Row],[LAN IP Address]])</f>
        <v>010.012.001.069</v>
      </c>
    </row>
    <row r="349" spans="1:7" ht="18" customHeight="1" x14ac:dyDescent="0.4">
      <c r="A349" s="3" t="s">
        <v>991</v>
      </c>
      <c r="B349" s="3" t="s">
        <v>639</v>
      </c>
      <c r="C349" s="3" t="s">
        <v>19</v>
      </c>
      <c r="D349" s="3"/>
      <c r="E349" s="3"/>
      <c r="F349" s="3"/>
      <c r="G349" s="5" t="str">
        <f>formatIP(IP_Master[[#This Row],[LAN IP Address]])</f>
        <v>010.012.001.070</v>
      </c>
    </row>
    <row r="350" spans="1:7" ht="18" customHeight="1" x14ac:dyDescent="0.4">
      <c r="A350" s="3" t="s">
        <v>992</v>
      </c>
      <c r="B350" s="3" t="s">
        <v>639</v>
      </c>
      <c r="C350" s="3" t="s">
        <v>19</v>
      </c>
      <c r="D350" s="3" t="s">
        <v>993</v>
      </c>
      <c r="E350" s="3" t="s">
        <v>994</v>
      </c>
      <c r="F350" s="3"/>
      <c r="G350" s="5" t="str">
        <f>formatIP(IP_Master[[#This Row],[LAN IP Address]])</f>
        <v>010.012.001.071</v>
      </c>
    </row>
    <row r="351" spans="1:7" ht="18" customHeight="1" x14ac:dyDescent="0.4">
      <c r="A351" s="3" t="s">
        <v>995</v>
      </c>
      <c r="B351" s="3" t="s">
        <v>639</v>
      </c>
      <c r="C351" s="3" t="s">
        <v>19</v>
      </c>
      <c r="D351" s="3"/>
      <c r="E351" s="3" t="s">
        <v>996</v>
      </c>
      <c r="F351" s="3"/>
      <c r="G351" s="5" t="str">
        <f>formatIP(IP_Master[[#This Row],[LAN IP Address]])</f>
        <v>010.012.001.072</v>
      </c>
    </row>
    <row r="352" spans="1:7" ht="18" customHeight="1" x14ac:dyDescent="0.4">
      <c r="A352" s="3" t="s">
        <v>997</v>
      </c>
      <c r="B352" s="3" t="s">
        <v>639</v>
      </c>
      <c r="C352" s="3" t="s">
        <v>19</v>
      </c>
      <c r="D352" s="3"/>
      <c r="E352" s="3" t="s">
        <v>998</v>
      </c>
      <c r="F352" s="3"/>
      <c r="G352" s="5" t="str">
        <f>formatIP(IP_Master[[#This Row],[LAN IP Address]])</f>
        <v>010.012.001.073</v>
      </c>
    </row>
    <row r="353" spans="1:7" ht="18" customHeight="1" x14ac:dyDescent="0.4">
      <c r="A353" s="3" t="s">
        <v>999</v>
      </c>
      <c r="B353" s="3" t="s">
        <v>639</v>
      </c>
      <c r="C353" s="3" t="s">
        <v>19</v>
      </c>
      <c r="D353" s="3"/>
      <c r="E353" s="3" t="s">
        <v>1000</v>
      </c>
      <c r="F353" s="3"/>
      <c r="G353" s="5" t="str">
        <f>formatIP(IP_Master[[#This Row],[LAN IP Address]])</f>
        <v>010.012.001.074</v>
      </c>
    </row>
    <row r="354" spans="1:7" ht="18" customHeight="1" x14ac:dyDescent="0.4">
      <c r="A354" s="3" t="s">
        <v>1001</v>
      </c>
      <c r="B354" s="3" t="s">
        <v>639</v>
      </c>
      <c r="C354" s="3" t="s">
        <v>19</v>
      </c>
      <c r="D354" s="3"/>
      <c r="E354" s="3" t="s">
        <v>1002</v>
      </c>
      <c r="F354" s="3"/>
      <c r="G354" s="5" t="str">
        <f>formatIP(IP_Master[[#This Row],[LAN IP Address]])</f>
        <v>010.012.001.075</v>
      </c>
    </row>
    <row r="355" spans="1:7" ht="18" customHeight="1" x14ac:dyDescent="0.4">
      <c r="A355" s="3" t="s">
        <v>1003</v>
      </c>
      <c r="B355" s="3" t="s">
        <v>639</v>
      </c>
      <c r="C355" s="3" t="s">
        <v>19</v>
      </c>
      <c r="D355" s="3"/>
      <c r="E355" s="3" t="s">
        <v>1004</v>
      </c>
      <c r="F355" s="3"/>
      <c r="G355" s="5" t="str">
        <f>formatIP(IP_Master[[#This Row],[LAN IP Address]])</f>
        <v>010.012.001.076</v>
      </c>
    </row>
    <row r="356" spans="1:7" ht="18" customHeight="1" x14ac:dyDescent="0.4">
      <c r="A356" s="3" t="s">
        <v>1005</v>
      </c>
      <c r="B356" s="3" t="s">
        <v>639</v>
      </c>
      <c r="C356" s="3" t="s">
        <v>19</v>
      </c>
      <c r="D356" s="3"/>
      <c r="E356" s="3"/>
      <c r="F356" s="3"/>
      <c r="G356" s="5" t="str">
        <f>formatIP(IP_Master[[#This Row],[LAN IP Address]])</f>
        <v>010.012.001.077</v>
      </c>
    </row>
    <row r="357" spans="1:7" ht="18" customHeight="1" x14ac:dyDescent="0.4">
      <c r="A357" s="3" t="s">
        <v>1006</v>
      </c>
      <c r="B357" s="3" t="s">
        <v>639</v>
      </c>
      <c r="C357" s="3" t="s">
        <v>19</v>
      </c>
      <c r="D357" s="3"/>
      <c r="E357" s="3"/>
      <c r="F357" s="3"/>
      <c r="G357" s="5" t="str">
        <f>formatIP(IP_Master[[#This Row],[LAN IP Address]])</f>
        <v>010.012.001.078</v>
      </c>
    </row>
    <row r="358" spans="1:7" ht="18" customHeight="1" x14ac:dyDescent="0.4">
      <c r="A358" s="3" t="s">
        <v>1007</v>
      </c>
      <c r="B358" s="3" t="s">
        <v>639</v>
      </c>
      <c r="C358" s="3" t="s">
        <v>19</v>
      </c>
      <c r="D358" s="3" t="s">
        <v>403</v>
      </c>
      <c r="E358" s="3" t="s">
        <v>1008</v>
      </c>
      <c r="F358" s="3"/>
      <c r="G358" s="5" t="str">
        <f>formatIP(IP_Master[[#This Row],[LAN IP Address]])</f>
        <v>010.012.001.079</v>
      </c>
    </row>
    <row r="359" spans="1:7" ht="18" customHeight="1" x14ac:dyDescent="0.4">
      <c r="A359" s="3" t="s">
        <v>74</v>
      </c>
      <c r="B359" s="3" t="s">
        <v>639</v>
      </c>
      <c r="C359" s="3" t="s">
        <v>19</v>
      </c>
      <c r="D359" s="3" t="s">
        <v>403</v>
      </c>
      <c r="E359" s="3" t="s">
        <v>1009</v>
      </c>
      <c r="F359" s="3"/>
      <c r="G359" s="5" t="str">
        <f>formatIP(IP_Master[[#This Row],[LAN IP Address]])</f>
        <v>010.012.001.080</v>
      </c>
    </row>
    <row r="360" spans="1:7" ht="18" customHeight="1" x14ac:dyDescent="0.4">
      <c r="A360" s="3" t="s">
        <v>1010</v>
      </c>
      <c r="B360" s="3" t="s">
        <v>389</v>
      </c>
      <c r="C360" s="3" t="s">
        <v>19</v>
      </c>
      <c r="D360" s="3"/>
      <c r="E360" s="3"/>
      <c r="F360" s="3"/>
      <c r="G360" s="5" t="str">
        <f>formatIP(IP_Master[[#This Row],[LAN IP Address]])</f>
        <v>010.012.001.084</v>
      </c>
    </row>
    <row r="361" spans="1:7" ht="18" customHeight="1" x14ac:dyDescent="0.4">
      <c r="A361" s="3" t="s">
        <v>1011</v>
      </c>
      <c r="B361" s="3" t="s">
        <v>389</v>
      </c>
      <c r="C361" s="3" t="s">
        <v>19</v>
      </c>
      <c r="D361" s="3"/>
      <c r="E361" s="3"/>
      <c r="F361" s="3"/>
      <c r="G361" s="5" t="str">
        <f>formatIP(IP_Master[[#This Row],[LAN IP Address]])</f>
        <v>010.012.001.085</v>
      </c>
    </row>
    <row r="362" spans="1:7" ht="18" customHeight="1" x14ac:dyDescent="0.4">
      <c r="A362" s="3" t="s">
        <v>1012</v>
      </c>
      <c r="B362" s="3" t="s">
        <v>389</v>
      </c>
      <c r="C362" s="3" t="s">
        <v>19</v>
      </c>
      <c r="D362" s="3"/>
      <c r="E362" s="3"/>
      <c r="F362" s="3"/>
      <c r="G362" s="5" t="str">
        <f>formatIP(IP_Master[[#This Row],[LAN IP Address]])</f>
        <v>010.012.001.086</v>
      </c>
    </row>
    <row r="363" spans="1:7" ht="18" customHeight="1" x14ac:dyDescent="0.4">
      <c r="A363" s="3" t="s">
        <v>1013</v>
      </c>
      <c r="B363" s="3" t="s">
        <v>389</v>
      </c>
      <c r="C363" s="3" t="s">
        <v>19</v>
      </c>
      <c r="D363" s="3" t="s">
        <v>1014</v>
      </c>
      <c r="E363" s="3" t="s">
        <v>1015</v>
      </c>
      <c r="F363" s="3"/>
      <c r="G363" s="5" t="str">
        <f>formatIP(IP_Master[[#This Row],[LAN IP Address]])</f>
        <v>010.012.001.087</v>
      </c>
    </row>
    <row r="364" spans="1:7" ht="18" customHeight="1" x14ac:dyDescent="0.4">
      <c r="A364" s="3" t="s">
        <v>1016</v>
      </c>
      <c r="B364" s="3" t="s">
        <v>389</v>
      </c>
      <c r="C364" s="3" t="s">
        <v>19</v>
      </c>
      <c r="D364" s="3"/>
      <c r="E364" s="3"/>
      <c r="F364" s="3"/>
      <c r="G364" s="5" t="str">
        <f>formatIP(IP_Master[[#This Row],[LAN IP Address]])</f>
        <v>010.012.001.091</v>
      </c>
    </row>
    <row r="365" spans="1:7" ht="18" customHeight="1" x14ac:dyDescent="0.4">
      <c r="A365" s="3" t="s">
        <v>1017</v>
      </c>
      <c r="B365" s="3" t="s">
        <v>389</v>
      </c>
      <c r="C365" s="3" t="s">
        <v>19</v>
      </c>
      <c r="D365" s="3"/>
      <c r="E365" s="3"/>
      <c r="F365" s="3"/>
      <c r="G365" s="5" t="str">
        <f>formatIP(IP_Master[[#This Row],[LAN IP Address]])</f>
        <v>010.012.001.092</v>
      </c>
    </row>
    <row r="366" spans="1:7" ht="18" customHeight="1" x14ac:dyDescent="0.4">
      <c r="A366" s="3" t="s">
        <v>1018</v>
      </c>
      <c r="B366" s="3" t="s">
        <v>389</v>
      </c>
      <c r="C366" s="3" t="s">
        <v>19</v>
      </c>
      <c r="D366" s="3"/>
      <c r="E366" s="3"/>
      <c r="F366" s="3"/>
      <c r="G366" s="5" t="str">
        <f>formatIP(IP_Master[[#This Row],[LAN IP Address]])</f>
        <v>010.012.001.093</v>
      </c>
    </row>
    <row r="367" spans="1:7" ht="18" customHeight="1" x14ac:dyDescent="0.4">
      <c r="A367" s="3" t="s">
        <v>1019</v>
      </c>
      <c r="B367" s="3" t="s">
        <v>389</v>
      </c>
      <c r="C367" s="3" t="s">
        <v>19</v>
      </c>
      <c r="D367" s="3"/>
      <c r="E367" s="3"/>
      <c r="F367" s="3"/>
      <c r="G367" s="5" t="str">
        <f>formatIP(IP_Master[[#This Row],[LAN IP Address]])</f>
        <v>010.012.001.094</v>
      </c>
    </row>
    <row r="368" spans="1:7" ht="18" customHeight="1" x14ac:dyDescent="0.4">
      <c r="A368" s="3" t="s">
        <v>1020</v>
      </c>
      <c r="B368" s="3" t="s">
        <v>389</v>
      </c>
      <c r="C368" s="3" t="s">
        <v>19</v>
      </c>
      <c r="D368" s="3"/>
      <c r="E368" s="3"/>
      <c r="F368" s="3"/>
      <c r="G368" s="5" t="str">
        <f>formatIP(IP_Master[[#This Row],[LAN IP Address]])</f>
        <v>010.012.001.095</v>
      </c>
    </row>
    <row r="369" spans="1:7" ht="18" customHeight="1" x14ac:dyDescent="0.4">
      <c r="A369" s="3" t="s">
        <v>1021</v>
      </c>
      <c r="B369" s="3" t="s">
        <v>389</v>
      </c>
      <c r="C369" s="3" t="s">
        <v>19</v>
      </c>
      <c r="D369" s="3"/>
      <c r="E369" s="3"/>
      <c r="F369" s="3"/>
      <c r="G369" s="5" t="str">
        <f>formatIP(IP_Master[[#This Row],[LAN IP Address]])</f>
        <v>010.012.001.096</v>
      </c>
    </row>
    <row r="370" spans="1:7" ht="18" customHeight="1" x14ac:dyDescent="0.4">
      <c r="A370" s="3" t="s">
        <v>1022</v>
      </c>
      <c r="B370" s="3" t="s">
        <v>389</v>
      </c>
      <c r="C370" s="3" t="s">
        <v>19</v>
      </c>
      <c r="D370" s="3"/>
      <c r="E370" s="3"/>
      <c r="F370" s="3"/>
      <c r="G370" s="5" t="str">
        <f>formatIP(IP_Master[[#This Row],[LAN IP Address]])</f>
        <v>010.012.001.097</v>
      </c>
    </row>
    <row r="371" spans="1:7" ht="18" customHeight="1" x14ac:dyDescent="0.4">
      <c r="A371" s="3" t="s">
        <v>83</v>
      </c>
      <c r="B371" s="3" t="s">
        <v>471</v>
      </c>
      <c r="C371" s="3" t="s">
        <v>19</v>
      </c>
      <c r="D371" s="3" t="s">
        <v>1023</v>
      </c>
      <c r="E371" s="3" t="s">
        <v>1024</v>
      </c>
      <c r="F371" s="3"/>
      <c r="G371" s="5" t="str">
        <f>formatIP(IP_Master[[#This Row],[LAN IP Address]])</f>
        <v>010.012.001.102</v>
      </c>
    </row>
    <row r="372" spans="1:7" ht="18" customHeight="1" x14ac:dyDescent="0.4">
      <c r="A372" s="3" t="s">
        <v>1025</v>
      </c>
      <c r="B372" s="3" t="s">
        <v>471</v>
      </c>
      <c r="C372" s="3" t="s">
        <v>19</v>
      </c>
      <c r="D372" s="3"/>
      <c r="E372" s="3"/>
      <c r="F372" s="3"/>
      <c r="G372" s="5" t="str">
        <f>formatIP(IP_Master[[#This Row],[LAN IP Address]])</f>
        <v>010.012.001.103</v>
      </c>
    </row>
    <row r="373" spans="1:7" ht="18" customHeight="1" x14ac:dyDescent="0.4">
      <c r="A373" s="3" t="s">
        <v>1026</v>
      </c>
      <c r="B373" s="3" t="s">
        <v>471</v>
      </c>
      <c r="C373" s="3" t="s">
        <v>19</v>
      </c>
      <c r="D373" s="3"/>
      <c r="E373" s="3"/>
      <c r="F373" s="3"/>
      <c r="G373" s="5" t="str">
        <f>formatIP(IP_Master[[#This Row],[LAN IP Address]])</f>
        <v>010.012.001.104</v>
      </c>
    </row>
    <row r="374" spans="1:7" ht="18" customHeight="1" x14ac:dyDescent="0.4">
      <c r="A374" s="3" t="s">
        <v>1027</v>
      </c>
      <c r="B374" s="3" t="s">
        <v>471</v>
      </c>
      <c r="C374" s="3" t="s">
        <v>19</v>
      </c>
      <c r="D374" s="3"/>
      <c r="E374" s="3"/>
      <c r="F374" s="3"/>
      <c r="G374" s="5" t="str">
        <f>formatIP(IP_Master[[#This Row],[LAN IP Address]])</f>
        <v>010.012.001.105</v>
      </c>
    </row>
    <row r="375" spans="1:7" ht="18" customHeight="1" x14ac:dyDescent="0.4">
      <c r="A375" s="3" t="s">
        <v>1028</v>
      </c>
      <c r="B375" s="3" t="s">
        <v>471</v>
      </c>
      <c r="C375" s="3" t="s">
        <v>19</v>
      </c>
      <c r="D375" s="3"/>
      <c r="E375" s="3"/>
      <c r="F375" s="3"/>
      <c r="G375" s="5" t="str">
        <f>formatIP(IP_Master[[#This Row],[LAN IP Address]])</f>
        <v>010.012.001.106</v>
      </c>
    </row>
    <row r="376" spans="1:7" ht="18" customHeight="1" x14ac:dyDescent="0.4">
      <c r="A376" s="3" t="s">
        <v>1029</v>
      </c>
      <c r="B376" s="3" t="s">
        <v>471</v>
      </c>
      <c r="C376" s="3" t="s">
        <v>19</v>
      </c>
      <c r="D376" s="3"/>
      <c r="E376" s="3"/>
      <c r="F376" s="3"/>
      <c r="G376" s="5" t="str">
        <f>formatIP(IP_Master[[#This Row],[LAN IP Address]])</f>
        <v>010.012.001.107</v>
      </c>
    </row>
    <row r="377" spans="1:7" ht="18" customHeight="1" x14ac:dyDescent="0.4">
      <c r="A377" s="3" t="s">
        <v>1030</v>
      </c>
      <c r="B377" s="3" t="s">
        <v>471</v>
      </c>
      <c r="C377" s="3" t="s">
        <v>19</v>
      </c>
      <c r="D377" s="3"/>
      <c r="E377" s="3"/>
      <c r="F377" s="3"/>
      <c r="G377" s="5" t="str">
        <f>formatIP(IP_Master[[#This Row],[LAN IP Address]])</f>
        <v>010.012.001.108</v>
      </c>
    </row>
    <row r="378" spans="1:7" ht="18" customHeight="1" x14ac:dyDescent="0.4">
      <c r="A378" s="3" t="s">
        <v>1031</v>
      </c>
      <c r="B378" s="3" t="s">
        <v>471</v>
      </c>
      <c r="C378" s="3" t="s">
        <v>19</v>
      </c>
      <c r="D378" s="3"/>
      <c r="E378" s="3"/>
      <c r="F378" s="3"/>
      <c r="G378" s="5" t="str">
        <f>formatIP(IP_Master[[#This Row],[LAN IP Address]])</f>
        <v>010.012.001.109</v>
      </c>
    </row>
    <row r="379" spans="1:7" ht="18" customHeight="1" x14ac:dyDescent="0.4">
      <c r="A379" s="3" t="s">
        <v>1032</v>
      </c>
      <c r="B379" s="3" t="s">
        <v>471</v>
      </c>
      <c r="C379" s="3" t="s">
        <v>19</v>
      </c>
      <c r="D379" s="3"/>
      <c r="E379" s="3"/>
      <c r="F379" s="3"/>
      <c r="G379" s="5" t="str">
        <f>formatIP(IP_Master[[#This Row],[LAN IP Address]])</f>
        <v>010.012.001.110</v>
      </c>
    </row>
    <row r="380" spans="1:7" ht="18" customHeight="1" x14ac:dyDescent="0.4">
      <c r="A380" s="3" t="s">
        <v>1033</v>
      </c>
      <c r="B380" s="3" t="s">
        <v>471</v>
      </c>
      <c r="C380" s="3" t="s">
        <v>19</v>
      </c>
      <c r="D380" s="3"/>
      <c r="E380" s="3"/>
      <c r="F380" s="3"/>
      <c r="G380" s="5" t="str">
        <f>formatIP(IP_Master[[#This Row],[LAN IP Address]])</f>
        <v>010.012.001.111</v>
      </c>
    </row>
    <row r="381" spans="1:7" ht="18" customHeight="1" x14ac:dyDescent="0.4">
      <c r="A381" s="3" t="s">
        <v>1034</v>
      </c>
      <c r="B381" s="3" t="s">
        <v>471</v>
      </c>
      <c r="C381" s="3" t="s">
        <v>19</v>
      </c>
      <c r="D381" s="3"/>
      <c r="E381" s="3"/>
      <c r="F381" s="3"/>
      <c r="G381" s="5" t="str">
        <f>formatIP(IP_Master[[#This Row],[LAN IP Address]])</f>
        <v>010.012.001.112</v>
      </c>
    </row>
    <row r="382" spans="1:7" ht="18" customHeight="1" x14ac:dyDescent="0.4">
      <c r="A382" s="3" t="s">
        <v>1035</v>
      </c>
      <c r="B382" s="3" t="s">
        <v>471</v>
      </c>
      <c r="C382" s="3" t="s">
        <v>19</v>
      </c>
      <c r="D382" s="3"/>
      <c r="E382" s="3"/>
      <c r="F382" s="3"/>
      <c r="G382" s="5" t="str">
        <f>formatIP(IP_Master[[#This Row],[LAN IP Address]])</f>
        <v>010.012.001.113</v>
      </c>
    </row>
    <row r="383" spans="1:7" ht="18" customHeight="1" x14ac:dyDescent="0.4">
      <c r="A383" s="3" t="s">
        <v>1036</v>
      </c>
      <c r="B383" s="3" t="s">
        <v>471</v>
      </c>
      <c r="C383" s="3" t="s">
        <v>19</v>
      </c>
      <c r="D383" s="3"/>
      <c r="E383" s="3"/>
      <c r="F383" s="3"/>
      <c r="G383" s="5" t="str">
        <f>formatIP(IP_Master[[#This Row],[LAN IP Address]])</f>
        <v>010.012.001.114</v>
      </c>
    </row>
    <row r="384" spans="1:7" ht="18" customHeight="1" x14ac:dyDescent="0.4">
      <c r="A384" s="3" t="s">
        <v>1037</v>
      </c>
      <c r="B384" s="3" t="s">
        <v>471</v>
      </c>
      <c r="C384" s="3" t="s">
        <v>19</v>
      </c>
      <c r="D384" s="3"/>
      <c r="E384" s="3"/>
      <c r="F384" s="3"/>
      <c r="G384" s="5" t="str">
        <f>formatIP(IP_Master[[#This Row],[LAN IP Address]])</f>
        <v>010.012.001.115</v>
      </c>
    </row>
    <row r="385" spans="1:7" ht="18" customHeight="1" x14ac:dyDescent="0.4">
      <c r="A385" s="3" t="s">
        <v>1038</v>
      </c>
      <c r="B385" s="3" t="s">
        <v>471</v>
      </c>
      <c r="C385" s="3" t="s">
        <v>19</v>
      </c>
      <c r="D385" s="3"/>
      <c r="E385" s="3"/>
      <c r="F385" s="3"/>
      <c r="G385" s="5" t="str">
        <f>formatIP(IP_Master[[#This Row],[LAN IP Address]])</f>
        <v>010.012.001.116</v>
      </c>
    </row>
    <row r="386" spans="1:7" ht="18" customHeight="1" x14ac:dyDescent="0.4">
      <c r="A386" s="3" t="s">
        <v>1039</v>
      </c>
      <c r="B386" s="3" t="s">
        <v>471</v>
      </c>
      <c r="C386" s="3" t="s">
        <v>19</v>
      </c>
      <c r="D386" s="3" t="s">
        <v>701</v>
      </c>
      <c r="E386" s="3" t="s">
        <v>1040</v>
      </c>
      <c r="F386" s="3"/>
      <c r="G386" s="5" t="str">
        <f>formatIP(IP_Master[[#This Row],[LAN IP Address]])</f>
        <v>010.012.001.117</v>
      </c>
    </row>
    <row r="387" spans="1:7" ht="18" customHeight="1" x14ac:dyDescent="0.4">
      <c r="A387" s="3" t="s">
        <v>1041</v>
      </c>
      <c r="B387" s="3" t="s">
        <v>406</v>
      </c>
      <c r="C387" s="3" t="s">
        <v>19</v>
      </c>
      <c r="D387" s="3" t="s">
        <v>1042</v>
      </c>
      <c r="E387" s="3" t="s">
        <v>1043</v>
      </c>
      <c r="F387" s="3"/>
      <c r="G387" s="5" t="str">
        <f>formatIP(IP_Master[[#This Row],[LAN IP Address]])</f>
        <v>010.012.001.121</v>
      </c>
    </row>
    <row r="388" spans="1:7" ht="18" customHeight="1" x14ac:dyDescent="0.4">
      <c r="A388" s="3" t="s">
        <v>1044</v>
      </c>
      <c r="B388" s="3" t="s">
        <v>406</v>
      </c>
      <c r="C388" s="3" t="s">
        <v>19</v>
      </c>
      <c r="D388" s="3" t="s">
        <v>1045</v>
      </c>
      <c r="E388" s="3" t="s">
        <v>1046</v>
      </c>
      <c r="F388" s="3"/>
      <c r="G388" s="5" t="str">
        <f>formatIP(IP_Master[[#This Row],[LAN IP Address]])</f>
        <v>010.012.001.122</v>
      </c>
    </row>
    <row r="389" spans="1:7" ht="18" customHeight="1" x14ac:dyDescent="0.4">
      <c r="A389" s="3" t="s">
        <v>1047</v>
      </c>
      <c r="B389" s="3" t="s">
        <v>406</v>
      </c>
      <c r="C389" s="3" t="s">
        <v>19</v>
      </c>
      <c r="D389" s="3" t="s">
        <v>1048</v>
      </c>
      <c r="E389" s="3" t="s">
        <v>1049</v>
      </c>
      <c r="F389" s="3"/>
      <c r="G389" s="5" t="str">
        <f>formatIP(IP_Master[[#This Row],[LAN IP Address]])</f>
        <v>010.012.001.123</v>
      </c>
    </row>
    <row r="390" spans="1:7" ht="18" customHeight="1" x14ac:dyDescent="0.4">
      <c r="A390" s="3" t="s">
        <v>174</v>
      </c>
      <c r="B390" s="3" t="s">
        <v>406</v>
      </c>
      <c r="C390" s="3" t="s">
        <v>19</v>
      </c>
      <c r="D390" s="3" t="s">
        <v>1050</v>
      </c>
      <c r="E390" s="3" t="s">
        <v>1051</v>
      </c>
      <c r="F390" s="3"/>
      <c r="G390" s="5" t="str">
        <f>formatIP(IP_Master[[#This Row],[LAN IP Address]])</f>
        <v>010.012.001.124</v>
      </c>
    </row>
    <row r="391" spans="1:7" ht="18" customHeight="1" x14ac:dyDescent="0.4">
      <c r="A391" s="3" t="s">
        <v>165</v>
      </c>
      <c r="B391" s="3" t="s">
        <v>406</v>
      </c>
      <c r="C391" s="3" t="s">
        <v>19</v>
      </c>
      <c r="D391" s="3" t="s">
        <v>1052</v>
      </c>
      <c r="E391" s="3" t="s">
        <v>1053</v>
      </c>
      <c r="F391" s="3"/>
      <c r="G391" s="5" t="str">
        <f>formatIP(IP_Master[[#This Row],[LAN IP Address]])</f>
        <v>010.012.001.125</v>
      </c>
    </row>
    <row r="392" spans="1:7" ht="18" customHeight="1" x14ac:dyDescent="0.4">
      <c r="A392" s="3" t="s">
        <v>1054</v>
      </c>
      <c r="B392" s="3" t="s">
        <v>406</v>
      </c>
      <c r="C392" s="3" t="s">
        <v>19</v>
      </c>
      <c r="D392" s="3" t="s">
        <v>1055</v>
      </c>
      <c r="E392" s="3" t="s">
        <v>1056</v>
      </c>
      <c r="F392" s="3"/>
      <c r="G392" s="5" t="str">
        <f>formatIP(IP_Master[[#This Row],[LAN IP Address]])</f>
        <v>010.012.001.126</v>
      </c>
    </row>
    <row r="393" spans="1:7" ht="18" customHeight="1" x14ac:dyDescent="0.4">
      <c r="A393" s="3" t="s">
        <v>1057</v>
      </c>
      <c r="B393" s="3" t="s">
        <v>406</v>
      </c>
      <c r="C393" s="3" t="s">
        <v>19</v>
      </c>
      <c r="D393" s="3"/>
      <c r="E393" s="3"/>
      <c r="F393" s="3"/>
      <c r="G393" s="5" t="str">
        <f>formatIP(IP_Master[[#This Row],[LAN IP Address]])</f>
        <v>010.012.001.127</v>
      </c>
    </row>
    <row r="394" spans="1:7" ht="18" customHeight="1" x14ac:dyDescent="0.4">
      <c r="A394" s="3" t="s">
        <v>1058</v>
      </c>
      <c r="B394" s="3" t="s">
        <v>406</v>
      </c>
      <c r="C394" s="3" t="s">
        <v>19</v>
      </c>
      <c r="D394" s="3"/>
      <c r="E394" s="3"/>
      <c r="F394" s="3"/>
      <c r="G394" s="5" t="str">
        <f>formatIP(IP_Master[[#This Row],[LAN IP Address]])</f>
        <v>010.012.001.128</v>
      </c>
    </row>
    <row r="395" spans="1:7" ht="18" customHeight="1" x14ac:dyDescent="0.4">
      <c r="A395" s="3" t="s">
        <v>1059</v>
      </c>
      <c r="B395" s="3" t="s">
        <v>406</v>
      </c>
      <c r="C395" s="3" t="s">
        <v>19</v>
      </c>
      <c r="D395" s="3"/>
      <c r="E395" s="3"/>
      <c r="F395" s="3"/>
      <c r="G395" s="5" t="str">
        <f>formatIP(IP_Master[[#This Row],[LAN IP Address]])</f>
        <v>010.012.001.129</v>
      </c>
    </row>
    <row r="396" spans="1:7" ht="18" customHeight="1" x14ac:dyDescent="0.4">
      <c r="A396" s="3" t="s">
        <v>1060</v>
      </c>
      <c r="B396" s="3" t="s">
        <v>406</v>
      </c>
      <c r="C396" s="3" t="s">
        <v>19</v>
      </c>
      <c r="D396" s="3" t="s">
        <v>1061</v>
      </c>
      <c r="E396" s="3" t="s">
        <v>1062</v>
      </c>
      <c r="F396" s="3"/>
      <c r="G396" s="5" t="str">
        <f>formatIP(IP_Master[[#This Row],[LAN IP Address]])</f>
        <v>010.012.001.130</v>
      </c>
    </row>
    <row r="397" spans="1:7" ht="18" customHeight="1" x14ac:dyDescent="0.4">
      <c r="A397" s="3" t="s">
        <v>1063</v>
      </c>
      <c r="B397" s="3" t="s">
        <v>406</v>
      </c>
      <c r="C397" s="3" t="s">
        <v>19</v>
      </c>
      <c r="D397" s="3"/>
      <c r="E397" s="3"/>
      <c r="F397" s="3"/>
      <c r="G397" s="5" t="str">
        <f>formatIP(IP_Master[[#This Row],[LAN IP Address]])</f>
        <v>010.012.001.131</v>
      </c>
    </row>
    <row r="398" spans="1:7" ht="18" customHeight="1" x14ac:dyDescent="0.4">
      <c r="A398" s="3" t="s">
        <v>1064</v>
      </c>
      <c r="B398" s="3" t="s">
        <v>406</v>
      </c>
      <c r="C398" s="3" t="s">
        <v>19</v>
      </c>
      <c r="D398" s="3"/>
      <c r="E398" s="3"/>
      <c r="F398" s="3"/>
      <c r="G398" s="5" t="str">
        <f>formatIP(IP_Master[[#This Row],[LAN IP Address]])</f>
        <v>010.012.001.132</v>
      </c>
    </row>
    <row r="399" spans="1:7" ht="18" customHeight="1" x14ac:dyDescent="0.4">
      <c r="A399" s="3" t="s">
        <v>1065</v>
      </c>
      <c r="B399" s="3" t="s">
        <v>406</v>
      </c>
      <c r="C399" s="3" t="s">
        <v>19</v>
      </c>
      <c r="D399" s="3"/>
      <c r="E399" s="3"/>
      <c r="F399" s="3"/>
      <c r="G399" s="5" t="str">
        <f>formatIP(IP_Master[[#This Row],[LAN IP Address]])</f>
        <v>010.012.001.133</v>
      </c>
    </row>
    <row r="400" spans="1:7" ht="18" customHeight="1" x14ac:dyDescent="0.4">
      <c r="A400" s="3" t="s">
        <v>1066</v>
      </c>
      <c r="B400" s="3" t="s">
        <v>406</v>
      </c>
      <c r="C400" s="3" t="s">
        <v>19</v>
      </c>
      <c r="D400" s="3" t="s">
        <v>1067</v>
      </c>
      <c r="E400" s="3" t="s">
        <v>1068</v>
      </c>
      <c r="F400" s="3">
        <v>200250112</v>
      </c>
      <c r="G400" s="5" t="str">
        <f>formatIP(IP_Master[[#This Row],[LAN IP Address]])</f>
        <v>010.012.001.134</v>
      </c>
    </row>
    <row r="401" spans="1:7" ht="18" customHeight="1" x14ac:dyDescent="0.4">
      <c r="A401" s="3" t="s">
        <v>1069</v>
      </c>
      <c r="B401" s="3" t="s">
        <v>406</v>
      </c>
      <c r="C401" s="3" t="s">
        <v>19</v>
      </c>
      <c r="D401" s="3" t="s">
        <v>1070</v>
      </c>
      <c r="E401" s="3" t="s">
        <v>1071</v>
      </c>
      <c r="F401" s="3">
        <v>200177173</v>
      </c>
      <c r="G401" s="5" t="str">
        <f>formatIP(IP_Master[[#This Row],[LAN IP Address]])</f>
        <v>010.012.001.135</v>
      </c>
    </row>
    <row r="402" spans="1:7" ht="18" customHeight="1" x14ac:dyDescent="0.4">
      <c r="A402" s="3" t="s">
        <v>1072</v>
      </c>
      <c r="B402" s="3" t="s">
        <v>406</v>
      </c>
      <c r="C402" s="3" t="s">
        <v>19</v>
      </c>
      <c r="D402" s="3"/>
      <c r="E402" s="3" t="s">
        <v>1073</v>
      </c>
      <c r="F402" s="3"/>
      <c r="G402" s="5" t="str">
        <f>formatIP(IP_Master[[#This Row],[LAN IP Address]])</f>
        <v>010.012.001.136</v>
      </c>
    </row>
    <row r="403" spans="1:7" ht="18" customHeight="1" x14ac:dyDescent="0.4">
      <c r="A403" s="3" t="s">
        <v>1074</v>
      </c>
      <c r="B403" s="3" t="s">
        <v>406</v>
      </c>
      <c r="C403" s="3" t="s">
        <v>19</v>
      </c>
      <c r="D403" s="3"/>
      <c r="E403" s="3" t="s">
        <v>1075</v>
      </c>
      <c r="F403" s="3"/>
      <c r="G403" s="5" t="str">
        <f>formatIP(IP_Master[[#This Row],[LAN IP Address]])</f>
        <v>010.012.001.137</v>
      </c>
    </row>
    <row r="404" spans="1:7" ht="18" customHeight="1" x14ac:dyDescent="0.4">
      <c r="A404" s="3" t="s">
        <v>1076</v>
      </c>
      <c r="B404" s="3" t="s">
        <v>406</v>
      </c>
      <c r="C404" s="3" t="s">
        <v>19</v>
      </c>
      <c r="D404" s="3" t="s">
        <v>1077</v>
      </c>
      <c r="E404" s="3" t="s">
        <v>1078</v>
      </c>
      <c r="F404" s="3"/>
      <c r="G404" s="5" t="str">
        <f>formatIP(IP_Master[[#This Row],[LAN IP Address]])</f>
        <v>010.012.001.138</v>
      </c>
    </row>
    <row r="405" spans="1:7" ht="18" customHeight="1" x14ac:dyDescent="0.4">
      <c r="A405" s="3" t="s">
        <v>1079</v>
      </c>
      <c r="B405" s="3" t="s">
        <v>406</v>
      </c>
      <c r="C405" s="3" t="s">
        <v>19</v>
      </c>
      <c r="D405" s="3" t="s">
        <v>1080</v>
      </c>
      <c r="E405" s="3" t="s">
        <v>1081</v>
      </c>
      <c r="F405" s="3"/>
      <c r="G405" s="5" t="str">
        <f>formatIP(IP_Master[[#This Row],[LAN IP Address]])</f>
        <v>010.012.001.139</v>
      </c>
    </row>
    <row r="406" spans="1:7" ht="18" customHeight="1" x14ac:dyDescent="0.4">
      <c r="A406" s="3" t="s">
        <v>1082</v>
      </c>
      <c r="B406" s="3" t="s">
        <v>449</v>
      </c>
      <c r="C406" s="3" t="s">
        <v>19</v>
      </c>
      <c r="D406" s="3" t="s">
        <v>1083</v>
      </c>
      <c r="E406" s="3" t="s">
        <v>1084</v>
      </c>
      <c r="F406" s="3"/>
      <c r="G406" s="5" t="str">
        <f>formatIP(IP_Master[[#This Row],[LAN IP Address]])</f>
        <v>010.012.001.141</v>
      </c>
    </row>
    <row r="407" spans="1:7" ht="18" customHeight="1" x14ac:dyDescent="0.4">
      <c r="A407" s="3" t="s">
        <v>1085</v>
      </c>
      <c r="B407" s="3" t="s">
        <v>449</v>
      </c>
      <c r="C407" s="3" t="s">
        <v>19</v>
      </c>
      <c r="D407" s="3" t="s">
        <v>1086</v>
      </c>
      <c r="E407" s="3" t="s">
        <v>1087</v>
      </c>
      <c r="F407" s="3"/>
      <c r="G407" s="5" t="str">
        <f>formatIP(IP_Master[[#This Row],[LAN IP Address]])</f>
        <v>010.012.001.142</v>
      </c>
    </row>
    <row r="408" spans="1:7" ht="18" customHeight="1" x14ac:dyDescent="0.4">
      <c r="A408" s="3" t="s">
        <v>1088</v>
      </c>
      <c r="B408" s="3" t="s">
        <v>449</v>
      </c>
      <c r="C408" s="3" t="s">
        <v>19</v>
      </c>
      <c r="D408" s="3"/>
      <c r="E408" s="3"/>
      <c r="F408" s="3"/>
      <c r="G408" s="5" t="str">
        <f>formatIP(IP_Master[[#This Row],[LAN IP Address]])</f>
        <v>010.012.001.143</v>
      </c>
    </row>
    <row r="409" spans="1:7" ht="18" customHeight="1" x14ac:dyDescent="0.4">
      <c r="A409" s="3" t="s">
        <v>1089</v>
      </c>
      <c r="B409" s="3" t="s">
        <v>449</v>
      </c>
      <c r="C409" s="3" t="s">
        <v>19</v>
      </c>
      <c r="D409" s="3"/>
      <c r="E409" s="3"/>
      <c r="F409" s="3"/>
      <c r="G409" s="5" t="str">
        <f>formatIP(IP_Master[[#This Row],[LAN IP Address]])</f>
        <v>010.012.001.144</v>
      </c>
    </row>
    <row r="410" spans="1:7" ht="18" customHeight="1" x14ac:dyDescent="0.4">
      <c r="A410" s="3" t="s">
        <v>1090</v>
      </c>
      <c r="B410" s="3" t="s">
        <v>449</v>
      </c>
      <c r="C410" s="3" t="s">
        <v>19</v>
      </c>
      <c r="D410" s="3"/>
      <c r="E410" s="3"/>
      <c r="F410" s="3"/>
      <c r="G410" s="5" t="str">
        <f>formatIP(IP_Master[[#This Row],[LAN IP Address]])</f>
        <v>010.012.001.145</v>
      </c>
    </row>
    <row r="411" spans="1:7" ht="18" customHeight="1" x14ac:dyDescent="0.4">
      <c r="A411" s="3" t="s">
        <v>1091</v>
      </c>
      <c r="B411" s="3" t="s">
        <v>449</v>
      </c>
      <c r="C411" s="3" t="s">
        <v>19</v>
      </c>
      <c r="D411" s="3"/>
      <c r="E411" s="3"/>
      <c r="F411" s="3"/>
      <c r="G411" s="5" t="str">
        <f>formatIP(IP_Master[[#This Row],[LAN IP Address]])</f>
        <v>010.012.001.146</v>
      </c>
    </row>
    <row r="412" spans="1:7" ht="18" customHeight="1" x14ac:dyDescent="0.4">
      <c r="A412" s="3" t="s">
        <v>1092</v>
      </c>
      <c r="B412" s="3" t="s">
        <v>449</v>
      </c>
      <c r="C412" s="3" t="s">
        <v>19</v>
      </c>
      <c r="D412" s="3"/>
      <c r="E412" s="3"/>
      <c r="F412" s="3"/>
      <c r="G412" s="5" t="str">
        <f>formatIP(IP_Master[[#This Row],[LAN IP Address]])</f>
        <v>010.012.001.147</v>
      </c>
    </row>
    <row r="413" spans="1:7" ht="18" customHeight="1" x14ac:dyDescent="0.4">
      <c r="A413" s="3" t="s">
        <v>1093</v>
      </c>
      <c r="B413" s="3" t="s">
        <v>449</v>
      </c>
      <c r="C413" s="3" t="s">
        <v>19</v>
      </c>
      <c r="D413" s="3"/>
      <c r="E413" s="3"/>
      <c r="F413" s="3"/>
      <c r="G413" s="5" t="str">
        <f>formatIP(IP_Master[[#This Row],[LAN IP Address]])</f>
        <v>010.012.001.148</v>
      </c>
    </row>
    <row r="414" spans="1:7" ht="18" customHeight="1" x14ac:dyDescent="0.4">
      <c r="A414" s="3" t="s">
        <v>1094</v>
      </c>
      <c r="B414" s="3" t="s">
        <v>449</v>
      </c>
      <c r="C414" s="3" t="s">
        <v>19</v>
      </c>
      <c r="D414" s="3"/>
      <c r="E414" s="3"/>
      <c r="F414" s="3"/>
      <c r="G414" s="5" t="str">
        <f>formatIP(IP_Master[[#This Row],[LAN IP Address]])</f>
        <v>010.012.001.149</v>
      </c>
    </row>
    <row r="415" spans="1:7" ht="18" customHeight="1" x14ac:dyDescent="0.4">
      <c r="A415" s="3" t="s">
        <v>1095</v>
      </c>
      <c r="B415" s="3" t="s">
        <v>449</v>
      </c>
      <c r="C415" s="3" t="s">
        <v>19</v>
      </c>
      <c r="D415" s="3"/>
      <c r="E415" s="3"/>
      <c r="F415" s="3"/>
      <c r="G415" s="5" t="str">
        <f>formatIP(IP_Master[[#This Row],[LAN IP Address]])</f>
        <v>010.012.001.150</v>
      </c>
    </row>
    <row r="416" spans="1:7" ht="18" customHeight="1" x14ac:dyDescent="0.4">
      <c r="A416" s="3" t="s">
        <v>1096</v>
      </c>
      <c r="B416" s="3" t="s">
        <v>449</v>
      </c>
      <c r="C416" s="3" t="s">
        <v>19</v>
      </c>
      <c r="D416" s="3"/>
      <c r="E416" s="3"/>
      <c r="F416" s="3"/>
      <c r="G416" s="5" t="str">
        <f>formatIP(IP_Master[[#This Row],[LAN IP Address]])</f>
        <v>010.012.001.151</v>
      </c>
    </row>
    <row r="417" spans="1:7" ht="18" customHeight="1" x14ac:dyDescent="0.4">
      <c r="A417" s="3" t="s">
        <v>1097</v>
      </c>
      <c r="B417" s="3" t="s">
        <v>449</v>
      </c>
      <c r="C417" s="3" t="s">
        <v>19</v>
      </c>
      <c r="D417" s="3"/>
      <c r="E417" s="3"/>
      <c r="F417" s="3"/>
      <c r="G417" s="5" t="str">
        <f>formatIP(IP_Master[[#This Row],[LAN IP Address]])</f>
        <v>010.012.001.152</v>
      </c>
    </row>
    <row r="418" spans="1:7" ht="18" customHeight="1" x14ac:dyDescent="0.4">
      <c r="A418" s="3" t="s">
        <v>1098</v>
      </c>
      <c r="B418" s="3" t="s">
        <v>449</v>
      </c>
      <c r="C418" s="3" t="s">
        <v>19</v>
      </c>
      <c r="D418" s="3"/>
      <c r="E418" s="3"/>
      <c r="F418" s="3"/>
      <c r="G418" s="5" t="str">
        <f>formatIP(IP_Master[[#This Row],[LAN IP Address]])</f>
        <v>010.012.001.153</v>
      </c>
    </row>
    <row r="419" spans="1:7" ht="18" customHeight="1" x14ac:dyDescent="0.4">
      <c r="A419" s="3" t="s">
        <v>1099</v>
      </c>
      <c r="B419" s="3" t="s">
        <v>449</v>
      </c>
      <c r="C419" s="3" t="s">
        <v>19</v>
      </c>
      <c r="D419" s="3"/>
      <c r="E419" s="3"/>
      <c r="F419" s="3"/>
      <c r="G419" s="5" t="str">
        <f>formatIP(IP_Master[[#This Row],[LAN IP Address]])</f>
        <v>010.012.001.154</v>
      </c>
    </row>
    <row r="420" spans="1:7" ht="18" customHeight="1" x14ac:dyDescent="0.4">
      <c r="A420" s="3" t="s">
        <v>1100</v>
      </c>
      <c r="B420" s="3" t="s">
        <v>449</v>
      </c>
      <c r="C420" s="3" t="s">
        <v>19</v>
      </c>
      <c r="D420" s="3"/>
      <c r="E420" s="3"/>
      <c r="F420" s="3"/>
      <c r="G420" s="5" t="str">
        <f>formatIP(IP_Master[[#This Row],[LAN IP Address]])</f>
        <v>010.012.001.155</v>
      </c>
    </row>
    <row r="421" spans="1:7" ht="18" customHeight="1" x14ac:dyDescent="0.4">
      <c r="A421" s="3" t="s">
        <v>1101</v>
      </c>
      <c r="B421" s="3" t="s">
        <v>449</v>
      </c>
      <c r="C421" s="3" t="s">
        <v>19</v>
      </c>
      <c r="D421" s="3" t="s">
        <v>1102</v>
      </c>
      <c r="E421" s="3" t="s">
        <v>1103</v>
      </c>
      <c r="F421" s="3"/>
      <c r="G421" s="5" t="str">
        <f>formatIP(IP_Master[[#This Row],[LAN IP Address]])</f>
        <v>010.012.001.156</v>
      </c>
    </row>
    <row r="422" spans="1:7" ht="18" customHeight="1" x14ac:dyDescent="0.4">
      <c r="A422" s="3" t="s">
        <v>73</v>
      </c>
      <c r="B422" s="3" t="s">
        <v>449</v>
      </c>
      <c r="C422" s="3" t="s">
        <v>19</v>
      </c>
      <c r="D422" s="3" t="s">
        <v>1102</v>
      </c>
      <c r="E422" s="3" t="s">
        <v>1104</v>
      </c>
      <c r="F422" s="3"/>
      <c r="G422" s="5" t="str">
        <f>formatIP(IP_Master[[#This Row],[LAN IP Address]])</f>
        <v>010.012.001.157</v>
      </c>
    </row>
    <row r="423" spans="1:7" ht="18" customHeight="1" x14ac:dyDescent="0.4">
      <c r="A423" s="3" t="s">
        <v>1105</v>
      </c>
      <c r="B423" s="3" t="s">
        <v>449</v>
      </c>
      <c r="C423" s="3" t="s">
        <v>19</v>
      </c>
      <c r="D423" s="3" t="s">
        <v>1102</v>
      </c>
      <c r="E423" s="3" t="s">
        <v>1106</v>
      </c>
      <c r="F423" s="3"/>
      <c r="G423" s="5" t="str">
        <f>formatIP(IP_Master[[#This Row],[LAN IP Address]])</f>
        <v>010.012.001.158</v>
      </c>
    </row>
    <row r="424" spans="1:7" ht="18" customHeight="1" x14ac:dyDescent="0.4">
      <c r="A424" s="3" t="s">
        <v>1107</v>
      </c>
      <c r="B424" s="3" t="s">
        <v>449</v>
      </c>
      <c r="C424" s="3" t="s">
        <v>19</v>
      </c>
      <c r="D424" s="3" t="s">
        <v>403</v>
      </c>
      <c r="E424" s="3" t="s">
        <v>1108</v>
      </c>
      <c r="F424" s="3"/>
      <c r="G424" s="5" t="str">
        <f>formatIP(IP_Master[[#This Row],[LAN IP Address]])</f>
        <v>010.012.001.159</v>
      </c>
    </row>
    <row r="425" spans="1:7" ht="18" customHeight="1" x14ac:dyDescent="0.4">
      <c r="A425" s="3" t="s">
        <v>1109</v>
      </c>
      <c r="B425" s="3" t="s">
        <v>449</v>
      </c>
      <c r="C425" s="3" t="s">
        <v>19</v>
      </c>
      <c r="D425" s="3"/>
      <c r="E425" s="3"/>
      <c r="F425" s="3"/>
      <c r="G425" s="5" t="str">
        <f>formatIP(IP_Master[[#This Row],[LAN IP Address]])</f>
        <v>010.012.001.160</v>
      </c>
    </row>
    <row r="426" spans="1:7" ht="18" customHeight="1" x14ac:dyDescent="0.4">
      <c r="A426" s="3" t="s">
        <v>1110</v>
      </c>
      <c r="B426" s="3" t="s">
        <v>768</v>
      </c>
      <c r="C426" s="3" t="s">
        <v>19</v>
      </c>
      <c r="D426" s="3" t="s">
        <v>1111</v>
      </c>
      <c r="E426" s="3" t="s">
        <v>1112</v>
      </c>
      <c r="F426" s="3"/>
      <c r="G426" s="5" t="str">
        <f>formatIP(IP_Master[[#This Row],[LAN IP Address]])</f>
        <v>010.012.001.161</v>
      </c>
    </row>
    <row r="427" spans="1:7" ht="18" customHeight="1" x14ac:dyDescent="0.4">
      <c r="A427" s="3" t="s">
        <v>1113</v>
      </c>
      <c r="B427" s="3" t="s">
        <v>768</v>
      </c>
      <c r="C427" s="3" t="s">
        <v>19</v>
      </c>
      <c r="D427" s="3" t="s">
        <v>1114</v>
      </c>
      <c r="E427" s="3" t="s">
        <v>1115</v>
      </c>
      <c r="F427" s="3"/>
      <c r="G427" s="5" t="str">
        <f>formatIP(IP_Master[[#This Row],[LAN IP Address]])</f>
        <v>010.012.001.162</v>
      </c>
    </row>
    <row r="428" spans="1:7" ht="18" customHeight="1" x14ac:dyDescent="0.4">
      <c r="A428" s="3" t="s">
        <v>1116</v>
      </c>
      <c r="B428" s="3" t="s">
        <v>768</v>
      </c>
      <c r="C428" s="3" t="s">
        <v>19</v>
      </c>
      <c r="D428" s="3" t="s">
        <v>1117</v>
      </c>
      <c r="E428" s="3" t="s">
        <v>1118</v>
      </c>
      <c r="F428" s="3"/>
      <c r="G428" s="5" t="str">
        <f>formatIP(IP_Master[[#This Row],[LAN IP Address]])</f>
        <v>010.012.001.163</v>
      </c>
    </row>
    <row r="429" spans="1:7" ht="18" customHeight="1" x14ac:dyDescent="0.4">
      <c r="A429" s="3" t="s">
        <v>1119</v>
      </c>
      <c r="B429" s="3" t="s">
        <v>768</v>
      </c>
      <c r="C429" s="3" t="s">
        <v>19</v>
      </c>
      <c r="D429" s="3" t="s">
        <v>1120</v>
      </c>
      <c r="E429" s="3" t="s">
        <v>1121</v>
      </c>
      <c r="F429" s="3"/>
      <c r="G429" s="5" t="str">
        <f>formatIP(IP_Master[[#This Row],[LAN IP Address]])</f>
        <v>010.012.001.164</v>
      </c>
    </row>
    <row r="430" spans="1:7" ht="18" customHeight="1" x14ac:dyDescent="0.4">
      <c r="A430" s="3" t="s">
        <v>1122</v>
      </c>
      <c r="B430" s="3" t="s">
        <v>768</v>
      </c>
      <c r="C430" s="3" t="s">
        <v>19</v>
      </c>
      <c r="D430" s="3" t="s">
        <v>1123</v>
      </c>
      <c r="E430" s="3" t="s">
        <v>1124</v>
      </c>
      <c r="F430" s="3"/>
      <c r="G430" s="5" t="str">
        <f>formatIP(IP_Master[[#This Row],[LAN IP Address]])</f>
        <v>010.012.001.165</v>
      </c>
    </row>
    <row r="431" spans="1:7" ht="18" customHeight="1" x14ac:dyDescent="0.4">
      <c r="A431" s="3" t="s">
        <v>1125</v>
      </c>
      <c r="B431" s="3" t="s">
        <v>768</v>
      </c>
      <c r="C431" s="3" t="s">
        <v>19</v>
      </c>
      <c r="D431" s="3" t="s">
        <v>1126</v>
      </c>
      <c r="E431" s="3" t="s">
        <v>1127</v>
      </c>
      <c r="F431" s="3"/>
      <c r="G431" s="5" t="str">
        <f>formatIP(IP_Master[[#This Row],[LAN IP Address]])</f>
        <v>010.012.001.166</v>
      </c>
    </row>
    <row r="432" spans="1:7" ht="18" customHeight="1" x14ac:dyDescent="0.4">
      <c r="A432" s="3" t="s">
        <v>1128</v>
      </c>
      <c r="B432" s="3" t="s">
        <v>768</v>
      </c>
      <c r="C432" s="3" t="s">
        <v>19</v>
      </c>
      <c r="D432" s="3"/>
      <c r="E432" s="3"/>
      <c r="F432" s="3"/>
      <c r="G432" s="5" t="str">
        <f>formatIP(IP_Master[[#This Row],[LAN IP Address]])</f>
        <v>010.012.001.167</v>
      </c>
    </row>
    <row r="433" spans="1:7" ht="18" customHeight="1" x14ac:dyDescent="0.4">
      <c r="A433" s="3" t="s">
        <v>1129</v>
      </c>
      <c r="B433" s="3" t="s">
        <v>768</v>
      </c>
      <c r="C433" s="3" t="s">
        <v>19</v>
      </c>
      <c r="D433" s="3"/>
      <c r="E433" s="3"/>
      <c r="F433" s="3"/>
      <c r="G433" s="5" t="str">
        <f>formatIP(IP_Master[[#This Row],[LAN IP Address]])</f>
        <v>010.012.001.168</v>
      </c>
    </row>
    <row r="434" spans="1:7" ht="18" customHeight="1" x14ac:dyDescent="0.4">
      <c r="A434" s="3" t="s">
        <v>1130</v>
      </c>
      <c r="B434" s="3" t="s">
        <v>768</v>
      </c>
      <c r="C434" s="3" t="s">
        <v>19</v>
      </c>
      <c r="D434" s="3"/>
      <c r="E434" s="3"/>
      <c r="F434" s="3"/>
      <c r="G434" s="5" t="str">
        <f>formatIP(IP_Master[[#This Row],[LAN IP Address]])</f>
        <v>010.012.001.169</v>
      </c>
    </row>
    <row r="435" spans="1:7" ht="18" customHeight="1" x14ac:dyDescent="0.4">
      <c r="A435" s="3" t="s">
        <v>1131</v>
      </c>
      <c r="B435" s="3" t="s">
        <v>768</v>
      </c>
      <c r="C435" s="3" t="s">
        <v>19</v>
      </c>
      <c r="D435" s="3" t="s">
        <v>1132</v>
      </c>
      <c r="E435" s="3" t="s">
        <v>1133</v>
      </c>
      <c r="F435" s="3"/>
      <c r="G435" s="5" t="str">
        <f>formatIP(IP_Master[[#This Row],[LAN IP Address]])</f>
        <v>010.012.001.170</v>
      </c>
    </row>
    <row r="436" spans="1:7" ht="18" customHeight="1" x14ac:dyDescent="0.4">
      <c r="A436" s="3" t="s">
        <v>1134</v>
      </c>
      <c r="B436" s="3" t="s">
        <v>768</v>
      </c>
      <c r="C436" s="3" t="s">
        <v>19</v>
      </c>
      <c r="D436" s="3"/>
      <c r="E436" s="3"/>
      <c r="F436" s="3"/>
      <c r="G436" s="5" t="str">
        <f>formatIP(IP_Master[[#This Row],[LAN IP Address]])</f>
        <v>010.012.001.171</v>
      </c>
    </row>
    <row r="437" spans="1:7" ht="18" customHeight="1" x14ac:dyDescent="0.4">
      <c r="A437" s="3" t="s">
        <v>1135</v>
      </c>
      <c r="B437" s="3" t="s">
        <v>768</v>
      </c>
      <c r="C437" s="3" t="s">
        <v>19</v>
      </c>
      <c r="D437" s="3"/>
      <c r="E437" s="3"/>
      <c r="F437" s="3"/>
      <c r="G437" s="5" t="str">
        <f>formatIP(IP_Master[[#This Row],[LAN IP Address]])</f>
        <v>010.012.001.172</v>
      </c>
    </row>
    <row r="438" spans="1:7" ht="18" customHeight="1" x14ac:dyDescent="0.4">
      <c r="A438" s="3" t="s">
        <v>1136</v>
      </c>
      <c r="B438" s="3" t="s">
        <v>768</v>
      </c>
      <c r="C438" s="3" t="s">
        <v>19</v>
      </c>
      <c r="D438" s="3"/>
      <c r="E438" s="3"/>
      <c r="F438" s="3"/>
      <c r="G438" s="5" t="str">
        <f>formatIP(IP_Master[[#This Row],[LAN IP Address]])</f>
        <v>010.012.001.173</v>
      </c>
    </row>
    <row r="439" spans="1:7" ht="18" customHeight="1" x14ac:dyDescent="0.4">
      <c r="A439" s="3" t="s">
        <v>1137</v>
      </c>
      <c r="B439" s="3" t="s">
        <v>768</v>
      </c>
      <c r="C439" s="3" t="s">
        <v>19</v>
      </c>
      <c r="D439" s="3"/>
      <c r="E439" s="3"/>
      <c r="F439" s="3"/>
      <c r="G439" s="5" t="str">
        <f>formatIP(IP_Master[[#This Row],[LAN IP Address]])</f>
        <v>010.012.001.174</v>
      </c>
    </row>
    <row r="440" spans="1:7" ht="18" customHeight="1" x14ac:dyDescent="0.4">
      <c r="A440" s="3" t="s">
        <v>1138</v>
      </c>
      <c r="B440" s="3" t="s">
        <v>768</v>
      </c>
      <c r="C440" s="3" t="s">
        <v>19</v>
      </c>
      <c r="D440" s="3"/>
      <c r="E440" s="3"/>
      <c r="F440" s="3"/>
      <c r="G440" s="5" t="str">
        <f>formatIP(IP_Master[[#This Row],[LAN IP Address]])</f>
        <v>010.012.001.175</v>
      </c>
    </row>
    <row r="441" spans="1:7" ht="18" customHeight="1" x14ac:dyDescent="0.4">
      <c r="A441" s="3" t="s">
        <v>1139</v>
      </c>
      <c r="B441" s="3" t="s">
        <v>768</v>
      </c>
      <c r="C441" s="3" t="s">
        <v>19</v>
      </c>
      <c r="D441" s="3"/>
      <c r="E441" s="3"/>
      <c r="F441" s="3"/>
      <c r="G441" s="5" t="str">
        <f>formatIP(IP_Master[[#This Row],[LAN IP Address]])</f>
        <v>010.012.001.176</v>
      </c>
    </row>
    <row r="442" spans="1:7" ht="18" customHeight="1" x14ac:dyDescent="0.4">
      <c r="A442" s="3" t="s">
        <v>1140</v>
      </c>
      <c r="B442" s="3" t="s">
        <v>768</v>
      </c>
      <c r="C442" s="3" t="s">
        <v>19</v>
      </c>
      <c r="D442" s="3"/>
      <c r="E442" s="3"/>
      <c r="F442" s="3"/>
      <c r="G442" s="5" t="str">
        <f>formatIP(IP_Master[[#This Row],[LAN IP Address]])</f>
        <v>010.012.001.177</v>
      </c>
    </row>
    <row r="443" spans="1:7" ht="18" customHeight="1" x14ac:dyDescent="0.4">
      <c r="A443" s="3" t="s">
        <v>1141</v>
      </c>
      <c r="B443" s="3" t="s">
        <v>768</v>
      </c>
      <c r="C443" s="3" t="s">
        <v>19</v>
      </c>
      <c r="D443" s="3"/>
      <c r="E443" s="3"/>
      <c r="F443" s="3"/>
      <c r="G443" s="5" t="str">
        <f>formatIP(IP_Master[[#This Row],[LAN IP Address]])</f>
        <v>010.012.001.178</v>
      </c>
    </row>
    <row r="444" spans="1:7" ht="18" customHeight="1" x14ac:dyDescent="0.4">
      <c r="A444" s="3" t="s">
        <v>1142</v>
      </c>
      <c r="B444" s="3" t="s">
        <v>768</v>
      </c>
      <c r="C444" s="3" t="s">
        <v>19</v>
      </c>
      <c r="D444" s="3"/>
      <c r="E444" s="3"/>
      <c r="F444" s="3"/>
      <c r="G444" s="5" t="str">
        <f>formatIP(IP_Master[[#This Row],[LAN IP Address]])</f>
        <v>010.012.001.179</v>
      </c>
    </row>
    <row r="445" spans="1:7" ht="18" customHeight="1" x14ac:dyDescent="0.4">
      <c r="A445" s="3" t="s">
        <v>1143</v>
      </c>
      <c r="B445" s="3" t="s">
        <v>768</v>
      </c>
      <c r="C445" s="3" t="s">
        <v>19</v>
      </c>
      <c r="D445" s="3" t="s">
        <v>1144</v>
      </c>
      <c r="E445" s="3" t="s">
        <v>398</v>
      </c>
      <c r="F445" s="3"/>
      <c r="G445" s="5" t="str">
        <f>formatIP(IP_Master[[#This Row],[LAN IP Address]])</f>
        <v>010.012.001.180</v>
      </c>
    </row>
    <row r="446" spans="1:7" ht="18" customHeight="1" x14ac:dyDescent="0.4">
      <c r="A446" s="3" t="s">
        <v>1145</v>
      </c>
      <c r="B446" s="3" t="s">
        <v>393</v>
      </c>
      <c r="C446" s="3" t="s">
        <v>19</v>
      </c>
      <c r="D446" s="3" t="s">
        <v>1146</v>
      </c>
      <c r="E446" s="3" t="s">
        <v>1147</v>
      </c>
      <c r="F446" s="3"/>
      <c r="G446" s="5" t="str">
        <f>formatIP(IP_Master[[#This Row],[LAN IP Address]])</f>
        <v>010.012.001.182</v>
      </c>
    </row>
    <row r="447" spans="1:7" ht="18" customHeight="1" x14ac:dyDescent="0.4">
      <c r="A447" s="3" t="s">
        <v>1148</v>
      </c>
      <c r="B447" s="3" t="s">
        <v>393</v>
      </c>
      <c r="C447" s="3" t="s">
        <v>19</v>
      </c>
      <c r="D447" s="3" t="s">
        <v>1149</v>
      </c>
      <c r="E447" s="3" t="s">
        <v>1150</v>
      </c>
      <c r="F447" s="3"/>
      <c r="G447" s="5" t="str">
        <f>formatIP(IP_Master[[#This Row],[LAN IP Address]])</f>
        <v>010.012.001.183</v>
      </c>
    </row>
    <row r="448" spans="1:7" ht="18" customHeight="1" x14ac:dyDescent="0.4">
      <c r="A448" s="3" t="s">
        <v>1151</v>
      </c>
      <c r="B448" s="3" t="s">
        <v>393</v>
      </c>
      <c r="C448" s="3" t="s">
        <v>19</v>
      </c>
      <c r="D448" s="3"/>
      <c r="E448" s="3"/>
      <c r="F448" s="3"/>
      <c r="G448" s="5" t="str">
        <f>formatIP(IP_Master[[#This Row],[LAN IP Address]])</f>
        <v>010.012.001.184</v>
      </c>
    </row>
    <row r="449" spans="1:7" ht="18" customHeight="1" x14ac:dyDescent="0.4">
      <c r="A449" s="3" t="s">
        <v>1152</v>
      </c>
      <c r="B449" s="3" t="s">
        <v>393</v>
      </c>
      <c r="C449" s="3" t="s">
        <v>19</v>
      </c>
      <c r="D449" s="3"/>
      <c r="E449" s="3"/>
      <c r="F449" s="3"/>
      <c r="G449" s="5" t="str">
        <f>formatIP(IP_Master[[#This Row],[LAN IP Address]])</f>
        <v>010.012.001.185</v>
      </c>
    </row>
    <row r="450" spans="1:7" ht="18" customHeight="1" x14ac:dyDescent="0.4">
      <c r="A450" s="3" t="s">
        <v>1153</v>
      </c>
      <c r="B450" s="3" t="s">
        <v>393</v>
      </c>
      <c r="C450" s="3" t="s">
        <v>19</v>
      </c>
      <c r="D450" s="3"/>
      <c r="E450" s="3"/>
      <c r="F450" s="3"/>
      <c r="G450" s="5" t="str">
        <f>formatIP(IP_Master[[#This Row],[LAN IP Address]])</f>
        <v>010.012.001.186</v>
      </c>
    </row>
    <row r="451" spans="1:7" ht="18" customHeight="1" x14ac:dyDescent="0.4">
      <c r="A451" s="3" t="s">
        <v>1154</v>
      </c>
      <c r="B451" s="3" t="s">
        <v>393</v>
      </c>
      <c r="C451" s="3" t="s">
        <v>19</v>
      </c>
      <c r="D451" s="3"/>
      <c r="E451" s="3"/>
      <c r="F451" s="3"/>
      <c r="G451" s="5" t="str">
        <f>formatIP(IP_Master[[#This Row],[LAN IP Address]])</f>
        <v>010.012.001.187</v>
      </c>
    </row>
    <row r="452" spans="1:7" ht="18" customHeight="1" x14ac:dyDescent="0.4">
      <c r="A452" s="3" t="s">
        <v>1155</v>
      </c>
      <c r="B452" s="3" t="s">
        <v>393</v>
      </c>
      <c r="C452" s="3" t="s">
        <v>19</v>
      </c>
      <c r="D452" s="3"/>
      <c r="E452" s="3" t="s">
        <v>1156</v>
      </c>
      <c r="F452" s="3"/>
      <c r="G452" s="5" t="str">
        <f>formatIP(IP_Master[[#This Row],[LAN IP Address]])</f>
        <v>010.012.001.188</v>
      </c>
    </row>
    <row r="453" spans="1:7" ht="18" customHeight="1" x14ac:dyDescent="0.4">
      <c r="A453" s="3" t="s">
        <v>1157</v>
      </c>
      <c r="B453" s="3" t="s">
        <v>393</v>
      </c>
      <c r="C453" s="3" t="s">
        <v>19</v>
      </c>
      <c r="D453" s="3"/>
      <c r="E453" s="3" t="s">
        <v>1158</v>
      </c>
      <c r="F453" s="3"/>
      <c r="G453" s="5" t="str">
        <f>formatIP(IP_Master[[#This Row],[LAN IP Address]])</f>
        <v>010.012.001.189</v>
      </c>
    </row>
    <row r="454" spans="1:7" ht="18" customHeight="1" x14ac:dyDescent="0.4">
      <c r="A454" s="3" t="s">
        <v>1159</v>
      </c>
      <c r="B454" s="3" t="s">
        <v>393</v>
      </c>
      <c r="C454" s="3" t="s">
        <v>19</v>
      </c>
      <c r="D454" s="3"/>
      <c r="E454" s="3"/>
      <c r="F454" s="3"/>
      <c r="G454" s="5" t="str">
        <f>formatIP(IP_Master[[#This Row],[LAN IP Address]])</f>
        <v>010.012.001.190</v>
      </c>
    </row>
    <row r="455" spans="1:7" ht="18" customHeight="1" x14ac:dyDescent="0.4">
      <c r="A455" s="3" t="s">
        <v>1160</v>
      </c>
      <c r="B455" s="3" t="s">
        <v>393</v>
      </c>
      <c r="C455" s="3" t="s">
        <v>19</v>
      </c>
      <c r="D455" s="3"/>
      <c r="E455" s="3"/>
      <c r="F455" s="3"/>
      <c r="G455" s="5" t="str">
        <f>formatIP(IP_Master[[#This Row],[LAN IP Address]])</f>
        <v>010.012.001.191</v>
      </c>
    </row>
    <row r="456" spans="1:7" ht="18" customHeight="1" x14ac:dyDescent="0.4">
      <c r="A456" s="3" t="s">
        <v>1161</v>
      </c>
      <c r="B456" s="3" t="s">
        <v>393</v>
      </c>
      <c r="C456" s="3" t="s">
        <v>19</v>
      </c>
      <c r="D456" s="3"/>
      <c r="E456" s="3" t="s">
        <v>1162</v>
      </c>
      <c r="F456" s="3"/>
      <c r="G456" s="5" t="str">
        <f>formatIP(IP_Master[[#This Row],[LAN IP Address]])</f>
        <v>010.012.001.192</v>
      </c>
    </row>
    <row r="457" spans="1:7" ht="18" customHeight="1" x14ac:dyDescent="0.4">
      <c r="A457" s="3" t="s">
        <v>1163</v>
      </c>
      <c r="B457" s="3" t="s">
        <v>393</v>
      </c>
      <c r="C457" s="3" t="s">
        <v>19</v>
      </c>
      <c r="D457" s="3"/>
      <c r="E457" s="3" t="s">
        <v>1164</v>
      </c>
      <c r="F457" s="3"/>
      <c r="G457" s="5" t="str">
        <f>formatIP(IP_Master[[#This Row],[LAN IP Address]])</f>
        <v>010.012.001.193</v>
      </c>
    </row>
    <row r="458" spans="1:7" ht="18" customHeight="1" x14ac:dyDescent="0.4">
      <c r="A458" s="3" t="s">
        <v>196</v>
      </c>
      <c r="B458" s="3" t="s">
        <v>393</v>
      </c>
      <c r="C458" s="3" t="s">
        <v>19</v>
      </c>
      <c r="D458" s="3" t="s">
        <v>1165</v>
      </c>
      <c r="E458" s="3" t="s">
        <v>1166</v>
      </c>
      <c r="F458" s="3"/>
      <c r="G458" s="5" t="str">
        <f>formatIP(IP_Master[[#This Row],[LAN IP Address]])</f>
        <v>010.012.001.194</v>
      </c>
    </row>
    <row r="459" spans="1:7" ht="18" customHeight="1" x14ac:dyDescent="0.4">
      <c r="A459" s="3" t="s">
        <v>1167</v>
      </c>
      <c r="B459" s="3" t="s">
        <v>393</v>
      </c>
      <c r="C459" s="3" t="s">
        <v>19</v>
      </c>
      <c r="D459" s="3" t="s">
        <v>1102</v>
      </c>
      <c r="E459" s="3" t="s">
        <v>1168</v>
      </c>
      <c r="F459" s="3"/>
      <c r="G459" s="5" t="str">
        <f>formatIP(IP_Master[[#This Row],[LAN IP Address]])</f>
        <v>010.012.001.195</v>
      </c>
    </row>
    <row r="460" spans="1:7" ht="18" customHeight="1" x14ac:dyDescent="0.4">
      <c r="A460" s="3" t="s">
        <v>1169</v>
      </c>
      <c r="B460" s="3" t="s">
        <v>393</v>
      </c>
      <c r="C460" s="3" t="s">
        <v>19</v>
      </c>
      <c r="D460" s="3" t="s">
        <v>1102</v>
      </c>
      <c r="E460" s="3" t="s">
        <v>1170</v>
      </c>
      <c r="F460" s="3"/>
      <c r="G460" s="5" t="str">
        <f>formatIP(IP_Master[[#This Row],[LAN IP Address]])</f>
        <v>010.012.001.196</v>
      </c>
    </row>
    <row r="461" spans="1:7" ht="18" customHeight="1" x14ac:dyDescent="0.4">
      <c r="A461" s="3" t="s">
        <v>1171</v>
      </c>
      <c r="B461" s="3" t="s">
        <v>393</v>
      </c>
      <c r="C461" s="3" t="s">
        <v>19</v>
      </c>
      <c r="D461" s="3" t="s">
        <v>1172</v>
      </c>
      <c r="E461" s="3" t="s">
        <v>1173</v>
      </c>
      <c r="F461" s="3"/>
      <c r="G461" s="5" t="str">
        <f>formatIP(IP_Master[[#This Row],[LAN IP Address]])</f>
        <v>010.012.001.197</v>
      </c>
    </row>
    <row r="462" spans="1:7" ht="18" customHeight="1" x14ac:dyDescent="0.4">
      <c r="A462" s="3" t="s">
        <v>1174</v>
      </c>
      <c r="B462" s="3" t="s">
        <v>393</v>
      </c>
      <c r="C462" s="3" t="s">
        <v>19</v>
      </c>
      <c r="D462" s="3" t="s">
        <v>1175</v>
      </c>
      <c r="E462" s="3" t="s">
        <v>1176</v>
      </c>
      <c r="F462" s="3"/>
      <c r="G462" s="5" t="str">
        <f>formatIP(IP_Master[[#This Row],[LAN IP Address]])</f>
        <v>010.012.001.198</v>
      </c>
    </row>
    <row r="463" spans="1:7" ht="18" customHeight="1" x14ac:dyDescent="0.4">
      <c r="A463" s="3" t="s">
        <v>1177</v>
      </c>
      <c r="B463" s="3" t="s">
        <v>393</v>
      </c>
      <c r="C463" s="3" t="s">
        <v>19</v>
      </c>
      <c r="D463" s="3" t="s">
        <v>1178</v>
      </c>
      <c r="E463" s="3" t="s">
        <v>1179</v>
      </c>
      <c r="F463" s="3"/>
      <c r="G463" s="5" t="str">
        <f>formatIP(IP_Master[[#This Row],[LAN IP Address]])</f>
        <v>010.012.001.199</v>
      </c>
    </row>
    <row r="464" spans="1:7" ht="18" customHeight="1" x14ac:dyDescent="0.4">
      <c r="A464" s="3" t="s">
        <v>1180</v>
      </c>
      <c r="B464" s="3" t="s">
        <v>432</v>
      </c>
      <c r="C464" s="3" t="s">
        <v>19</v>
      </c>
      <c r="D464" s="3"/>
      <c r="E464" s="3"/>
      <c r="F464" s="3"/>
      <c r="G464" s="5" t="str">
        <f>formatIP(IP_Master[[#This Row],[LAN IP Address]])</f>
        <v>010.012.001.201</v>
      </c>
    </row>
    <row r="465" spans="1:7" ht="18" customHeight="1" x14ac:dyDescent="0.4">
      <c r="A465" s="3" t="s">
        <v>1181</v>
      </c>
      <c r="B465" s="3" t="s">
        <v>432</v>
      </c>
      <c r="C465" s="3" t="s">
        <v>19</v>
      </c>
      <c r="D465" s="3"/>
      <c r="E465" s="3"/>
      <c r="F465" s="3"/>
      <c r="G465" s="5" t="str">
        <f>formatIP(IP_Master[[#This Row],[LAN IP Address]])</f>
        <v>010.012.001.202</v>
      </c>
    </row>
    <row r="466" spans="1:7" ht="18" customHeight="1" x14ac:dyDescent="0.4">
      <c r="A466" s="3" t="s">
        <v>1182</v>
      </c>
      <c r="B466" s="3" t="s">
        <v>432</v>
      </c>
      <c r="C466" s="3" t="s">
        <v>19</v>
      </c>
      <c r="D466" s="3"/>
      <c r="E466" s="3"/>
      <c r="F466" s="3"/>
      <c r="G466" s="5" t="str">
        <f>formatIP(IP_Master[[#This Row],[LAN IP Address]])</f>
        <v>010.012.001.203</v>
      </c>
    </row>
    <row r="467" spans="1:7" ht="18" customHeight="1" x14ac:dyDescent="0.4">
      <c r="A467" s="3" t="s">
        <v>1183</v>
      </c>
      <c r="B467" s="3" t="s">
        <v>432</v>
      </c>
      <c r="C467" s="3" t="s">
        <v>19</v>
      </c>
      <c r="D467" s="3"/>
      <c r="E467" s="3"/>
      <c r="F467" s="3"/>
      <c r="G467" s="5" t="str">
        <f>formatIP(IP_Master[[#This Row],[LAN IP Address]])</f>
        <v>010.012.001.204</v>
      </c>
    </row>
    <row r="468" spans="1:7" ht="18" customHeight="1" x14ac:dyDescent="0.4">
      <c r="A468" s="3" t="s">
        <v>1184</v>
      </c>
      <c r="B468" s="3" t="s">
        <v>432</v>
      </c>
      <c r="C468" s="3" t="s">
        <v>19</v>
      </c>
      <c r="D468" s="3"/>
      <c r="E468" s="3"/>
      <c r="F468" s="3"/>
      <c r="G468" s="5" t="str">
        <f>formatIP(IP_Master[[#This Row],[LAN IP Address]])</f>
        <v>010.012.001.205</v>
      </c>
    </row>
    <row r="469" spans="1:7" ht="18" customHeight="1" x14ac:dyDescent="0.4">
      <c r="A469" s="3" t="s">
        <v>1185</v>
      </c>
      <c r="B469" s="3" t="s">
        <v>432</v>
      </c>
      <c r="C469" s="3" t="s">
        <v>19</v>
      </c>
      <c r="D469" s="3"/>
      <c r="E469" s="3"/>
      <c r="F469" s="3"/>
      <c r="G469" s="5" t="str">
        <f>formatIP(IP_Master[[#This Row],[LAN IP Address]])</f>
        <v>010.012.001.206</v>
      </c>
    </row>
    <row r="470" spans="1:7" ht="18" customHeight="1" x14ac:dyDescent="0.4">
      <c r="A470" s="3" t="s">
        <v>1186</v>
      </c>
      <c r="B470" s="3" t="s">
        <v>432</v>
      </c>
      <c r="C470" s="3" t="s">
        <v>19</v>
      </c>
      <c r="D470" s="3"/>
      <c r="E470" s="3"/>
      <c r="F470" s="3"/>
      <c r="G470" s="5" t="str">
        <f>formatIP(IP_Master[[#This Row],[LAN IP Address]])</f>
        <v>010.012.001.207</v>
      </c>
    </row>
    <row r="471" spans="1:7" ht="18" customHeight="1" x14ac:dyDescent="0.4">
      <c r="A471" s="3" t="s">
        <v>1187</v>
      </c>
      <c r="B471" s="3" t="s">
        <v>432</v>
      </c>
      <c r="C471" s="3" t="s">
        <v>19</v>
      </c>
      <c r="D471" s="3"/>
      <c r="E471" s="3"/>
      <c r="F471" s="3"/>
      <c r="G471" s="5" t="str">
        <f>formatIP(IP_Master[[#This Row],[LAN IP Address]])</f>
        <v>010.012.001.208</v>
      </c>
    </row>
    <row r="472" spans="1:7" ht="18" customHeight="1" x14ac:dyDescent="0.4">
      <c r="A472" s="3" t="s">
        <v>1188</v>
      </c>
      <c r="B472" s="3" t="s">
        <v>432</v>
      </c>
      <c r="C472" s="3" t="s">
        <v>19</v>
      </c>
      <c r="D472" s="3"/>
      <c r="E472" s="3"/>
      <c r="F472" s="3"/>
      <c r="G472" s="5" t="str">
        <f>formatIP(IP_Master[[#This Row],[LAN IP Address]])</f>
        <v>010.012.001.209</v>
      </c>
    </row>
    <row r="473" spans="1:7" ht="18" customHeight="1" x14ac:dyDescent="0.4">
      <c r="A473" s="3" t="s">
        <v>1189</v>
      </c>
      <c r="B473" s="3" t="s">
        <v>432</v>
      </c>
      <c r="C473" s="3" t="s">
        <v>19</v>
      </c>
      <c r="D473" s="3"/>
      <c r="E473" s="3"/>
      <c r="F473" s="3"/>
      <c r="G473" s="5" t="str">
        <f>formatIP(IP_Master[[#This Row],[LAN IP Address]])</f>
        <v>010.012.001.210</v>
      </c>
    </row>
    <row r="474" spans="1:7" ht="18" customHeight="1" x14ac:dyDescent="0.4">
      <c r="A474" s="3" t="s">
        <v>1190</v>
      </c>
      <c r="B474" s="3" t="s">
        <v>432</v>
      </c>
      <c r="C474" s="3" t="s">
        <v>19</v>
      </c>
      <c r="D474" s="3"/>
      <c r="E474" s="3"/>
      <c r="F474" s="3"/>
      <c r="G474" s="5" t="str">
        <f>formatIP(IP_Master[[#This Row],[LAN IP Address]])</f>
        <v>010.012.001.211</v>
      </c>
    </row>
    <row r="475" spans="1:7" ht="18" customHeight="1" x14ac:dyDescent="0.4">
      <c r="A475" s="3" t="s">
        <v>1191</v>
      </c>
      <c r="B475" s="3" t="s">
        <v>432</v>
      </c>
      <c r="C475" s="3" t="s">
        <v>19</v>
      </c>
      <c r="D475" s="3"/>
      <c r="E475" s="3"/>
      <c r="F475" s="3"/>
      <c r="G475" s="5" t="str">
        <f>formatIP(IP_Master[[#This Row],[LAN IP Address]])</f>
        <v>010.012.001.212</v>
      </c>
    </row>
    <row r="476" spans="1:7" ht="18" customHeight="1" x14ac:dyDescent="0.4">
      <c r="A476" s="3" t="s">
        <v>1192</v>
      </c>
      <c r="B476" s="3" t="s">
        <v>432</v>
      </c>
      <c r="C476" s="3" t="s">
        <v>19</v>
      </c>
      <c r="D476" s="3"/>
      <c r="E476" s="3"/>
      <c r="F476" s="3"/>
      <c r="G476" s="5" t="str">
        <f>formatIP(IP_Master[[#This Row],[LAN IP Address]])</f>
        <v>010.012.001.213</v>
      </c>
    </row>
    <row r="477" spans="1:7" ht="18" customHeight="1" x14ac:dyDescent="0.4">
      <c r="A477" s="3" t="s">
        <v>1193</v>
      </c>
      <c r="B477" s="3" t="s">
        <v>432</v>
      </c>
      <c r="C477" s="3" t="s">
        <v>19</v>
      </c>
      <c r="D477" s="3"/>
      <c r="E477" s="3"/>
      <c r="F477" s="3"/>
      <c r="G477" s="5" t="str">
        <f>formatIP(IP_Master[[#This Row],[LAN IP Address]])</f>
        <v>010.012.001.214</v>
      </c>
    </row>
    <row r="478" spans="1:7" ht="18" customHeight="1" x14ac:dyDescent="0.4">
      <c r="A478" s="3" t="s">
        <v>1194</v>
      </c>
      <c r="B478" s="3" t="s">
        <v>432</v>
      </c>
      <c r="C478" s="3" t="s">
        <v>19</v>
      </c>
      <c r="D478" s="3"/>
      <c r="E478" s="3"/>
      <c r="F478" s="3"/>
      <c r="G478" s="5" t="str">
        <f>formatIP(IP_Master[[#This Row],[LAN IP Address]])</f>
        <v>010.012.001.215</v>
      </c>
    </row>
    <row r="479" spans="1:7" ht="18" customHeight="1" x14ac:dyDescent="0.4">
      <c r="A479" s="3" t="s">
        <v>1195</v>
      </c>
      <c r="B479" s="3" t="s">
        <v>432</v>
      </c>
      <c r="C479" s="3" t="s">
        <v>19</v>
      </c>
      <c r="D479" s="3"/>
      <c r="E479" s="3"/>
      <c r="F479" s="3"/>
      <c r="G479" s="5" t="str">
        <f>formatIP(IP_Master[[#This Row],[LAN IP Address]])</f>
        <v>010.012.001.216</v>
      </c>
    </row>
    <row r="480" spans="1:7" ht="18" customHeight="1" x14ac:dyDescent="0.4">
      <c r="A480" s="3" t="s">
        <v>1196</v>
      </c>
      <c r="B480" s="3" t="s">
        <v>432</v>
      </c>
      <c r="C480" s="3" t="s">
        <v>19</v>
      </c>
      <c r="D480" s="3"/>
      <c r="E480" s="3"/>
      <c r="F480" s="3"/>
      <c r="G480" s="5" t="str">
        <f>formatIP(IP_Master[[#This Row],[LAN IP Address]])</f>
        <v>010.012.001.217</v>
      </c>
    </row>
    <row r="481" spans="1:7" ht="18" customHeight="1" x14ac:dyDescent="0.4">
      <c r="A481" s="3" t="s">
        <v>1197</v>
      </c>
      <c r="B481" s="3" t="s">
        <v>432</v>
      </c>
      <c r="C481" s="3" t="s">
        <v>19</v>
      </c>
      <c r="D481" s="3"/>
      <c r="E481" s="3"/>
      <c r="F481" s="3"/>
      <c r="G481" s="5" t="str">
        <f>formatIP(IP_Master[[#This Row],[LAN IP Address]])</f>
        <v>010.012.001.218</v>
      </c>
    </row>
    <row r="482" spans="1:7" ht="18" customHeight="1" x14ac:dyDescent="0.4">
      <c r="A482" s="3" t="s">
        <v>1198</v>
      </c>
      <c r="B482" s="3" t="s">
        <v>432</v>
      </c>
      <c r="C482" s="3" t="s">
        <v>19</v>
      </c>
      <c r="D482" s="3" t="s">
        <v>1199</v>
      </c>
      <c r="E482" s="3" t="s">
        <v>1200</v>
      </c>
      <c r="F482" s="3"/>
      <c r="G482" s="5" t="str">
        <f>formatIP(IP_Master[[#This Row],[LAN IP Address]])</f>
        <v>010.012.001.219</v>
      </c>
    </row>
    <row r="483" spans="1:7" ht="18" customHeight="1" x14ac:dyDescent="0.4">
      <c r="A483" s="3" t="s">
        <v>1201</v>
      </c>
      <c r="B483" s="3" t="s">
        <v>852</v>
      </c>
      <c r="C483" s="3" t="s">
        <v>19</v>
      </c>
      <c r="D483" s="3" t="s">
        <v>1202</v>
      </c>
      <c r="E483" s="3" t="s">
        <v>1203</v>
      </c>
      <c r="F483" s="3"/>
      <c r="G483" s="5" t="str">
        <f>formatIP(IP_Master[[#This Row],[LAN IP Address]])</f>
        <v>010.012.001.221</v>
      </c>
    </row>
    <row r="484" spans="1:7" ht="18" customHeight="1" x14ac:dyDescent="0.4">
      <c r="A484" s="3" t="s">
        <v>1204</v>
      </c>
      <c r="B484" s="3" t="s">
        <v>852</v>
      </c>
      <c r="C484" s="3" t="s">
        <v>19</v>
      </c>
      <c r="D484" s="3"/>
      <c r="E484" s="3"/>
      <c r="F484" s="3"/>
      <c r="G484" s="5" t="str">
        <f>formatIP(IP_Master[[#This Row],[LAN IP Address]])</f>
        <v>010.012.001.222</v>
      </c>
    </row>
    <row r="485" spans="1:7" ht="18" customHeight="1" x14ac:dyDescent="0.4">
      <c r="A485" s="3" t="s">
        <v>1205</v>
      </c>
      <c r="B485" s="3" t="s">
        <v>852</v>
      </c>
      <c r="C485" s="3" t="s">
        <v>19</v>
      </c>
      <c r="D485" s="3"/>
      <c r="E485" s="3"/>
      <c r="F485" s="3"/>
      <c r="G485" s="5" t="str">
        <f>formatIP(IP_Master[[#This Row],[LAN IP Address]])</f>
        <v>010.012.001.223</v>
      </c>
    </row>
    <row r="486" spans="1:7" ht="18" customHeight="1" x14ac:dyDescent="0.4">
      <c r="A486" s="3" t="s">
        <v>1206</v>
      </c>
      <c r="B486" s="3" t="s">
        <v>852</v>
      </c>
      <c r="C486" s="3" t="s">
        <v>19</v>
      </c>
      <c r="D486" s="3"/>
      <c r="E486" s="3"/>
      <c r="F486" s="3"/>
      <c r="G486" s="5" t="str">
        <f>formatIP(IP_Master[[#This Row],[LAN IP Address]])</f>
        <v>010.012.001.224</v>
      </c>
    </row>
    <row r="487" spans="1:7" ht="18" customHeight="1" x14ac:dyDescent="0.4">
      <c r="A487" s="3" t="s">
        <v>1207</v>
      </c>
      <c r="B487" s="3" t="s">
        <v>852</v>
      </c>
      <c r="C487" s="3" t="s">
        <v>19</v>
      </c>
      <c r="D487" s="3"/>
      <c r="E487" s="3"/>
      <c r="F487" s="3"/>
      <c r="G487" s="5" t="str">
        <f>formatIP(IP_Master[[#This Row],[LAN IP Address]])</f>
        <v>010.012.001.225</v>
      </c>
    </row>
    <row r="488" spans="1:7" ht="18" customHeight="1" x14ac:dyDescent="0.4">
      <c r="A488" s="3" t="s">
        <v>1208</v>
      </c>
      <c r="B488" s="3" t="s">
        <v>852</v>
      </c>
      <c r="C488" s="3" t="s">
        <v>19</v>
      </c>
      <c r="D488" s="3"/>
      <c r="E488" s="3"/>
      <c r="F488" s="3"/>
      <c r="G488" s="5" t="str">
        <f>formatIP(IP_Master[[#This Row],[LAN IP Address]])</f>
        <v>010.012.001.226</v>
      </c>
    </row>
    <row r="489" spans="1:7" ht="18" customHeight="1" x14ac:dyDescent="0.4">
      <c r="A489" s="3" t="s">
        <v>1209</v>
      </c>
      <c r="B489" s="3" t="s">
        <v>852</v>
      </c>
      <c r="C489" s="3" t="s">
        <v>19</v>
      </c>
      <c r="D489" s="3"/>
      <c r="E489" s="3"/>
      <c r="F489" s="3"/>
      <c r="G489" s="5" t="str">
        <f>formatIP(IP_Master[[#This Row],[LAN IP Address]])</f>
        <v>010.012.001.227</v>
      </c>
    </row>
    <row r="490" spans="1:7" ht="18" customHeight="1" x14ac:dyDescent="0.4">
      <c r="A490" s="3" t="s">
        <v>1210</v>
      </c>
      <c r="B490" s="3" t="s">
        <v>852</v>
      </c>
      <c r="C490" s="3" t="s">
        <v>19</v>
      </c>
      <c r="D490" s="3"/>
      <c r="E490" s="3"/>
      <c r="F490" s="3"/>
      <c r="G490" s="5" t="str">
        <f>formatIP(IP_Master[[#This Row],[LAN IP Address]])</f>
        <v>010.012.001.228</v>
      </c>
    </row>
    <row r="491" spans="1:7" ht="18" customHeight="1" x14ac:dyDescent="0.4">
      <c r="A491" s="3" t="s">
        <v>1211</v>
      </c>
      <c r="B491" s="3" t="s">
        <v>852</v>
      </c>
      <c r="C491" s="3" t="s">
        <v>19</v>
      </c>
      <c r="D491" s="3"/>
      <c r="E491" s="3"/>
      <c r="F491" s="3"/>
      <c r="G491" s="5" t="str">
        <f>formatIP(IP_Master[[#This Row],[LAN IP Address]])</f>
        <v>010.012.001.229</v>
      </c>
    </row>
    <row r="492" spans="1:7" ht="18" customHeight="1" x14ac:dyDescent="0.4">
      <c r="A492" s="3" t="s">
        <v>1212</v>
      </c>
      <c r="B492" s="3" t="s">
        <v>852</v>
      </c>
      <c r="C492" s="3" t="s">
        <v>19</v>
      </c>
      <c r="D492" s="3"/>
      <c r="E492" s="3"/>
      <c r="F492" s="3"/>
      <c r="G492" s="5" t="str">
        <f>formatIP(IP_Master[[#This Row],[LAN IP Address]])</f>
        <v>010.012.001.230</v>
      </c>
    </row>
    <row r="493" spans="1:7" ht="18" customHeight="1" x14ac:dyDescent="0.4">
      <c r="A493" s="3" t="s">
        <v>1213</v>
      </c>
      <c r="B493" s="3" t="s">
        <v>852</v>
      </c>
      <c r="C493" s="3" t="s">
        <v>19</v>
      </c>
      <c r="D493" s="3"/>
      <c r="E493" s="3"/>
      <c r="F493" s="3"/>
      <c r="G493" s="5" t="str">
        <f>formatIP(IP_Master[[#This Row],[LAN IP Address]])</f>
        <v>010.012.001.231</v>
      </c>
    </row>
    <row r="494" spans="1:7" ht="18" customHeight="1" x14ac:dyDescent="0.4">
      <c r="A494" s="3" t="s">
        <v>1214</v>
      </c>
      <c r="B494" s="3" t="s">
        <v>852</v>
      </c>
      <c r="C494" s="3" t="s">
        <v>19</v>
      </c>
      <c r="D494" s="3"/>
      <c r="E494" s="3"/>
      <c r="F494" s="3"/>
      <c r="G494" s="5" t="str">
        <f>formatIP(IP_Master[[#This Row],[LAN IP Address]])</f>
        <v>010.012.001.232</v>
      </c>
    </row>
    <row r="495" spans="1:7" ht="18" customHeight="1" x14ac:dyDescent="0.4">
      <c r="A495" s="3" t="s">
        <v>1215</v>
      </c>
      <c r="B495" s="3" t="s">
        <v>852</v>
      </c>
      <c r="C495" s="3" t="s">
        <v>19</v>
      </c>
      <c r="D495" s="3"/>
      <c r="E495" s="3"/>
      <c r="F495" s="3"/>
      <c r="G495" s="5" t="str">
        <f>formatIP(IP_Master[[#This Row],[LAN IP Address]])</f>
        <v>010.012.001.233</v>
      </c>
    </row>
    <row r="496" spans="1:7" ht="18" customHeight="1" x14ac:dyDescent="0.4">
      <c r="A496" s="3" t="s">
        <v>1216</v>
      </c>
      <c r="B496" s="3" t="s">
        <v>852</v>
      </c>
      <c r="C496" s="3" t="s">
        <v>19</v>
      </c>
      <c r="D496" s="3"/>
      <c r="E496" s="3"/>
      <c r="F496" s="3"/>
      <c r="G496" s="5" t="str">
        <f>formatIP(IP_Master[[#This Row],[LAN IP Address]])</f>
        <v>010.012.001.234</v>
      </c>
    </row>
    <row r="497" spans="1:7" ht="18" customHeight="1" x14ac:dyDescent="0.4">
      <c r="A497" s="3" t="s">
        <v>1217</v>
      </c>
      <c r="B497" s="3" t="s">
        <v>852</v>
      </c>
      <c r="C497" s="3" t="s">
        <v>19</v>
      </c>
      <c r="D497" s="3"/>
      <c r="E497" s="3"/>
      <c r="F497" s="3"/>
      <c r="G497" s="5" t="str">
        <f>formatIP(IP_Master[[#This Row],[LAN IP Address]])</f>
        <v>010.012.001.235</v>
      </c>
    </row>
    <row r="498" spans="1:7" ht="18" customHeight="1" x14ac:dyDescent="0.4">
      <c r="A498" s="3" t="s">
        <v>1218</v>
      </c>
      <c r="B498" s="3" t="s">
        <v>852</v>
      </c>
      <c r="C498" s="3" t="s">
        <v>19</v>
      </c>
      <c r="D498" s="3"/>
      <c r="E498" s="3"/>
      <c r="F498" s="3"/>
      <c r="G498" s="5" t="str">
        <f>formatIP(IP_Master[[#This Row],[LAN IP Address]])</f>
        <v>010.012.001.236</v>
      </c>
    </row>
    <row r="499" spans="1:7" ht="18" customHeight="1" x14ac:dyDescent="0.4">
      <c r="A499" s="3" t="s">
        <v>1219</v>
      </c>
      <c r="B499" s="3" t="s">
        <v>852</v>
      </c>
      <c r="C499" s="3" t="s">
        <v>19</v>
      </c>
      <c r="D499" s="3"/>
      <c r="E499" s="3"/>
      <c r="F499" s="3"/>
      <c r="G499" s="5" t="str">
        <f>formatIP(IP_Master[[#This Row],[LAN IP Address]])</f>
        <v>010.012.001.237</v>
      </c>
    </row>
    <row r="500" spans="1:7" ht="18" customHeight="1" x14ac:dyDescent="0.4">
      <c r="A500" s="3" t="s">
        <v>1220</v>
      </c>
      <c r="B500" s="3" t="s">
        <v>852</v>
      </c>
      <c r="C500" s="3" t="s">
        <v>19</v>
      </c>
      <c r="D500" s="3"/>
      <c r="E500" s="3"/>
      <c r="F500" s="3"/>
      <c r="G500" s="5" t="str">
        <f>formatIP(IP_Master[[#This Row],[LAN IP Address]])</f>
        <v>010.012.001.238</v>
      </c>
    </row>
    <row r="501" spans="1:7" ht="18" customHeight="1" x14ac:dyDescent="0.4">
      <c r="A501" s="3" t="s">
        <v>1221</v>
      </c>
      <c r="B501" s="3" t="s">
        <v>852</v>
      </c>
      <c r="C501" s="3" t="s">
        <v>19</v>
      </c>
      <c r="D501" s="3"/>
      <c r="E501" s="3"/>
      <c r="F501" s="3"/>
      <c r="G501" s="5" t="str">
        <f>formatIP(IP_Master[[#This Row],[LAN IP Address]])</f>
        <v>010.012.001.239</v>
      </c>
    </row>
    <row r="502" spans="1:7" ht="18" customHeight="1" x14ac:dyDescent="0.4">
      <c r="A502" s="3" t="s">
        <v>75</v>
      </c>
      <c r="B502" s="3" t="s">
        <v>852</v>
      </c>
      <c r="C502" s="3" t="s">
        <v>19</v>
      </c>
      <c r="D502" s="3"/>
      <c r="E502" s="3" t="s">
        <v>1222</v>
      </c>
      <c r="F502" s="3"/>
      <c r="G502" s="5" t="str">
        <f>formatIP(IP_Master[[#This Row],[LAN IP Address]])</f>
        <v>010.012.001.240</v>
      </c>
    </row>
    <row r="503" spans="1:7" ht="18" customHeight="1" x14ac:dyDescent="0.4">
      <c r="A503" s="3" t="s">
        <v>84</v>
      </c>
      <c r="B503" s="3" t="s">
        <v>492</v>
      </c>
      <c r="C503" s="3" t="s">
        <v>19</v>
      </c>
      <c r="D503" s="3" t="s">
        <v>1223</v>
      </c>
      <c r="E503" s="3"/>
      <c r="F503" s="3"/>
      <c r="G503" s="5" t="str">
        <f>formatIP(IP_Master[[#This Row],[LAN IP Address]])</f>
        <v>010.012.001.241</v>
      </c>
    </row>
    <row r="504" spans="1:7" ht="18" customHeight="1" x14ac:dyDescent="0.4">
      <c r="A504" s="3" t="s">
        <v>85</v>
      </c>
      <c r="B504" s="3" t="s">
        <v>492</v>
      </c>
      <c r="C504" s="3" t="s">
        <v>19</v>
      </c>
      <c r="D504" s="3" t="s">
        <v>1224</v>
      </c>
      <c r="E504" s="3"/>
      <c r="F504" s="3"/>
      <c r="G504" s="5" t="str">
        <f>formatIP(IP_Master[[#This Row],[LAN IP Address]])</f>
        <v>010.012.001.242</v>
      </c>
    </row>
    <row r="505" spans="1:7" ht="18" customHeight="1" x14ac:dyDescent="0.4">
      <c r="A505" s="3" t="s">
        <v>1225</v>
      </c>
      <c r="B505" s="3" t="s">
        <v>492</v>
      </c>
      <c r="C505" s="3" t="s">
        <v>19</v>
      </c>
      <c r="D505" s="3" t="s">
        <v>1226</v>
      </c>
      <c r="E505" s="3"/>
      <c r="F505" s="3"/>
      <c r="G505" s="5" t="str">
        <f>formatIP(IP_Master[[#This Row],[LAN IP Address]])</f>
        <v>010.012.001.243</v>
      </c>
    </row>
    <row r="506" spans="1:7" ht="18" customHeight="1" x14ac:dyDescent="0.4">
      <c r="A506" s="3" t="s">
        <v>1227</v>
      </c>
      <c r="B506" s="3" t="s">
        <v>492</v>
      </c>
      <c r="C506" s="3" t="s">
        <v>19</v>
      </c>
      <c r="D506" s="3"/>
      <c r="E506" s="3" t="s">
        <v>1228</v>
      </c>
      <c r="F506" s="3"/>
      <c r="G506" s="5" t="str">
        <f>formatIP(IP_Master[[#This Row],[LAN IP Address]])</f>
        <v>010.012.001.244</v>
      </c>
    </row>
    <row r="507" spans="1:7" ht="18" customHeight="1" x14ac:dyDescent="0.4">
      <c r="A507" s="3" t="s">
        <v>1229</v>
      </c>
      <c r="B507" s="3" t="s">
        <v>492</v>
      </c>
      <c r="C507" s="3" t="s">
        <v>19</v>
      </c>
      <c r="D507" s="3"/>
      <c r="E507" s="3"/>
      <c r="F507" s="3"/>
      <c r="G507" s="5" t="str">
        <f>formatIP(IP_Master[[#This Row],[LAN IP Address]])</f>
        <v>010.012.001.245</v>
      </c>
    </row>
    <row r="508" spans="1:7" ht="18" customHeight="1" x14ac:dyDescent="0.4">
      <c r="A508" s="3" t="s">
        <v>1230</v>
      </c>
      <c r="B508" s="3" t="s">
        <v>492</v>
      </c>
      <c r="C508" s="3" t="s">
        <v>19</v>
      </c>
      <c r="D508" s="3"/>
      <c r="E508" s="3"/>
      <c r="F508" s="3"/>
      <c r="G508" s="5" t="str">
        <f>formatIP(IP_Master[[#This Row],[LAN IP Address]])</f>
        <v>010.012.001.246</v>
      </c>
    </row>
    <row r="509" spans="1:7" ht="18" customHeight="1" x14ac:dyDescent="0.4">
      <c r="A509" s="3" t="s">
        <v>1231</v>
      </c>
      <c r="B509" s="3" t="s">
        <v>492</v>
      </c>
      <c r="C509" s="3" t="s">
        <v>19</v>
      </c>
      <c r="D509" s="3"/>
      <c r="E509" s="3"/>
      <c r="F509" s="3"/>
      <c r="G509" s="5" t="str">
        <f>formatIP(IP_Master[[#This Row],[LAN IP Address]])</f>
        <v>010.012.001.247</v>
      </c>
    </row>
    <row r="510" spans="1:7" ht="18" customHeight="1" x14ac:dyDescent="0.4">
      <c r="A510" s="3" t="s">
        <v>1232</v>
      </c>
      <c r="B510" s="3" t="s">
        <v>492</v>
      </c>
      <c r="C510" s="3" t="s">
        <v>19</v>
      </c>
      <c r="D510" s="3"/>
      <c r="E510" s="3"/>
      <c r="F510" s="3"/>
      <c r="G510" s="5" t="str">
        <f>formatIP(IP_Master[[#This Row],[LAN IP Address]])</f>
        <v>010.012.001.248</v>
      </c>
    </row>
    <row r="511" spans="1:7" ht="18" customHeight="1" x14ac:dyDescent="0.4">
      <c r="A511" s="3" t="s">
        <v>1233</v>
      </c>
      <c r="B511" s="3" t="s">
        <v>492</v>
      </c>
      <c r="C511" s="3" t="s">
        <v>19</v>
      </c>
      <c r="D511" s="3"/>
      <c r="E511" s="3"/>
      <c r="F511" s="3"/>
      <c r="G511" s="5" t="str">
        <f>formatIP(IP_Master[[#This Row],[LAN IP Address]])</f>
        <v>010.012.001.249</v>
      </c>
    </row>
    <row r="512" spans="1:7" ht="18" customHeight="1" x14ac:dyDescent="0.4">
      <c r="A512" s="3" t="s">
        <v>1234</v>
      </c>
      <c r="B512" s="3" t="s">
        <v>492</v>
      </c>
      <c r="C512" s="3" t="s">
        <v>19</v>
      </c>
      <c r="D512" s="3"/>
      <c r="E512" s="3"/>
      <c r="F512" s="3"/>
      <c r="G512" s="5" t="str">
        <f>formatIP(IP_Master[[#This Row],[LAN IP Address]])</f>
        <v>010.012.001.250</v>
      </c>
    </row>
    <row r="513" spans="1:7" ht="18" customHeight="1" x14ac:dyDescent="0.4">
      <c r="A513" s="3" t="s">
        <v>1235</v>
      </c>
      <c r="B513" s="3" t="s">
        <v>492</v>
      </c>
      <c r="C513" s="3" t="s">
        <v>19</v>
      </c>
      <c r="D513" s="3"/>
      <c r="E513" s="3"/>
      <c r="F513" s="3"/>
      <c r="G513" s="5" t="str">
        <f>formatIP(IP_Master[[#This Row],[LAN IP Address]])</f>
        <v>010.012.001.251</v>
      </c>
    </row>
    <row r="514" spans="1:7" ht="18" customHeight="1" x14ac:dyDescent="0.4">
      <c r="A514" s="3" t="s">
        <v>1236</v>
      </c>
      <c r="B514" s="3" t="s">
        <v>492</v>
      </c>
      <c r="C514" s="3" t="s">
        <v>19</v>
      </c>
      <c r="D514" s="3"/>
      <c r="E514" s="3" t="s">
        <v>656</v>
      </c>
      <c r="F514" s="3"/>
      <c r="G514" s="5" t="str">
        <f>formatIP(IP_Master[[#This Row],[LAN IP Address]])</f>
        <v>010.012.001.252</v>
      </c>
    </row>
    <row r="515" spans="1:7" ht="18" customHeight="1" x14ac:dyDescent="0.4">
      <c r="A515" s="3" t="s">
        <v>1237</v>
      </c>
      <c r="B515" s="3" t="s">
        <v>492</v>
      </c>
      <c r="C515" s="3" t="s">
        <v>19</v>
      </c>
      <c r="D515" s="3"/>
      <c r="E515" s="3"/>
      <c r="F515" s="3"/>
      <c r="G515" s="5" t="str">
        <f>formatIP(IP_Master[[#This Row],[LAN IP Address]])</f>
        <v>010.012.001.253</v>
      </c>
    </row>
    <row r="516" spans="1:7" ht="18" customHeight="1" x14ac:dyDescent="0.4">
      <c r="A516" s="3" t="s">
        <v>1238</v>
      </c>
      <c r="B516" s="3" t="s">
        <v>492</v>
      </c>
      <c r="C516" s="3" t="s">
        <v>19</v>
      </c>
      <c r="D516" s="3"/>
      <c r="E516" s="3"/>
      <c r="F516" s="3"/>
      <c r="G516" s="5" t="str">
        <f>formatIP(IP_Master[[#This Row],[LAN IP Address]])</f>
        <v>010.012.001.254</v>
      </c>
    </row>
    <row r="517" spans="1:7" ht="18" customHeight="1" x14ac:dyDescent="0.4">
      <c r="A517" s="3" t="s">
        <v>1239</v>
      </c>
      <c r="B517" s="3" t="s">
        <v>492</v>
      </c>
      <c r="C517" s="3" t="s">
        <v>19</v>
      </c>
      <c r="D517" s="3"/>
      <c r="E517" s="3"/>
      <c r="F517" s="3"/>
      <c r="G517" s="5" t="str">
        <f>formatIP(IP_Master[[#This Row],[LAN IP Address]])</f>
        <v>010.012.001.255</v>
      </c>
    </row>
    <row r="518" spans="1:7" ht="18" customHeight="1" x14ac:dyDescent="0.4">
      <c r="A518" s="3" t="s">
        <v>1240</v>
      </c>
      <c r="B518" s="3" t="s">
        <v>1241</v>
      </c>
      <c r="C518" s="3" t="s">
        <v>18</v>
      </c>
      <c r="D518" s="3" t="s">
        <v>1242</v>
      </c>
      <c r="E518" s="3" t="s">
        <v>1243</v>
      </c>
      <c r="F518" s="3"/>
      <c r="G518" s="5" t="str">
        <f>formatIP(IP_Master[[#This Row],[LAN IP Address]])</f>
        <v>010.012.002.001</v>
      </c>
    </row>
    <row r="519" spans="1:7" ht="18" customHeight="1" x14ac:dyDescent="0.4">
      <c r="A519" s="3" t="s">
        <v>1244</v>
      </c>
      <c r="B519" s="3" t="s">
        <v>1241</v>
      </c>
      <c r="C519" s="3" t="s">
        <v>18</v>
      </c>
      <c r="D519" s="3" t="s">
        <v>1245</v>
      </c>
      <c r="E519" s="3" t="s">
        <v>1243</v>
      </c>
      <c r="F519" s="3"/>
      <c r="G519" s="5" t="str">
        <f>formatIP(IP_Master[[#This Row],[LAN IP Address]])</f>
        <v>010.012.002.002</v>
      </c>
    </row>
    <row r="520" spans="1:7" ht="18" customHeight="1" x14ac:dyDescent="0.4">
      <c r="A520" s="3" t="s">
        <v>1246</v>
      </c>
      <c r="B520" s="3" t="s">
        <v>1241</v>
      </c>
      <c r="C520" s="3" t="s">
        <v>18</v>
      </c>
      <c r="D520" s="3" t="s">
        <v>1247</v>
      </c>
      <c r="E520" s="3" t="s">
        <v>1243</v>
      </c>
      <c r="F520" s="3"/>
      <c r="G520" s="5" t="str">
        <f>formatIP(IP_Master[[#This Row],[LAN IP Address]])</f>
        <v>010.012.002.003</v>
      </c>
    </row>
    <row r="521" spans="1:7" ht="18" customHeight="1" x14ac:dyDescent="0.4">
      <c r="A521" s="3" t="s">
        <v>1248</v>
      </c>
      <c r="B521" s="3" t="s">
        <v>1241</v>
      </c>
      <c r="C521" s="3" t="s">
        <v>18</v>
      </c>
      <c r="D521" s="3" t="s">
        <v>1249</v>
      </c>
      <c r="E521" s="3" t="s">
        <v>1250</v>
      </c>
      <c r="F521" s="3"/>
      <c r="G521" s="5" t="str">
        <f>formatIP(IP_Master[[#This Row],[LAN IP Address]])</f>
        <v>010.012.002.004</v>
      </c>
    </row>
    <row r="522" spans="1:7" ht="18" customHeight="1" x14ac:dyDescent="0.4">
      <c r="A522" s="3" t="s">
        <v>1251</v>
      </c>
      <c r="B522" s="3" t="s">
        <v>1241</v>
      </c>
      <c r="C522" s="3" t="s">
        <v>18</v>
      </c>
      <c r="D522" s="3" t="s">
        <v>1249</v>
      </c>
      <c r="E522" s="3" t="s">
        <v>1250</v>
      </c>
      <c r="F522" s="3"/>
      <c r="G522" s="5" t="str">
        <f>formatIP(IP_Master[[#This Row],[LAN IP Address]])</f>
        <v>010.012.002.005</v>
      </c>
    </row>
    <row r="523" spans="1:7" ht="18" customHeight="1" x14ac:dyDescent="0.4">
      <c r="A523" s="3" t="s">
        <v>1252</v>
      </c>
      <c r="B523" s="3" t="s">
        <v>1241</v>
      </c>
      <c r="C523" s="3" t="s">
        <v>18</v>
      </c>
      <c r="D523" s="3"/>
      <c r="E523" s="3"/>
      <c r="F523" s="3"/>
      <c r="G523" s="5" t="str">
        <f>formatIP(IP_Master[[#This Row],[LAN IP Address]])</f>
        <v>010.012.002.006</v>
      </c>
    </row>
    <row r="524" spans="1:7" ht="18" customHeight="1" x14ac:dyDescent="0.4">
      <c r="A524" s="3" t="s">
        <v>1253</v>
      </c>
      <c r="B524" s="3" t="s">
        <v>1241</v>
      </c>
      <c r="C524" s="3" t="s">
        <v>18</v>
      </c>
      <c r="D524" s="3"/>
      <c r="E524" s="3"/>
      <c r="F524" s="3"/>
      <c r="G524" s="5" t="str">
        <f>formatIP(IP_Master[[#This Row],[LAN IP Address]])</f>
        <v>010.012.002.007</v>
      </c>
    </row>
    <row r="525" spans="1:7" ht="18" customHeight="1" x14ac:dyDescent="0.4">
      <c r="A525" s="3" t="s">
        <v>1254</v>
      </c>
      <c r="B525" s="3" t="s">
        <v>1241</v>
      </c>
      <c r="C525" s="3" t="s">
        <v>18</v>
      </c>
      <c r="D525" s="3"/>
      <c r="E525" s="3"/>
      <c r="F525" s="3"/>
      <c r="G525" s="5" t="str">
        <f>formatIP(IP_Master[[#This Row],[LAN IP Address]])</f>
        <v>010.012.002.008</v>
      </c>
    </row>
    <row r="526" spans="1:7" ht="18" customHeight="1" x14ac:dyDescent="0.4">
      <c r="A526" s="3" t="s">
        <v>1255</v>
      </c>
      <c r="B526" s="3" t="s">
        <v>1241</v>
      </c>
      <c r="C526" s="3" t="s">
        <v>18</v>
      </c>
      <c r="D526" s="3"/>
      <c r="E526" s="3"/>
      <c r="F526" s="3"/>
      <c r="G526" s="5" t="str">
        <f>formatIP(IP_Master[[#This Row],[LAN IP Address]])</f>
        <v>010.012.002.009</v>
      </c>
    </row>
    <row r="527" spans="1:7" ht="18" customHeight="1" x14ac:dyDescent="0.4">
      <c r="A527" s="3" t="s">
        <v>1256</v>
      </c>
      <c r="B527" s="3" t="s">
        <v>1241</v>
      </c>
      <c r="C527" s="3" t="s">
        <v>18</v>
      </c>
      <c r="D527" s="3"/>
      <c r="E527" s="3"/>
      <c r="F527" s="3"/>
      <c r="G527" s="5" t="str">
        <f>formatIP(IP_Master[[#This Row],[LAN IP Address]])</f>
        <v>010.012.002.010</v>
      </c>
    </row>
    <row r="528" spans="1:7" ht="18" customHeight="1" x14ac:dyDescent="0.4">
      <c r="A528" s="3" t="s">
        <v>1257</v>
      </c>
      <c r="B528" s="3" t="s">
        <v>1241</v>
      </c>
      <c r="C528" s="3" t="s">
        <v>18</v>
      </c>
      <c r="D528" s="3"/>
      <c r="E528" s="3"/>
      <c r="F528" s="3"/>
      <c r="G528" s="5" t="str">
        <f>formatIP(IP_Master[[#This Row],[LAN IP Address]])</f>
        <v>010.012.002.011</v>
      </c>
    </row>
    <row r="529" spans="1:7" ht="18" customHeight="1" x14ac:dyDescent="0.4">
      <c r="A529" s="3" t="s">
        <v>1258</v>
      </c>
      <c r="B529" s="3" t="s">
        <v>1241</v>
      </c>
      <c r="C529" s="3" t="s">
        <v>18</v>
      </c>
      <c r="D529" s="3"/>
      <c r="E529" s="3"/>
      <c r="F529" s="3"/>
      <c r="G529" s="5" t="str">
        <f>formatIP(IP_Master[[#This Row],[LAN IP Address]])</f>
        <v>010.012.002.012</v>
      </c>
    </row>
    <row r="530" spans="1:7" ht="18" customHeight="1" x14ac:dyDescent="0.4">
      <c r="A530" s="3" t="s">
        <v>1259</v>
      </c>
      <c r="B530" s="3" t="s">
        <v>1241</v>
      </c>
      <c r="C530" s="3" t="s">
        <v>18</v>
      </c>
      <c r="D530" s="3"/>
      <c r="E530" s="3"/>
      <c r="F530" s="3"/>
      <c r="G530" s="5" t="str">
        <f>formatIP(IP_Master[[#This Row],[LAN IP Address]])</f>
        <v>010.012.002.013</v>
      </c>
    </row>
    <row r="531" spans="1:7" ht="18" customHeight="1" x14ac:dyDescent="0.4">
      <c r="A531" s="3" t="s">
        <v>1260</v>
      </c>
      <c r="B531" s="3" t="s">
        <v>1241</v>
      </c>
      <c r="C531" s="3" t="s">
        <v>18</v>
      </c>
      <c r="D531" s="3"/>
      <c r="E531" s="3"/>
      <c r="F531" s="3"/>
      <c r="G531" s="5" t="str">
        <f>formatIP(IP_Master[[#This Row],[LAN IP Address]])</f>
        <v>010.012.002.014</v>
      </c>
    </row>
    <row r="532" spans="1:7" ht="18" customHeight="1" x14ac:dyDescent="0.4">
      <c r="A532" s="3" t="s">
        <v>1261</v>
      </c>
      <c r="B532" s="3" t="s">
        <v>1241</v>
      </c>
      <c r="C532" s="3" t="s">
        <v>18</v>
      </c>
      <c r="D532" s="3"/>
      <c r="E532" s="3"/>
      <c r="F532" s="3"/>
      <c r="G532" s="5" t="str">
        <f>formatIP(IP_Master[[#This Row],[LAN IP Address]])</f>
        <v>010.012.002.015</v>
      </c>
    </row>
    <row r="533" spans="1:7" ht="18" customHeight="1" x14ac:dyDescent="0.4">
      <c r="A533" s="3" t="s">
        <v>1262</v>
      </c>
      <c r="B533" s="3" t="s">
        <v>1241</v>
      </c>
      <c r="C533" s="3" t="s">
        <v>18</v>
      </c>
      <c r="D533" s="3"/>
      <c r="E533" s="3"/>
      <c r="F533" s="3"/>
      <c r="G533" s="5" t="str">
        <f>formatIP(IP_Master[[#This Row],[LAN IP Address]])</f>
        <v>010.012.002.016</v>
      </c>
    </row>
    <row r="534" spans="1:7" ht="18" customHeight="1" x14ac:dyDescent="0.4">
      <c r="A534" s="3" t="s">
        <v>1263</v>
      </c>
      <c r="B534" s="3" t="s">
        <v>1241</v>
      </c>
      <c r="C534" s="3" t="s">
        <v>18</v>
      </c>
      <c r="D534" s="3"/>
      <c r="E534" s="3"/>
      <c r="F534" s="3"/>
      <c r="G534" s="5" t="str">
        <f>formatIP(IP_Master[[#This Row],[LAN IP Address]])</f>
        <v>010.012.002.017</v>
      </c>
    </row>
    <row r="535" spans="1:7" ht="18" customHeight="1" x14ac:dyDescent="0.4">
      <c r="A535" s="3" t="s">
        <v>1264</v>
      </c>
      <c r="B535" s="3" t="s">
        <v>1241</v>
      </c>
      <c r="C535" s="3" t="s">
        <v>18</v>
      </c>
      <c r="D535" s="3"/>
      <c r="E535" s="3"/>
      <c r="F535" s="3"/>
      <c r="G535" s="5" t="str">
        <f>formatIP(IP_Master[[#This Row],[LAN IP Address]])</f>
        <v>010.012.002.018</v>
      </c>
    </row>
    <row r="536" spans="1:7" ht="18" customHeight="1" x14ac:dyDescent="0.4">
      <c r="A536" s="3" t="s">
        <v>1265</v>
      </c>
      <c r="B536" s="3" t="s">
        <v>1241</v>
      </c>
      <c r="C536" s="3" t="s">
        <v>18</v>
      </c>
      <c r="D536" s="3"/>
      <c r="E536" s="3"/>
      <c r="F536" s="3"/>
      <c r="G536" s="5" t="str">
        <f>formatIP(IP_Master[[#This Row],[LAN IP Address]])</f>
        <v>010.012.002.019</v>
      </c>
    </row>
    <row r="537" spans="1:7" ht="18" customHeight="1" x14ac:dyDescent="0.4">
      <c r="A537" s="3" t="s">
        <v>1266</v>
      </c>
      <c r="B537" s="3" t="s">
        <v>1241</v>
      </c>
      <c r="C537" s="3" t="s">
        <v>18</v>
      </c>
      <c r="D537" s="3"/>
      <c r="E537" s="3"/>
      <c r="F537" s="3"/>
      <c r="G537" s="5" t="str">
        <f>formatIP(IP_Master[[#This Row],[LAN IP Address]])</f>
        <v>010.012.002.020</v>
      </c>
    </row>
    <row r="538" spans="1:7" ht="18" customHeight="1" x14ac:dyDescent="0.4">
      <c r="A538" s="3" t="s">
        <v>1267</v>
      </c>
      <c r="B538" s="3" t="s">
        <v>1241</v>
      </c>
      <c r="C538" s="3" t="s">
        <v>19</v>
      </c>
      <c r="D538" s="3"/>
      <c r="E538" s="3"/>
      <c r="F538" s="3"/>
      <c r="G538" s="5" t="str">
        <f>formatIP(IP_Master[[#This Row],[LAN IP Address]])</f>
        <v>010.012.003.001</v>
      </c>
    </row>
    <row r="539" spans="1:7" ht="18" customHeight="1" x14ac:dyDescent="0.4">
      <c r="A539" s="3" t="s">
        <v>1268</v>
      </c>
      <c r="B539" s="3" t="s">
        <v>1241</v>
      </c>
      <c r="C539" s="3" t="s">
        <v>19</v>
      </c>
      <c r="D539" s="3"/>
      <c r="E539" s="3"/>
      <c r="F539" s="3"/>
      <c r="G539" s="5" t="str">
        <f>formatIP(IP_Master[[#This Row],[LAN IP Address]])</f>
        <v>010.012.003.002</v>
      </c>
    </row>
    <row r="540" spans="1:7" ht="18" customHeight="1" x14ac:dyDescent="0.4">
      <c r="A540" s="3" t="s">
        <v>1269</v>
      </c>
      <c r="B540" s="3" t="s">
        <v>1241</v>
      </c>
      <c r="C540" s="3" t="s">
        <v>19</v>
      </c>
      <c r="D540" s="3"/>
      <c r="E540" s="3"/>
      <c r="F540" s="3"/>
      <c r="G540" s="5" t="str">
        <f>formatIP(IP_Master[[#This Row],[LAN IP Address]])</f>
        <v>010.012.003.003</v>
      </c>
    </row>
    <row r="541" spans="1:7" ht="18" customHeight="1" x14ac:dyDescent="0.4">
      <c r="A541" s="3" t="s">
        <v>1270</v>
      </c>
      <c r="B541" s="3" t="s">
        <v>1241</v>
      </c>
      <c r="C541" s="3" t="s">
        <v>19</v>
      </c>
      <c r="D541" s="3"/>
      <c r="E541" s="3"/>
      <c r="F541" s="3"/>
      <c r="G541" s="5" t="str">
        <f>formatIP(IP_Master[[#This Row],[LAN IP Address]])</f>
        <v>010.012.003.004</v>
      </c>
    </row>
    <row r="542" spans="1:7" ht="18" customHeight="1" x14ac:dyDescent="0.4">
      <c r="A542" s="3" t="s">
        <v>1271</v>
      </c>
      <c r="B542" s="3" t="s">
        <v>1241</v>
      </c>
      <c r="C542" s="3" t="s">
        <v>19</v>
      </c>
      <c r="D542" s="3"/>
      <c r="E542" s="3"/>
      <c r="F542" s="3"/>
      <c r="G542" s="5" t="str">
        <f>formatIP(IP_Master[[#This Row],[LAN IP Address]])</f>
        <v>010.012.003.005</v>
      </c>
    </row>
    <row r="543" spans="1:7" ht="18" customHeight="1" x14ac:dyDescent="0.4">
      <c r="A543" s="3" t="s">
        <v>1272</v>
      </c>
      <c r="B543" s="3" t="s">
        <v>1241</v>
      </c>
      <c r="C543" s="3" t="s">
        <v>19</v>
      </c>
      <c r="D543" s="3"/>
      <c r="E543" s="3"/>
      <c r="F543" s="3"/>
      <c r="G543" s="5" t="str">
        <f>formatIP(IP_Master[[#This Row],[LAN IP Address]])</f>
        <v>010.012.003.006</v>
      </c>
    </row>
    <row r="544" spans="1:7" ht="18" customHeight="1" x14ac:dyDescent="0.4">
      <c r="A544" s="3" t="s">
        <v>1273</v>
      </c>
      <c r="B544" s="3" t="s">
        <v>1241</v>
      </c>
      <c r="C544" s="3" t="s">
        <v>19</v>
      </c>
      <c r="D544" s="3"/>
      <c r="E544" s="3"/>
      <c r="F544" s="3"/>
      <c r="G544" s="5" t="str">
        <f>formatIP(IP_Master[[#This Row],[LAN IP Address]])</f>
        <v>010.012.003.007</v>
      </c>
    </row>
    <row r="545" spans="1:7" ht="18" customHeight="1" x14ac:dyDescent="0.4">
      <c r="A545" s="3" t="s">
        <v>1274</v>
      </c>
      <c r="B545" s="3" t="s">
        <v>1241</v>
      </c>
      <c r="C545" s="3" t="s">
        <v>19</v>
      </c>
      <c r="D545" s="3"/>
      <c r="E545" s="3"/>
      <c r="F545" s="3"/>
      <c r="G545" s="5" t="str">
        <f>formatIP(IP_Master[[#This Row],[LAN IP Address]])</f>
        <v>010.012.003.008</v>
      </c>
    </row>
    <row r="546" spans="1:7" ht="18" customHeight="1" x14ac:dyDescent="0.4">
      <c r="A546" s="3" t="s">
        <v>1275</v>
      </c>
      <c r="B546" s="3" t="s">
        <v>1241</v>
      </c>
      <c r="C546" s="3" t="s">
        <v>19</v>
      </c>
      <c r="D546" s="3"/>
      <c r="E546" s="3"/>
      <c r="F546" s="3"/>
      <c r="G546" s="5" t="str">
        <f>formatIP(IP_Master[[#This Row],[LAN IP Address]])</f>
        <v>010.012.003.009</v>
      </c>
    </row>
    <row r="547" spans="1:7" ht="18" customHeight="1" x14ac:dyDescent="0.4">
      <c r="A547" s="3" t="s">
        <v>1276</v>
      </c>
      <c r="B547" s="3" t="s">
        <v>1241</v>
      </c>
      <c r="C547" s="3" t="s">
        <v>19</v>
      </c>
      <c r="D547" s="3"/>
      <c r="E547" s="3"/>
      <c r="F547" s="3"/>
      <c r="G547" s="5" t="str">
        <f>formatIP(IP_Master[[#This Row],[LAN IP Address]])</f>
        <v>010.012.003.010</v>
      </c>
    </row>
    <row r="548" spans="1:7" ht="18" customHeight="1" x14ac:dyDescent="0.4">
      <c r="A548" s="3" t="s">
        <v>1277</v>
      </c>
      <c r="B548" s="3" t="s">
        <v>1241</v>
      </c>
      <c r="C548" s="3" t="s">
        <v>19</v>
      </c>
      <c r="D548" s="3"/>
      <c r="E548" s="3"/>
      <c r="F548" s="3"/>
      <c r="G548" s="5" t="str">
        <f>formatIP(IP_Master[[#This Row],[LAN IP Address]])</f>
        <v>010.012.003.011</v>
      </c>
    </row>
    <row r="549" spans="1:7" ht="18" customHeight="1" x14ac:dyDescent="0.4">
      <c r="A549" s="3" t="s">
        <v>1278</v>
      </c>
      <c r="B549" s="3" t="s">
        <v>1241</v>
      </c>
      <c r="C549" s="3" t="s">
        <v>19</v>
      </c>
      <c r="D549" s="3"/>
      <c r="E549" s="3"/>
      <c r="F549" s="3"/>
      <c r="G549" s="5" t="str">
        <f>formatIP(IP_Master[[#This Row],[LAN IP Address]])</f>
        <v>010.012.003.012</v>
      </c>
    </row>
    <row r="550" spans="1:7" ht="18" customHeight="1" x14ac:dyDescent="0.4">
      <c r="A550" s="3" t="s">
        <v>1279</v>
      </c>
      <c r="B550" s="3" t="s">
        <v>1241</v>
      </c>
      <c r="C550" s="3" t="s">
        <v>19</v>
      </c>
      <c r="D550" s="3"/>
      <c r="E550" s="3"/>
      <c r="F550" s="3"/>
      <c r="G550" s="5" t="str">
        <f>formatIP(IP_Master[[#This Row],[LAN IP Address]])</f>
        <v>010.012.003.013</v>
      </c>
    </row>
    <row r="551" spans="1:7" ht="18" customHeight="1" x14ac:dyDescent="0.4">
      <c r="A551" s="3" t="s">
        <v>1280</v>
      </c>
      <c r="B551" s="3" t="s">
        <v>1241</v>
      </c>
      <c r="C551" s="3" t="s">
        <v>19</v>
      </c>
      <c r="D551" s="3"/>
      <c r="E551" s="3"/>
      <c r="F551" s="3"/>
      <c r="G551" s="5" t="str">
        <f>formatIP(IP_Master[[#This Row],[LAN IP Address]])</f>
        <v>010.012.003.014</v>
      </c>
    </row>
    <row r="552" spans="1:7" ht="18" customHeight="1" x14ac:dyDescent="0.4">
      <c r="A552" s="3" t="s">
        <v>1281</v>
      </c>
      <c r="B552" s="3" t="s">
        <v>1241</v>
      </c>
      <c r="C552" s="3" t="s">
        <v>19</v>
      </c>
      <c r="D552" s="3"/>
      <c r="E552" s="3"/>
      <c r="F552" s="3"/>
      <c r="G552" s="5" t="str">
        <f>formatIP(IP_Master[[#This Row],[LAN IP Address]])</f>
        <v>010.012.003.015</v>
      </c>
    </row>
    <row r="553" spans="1:7" ht="18" customHeight="1" x14ac:dyDescent="0.4">
      <c r="A553" s="3" t="s">
        <v>1282</v>
      </c>
      <c r="B553" s="3" t="s">
        <v>1241</v>
      </c>
      <c r="C553" s="3" t="s">
        <v>19</v>
      </c>
      <c r="D553" s="3"/>
      <c r="E553" s="3"/>
      <c r="F553" s="3"/>
      <c r="G553" s="5" t="str">
        <f>formatIP(IP_Master[[#This Row],[LAN IP Address]])</f>
        <v>010.012.003.016</v>
      </c>
    </row>
    <row r="554" spans="1:7" ht="18" customHeight="1" x14ac:dyDescent="0.4">
      <c r="A554" s="3" t="s">
        <v>1283</v>
      </c>
      <c r="B554" s="3" t="s">
        <v>1241</v>
      </c>
      <c r="C554" s="3" t="s">
        <v>19</v>
      </c>
      <c r="D554" s="3"/>
      <c r="E554" s="3"/>
      <c r="F554" s="3"/>
      <c r="G554" s="5" t="str">
        <f>formatIP(IP_Master[[#This Row],[LAN IP Address]])</f>
        <v>010.012.003.017</v>
      </c>
    </row>
    <row r="555" spans="1:7" ht="18" customHeight="1" x14ac:dyDescent="0.4">
      <c r="A555" s="3" t="s">
        <v>1284</v>
      </c>
      <c r="B555" s="3" t="s">
        <v>1241</v>
      </c>
      <c r="C555" s="3" t="s">
        <v>19</v>
      </c>
      <c r="D555" s="3"/>
      <c r="E555" s="3"/>
      <c r="F555" s="3"/>
      <c r="G555" s="5" t="str">
        <f>formatIP(IP_Master[[#This Row],[LAN IP Address]])</f>
        <v>010.012.003.018</v>
      </c>
    </row>
    <row r="556" spans="1:7" ht="18" customHeight="1" x14ac:dyDescent="0.4">
      <c r="A556" s="3" t="s">
        <v>1285</v>
      </c>
      <c r="B556" s="3" t="s">
        <v>1241</v>
      </c>
      <c r="C556" s="3" t="s">
        <v>19</v>
      </c>
      <c r="D556" s="3"/>
      <c r="E556" s="3"/>
      <c r="F556" s="3"/>
      <c r="G556" s="5" t="str">
        <f>formatIP(IP_Master[[#This Row],[LAN IP Address]])</f>
        <v>010.012.003.019</v>
      </c>
    </row>
    <row r="557" spans="1:7" ht="18" customHeight="1" x14ac:dyDescent="0.4">
      <c r="A557" s="3" t="s">
        <v>1286</v>
      </c>
      <c r="B557" s="3" t="s">
        <v>1241</v>
      </c>
      <c r="C557" s="3" t="s">
        <v>19</v>
      </c>
      <c r="D557" s="3"/>
      <c r="E557" s="3"/>
      <c r="F557" s="3"/>
      <c r="G557" s="5" t="str">
        <f>formatIP(IP_Master[[#This Row],[LAN IP Address]])</f>
        <v>010.012.003.020</v>
      </c>
    </row>
    <row r="558" spans="1:7" ht="18" customHeight="1" x14ac:dyDescent="0.4">
      <c r="A558" s="3" t="s">
        <v>1287</v>
      </c>
      <c r="B558" s="3" t="s">
        <v>529</v>
      </c>
      <c r="C558" s="3" t="s">
        <v>1288</v>
      </c>
      <c r="D558" s="3" t="s">
        <v>1289</v>
      </c>
      <c r="E558" s="3" t="s">
        <v>1290</v>
      </c>
      <c r="F558" s="3"/>
      <c r="G558" s="5" t="str">
        <f>formatIP(IP_Master[[#This Row],[LAN IP Address]])</f>
        <v>010.012.011.001</v>
      </c>
    </row>
    <row r="559" spans="1:7" ht="18" customHeight="1" x14ac:dyDescent="0.4">
      <c r="A559" s="3" t="s">
        <v>1291</v>
      </c>
      <c r="B559" s="3" t="s">
        <v>529</v>
      </c>
      <c r="C559" s="3" t="s">
        <v>1288</v>
      </c>
      <c r="D559" s="3" t="s">
        <v>1292</v>
      </c>
      <c r="E559" s="3" t="s">
        <v>1293</v>
      </c>
      <c r="F559" s="3"/>
      <c r="G559" s="5" t="str">
        <f>formatIP(IP_Master[[#This Row],[LAN IP Address]])</f>
        <v>010.012.011.002</v>
      </c>
    </row>
    <row r="560" spans="1:7" ht="18" customHeight="1" x14ac:dyDescent="0.4">
      <c r="A560" s="3" t="s">
        <v>1294</v>
      </c>
      <c r="B560" s="3" t="s">
        <v>529</v>
      </c>
      <c r="C560" s="3" t="s">
        <v>1288</v>
      </c>
      <c r="D560" s="3"/>
      <c r="E560" s="3"/>
      <c r="F560" s="3"/>
      <c r="G560" s="5" t="str">
        <f>formatIP(IP_Master[[#This Row],[LAN IP Address]])</f>
        <v>010.012.011.003</v>
      </c>
    </row>
    <row r="561" spans="1:7" ht="18" customHeight="1" x14ac:dyDescent="0.4">
      <c r="A561" s="3" t="s">
        <v>1295</v>
      </c>
      <c r="B561" s="3" t="s">
        <v>529</v>
      </c>
      <c r="C561" s="3" t="s">
        <v>1288</v>
      </c>
      <c r="D561" s="3"/>
      <c r="E561" s="3"/>
      <c r="F561" s="3"/>
      <c r="G561" s="5" t="str">
        <f>formatIP(IP_Master[[#This Row],[LAN IP Address]])</f>
        <v>010.012.011.004</v>
      </c>
    </row>
    <row r="562" spans="1:7" ht="18" customHeight="1" x14ac:dyDescent="0.4">
      <c r="A562" s="3" t="s">
        <v>1296</v>
      </c>
      <c r="B562" s="3" t="s">
        <v>529</v>
      </c>
      <c r="C562" s="3" t="s">
        <v>1288</v>
      </c>
      <c r="D562" s="3"/>
      <c r="E562" s="3"/>
      <c r="F562" s="3"/>
      <c r="G562" s="5" t="str">
        <f>formatIP(IP_Master[[#This Row],[LAN IP Address]])</f>
        <v>010.012.011.005</v>
      </c>
    </row>
    <row r="563" spans="1:7" ht="18" customHeight="1" x14ac:dyDescent="0.4">
      <c r="A563" s="3" t="s">
        <v>1297</v>
      </c>
      <c r="B563" s="3" t="s">
        <v>529</v>
      </c>
      <c r="C563" s="3" t="s">
        <v>1288</v>
      </c>
      <c r="D563" s="3"/>
      <c r="E563" s="3"/>
      <c r="F563" s="3"/>
      <c r="G563" s="5" t="str">
        <f>formatIP(IP_Master[[#This Row],[LAN IP Address]])</f>
        <v>010.012.011.006</v>
      </c>
    </row>
    <row r="564" spans="1:7" ht="18" customHeight="1" x14ac:dyDescent="0.4">
      <c r="A564" s="3" t="s">
        <v>1298</v>
      </c>
      <c r="B564" s="3" t="s">
        <v>529</v>
      </c>
      <c r="C564" s="3" t="s">
        <v>1288</v>
      </c>
      <c r="D564" s="3"/>
      <c r="E564" s="3"/>
      <c r="F564" s="3"/>
      <c r="G564" s="5" t="str">
        <f>formatIP(IP_Master[[#This Row],[LAN IP Address]])</f>
        <v>010.012.011.007</v>
      </c>
    </row>
    <row r="565" spans="1:7" ht="18" customHeight="1" x14ac:dyDescent="0.4">
      <c r="A565" s="3" t="s">
        <v>1299</v>
      </c>
      <c r="B565" s="3" t="s">
        <v>529</v>
      </c>
      <c r="C565" s="3" t="s">
        <v>1288</v>
      </c>
      <c r="D565" s="3"/>
      <c r="E565" s="3"/>
      <c r="F565" s="3"/>
      <c r="G565" s="5" t="str">
        <f>formatIP(IP_Master[[#This Row],[LAN IP Address]])</f>
        <v>010.012.011.008</v>
      </c>
    </row>
    <row r="566" spans="1:7" ht="18" customHeight="1" x14ac:dyDescent="0.4">
      <c r="A566" s="3" t="s">
        <v>1300</v>
      </c>
      <c r="B566" s="3" t="s">
        <v>529</v>
      </c>
      <c r="C566" s="3" t="s">
        <v>1288</v>
      </c>
      <c r="D566" s="3"/>
      <c r="E566" s="3"/>
      <c r="F566" s="3"/>
      <c r="G566" s="5" t="str">
        <f>formatIP(IP_Master[[#This Row],[LAN IP Address]])</f>
        <v>010.012.011.009</v>
      </c>
    </row>
    <row r="567" spans="1:7" ht="18" customHeight="1" x14ac:dyDescent="0.4">
      <c r="A567" s="3" t="s">
        <v>1301</v>
      </c>
      <c r="B567" s="3" t="s">
        <v>529</v>
      </c>
      <c r="C567" s="3" t="s">
        <v>1288</v>
      </c>
      <c r="D567" s="3"/>
      <c r="E567" s="3"/>
      <c r="F567" s="3"/>
      <c r="G567" s="5" t="str">
        <f>formatIP(IP_Master[[#This Row],[LAN IP Address]])</f>
        <v>010.012.011.010</v>
      </c>
    </row>
    <row r="568" spans="1:7" ht="18" customHeight="1" x14ac:dyDescent="0.4">
      <c r="A568" s="3" t="s">
        <v>1302</v>
      </c>
      <c r="B568" s="3" t="s">
        <v>529</v>
      </c>
      <c r="C568" s="3" t="s">
        <v>1288</v>
      </c>
      <c r="D568" s="3"/>
      <c r="E568" s="3"/>
      <c r="F568" s="3"/>
      <c r="G568" s="5" t="str">
        <f>formatIP(IP_Master[[#This Row],[LAN IP Address]])</f>
        <v>010.012.011.011</v>
      </c>
    </row>
    <row r="569" spans="1:7" ht="18" customHeight="1" x14ac:dyDescent="0.4">
      <c r="A569" s="3" t="s">
        <v>1303</v>
      </c>
      <c r="B569" s="3" t="s">
        <v>529</v>
      </c>
      <c r="C569" s="3" t="s">
        <v>1288</v>
      </c>
      <c r="D569" s="3"/>
      <c r="E569" s="3"/>
      <c r="F569" s="3"/>
      <c r="G569" s="5" t="str">
        <f>formatIP(IP_Master[[#This Row],[LAN IP Address]])</f>
        <v>010.012.011.012</v>
      </c>
    </row>
    <row r="570" spans="1:7" ht="18" customHeight="1" x14ac:dyDescent="0.4">
      <c r="A570" s="3" t="s">
        <v>1304</v>
      </c>
      <c r="B570" s="3" t="s">
        <v>529</v>
      </c>
      <c r="C570" s="3" t="s">
        <v>1288</v>
      </c>
      <c r="D570" s="3"/>
      <c r="E570" s="3"/>
      <c r="F570" s="3"/>
      <c r="G570" s="5" t="str">
        <f>formatIP(IP_Master[[#This Row],[LAN IP Address]])</f>
        <v>010.012.011.013</v>
      </c>
    </row>
    <row r="571" spans="1:7" ht="18" customHeight="1" x14ac:dyDescent="0.4">
      <c r="A571" s="3" t="s">
        <v>1305</v>
      </c>
      <c r="B571" s="3" t="s">
        <v>529</v>
      </c>
      <c r="C571" s="3" t="s">
        <v>1288</v>
      </c>
      <c r="D571" s="3"/>
      <c r="E571" s="3"/>
      <c r="F571" s="3"/>
      <c r="G571" s="5" t="str">
        <f>formatIP(IP_Master[[#This Row],[LAN IP Address]])</f>
        <v>010.012.011.014</v>
      </c>
    </row>
    <row r="572" spans="1:7" ht="18" customHeight="1" x14ac:dyDescent="0.4">
      <c r="A572" s="3" t="s">
        <v>1306</v>
      </c>
      <c r="B572" s="3" t="s">
        <v>529</v>
      </c>
      <c r="C572" s="3" t="s">
        <v>1288</v>
      </c>
      <c r="D572" s="3"/>
      <c r="E572" s="3"/>
      <c r="F572" s="3"/>
      <c r="G572" s="5" t="str">
        <f>formatIP(IP_Master[[#This Row],[LAN IP Address]])</f>
        <v>010.012.011.015</v>
      </c>
    </row>
    <row r="573" spans="1:7" ht="18" customHeight="1" x14ac:dyDescent="0.4">
      <c r="A573" s="3" t="s">
        <v>1307</v>
      </c>
      <c r="B573" s="3" t="s">
        <v>529</v>
      </c>
      <c r="C573" s="3" t="s">
        <v>1288</v>
      </c>
      <c r="D573" s="3"/>
      <c r="E573" s="3"/>
      <c r="F573" s="3"/>
      <c r="G573" s="5" t="str">
        <f>formatIP(IP_Master[[#This Row],[LAN IP Address]])</f>
        <v>010.012.011.016</v>
      </c>
    </row>
    <row r="574" spans="1:7" ht="18" customHeight="1" x14ac:dyDescent="0.4">
      <c r="A574" s="3" t="s">
        <v>1308</v>
      </c>
      <c r="B574" s="3" t="s">
        <v>529</v>
      </c>
      <c r="C574" s="3" t="s">
        <v>1288</v>
      </c>
      <c r="D574" s="3"/>
      <c r="E574" s="3" t="s">
        <v>1309</v>
      </c>
      <c r="F574" s="3"/>
      <c r="G574" s="5" t="str">
        <f>formatIP(IP_Master[[#This Row],[LAN IP Address]])</f>
        <v>010.012.011.017</v>
      </c>
    </row>
    <row r="575" spans="1:7" ht="18" customHeight="1" x14ac:dyDescent="0.4">
      <c r="A575" s="3" t="s">
        <v>1310</v>
      </c>
      <c r="B575" s="3" t="s">
        <v>529</v>
      </c>
      <c r="C575" s="3" t="s">
        <v>1288</v>
      </c>
      <c r="D575" s="3"/>
      <c r="E575" s="3" t="s">
        <v>1311</v>
      </c>
      <c r="F575" s="3"/>
      <c r="G575" s="5" t="str">
        <f>formatIP(IP_Master[[#This Row],[LAN IP Address]])</f>
        <v>010.012.011.018</v>
      </c>
    </row>
    <row r="576" spans="1:7" ht="18" customHeight="1" x14ac:dyDescent="0.4">
      <c r="A576" s="3" t="s">
        <v>1312</v>
      </c>
      <c r="B576" s="3" t="s">
        <v>529</v>
      </c>
      <c r="C576" s="3" t="s">
        <v>1288</v>
      </c>
      <c r="D576" s="3"/>
      <c r="E576" s="3" t="s">
        <v>1313</v>
      </c>
      <c r="F576" s="3"/>
      <c r="G576" s="5" t="str">
        <f>formatIP(IP_Master[[#This Row],[LAN IP Address]])</f>
        <v>010.012.011.019</v>
      </c>
    </row>
    <row r="577" spans="1:7" ht="18" customHeight="1" x14ac:dyDescent="0.4">
      <c r="A577" s="3" t="s">
        <v>1314</v>
      </c>
      <c r="B577" s="3" t="s">
        <v>529</v>
      </c>
      <c r="C577" s="3" t="s">
        <v>1288</v>
      </c>
      <c r="D577" s="3"/>
      <c r="E577" s="3" t="s">
        <v>1315</v>
      </c>
      <c r="F577" s="3"/>
      <c r="G577" s="5" t="str">
        <f>formatIP(IP_Master[[#This Row],[LAN IP Address]])</f>
        <v>010.012.011.020</v>
      </c>
    </row>
    <row r="578" spans="1:7" ht="18" customHeight="1" x14ac:dyDescent="0.4">
      <c r="A578" s="3" t="s">
        <v>1316</v>
      </c>
      <c r="B578" s="3" t="s">
        <v>569</v>
      </c>
      <c r="C578" s="3" t="s">
        <v>1288</v>
      </c>
      <c r="D578" s="3"/>
      <c r="E578" s="3"/>
      <c r="F578" s="3"/>
      <c r="G578" s="5" t="str">
        <f>formatIP(IP_Master[[#This Row],[LAN IP Address]])</f>
        <v>010.012.012.001</v>
      </c>
    </row>
    <row r="579" spans="1:7" ht="18" customHeight="1" x14ac:dyDescent="0.4">
      <c r="A579" s="3" t="s">
        <v>1317</v>
      </c>
      <c r="B579" s="3" t="s">
        <v>569</v>
      </c>
      <c r="C579" s="3" t="s">
        <v>1288</v>
      </c>
      <c r="D579" s="3"/>
      <c r="E579" s="3"/>
      <c r="F579" s="3"/>
      <c r="G579" s="5" t="str">
        <f>formatIP(IP_Master[[#This Row],[LAN IP Address]])</f>
        <v>010.012.012.002</v>
      </c>
    </row>
    <row r="580" spans="1:7" ht="18" customHeight="1" x14ac:dyDescent="0.4">
      <c r="A580" s="3" t="s">
        <v>1318</v>
      </c>
      <c r="B580" s="3" t="s">
        <v>569</v>
      </c>
      <c r="C580" s="3" t="s">
        <v>1288</v>
      </c>
      <c r="D580" s="3"/>
      <c r="E580" s="3"/>
      <c r="F580" s="3"/>
      <c r="G580" s="5" t="str">
        <f>formatIP(IP_Master[[#This Row],[LAN IP Address]])</f>
        <v>010.012.012.003</v>
      </c>
    </row>
    <row r="581" spans="1:7" ht="18" customHeight="1" x14ac:dyDescent="0.4">
      <c r="A581" s="3" t="s">
        <v>1319</v>
      </c>
      <c r="B581" s="3" t="s">
        <v>569</v>
      </c>
      <c r="C581" s="3" t="s">
        <v>1288</v>
      </c>
      <c r="D581" s="3"/>
      <c r="E581" s="3"/>
      <c r="F581" s="3"/>
      <c r="G581" s="5" t="str">
        <f>formatIP(IP_Master[[#This Row],[LAN IP Address]])</f>
        <v>010.012.012.004</v>
      </c>
    </row>
    <row r="582" spans="1:7" ht="18" customHeight="1" x14ac:dyDescent="0.4">
      <c r="A582" s="3" t="s">
        <v>1320</v>
      </c>
      <c r="B582" s="3" t="s">
        <v>569</v>
      </c>
      <c r="C582" s="3" t="s">
        <v>1288</v>
      </c>
      <c r="D582" s="3"/>
      <c r="E582" s="3"/>
      <c r="F582" s="3"/>
      <c r="G582" s="5" t="str">
        <f>formatIP(IP_Master[[#This Row],[LAN IP Address]])</f>
        <v>010.012.012.005</v>
      </c>
    </row>
    <row r="583" spans="1:7" ht="18" customHeight="1" x14ac:dyDescent="0.4">
      <c r="A583" s="3" t="s">
        <v>1321</v>
      </c>
      <c r="B583" s="3" t="s">
        <v>569</v>
      </c>
      <c r="C583" s="3" t="s">
        <v>1288</v>
      </c>
      <c r="D583" s="3"/>
      <c r="E583" s="3"/>
      <c r="F583" s="3"/>
      <c r="G583" s="5" t="str">
        <f>formatIP(IP_Master[[#This Row],[LAN IP Address]])</f>
        <v>010.012.012.006</v>
      </c>
    </row>
    <row r="584" spans="1:7" ht="18" customHeight="1" x14ac:dyDescent="0.4">
      <c r="A584" s="3" t="s">
        <v>1322</v>
      </c>
      <c r="B584" s="3" t="s">
        <v>569</v>
      </c>
      <c r="C584" s="3" t="s">
        <v>1288</v>
      </c>
      <c r="D584" s="3"/>
      <c r="E584" s="3"/>
      <c r="F584" s="3"/>
      <c r="G584" s="5" t="str">
        <f>formatIP(IP_Master[[#This Row],[LAN IP Address]])</f>
        <v>010.012.012.007</v>
      </c>
    </row>
    <row r="585" spans="1:7" ht="18" customHeight="1" x14ac:dyDescent="0.4">
      <c r="A585" s="3" t="s">
        <v>1323</v>
      </c>
      <c r="B585" s="3" t="s">
        <v>569</v>
      </c>
      <c r="C585" s="3" t="s">
        <v>1288</v>
      </c>
      <c r="D585" s="3"/>
      <c r="E585" s="3"/>
      <c r="F585" s="3"/>
      <c r="G585" s="5" t="str">
        <f>formatIP(IP_Master[[#This Row],[LAN IP Address]])</f>
        <v>010.012.012.008</v>
      </c>
    </row>
    <row r="586" spans="1:7" ht="18" customHeight="1" x14ac:dyDescent="0.4">
      <c r="A586" s="3" t="s">
        <v>1324</v>
      </c>
      <c r="B586" s="3" t="s">
        <v>569</v>
      </c>
      <c r="C586" s="3" t="s">
        <v>1288</v>
      </c>
      <c r="D586" s="3"/>
      <c r="E586" s="3"/>
      <c r="F586" s="3"/>
      <c r="G586" s="5" t="str">
        <f>formatIP(IP_Master[[#This Row],[LAN IP Address]])</f>
        <v>010.012.012.009</v>
      </c>
    </row>
    <row r="587" spans="1:7" ht="18" customHeight="1" x14ac:dyDescent="0.4">
      <c r="A587" s="3" t="s">
        <v>1325</v>
      </c>
      <c r="B587" s="3" t="s">
        <v>569</v>
      </c>
      <c r="C587" s="3" t="s">
        <v>1288</v>
      </c>
      <c r="D587" s="3"/>
      <c r="E587" s="3"/>
      <c r="F587" s="3"/>
      <c r="G587" s="5" t="str">
        <f>formatIP(IP_Master[[#This Row],[LAN IP Address]])</f>
        <v>010.012.012.010</v>
      </c>
    </row>
    <row r="588" spans="1:7" ht="18" customHeight="1" x14ac:dyDescent="0.4">
      <c r="A588" s="3" t="s">
        <v>1326</v>
      </c>
      <c r="B588" s="3" t="s">
        <v>569</v>
      </c>
      <c r="C588" s="3" t="s">
        <v>1288</v>
      </c>
      <c r="D588" s="3"/>
      <c r="E588" s="3"/>
      <c r="F588" s="3"/>
      <c r="G588" s="5" t="str">
        <f>formatIP(IP_Master[[#This Row],[LAN IP Address]])</f>
        <v>010.012.012.011</v>
      </c>
    </row>
    <row r="589" spans="1:7" ht="18" customHeight="1" x14ac:dyDescent="0.4">
      <c r="A589" s="3" t="s">
        <v>1327</v>
      </c>
      <c r="B589" s="3" t="s">
        <v>569</v>
      </c>
      <c r="C589" s="3" t="s">
        <v>1288</v>
      </c>
      <c r="D589" s="3"/>
      <c r="E589" s="3"/>
      <c r="F589" s="3"/>
      <c r="G589" s="5" t="str">
        <f>formatIP(IP_Master[[#This Row],[LAN IP Address]])</f>
        <v>010.012.012.012</v>
      </c>
    </row>
    <row r="590" spans="1:7" ht="18" customHeight="1" x14ac:dyDescent="0.4">
      <c r="A590" s="3" t="s">
        <v>1328</v>
      </c>
      <c r="B590" s="3" t="s">
        <v>569</v>
      </c>
      <c r="C590" s="3" t="s">
        <v>1288</v>
      </c>
      <c r="D590" s="3"/>
      <c r="E590" s="3"/>
      <c r="F590" s="3"/>
      <c r="G590" s="5" t="str">
        <f>formatIP(IP_Master[[#This Row],[LAN IP Address]])</f>
        <v>010.012.012.013</v>
      </c>
    </row>
    <row r="591" spans="1:7" ht="18" customHeight="1" x14ac:dyDescent="0.4">
      <c r="A591" s="3" t="s">
        <v>1329</v>
      </c>
      <c r="B591" s="3" t="s">
        <v>569</v>
      </c>
      <c r="C591" s="3" t="s">
        <v>1288</v>
      </c>
      <c r="D591" s="3"/>
      <c r="E591" s="3"/>
      <c r="F591" s="3"/>
      <c r="G591" s="5" t="str">
        <f>formatIP(IP_Master[[#This Row],[LAN IP Address]])</f>
        <v>010.012.012.014</v>
      </c>
    </row>
    <row r="592" spans="1:7" ht="18" customHeight="1" x14ac:dyDescent="0.4">
      <c r="A592" s="3" t="s">
        <v>1330</v>
      </c>
      <c r="B592" s="3" t="s">
        <v>569</v>
      </c>
      <c r="C592" s="3" t="s">
        <v>1288</v>
      </c>
      <c r="D592" s="3"/>
      <c r="E592" s="3"/>
      <c r="F592" s="3"/>
      <c r="G592" s="5" t="str">
        <f>formatIP(IP_Master[[#This Row],[LAN IP Address]])</f>
        <v>010.012.012.015</v>
      </c>
    </row>
    <row r="593" spans="1:7" ht="18" customHeight="1" x14ac:dyDescent="0.4">
      <c r="A593" s="3" t="s">
        <v>1331</v>
      </c>
      <c r="B593" s="3" t="s">
        <v>569</v>
      </c>
      <c r="C593" s="3" t="s">
        <v>1288</v>
      </c>
      <c r="D593" s="3"/>
      <c r="E593" s="3"/>
      <c r="F593" s="3"/>
      <c r="G593" s="5" t="str">
        <f>formatIP(IP_Master[[#This Row],[LAN IP Address]])</f>
        <v>010.012.012.016</v>
      </c>
    </row>
    <row r="594" spans="1:7" ht="18" customHeight="1" x14ac:dyDescent="0.4">
      <c r="A594" s="3" t="s">
        <v>1332</v>
      </c>
      <c r="B594" s="3" t="s">
        <v>569</v>
      </c>
      <c r="C594" s="3" t="s">
        <v>1288</v>
      </c>
      <c r="D594" s="3"/>
      <c r="E594" s="3"/>
      <c r="F594" s="3"/>
      <c r="G594" s="5" t="str">
        <f>formatIP(IP_Master[[#This Row],[LAN IP Address]])</f>
        <v>010.012.012.017</v>
      </c>
    </row>
    <row r="595" spans="1:7" ht="18" customHeight="1" x14ac:dyDescent="0.4">
      <c r="A595" s="3" t="s">
        <v>1333</v>
      </c>
      <c r="B595" s="3" t="s">
        <v>569</v>
      </c>
      <c r="C595" s="3" t="s">
        <v>1288</v>
      </c>
      <c r="D595" s="3"/>
      <c r="E595" s="3"/>
      <c r="F595" s="3"/>
      <c r="G595" s="5" t="str">
        <f>formatIP(IP_Master[[#This Row],[LAN IP Address]])</f>
        <v>010.012.012.018</v>
      </c>
    </row>
    <row r="596" spans="1:7" ht="18" customHeight="1" x14ac:dyDescent="0.4">
      <c r="A596" s="3" t="s">
        <v>1334</v>
      </c>
      <c r="B596" s="3" t="s">
        <v>569</v>
      </c>
      <c r="C596" s="3" t="s">
        <v>1288</v>
      </c>
      <c r="D596" s="3"/>
      <c r="E596" s="3"/>
      <c r="F596" s="3"/>
      <c r="G596" s="5" t="str">
        <f>formatIP(IP_Master[[#This Row],[LAN IP Address]])</f>
        <v>010.012.012.019</v>
      </c>
    </row>
    <row r="597" spans="1:7" ht="18" customHeight="1" x14ac:dyDescent="0.4">
      <c r="A597" s="3" t="s">
        <v>1335</v>
      </c>
      <c r="B597" s="3" t="s">
        <v>569</v>
      </c>
      <c r="C597" s="3" t="s">
        <v>1288</v>
      </c>
      <c r="D597" s="3"/>
      <c r="E597" s="3"/>
      <c r="F597" s="3"/>
      <c r="G597" s="5" t="str">
        <f>formatIP(IP_Master[[#This Row],[LAN IP Address]])</f>
        <v>010.012.012.020</v>
      </c>
    </row>
    <row r="598" spans="1:7" ht="18" customHeight="1" x14ac:dyDescent="0.4">
      <c r="A598" s="3" t="s">
        <v>1336</v>
      </c>
      <c r="B598" s="3" t="s">
        <v>520</v>
      </c>
      <c r="C598" s="3" t="s">
        <v>1288</v>
      </c>
      <c r="D598" s="3" t="s">
        <v>1337</v>
      </c>
      <c r="E598" s="3" t="s">
        <v>1338</v>
      </c>
      <c r="F598" s="3"/>
      <c r="G598" s="5" t="str">
        <f>formatIP(IP_Master[[#This Row],[LAN IP Address]])</f>
        <v>010.012.013.001</v>
      </c>
    </row>
    <row r="599" spans="1:7" ht="18" customHeight="1" x14ac:dyDescent="0.4">
      <c r="A599" s="3" t="s">
        <v>1339</v>
      </c>
      <c r="B599" s="3" t="s">
        <v>520</v>
      </c>
      <c r="C599" s="3" t="s">
        <v>1288</v>
      </c>
      <c r="D599" s="3" t="s">
        <v>1340</v>
      </c>
      <c r="E599" s="3" t="s">
        <v>1341</v>
      </c>
      <c r="F599" s="3"/>
      <c r="G599" s="5" t="str">
        <f>formatIP(IP_Master[[#This Row],[LAN IP Address]])</f>
        <v>010.012.013.002</v>
      </c>
    </row>
    <row r="600" spans="1:7" ht="18" customHeight="1" x14ac:dyDescent="0.4">
      <c r="A600" s="3" t="s">
        <v>1342</v>
      </c>
      <c r="B600" s="3" t="s">
        <v>520</v>
      </c>
      <c r="C600" s="3" t="s">
        <v>1288</v>
      </c>
      <c r="D600" s="3"/>
      <c r="E600" s="3"/>
      <c r="F600" s="3"/>
      <c r="G600" s="5" t="str">
        <f>formatIP(IP_Master[[#This Row],[LAN IP Address]])</f>
        <v>010.012.013.003</v>
      </c>
    </row>
    <row r="601" spans="1:7" ht="18" customHeight="1" x14ac:dyDescent="0.4">
      <c r="A601" s="3" t="s">
        <v>1343</v>
      </c>
      <c r="B601" s="3" t="s">
        <v>520</v>
      </c>
      <c r="C601" s="3" t="s">
        <v>1288</v>
      </c>
      <c r="D601" s="3"/>
      <c r="E601" s="3"/>
      <c r="F601" s="3"/>
      <c r="G601" s="5" t="str">
        <f>formatIP(IP_Master[[#This Row],[LAN IP Address]])</f>
        <v>010.012.013.004</v>
      </c>
    </row>
    <row r="602" spans="1:7" ht="18" customHeight="1" x14ac:dyDescent="0.4">
      <c r="A602" s="3" t="s">
        <v>1344</v>
      </c>
      <c r="B602" s="3" t="s">
        <v>520</v>
      </c>
      <c r="C602" s="3" t="s">
        <v>1288</v>
      </c>
      <c r="D602" s="3"/>
      <c r="E602" s="3"/>
      <c r="F602" s="3"/>
      <c r="G602" s="5" t="str">
        <f>formatIP(IP_Master[[#This Row],[LAN IP Address]])</f>
        <v>010.012.013.005</v>
      </c>
    </row>
    <row r="603" spans="1:7" ht="18" customHeight="1" x14ac:dyDescent="0.4">
      <c r="A603" s="3" t="s">
        <v>1345</v>
      </c>
      <c r="B603" s="3" t="s">
        <v>520</v>
      </c>
      <c r="C603" s="3" t="s">
        <v>1288</v>
      </c>
      <c r="D603" s="3"/>
      <c r="E603" s="3"/>
      <c r="F603" s="3"/>
      <c r="G603" s="5" t="str">
        <f>formatIP(IP_Master[[#This Row],[LAN IP Address]])</f>
        <v>010.012.013.006</v>
      </c>
    </row>
    <row r="604" spans="1:7" ht="18" customHeight="1" x14ac:dyDescent="0.4">
      <c r="A604" s="3" t="s">
        <v>1346</v>
      </c>
      <c r="B604" s="3" t="s">
        <v>520</v>
      </c>
      <c r="C604" s="3" t="s">
        <v>1288</v>
      </c>
      <c r="D604" s="3"/>
      <c r="E604" s="3"/>
      <c r="F604" s="3"/>
      <c r="G604" s="5" t="str">
        <f>formatIP(IP_Master[[#This Row],[LAN IP Address]])</f>
        <v>010.012.013.007</v>
      </c>
    </row>
    <row r="605" spans="1:7" ht="18" customHeight="1" x14ac:dyDescent="0.4">
      <c r="A605" s="3" t="s">
        <v>1347</v>
      </c>
      <c r="B605" s="3" t="s">
        <v>520</v>
      </c>
      <c r="C605" s="3" t="s">
        <v>1288</v>
      </c>
      <c r="D605" s="3"/>
      <c r="E605" s="3"/>
      <c r="F605" s="3"/>
      <c r="G605" s="5" t="str">
        <f>formatIP(IP_Master[[#This Row],[LAN IP Address]])</f>
        <v>010.012.013.008</v>
      </c>
    </row>
    <row r="606" spans="1:7" ht="18" customHeight="1" x14ac:dyDescent="0.4">
      <c r="A606" s="3" t="s">
        <v>1348</v>
      </c>
      <c r="B606" s="3" t="s">
        <v>520</v>
      </c>
      <c r="C606" s="3" t="s">
        <v>1288</v>
      </c>
      <c r="D606" s="3"/>
      <c r="E606" s="3"/>
      <c r="F606" s="3"/>
      <c r="G606" s="5" t="str">
        <f>formatIP(IP_Master[[#This Row],[LAN IP Address]])</f>
        <v>010.012.013.009</v>
      </c>
    </row>
    <row r="607" spans="1:7" ht="18" customHeight="1" x14ac:dyDescent="0.4">
      <c r="A607" s="3" t="s">
        <v>1349</v>
      </c>
      <c r="B607" s="3" t="s">
        <v>520</v>
      </c>
      <c r="C607" s="3" t="s">
        <v>1288</v>
      </c>
      <c r="D607" s="3"/>
      <c r="E607" s="3"/>
      <c r="F607" s="3"/>
      <c r="G607" s="5" t="str">
        <f>formatIP(IP_Master[[#This Row],[LAN IP Address]])</f>
        <v>010.012.013.010</v>
      </c>
    </row>
    <row r="608" spans="1:7" ht="18" customHeight="1" x14ac:dyDescent="0.4">
      <c r="A608" s="3" t="s">
        <v>1350</v>
      </c>
      <c r="B608" s="3" t="s">
        <v>520</v>
      </c>
      <c r="C608" s="3" t="s">
        <v>1288</v>
      </c>
      <c r="D608" s="3"/>
      <c r="E608" s="3"/>
      <c r="F608" s="3"/>
      <c r="G608" s="5" t="str">
        <f>formatIP(IP_Master[[#This Row],[LAN IP Address]])</f>
        <v>010.012.013.011</v>
      </c>
    </row>
    <row r="609" spans="1:7" ht="18" customHeight="1" x14ac:dyDescent="0.4">
      <c r="A609" s="3" t="s">
        <v>1351</v>
      </c>
      <c r="B609" s="3" t="s">
        <v>520</v>
      </c>
      <c r="C609" s="3" t="s">
        <v>1288</v>
      </c>
      <c r="D609" s="3"/>
      <c r="E609" s="3"/>
      <c r="F609" s="3"/>
      <c r="G609" s="5" t="str">
        <f>formatIP(IP_Master[[#This Row],[LAN IP Address]])</f>
        <v>010.012.013.012</v>
      </c>
    </row>
    <row r="610" spans="1:7" ht="18" customHeight="1" x14ac:dyDescent="0.4">
      <c r="A610" s="3" t="s">
        <v>1352</v>
      </c>
      <c r="B610" s="3" t="s">
        <v>520</v>
      </c>
      <c r="C610" s="3" t="s">
        <v>1288</v>
      </c>
      <c r="D610" s="3"/>
      <c r="E610" s="3"/>
      <c r="F610" s="3"/>
      <c r="G610" s="5" t="str">
        <f>formatIP(IP_Master[[#This Row],[LAN IP Address]])</f>
        <v>010.012.013.013</v>
      </c>
    </row>
    <row r="611" spans="1:7" ht="18" customHeight="1" x14ac:dyDescent="0.4">
      <c r="A611" s="3" t="s">
        <v>1353</v>
      </c>
      <c r="B611" s="3" t="s">
        <v>520</v>
      </c>
      <c r="C611" s="3" t="s">
        <v>1288</v>
      </c>
      <c r="D611" s="3"/>
      <c r="E611" s="3"/>
      <c r="F611" s="3"/>
      <c r="G611" s="5" t="str">
        <f>formatIP(IP_Master[[#This Row],[LAN IP Address]])</f>
        <v>010.012.013.014</v>
      </c>
    </row>
    <row r="612" spans="1:7" ht="18" customHeight="1" x14ac:dyDescent="0.4">
      <c r="A612" s="3" t="s">
        <v>1354</v>
      </c>
      <c r="B612" s="3" t="s">
        <v>520</v>
      </c>
      <c r="C612" s="3" t="s">
        <v>1288</v>
      </c>
      <c r="D612" s="3"/>
      <c r="E612" s="3"/>
      <c r="F612" s="3"/>
      <c r="G612" s="5" t="str">
        <f>formatIP(IP_Master[[#This Row],[LAN IP Address]])</f>
        <v>010.012.013.015</v>
      </c>
    </row>
    <row r="613" spans="1:7" ht="18" customHeight="1" x14ac:dyDescent="0.4">
      <c r="A613" s="3" t="s">
        <v>1355</v>
      </c>
      <c r="B613" s="3" t="s">
        <v>520</v>
      </c>
      <c r="C613" s="3" t="s">
        <v>1288</v>
      </c>
      <c r="D613" s="3"/>
      <c r="E613" s="3"/>
      <c r="F613" s="3"/>
      <c r="G613" s="5" t="str">
        <f>formatIP(IP_Master[[#This Row],[LAN IP Address]])</f>
        <v>010.012.013.016</v>
      </c>
    </row>
    <row r="614" spans="1:7" ht="18" customHeight="1" x14ac:dyDescent="0.4">
      <c r="A614" s="3" t="s">
        <v>1356</v>
      </c>
      <c r="B614" s="3" t="s">
        <v>520</v>
      </c>
      <c r="C614" s="3" t="s">
        <v>1288</v>
      </c>
      <c r="D614" s="3"/>
      <c r="E614" s="3"/>
      <c r="F614" s="3"/>
      <c r="G614" s="5" t="str">
        <f>formatIP(IP_Master[[#This Row],[LAN IP Address]])</f>
        <v>010.012.013.017</v>
      </c>
    </row>
    <row r="615" spans="1:7" ht="18" customHeight="1" x14ac:dyDescent="0.4">
      <c r="A615" s="3" t="s">
        <v>1357</v>
      </c>
      <c r="B615" s="3" t="s">
        <v>520</v>
      </c>
      <c r="C615" s="3" t="s">
        <v>1288</v>
      </c>
      <c r="D615" s="3"/>
      <c r="E615" s="3"/>
      <c r="F615" s="3"/>
      <c r="G615" s="5" t="str">
        <f>formatIP(IP_Master[[#This Row],[LAN IP Address]])</f>
        <v>010.012.013.018</v>
      </c>
    </row>
    <row r="616" spans="1:7" ht="18" customHeight="1" x14ac:dyDescent="0.4">
      <c r="A616" s="3" t="s">
        <v>1358</v>
      </c>
      <c r="B616" s="3" t="s">
        <v>520</v>
      </c>
      <c r="C616" s="3" t="s">
        <v>1288</v>
      </c>
      <c r="D616" s="3"/>
      <c r="E616" s="3"/>
      <c r="F616" s="3"/>
      <c r="G616" s="5" t="str">
        <f>formatIP(IP_Master[[#This Row],[LAN IP Address]])</f>
        <v>010.012.013.019</v>
      </c>
    </row>
    <row r="617" spans="1:7" ht="18" customHeight="1" x14ac:dyDescent="0.4">
      <c r="A617" s="3" t="s">
        <v>1359</v>
      </c>
      <c r="B617" s="3" t="s">
        <v>520</v>
      </c>
      <c r="C617" s="3" t="s">
        <v>1288</v>
      </c>
      <c r="D617" s="3"/>
      <c r="E617" s="3"/>
      <c r="F617" s="3"/>
      <c r="G617" s="5" t="str">
        <f>formatIP(IP_Master[[#This Row],[LAN IP Address]])</f>
        <v>010.012.013.020</v>
      </c>
    </row>
    <row r="618" spans="1:7" ht="18" customHeight="1" x14ac:dyDescent="0.4">
      <c r="A618" s="3" t="s">
        <v>1359</v>
      </c>
      <c r="B618" s="3" t="s">
        <v>520</v>
      </c>
      <c r="C618" s="3" t="s">
        <v>1288</v>
      </c>
      <c r="D618" s="3"/>
      <c r="E618" s="3"/>
      <c r="F618" s="3"/>
      <c r="G618" s="5" t="str">
        <f>formatIP(IP_Master[[#This Row],[LAN IP Address]])</f>
        <v>010.012.013.020</v>
      </c>
    </row>
    <row r="619" spans="1:7" ht="18" customHeight="1" x14ac:dyDescent="0.4">
      <c r="A619" s="3" t="s">
        <v>1360</v>
      </c>
      <c r="B619" s="3" t="s">
        <v>639</v>
      </c>
      <c r="C619" s="3" t="s">
        <v>1288</v>
      </c>
      <c r="D619" s="3" t="s">
        <v>1361</v>
      </c>
      <c r="E619" s="3" t="s">
        <v>1362</v>
      </c>
      <c r="F619" s="3"/>
      <c r="G619" s="5" t="str">
        <f>formatIP(IP_Master[[#This Row],[LAN IP Address]])</f>
        <v>010.012.014.001</v>
      </c>
    </row>
    <row r="620" spans="1:7" ht="18" customHeight="1" x14ac:dyDescent="0.4">
      <c r="A620" s="3" t="s">
        <v>1363</v>
      </c>
      <c r="B620" s="3" t="s">
        <v>639</v>
      </c>
      <c r="C620" s="3" t="s">
        <v>1288</v>
      </c>
      <c r="D620" s="3" t="s">
        <v>1364</v>
      </c>
      <c r="E620" s="3" t="s">
        <v>1365</v>
      </c>
      <c r="F620" s="3"/>
      <c r="G620" s="5" t="str">
        <f>formatIP(IP_Master[[#This Row],[LAN IP Address]])</f>
        <v>010.012.014.002</v>
      </c>
    </row>
    <row r="621" spans="1:7" ht="18" customHeight="1" x14ac:dyDescent="0.4">
      <c r="A621" s="3" t="s">
        <v>1366</v>
      </c>
      <c r="B621" s="3" t="s">
        <v>639</v>
      </c>
      <c r="C621" s="3" t="s">
        <v>1288</v>
      </c>
      <c r="D621" s="3" t="s">
        <v>1367</v>
      </c>
      <c r="E621" s="3" t="s">
        <v>1368</v>
      </c>
      <c r="F621" s="3"/>
      <c r="G621" s="5" t="str">
        <f>formatIP(IP_Master[[#This Row],[LAN IP Address]])</f>
        <v>010.012.014.003</v>
      </c>
    </row>
    <row r="622" spans="1:7" ht="18" customHeight="1" x14ac:dyDescent="0.4">
      <c r="A622" s="3" t="s">
        <v>1369</v>
      </c>
      <c r="B622" s="3" t="s">
        <v>639</v>
      </c>
      <c r="C622" s="3" t="s">
        <v>1288</v>
      </c>
      <c r="D622" s="3"/>
      <c r="E622" s="3"/>
      <c r="F622" s="3"/>
      <c r="G622" s="5" t="str">
        <f>formatIP(IP_Master[[#This Row],[LAN IP Address]])</f>
        <v>010.012.014.004</v>
      </c>
    </row>
    <row r="623" spans="1:7" ht="18" customHeight="1" x14ac:dyDescent="0.4">
      <c r="A623" s="3" t="s">
        <v>1370</v>
      </c>
      <c r="B623" s="3" t="s">
        <v>639</v>
      </c>
      <c r="C623" s="3" t="s">
        <v>1288</v>
      </c>
      <c r="D623" s="3"/>
      <c r="E623" s="3"/>
      <c r="F623" s="3"/>
      <c r="G623" s="5" t="str">
        <f>formatIP(IP_Master[[#This Row],[LAN IP Address]])</f>
        <v>010.012.014.005</v>
      </c>
    </row>
    <row r="624" spans="1:7" ht="18" customHeight="1" x14ac:dyDescent="0.4">
      <c r="A624" s="3" t="s">
        <v>1371</v>
      </c>
      <c r="B624" s="3" t="s">
        <v>639</v>
      </c>
      <c r="C624" s="3" t="s">
        <v>1288</v>
      </c>
      <c r="D624" s="3"/>
      <c r="E624" s="3"/>
      <c r="F624" s="3"/>
      <c r="G624" s="5" t="str">
        <f>formatIP(IP_Master[[#This Row],[LAN IP Address]])</f>
        <v>010.012.014.006</v>
      </c>
    </row>
    <row r="625" spans="1:7" ht="18" customHeight="1" x14ac:dyDescent="0.4">
      <c r="A625" s="3" t="s">
        <v>1372</v>
      </c>
      <c r="B625" s="3" t="s">
        <v>639</v>
      </c>
      <c r="C625" s="3" t="s">
        <v>1288</v>
      </c>
      <c r="D625" s="3"/>
      <c r="E625" s="3"/>
      <c r="F625" s="3"/>
      <c r="G625" s="5" t="str">
        <f>formatIP(IP_Master[[#This Row],[LAN IP Address]])</f>
        <v>010.012.014.007</v>
      </c>
    </row>
    <row r="626" spans="1:7" ht="18" customHeight="1" x14ac:dyDescent="0.4">
      <c r="A626" s="3" t="s">
        <v>1373</v>
      </c>
      <c r="B626" s="3" t="s">
        <v>639</v>
      </c>
      <c r="C626" s="3" t="s">
        <v>1288</v>
      </c>
      <c r="D626" s="3"/>
      <c r="E626" s="3"/>
      <c r="F626" s="3"/>
      <c r="G626" s="5" t="str">
        <f>formatIP(IP_Master[[#This Row],[LAN IP Address]])</f>
        <v>010.012.014.008</v>
      </c>
    </row>
    <row r="627" spans="1:7" ht="18" customHeight="1" x14ac:dyDescent="0.4">
      <c r="A627" s="3" t="s">
        <v>1374</v>
      </c>
      <c r="B627" s="3" t="s">
        <v>639</v>
      </c>
      <c r="C627" s="3" t="s">
        <v>1288</v>
      </c>
      <c r="D627" s="3"/>
      <c r="E627" s="3"/>
      <c r="F627" s="3"/>
      <c r="G627" s="5" t="str">
        <f>formatIP(IP_Master[[#This Row],[LAN IP Address]])</f>
        <v>010.012.014.009</v>
      </c>
    </row>
    <row r="628" spans="1:7" ht="18" customHeight="1" x14ac:dyDescent="0.4">
      <c r="A628" s="3" t="s">
        <v>1375</v>
      </c>
      <c r="B628" s="3" t="s">
        <v>639</v>
      </c>
      <c r="C628" s="3" t="s">
        <v>1288</v>
      </c>
      <c r="D628" s="3"/>
      <c r="E628" s="3"/>
      <c r="F628" s="3"/>
      <c r="G628" s="5" t="str">
        <f>formatIP(IP_Master[[#This Row],[LAN IP Address]])</f>
        <v>010.012.014.010</v>
      </c>
    </row>
    <row r="629" spans="1:7" ht="18" customHeight="1" x14ac:dyDescent="0.4">
      <c r="A629" s="3" t="s">
        <v>1376</v>
      </c>
      <c r="B629" s="3" t="s">
        <v>639</v>
      </c>
      <c r="C629" s="3" t="s">
        <v>1288</v>
      </c>
      <c r="D629" s="3"/>
      <c r="E629" s="3"/>
      <c r="F629" s="3"/>
      <c r="G629" s="5" t="str">
        <f>formatIP(IP_Master[[#This Row],[LAN IP Address]])</f>
        <v>010.012.014.011</v>
      </c>
    </row>
    <row r="630" spans="1:7" ht="18" customHeight="1" x14ac:dyDescent="0.4">
      <c r="A630" s="3" t="s">
        <v>1377</v>
      </c>
      <c r="B630" s="3" t="s">
        <v>639</v>
      </c>
      <c r="C630" s="3" t="s">
        <v>1288</v>
      </c>
      <c r="D630" s="3"/>
      <c r="E630" s="3"/>
      <c r="F630" s="3"/>
      <c r="G630" s="5" t="str">
        <f>formatIP(IP_Master[[#This Row],[LAN IP Address]])</f>
        <v>010.012.014.012</v>
      </c>
    </row>
    <row r="631" spans="1:7" ht="18" customHeight="1" x14ac:dyDescent="0.4">
      <c r="A631" s="3" t="s">
        <v>1378</v>
      </c>
      <c r="B631" s="3" t="s">
        <v>639</v>
      </c>
      <c r="C631" s="3" t="s">
        <v>1288</v>
      </c>
      <c r="D631" s="3"/>
      <c r="E631" s="3"/>
      <c r="F631" s="3"/>
      <c r="G631" s="5" t="str">
        <f>formatIP(IP_Master[[#This Row],[LAN IP Address]])</f>
        <v>010.012.014.013</v>
      </c>
    </row>
    <row r="632" spans="1:7" ht="18" customHeight="1" x14ac:dyDescent="0.4">
      <c r="A632" s="3" t="s">
        <v>1379</v>
      </c>
      <c r="B632" s="3" t="s">
        <v>639</v>
      </c>
      <c r="C632" s="3" t="s">
        <v>1288</v>
      </c>
      <c r="D632" s="3"/>
      <c r="E632" s="3"/>
      <c r="F632" s="3"/>
      <c r="G632" s="5" t="str">
        <f>formatIP(IP_Master[[#This Row],[LAN IP Address]])</f>
        <v>010.012.014.014</v>
      </c>
    </row>
    <row r="633" spans="1:7" ht="18" customHeight="1" x14ac:dyDescent="0.4">
      <c r="A633" s="3" t="s">
        <v>1380</v>
      </c>
      <c r="B633" s="3" t="s">
        <v>639</v>
      </c>
      <c r="C633" s="3" t="s">
        <v>1288</v>
      </c>
      <c r="D633" s="3"/>
      <c r="E633" s="3"/>
      <c r="F633" s="3"/>
      <c r="G633" s="5" t="str">
        <f>formatIP(IP_Master[[#This Row],[LAN IP Address]])</f>
        <v>010.012.014.015</v>
      </c>
    </row>
    <row r="634" spans="1:7" ht="18" customHeight="1" x14ac:dyDescent="0.4">
      <c r="A634" s="3" t="s">
        <v>1381</v>
      </c>
      <c r="B634" s="3" t="s">
        <v>639</v>
      </c>
      <c r="C634" s="3" t="s">
        <v>1288</v>
      </c>
      <c r="D634" s="3"/>
      <c r="E634" s="3"/>
      <c r="F634" s="3"/>
      <c r="G634" s="5" t="str">
        <f>formatIP(IP_Master[[#This Row],[LAN IP Address]])</f>
        <v>010.012.014.016</v>
      </c>
    </row>
    <row r="635" spans="1:7" ht="18" customHeight="1" x14ac:dyDescent="0.4">
      <c r="A635" s="3" t="s">
        <v>1382</v>
      </c>
      <c r="B635" s="3" t="s">
        <v>639</v>
      </c>
      <c r="C635" s="3" t="s">
        <v>1288</v>
      </c>
      <c r="D635" s="3"/>
      <c r="E635" s="3"/>
      <c r="F635" s="3"/>
      <c r="G635" s="5" t="str">
        <f>formatIP(IP_Master[[#This Row],[LAN IP Address]])</f>
        <v>010.012.014.017</v>
      </c>
    </row>
    <row r="636" spans="1:7" ht="18" customHeight="1" x14ac:dyDescent="0.4">
      <c r="A636" s="3" t="s">
        <v>1383</v>
      </c>
      <c r="B636" s="3" t="s">
        <v>639</v>
      </c>
      <c r="C636" s="3" t="s">
        <v>1288</v>
      </c>
      <c r="D636" s="3"/>
      <c r="E636" s="3"/>
      <c r="F636" s="3"/>
      <c r="G636" s="5" t="str">
        <f>formatIP(IP_Master[[#This Row],[LAN IP Address]])</f>
        <v>010.012.014.018</v>
      </c>
    </row>
    <row r="637" spans="1:7" ht="18" customHeight="1" x14ac:dyDescent="0.4">
      <c r="A637" s="3" t="s">
        <v>1384</v>
      </c>
      <c r="B637" s="3" t="s">
        <v>639</v>
      </c>
      <c r="C637" s="3" t="s">
        <v>1288</v>
      </c>
      <c r="D637" s="3"/>
      <c r="E637" s="3"/>
      <c r="F637" s="3"/>
      <c r="G637" s="5" t="str">
        <f>formatIP(IP_Master[[#This Row],[LAN IP Address]])</f>
        <v>010.012.014.019</v>
      </c>
    </row>
    <row r="638" spans="1:7" ht="18" customHeight="1" x14ac:dyDescent="0.4">
      <c r="A638" s="3" t="s">
        <v>1385</v>
      </c>
      <c r="B638" s="3" t="s">
        <v>639</v>
      </c>
      <c r="C638" s="3" t="s">
        <v>1288</v>
      </c>
      <c r="D638" s="3"/>
      <c r="E638" s="3"/>
      <c r="F638" s="3"/>
      <c r="G638" s="5" t="str">
        <f>formatIP(IP_Master[[#This Row],[LAN IP Address]])</f>
        <v>010.012.014.020</v>
      </c>
    </row>
    <row r="639" spans="1:7" ht="18" customHeight="1" x14ac:dyDescent="0.4">
      <c r="A639" s="3" t="s">
        <v>1386</v>
      </c>
      <c r="B639" s="3" t="s">
        <v>389</v>
      </c>
      <c r="C639" s="3" t="s">
        <v>1288</v>
      </c>
      <c r="D639" s="3"/>
      <c r="E639" s="3"/>
      <c r="F639" s="3"/>
      <c r="G639" s="5" t="str">
        <f>formatIP(IP_Master[[#This Row],[LAN IP Address]])</f>
        <v>010.012.015.001</v>
      </c>
    </row>
    <row r="640" spans="1:7" ht="18" customHeight="1" x14ac:dyDescent="0.4">
      <c r="A640" s="3" t="s">
        <v>1387</v>
      </c>
      <c r="B640" s="3" t="s">
        <v>389</v>
      </c>
      <c r="C640" s="3" t="s">
        <v>1288</v>
      </c>
      <c r="D640" s="3"/>
      <c r="E640" s="3"/>
      <c r="F640" s="3"/>
      <c r="G640" s="5" t="str">
        <f>formatIP(IP_Master[[#This Row],[LAN IP Address]])</f>
        <v>010.012.015.002</v>
      </c>
    </row>
    <row r="641" spans="1:7" ht="18" customHeight="1" x14ac:dyDescent="0.4">
      <c r="A641" s="3" t="s">
        <v>1388</v>
      </c>
      <c r="B641" s="3" t="s">
        <v>389</v>
      </c>
      <c r="C641" s="3" t="s">
        <v>1288</v>
      </c>
      <c r="D641" s="3"/>
      <c r="E641" s="3"/>
      <c r="F641" s="3"/>
      <c r="G641" s="5" t="str">
        <f>formatIP(IP_Master[[#This Row],[LAN IP Address]])</f>
        <v>010.012.015.003</v>
      </c>
    </row>
    <row r="642" spans="1:7" ht="18" customHeight="1" x14ac:dyDescent="0.4">
      <c r="A642" s="3" t="s">
        <v>1389</v>
      </c>
      <c r="B642" s="3" t="s">
        <v>389</v>
      </c>
      <c r="C642" s="3" t="s">
        <v>1288</v>
      </c>
      <c r="D642" s="3"/>
      <c r="E642" s="3"/>
      <c r="F642" s="3"/>
      <c r="G642" s="5" t="str">
        <f>formatIP(IP_Master[[#This Row],[LAN IP Address]])</f>
        <v>010.012.015.004</v>
      </c>
    </row>
    <row r="643" spans="1:7" ht="18" customHeight="1" x14ac:dyDescent="0.4">
      <c r="A643" s="3" t="s">
        <v>1390</v>
      </c>
      <c r="B643" s="3" t="s">
        <v>389</v>
      </c>
      <c r="C643" s="3" t="s">
        <v>1288</v>
      </c>
      <c r="D643" s="3"/>
      <c r="E643" s="3"/>
      <c r="F643" s="3"/>
      <c r="G643" s="5" t="str">
        <f>formatIP(IP_Master[[#This Row],[LAN IP Address]])</f>
        <v>010.012.015.005</v>
      </c>
    </row>
    <row r="644" spans="1:7" ht="18" customHeight="1" x14ac:dyDescent="0.4">
      <c r="A644" s="3" t="s">
        <v>1391</v>
      </c>
      <c r="B644" s="3" t="s">
        <v>389</v>
      </c>
      <c r="C644" s="3" t="s">
        <v>1288</v>
      </c>
      <c r="D644" s="3"/>
      <c r="E644" s="3"/>
      <c r="F644" s="3"/>
      <c r="G644" s="5" t="str">
        <f>formatIP(IP_Master[[#This Row],[LAN IP Address]])</f>
        <v>010.012.015.006</v>
      </c>
    </row>
    <row r="645" spans="1:7" ht="18" customHeight="1" x14ac:dyDescent="0.4">
      <c r="A645" s="3" t="s">
        <v>1392</v>
      </c>
      <c r="B645" s="3" t="s">
        <v>389</v>
      </c>
      <c r="C645" s="3" t="s">
        <v>1288</v>
      </c>
      <c r="D645" s="3"/>
      <c r="E645" s="3"/>
      <c r="F645" s="3"/>
      <c r="G645" s="5" t="str">
        <f>formatIP(IP_Master[[#This Row],[LAN IP Address]])</f>
        <v>010.012.015.007</v>
      </c>
    </row>
    <row r="646" spans="1:7" ht="18" customHeight="1" x14ac:dyDescent="0.4">
      <c r="A646" s="3" t="s">
        <v>1393</v>
      </c>
      <c r="B646" s="3" t="s">
        <v>389</v>
      </c>
      <c r="C646" s="3" t="s">
        <v>1288</v>
      </c>
      <c r="D646" s="3"/>
      <c r="E646" s="3"/>
      <c r="F646" s="3"/>
      <c r="G646" s="5" t="str">
        <f>formatIP(IP_Master[[#This Row],[LAN IP Address]])</f>
        <v>010.012.015.008</v>
      </c>
    </row>
    <row r="647" spans="1:7" ht="18" customHeight="1" x14ac:dyDescent="0.4">
      <c r="A647" s="3" t="s">
        <v>1394</v>
      </c>
      <c r="B647" s="3" t="s">
        <v>389</v>
      </c>
      <c r="C647" s="3" t="s">
        <v>1288</v>
      </c>
      <c r="D647" s="3"/>
      <c r="E647" s="3"/>
      <c r="F647" s="3"/>
      <c r="G647" s="5" t="str">
        <f>formatIP(IP_Master[[#This Row],[LAN IP Address]])</f>
        <v>010.012.015.009</v>
      </c>
    </row>
    <row r="648" spans="1:7" ht="18" customHeight="1" x14ac:dyDescent="0.4">
      <c r="A648" s="3" t="s">
        <v>1395</v>
      </c>
      <c r="B648" s="3" t="s">
        <v>389</v>
      </c>
      <c r="C648" s="3" t="s">
        <v>1288</v>
      </c>
      <c r="D648" s="3"/>
      <c r="E648" s="3"/>
      <c r="F648" s="3"/>
      <c r="G648" s="5" t="str">
        <f>formatIP(IP_Master[[#This Row],[LAN IP Address]])</f>
        <v>010.012.015.010</v>
      </c>
    </row>
    <row r="649" spans="1:7" ht="18" customHeight="1" x14ac:dyDescent="0.4">
      <c r="A649" s="3" t="s">
        <v>1396</v>
      </c>
      <c r="B649" s="3" t="s">
        <v>389</v>
      </c>
      <c r="C649" s="3" t="s">
        <v>1288</v>
      </c>
      <c r="D649" s="3"/>
      <c r="E649" s="3"/>
      <c r="F649" s="3"/>
      <c r="G649" s="5" t="str">
        <f>formatIP(IP_Master[[#This Row],[LAN IP Address]])</f>
        <v>010.012.015.011</v>
      </c>
    </row>
    <row r="650" spans="1:7" ht="18" customHeight="1" x14ac:dyDescent="0.4">
      <c r="A650" s="3" t="s">
        <v>1397</v>
      </c>
      <c r="B650" s="3" t="s">
        <v>389</v>
      </c>
      <c r="C650" s="3" t="s">
        <v>1288</v>
      </c>
      <c r="D650" s="3"/>
      <c r="E650" s="3"/>
      <c r="F650" s="3"/>
      <c r="G650" s="5" t="str">
        <f>formatIP(IP_Master[[#This Row],[LAN IP Address]])</f>
        <v>010.012.015.012</v>
      </c>
    </row>
    <row r="651" spans="1:7" ht="18" customHeight="1" x14ac:dyDescent="0.4">
      <c r="A651" s="3" t="s">
        <v>1398</v>
      </c>
      <c r="B651" s="3" t="s">
        <v>389</v>
      </c>
      <c r="C651" s="3" t="s">
        <v>1288</v>
      </c>
      <c r="D651" s="3"/>
      <c r="E651" s="3"/>
      <c r="F651" s="3"/>
      <c r="G651" s="5" t="str">
        <f>formatIP(IP_Master[[#This Row],[LAN IP Address]])</f>
        <v>010.012.015.013</v>
      </c>
    </row>
    <row r="652" spans="1:7" ht="18" customHeight="1" x14ac:dyDescent="0.4">
      <c r="A652" s="3" t="s">
        <v>1399</v>
      </c>
      <c r="B652" s="3" t="s">
        <v>389</v>
      </c>
      <c r="C652" s="3" t="s">
        <v>1288</v>
      </c>
      <c r="D652" s="3"/>
      <c r="E652" s="3"/>
      <c r="F652" s="3"/>
      <c r="G652" s="5" t="str">
        <f>formatIP(IP_Master[[#This Row],[LAN IP Address]])</f>
        <v>010.012.015.014</v>
      </c>
    </row>
    <row r="653" spans="1:7" ht="18" customHeight="1" x14ac:dyDescent="0.4">
      <c r="A653" s="3" t="s">
        <v>1400</v>
      </c>
      <c r="B653" s="3" t="s">
        <v>389</v>
      </c>
      <c r="C653" s="3" t="s">
        <v>1288</v>
      </c>
      <c r="D653" s="3"/>
      <c r="E653" s="3"/>
      <c r="F653" s="3"/>
      <c r="G653" s="5" t="str">
        <f>formatIP(IP_Master[[#This Row],[LAN IP Address]])</f>
        <v>010.012.015.015</v>
      </c>
    </row>
    <row r="654" spans="1:7" ht="18" customHeight="1" x14ac:dyDescent="0.4">
      <c r="A654" s="3" t="s">
        <v>1401</v>
      </c>
      <c r="B654" s="3" t="s">
        <v>389</v>
      </c>
      <c r="C654" s="3" t="s">
        <v>1288</v>
      </c>
      <c r="D654" s="3"/>
      <c r="E654" s="3"/>
      <c r="F654" s="3"/>
      <c r="G654" s="5" t="str">
        <f>formatIP(IP_Master[[#This Row],[LAN IP Address]])</f>
        <v>010.012.015.016</v>
      </c>
    </row>
    <row r="655" spans="1:7" ht="18" customHeight="1" x14ac:dyDescent="0.4">
      <c r="A655" s="3" t="s">
        <v>1402</v>
      </c>
      <c r="B655" s="3" t="s">
        <v>389</v>
      </c>
      <c r="C655" s="3" t="s">
        <v>1288</v>
      </c>
      <c r="D655" s="3"/>
      <c r="E655" s="3"/>
      <c r="F655" s="3"/>
      <c r="G655" s="5" t="str">
        <f>formatIP(IP_Master[[#This Row],[LAN IP Address]])</f>
        <v>010.012.015.017</v>
      </c>
    </row>
    <row r="656" spans="1:7" ht="18" customHeight="1" x14ac:dyDescent="0.4">
      <c r="A656" s="3" t="s">
        <v>1403</v>
      </c>
      <c r="B656" s="3" t="s">
        <v>389</v>
      </c>
      <c r="C656" s="3" t="s">
        <v>1288</v>
      </c>
      <c r="D656" s="3"/>
      <c r="E656" s="3"/>
      <c r="F656" s="3"/>
      <c r="G656" s="5" t="str">
        <f>formatIP(IP_Master[[#This Row],[LAN IP Address]])</f>
        <v>010.012.015.018</v>
      </c>
    </row>
    <row r="657" spans="1:7" ht="18" customHeight="1" x14ac:dyDescent="0.4">
      <c r="A657" s="3" t="s">
        <v>1404</v>
      </c>
      <c r="B657" s="3" t="s">
        <v>389</v>
      </c>
      <c r="C657" s="3" t="s">
        <v>1288</v>
      </c>
      <c r="D657" s="3"/>
      <c r="E657" s="3"/>
      <c r="F657" s="3"/>
      <c r="G657" s="5" t="str">
        <f>formatIP(IP_Master[[#This Row],[LAN IP Address]])</f>
        <v>010.012.015.019</v>
      </c>
    </row>
    <row r="658" spans="1:7" ht="18" customHeight="1" x14ac:dyDescent="0.4">
      <c r="A658" s="3" t="s">
        <v>1405</v>
      </c>
      <c r="B658" s="3" t="s">
        <v>389</v>
      </c>
      <c r="C658" s="3" t="s">
        <v>1288</v>
      </c>
      <c r="D658" s="3"/>
      <c r="E658" s="3"/>
      <c r="F658" s="3"/>
      <c r="G658" s="5" t="str">
        <f>formatIP(IP_Master[[#This Row],[LAN IP Address]])</f>
        <v>010.012.015.020</v>
      </c>
    </row>
    <row r="659" spans="1:7" ht="18" customHeight="1" x14ac:dyDescent="0.4">
      <c r="A659" s="3" t="s">
        <v>1406</v>
      </c>
      <c r="B659" s="3" t="s">
        <v>471</v>
      </c>
      <c r="C659" s="3" t="s">
        <v>1288</v>
      </c>
      <c r="D659" s="3" t="s">
        <v>1407</v>
      </c>
      <c r="E659" s="3"/>
      <c r="F659" s="3"/>
      <c r="G659" s="5" t="str">
        <f>formatIP(IP_Master[[#This Row],[LAN IP Address]])</f>
        <v>010.012.016.001</v>
      </c>
    </row>
    <row r="660" spans="1:7" ht="18" customHeight="1" x14ac:dyDescent="0.4">
      <c r="A660" s="3" t="s">
        <v>1408</v>
      </c>
      <c r="B660" s="3" t="s">
        <v>471</v>
      </c>
      <c r="C660" s="3" t="s">
        <v>1288</v>
      </c>
      <c r="D660" s="3"/>
      <c r="E660" s="3"/>
      <c r="F660" s="3"/>
      <c r="G660" s="5" t="str">
        <f>formatIP(IP_Master[[#This Row],[LAN IP Address]])</f>
        <v>010.012.016.002</v>
      </c>
    </row>
    <row r="661" spans="1:7" ht="18" customHeight="1" x14ac:dyDescent="0.4">
      <c r="A661" s="3" t="s">
        <v>1409</v>
      </c>
      <c r="B661" s="3" t="s">
        <v>471</v>
      </c>
      <c r="C661" s="3" t="s">
        <v>1288</v>
      </c>
      <c r="D661" s="3"/>
      <c r="E661" s="3"/>
      <c r="F661" s="3"/>
      <c r="G661" s="5" t="str">
        <f>formatIP(IP_Master[[#This Row],[LAN IP Address]])</f>
        <v>010.012.016.003</v>
      </c>
    </row>
    <row r="662" spans="1:7" ht="18" customHeight="1" x14ac:dyDescent="0.4">
      <c r="A662" s="3" t="s">
        <v>1410</v>
      </c>
      <c r="B662" s="3" t="s">
        <v>471</v>
      </c>
      <c r="C662" s="3" t="s">
        <v>1288</v>
      </c>
      <c r="D662" s="3"/>
      <c r="E662" s="3"/>
      <c r="F662" s="3"/>
      <c r="G662" s="5" t="str">
        <f>formatIP(IP_Master[[#This Row],[LAN IP Address]])</f>
        <v>010.012.016.004</v>
      </c>
    </row>
    <row r="663" spans="1:7" ht="18" customHeight="1" x14ac:dyDescent="0.4">
      <c r="A663" s="3" t="s">
        <v>1411</v>
      </c>
      <c r="B663" s="3" t="s">
        <v>471</v>
      </c>
      <c r="C663" s="3" t="s">
        <v>1288</v>
      </c>
      <c r="D663" s="3"/>
      <c r="E663" s="3"/>
      <c r="F663" s="3"/>
      <c r="G663" s="5" t="str">
        <f>formatIP(IP_Master[[#This Row],[LAN IP Address]])</f>
        <v>010.012.016.005</v>
      </c>
    </row>
    <row r="664" spans="1:7" ht="18" customHeight="1" x14ac:dyDescent="0.4">
      <c r="A664" s="3" t="s">
        <v>1412</v>
      </c>
      <c r="B664" s="3" t="s">
        <v>471</v>
      </c>
      <c r="C664" s="3" t="s">
        <v>1288</v>
      </c>
      <c r="D664" s="3"/>
      <c r="E664" s="3"/>
      <c r="F664" s="3"/>
      <c r="G664" s="5" t="str">
        <f>formatIP(IP_Master[[#This Row],[LAN IP Address]])</f>
        <v>010.012.016.006</v>
      </c>
    </row>
    <row r="665" spans="1:7" ht="18" customHeight="1" x14ac:dyDescent="0.4">
      <c r="A665" s="3" t="s">
        <v>1413</v>
      </c>
      <c r="B665" s="3" t="s">
        <v>471</v>
      </c>
      <c r="C665" s="3" t="s">
        <v>1288</v>
      </c>
      <c r="D665" s="3"/>
      <c r="E665" s="3"/>
      <c r="F665" s="3"/>
      <c r="G665" s="5" t="str">
        <f>formatIP(IP_Master[[#This Row],[LAN IP Address]])</f>
        <v>010.012.016.007</v>
      </c>
    </row>
    <row r="666" spans="1:7" ht="18" customHeight="1" x14ac:dyDescent="0.4">
      <c r="A666" s="3" t="s">
        <v>1414</v>
      </c>
      <c r="B666" s="3" t="s">
        <v>471</v>
      </c>
      <c r="C666" s="3" t="s">
        <v>1288</v>
      </c>
      <c r="D666" s="3"/>
      <c r="E666" s="3"/>
      <c r="F666" s="3"/>
      <c r="G666" s="5" t="str">
        <f>formatIP(IP_Master[[#This Row],[LAN IP Address]])</f>
        <v>010.012.016.008</v>
      </c>
    </row>
    <row r="667" spans="1:7" ht="18" customHeight="1" x14ac:dyDescent="0.4">
      <c r="A667" s="3" t="s">
        <v>1415</v>
      </c>
      <c r="B667" s="3" t="s">
        <v>471</v>
      </c>
      <c r="C667" s="3" t="s">
        <v>1288</v>
      </c>
      <c r="D667" s="3"/>
      <c r="E667" s="3"/>
      <c r="F667" s="3"/>
      <c r="G667" s="5" t="str">
        <f>formatIP(IP_Master[[#This Row],[LAN IP Address]])</f>
        <v>010.012.016.009</v>
      </c>
    </row>
    <row r="668" spans="1:7" ht="18" customHeight="1" x14ac:dyDescent="0.4">
      <c r="A668" s="3" t="s">
        <v>1416</v>
      </c>
      <c r="B668" s="3" t="s">
        <v>471</v>
      </c>
      <c r="C668" s="3" t="s">
        <v>1288</v>
      </c>
      <c r="D668" s="3"/>
      <c r="E668" s="3"/>
      <c r="F668" s="3"/>
      <c r="G668" s="5" t="str">
        <f>formatIP(IP_Master[[#This Row],[LAN IP Address]])</f>
        <v>010.012.016.010</v>
      </c>
    </row>
    <row r="669" spans="1:7" ht="18" customHeight="1" x14ac:dyDescent="0.4">
      <c r="A669" s="3" t="s">
        <v>1417</v>
      </c>
      <c r="B669" s="3" t="s">
        <v>471</v>
      </c>
      <c r="C669" s="3" t="s">
        <v>1288</v>
      </c>
      <c r="D669" s="3"/>
      <c r="E669" s="3"/>
      <c r="F669" s="3"/>
      <c r="G669" s="5" t="str">
        <f>formatIP(IP_Master[[#This Row],[LAN IP Address]])</f>
        <v>010.012.016.011</v>
      </c>
    </row>
    <row r="670" spans="1:7" ht="18" customHeight="1" x14ac:dyDescent="0.4">
      <c r="A670" s="3" t="s">
        <v>1418</v>
      </c>
      <c r="B670" s="3" t="s">
        <v>471</v>
      </c>
      <c r="C670" s="3" t="s">
        <v>1288</v>
      </c>
      <c r="D670" s="3"/>
      <c r="E670" s="3"/>
      <c r="F670" s="3"/>
      <c r="G670" s="5" t="str">
        <f>formatIP(IP_Master[[#This Row],[LAN IP Address]])</f>
        <v>010.012.016.012</v>
      </c>
    </row>
    <row r="671" spans="1:7" ht="18" customHeight="1" x14ac:dyDescent="0.4">
      <c r="A671" s="3" t="s">
        <v>1419</v>
      </c>
      <c r="B671" s="3" t="s">
        <v>471</v>
      </c>
      <c r="C671" s="3" t="s">
        <v>1288</v>
      </c>
      <c r="D671" s="3"/>
      <c r="E671" s="3"/>
      <c r="F671" s="3"/>
      <c r="G671" s="5" t="str">
        <f>formatIP(IP_Master[[#This Row],[LAN IP Address]])</f>
        <v>010.012.016.013</v>
      </c>
    </row>
    <row r="672" spans="1:7" ht="18" customHeight="1" x14ac:dyDescent="0.4">
      <c r="A672" s="3" t="s">
        <v>1420</v>
      </c>
      <c r="B672" s="3" t="s">
        <v>471</v>
      </c>
      <c r="C672" s="3" t="s">
        <v>1288</v>
      </c>
      <c r="D672" s="3"/>
      <c r="E672" s="3"/>
      <c r="F672" s="3"/>
      <c r="G672" s="5" t="str">
        <f>formatIP(IP_Master[[#This Row],[LAN IP Address]])</f>
        <v>010.012.016.014</v>
      </c>
    </row>
    <row r="673" spans="1:7" ht="18" customHeight="1" x14ac:dyDescent="0.4">
      <c r="A673" s="3" t="s">
        <v>1421</v>
      </c>
      <c r="B673" s="3" t="s">
        <v>471</v>
      </c>
      <c r="C673" s="3" t="s">
        <v>1288</v>
      </c>
      <c r="D673" s="3"/>
      <c r="E673" s="3"/>
      <c r="F673" s="3"/>
      <c r="G673" s="5" t="str">
        <f>formatIP(IP_Master[[#This Row],[LAN IP Address]])</f>
        <v>010.012.016.015</v>
      </c>
    </row>
    <row r="674" spans="1:7" ht="18" customHeight="1" x14ac:dyDescent="0.4">
      <c r="A674" s="3" t="s">
        <v>1422</v>
      </c>
      <c r="B674" s="3" t="s">
        <v>471</v>
      </c>
      <c r="C674" s="3" t="s">
        <v>1288</v>
      </c>
      <c r="D674" s="3"/>
      <c r="E674" s="3"/>
      <c r="F674" s="3"/>
      <c r="G674" s="5" t="str">
        <f>formatIP(IP_Master[[#This Row],[LAN IP Address]])</f>
        <v>010.012.016.016</v>
      </c>
    </row>
    <row r="675" spans="1:7" ht="18" customHeight="1" x14ac:dyDescent="0.4">
      <c r="A675" s="3" t="s">
        <v>1423</v>
      </c>
      <c r="B675" s="3" t="s">
        <v>471</v>
      </c>
      <c r="C675" s="3" t="s">
        <v>1288</v>
      </c>
      <c r="D675" s="3"/>
      <c r="E675" s="3"/>
      <c r="F675" s="3"/>
      <c r="G675" s="5" t="str">
        <f>formatIP(IP_Master[[#This Row],[LAN IP Address]])</f>
        <v>010.012.016.017</v>
      </c>
    </row>
    <row r="676" spans="1:7" ht="18" customHeight="1" x14ac:dyDescent="0.4">
      <c r="A676" s="3" t="s">
        <v>1424</v>
      </c>
      <c r="B676" s="3" t="s">
        <v>471</v>
      </c>
      <c r="C676" s="3" t="s">
        <v>1288</v>
      </c>
      <c r="D676" s="3"/>
      <c r="E676" s="3"/>
      <c r="F676" s="3"/>
      <c r="G676" s="5" t="str">
        <f>formatIP(IP_Master[[#This Row],[LAN IP Address]])</f>
        <v>010.012.016.018</v>
      </c>
    </row>
    <row r="677" spans="1:7" ht="18" customHeight="1" x14ac:dyDescent="0.4">
      <c r="A677" s="3" t="s">
        <v>1425</v>
      </c>
      <c r="B677" s="3" t="s">
        <v>471</v>
      </c>
      <c r="C677" s="3" t="s">
        <v>1288</v>
      </c>
      <c r="D677" s="3"/>
      <c r="E677" s="3"/>
      <c r="F677" s="3"/>
      <c r="G677" s="5" t="str">
        <f>formatIP(IP_Master[[#This Row],[LAN IP Address]])</f>
        <v>010.012.016.019</v>
      </c>
    </row>
    <row r="678" spans="1:7" ht="18" customHeight="1" x14ac:dyDescent="0.4">
      <c r="A678" s="3" t="s">
        <v>1426</v>
      </c>
      <c r="B678" s="3" t="s">
        <v>471</v>
      </c>
      <c r="C678" s="3" t="s">
        <v>1288</v>
      </c>
      <c r="D678" s="3"/>
      <c r="E678" s="3"/>
      <c r="F678" s="3"/>
      <c r="G678" s="5" t="str">
        <f>formatIP(IP_Master[[#This Row],[LAN IP Address]])</f>
        <v>010.012.016.020</v>
      </c>
    </row>
    <row r="679" spans="1:7" ht="18" customHeight="1" x14ac:dyDescent="0.4">
      <c r="A679" s="3" t="s">
        <v>1427</v>
      </c>
      <c r="B679" s="3" t="s">
        <v>406</v>
      </c>
      <c r="C679" s="3" t="s">
        <v>1288</v>
      </c>
      <c r="D679" s="3" t="s">
        <v>1428</v>
      </c>
      <c r="E679" s="3" t="s">
        <v>1429</v>
      </c>
      <c r="F679" s="3"/>
      <c r="G679" s="5" t="str">
        <f>formatIP(IP_Master[[#This Row],[LAN IP Address]])</f>
        <v>010.012.017.001</v>
      </c>
    </row>
    <row r="680" spans="1:7" ht="18" customHeight="1" x14ac:dyDescent="0.4">
      <c r="A680" s="3" t="s">
        <v>1430</v>
      </c>
      <c r="B680" s="3" t="s">
        <v>406</v>
      </c>
      <c r="C680" s="3" t="s">
        <v>1288</v>
      </c>
      <c r="D680" s="3" t="s">
        <v>1431</v>
      </c>
      <c r="E680" s="3" t="s">
        <v>1432</v>
      </c>
      <c r="F680" s="3"/>
      <c r="G680" s="5" t="str">
        <f>formatIP(IP_Master[[#This Row],[LAN IP Address]])</f>
        <v>010.012.017.002</v>
      </c>
    </row>
    <row r="681" spans="1:7" ht="18" customHeight="1" x14ac:dyDescent="0.4">
      <c r="A681" s="3" t="s">
        <v>1433</v>
      </c>
      <c r="B681" s="3" t="s">
        <v>406</v>
      </c>
      <c r="C681" s="3" t="s">
        <v>1288</v>
      </c>
      <c r="D681" s="3" t="s">
        <v>1434</v>
      </c>
      <c r="E681" s="3" t="s">
        <v>1435</v>
      </c>
      <c r="F681" s="3"/>
      <c r="G681" s="5" t="str">
        <f>formatIP(IP_Master[[#This Row],[LAN IP Address]])</f>
        <v>010.012.017.003</v>
      </c>
    </row>
    <row r="682" spans="1:7" ht="18" customHeight="1" x14ac:dyDescent="0.4">
      <c r="A682" s="3" t="s">
        <v>1436</v>
      </c>
      <c r="B682" s="3" t="s">
        <v>406</v>
      </c>
      <c r="C682" s="3" t="s">
        <v>1288</v>
      </c>
      <c r="D682" s="3" t="s">
        <v>1437</v>
      </c>
      <c r="E682" s="3" t="s">
        <v>1438</v>
      </c>
      <c r="F682" s="3"/>
      <c r="G682" s="5" t="str">
        <f>formatIP(IP_Master[[#This Row],[LAN IP Address]])</f>
        <v>010.012.017.004</v>
      </c>
    </row>
    <row r="683" spans="1:7" ht="18" customHeight="1" x14ac:dyDescent="0.4">
      <c r="A683" s="3" t="s">
        <v>1439</v>
      </c>
      <c r="B683" s="3" t="s">
        <v>406</v>
      </c>
      <c r="C683" s="3" t="s">
        <v>1288</v>
      </c>
      <c r="D683" s="3" t="s">
        <v>1440</v>
      </c>
      <c r="E683" s="3" t="s">
        <v>1441</v>
      </c>
      <c r="F683" s="3"/>
      <c r="G683" s="5" t="str">
        <f>formatIP(IP_Master[[#This Row],[LAN IP Address]])</f>
        <v>010.012.017.005</v>
      </c>
    </row>
    <row r="684" spans="1:7" ht="18" customHeight="1" x14ac:dyDescent="0.4">
      <c r="A684" s="3" t="s">
        <v>1442</v>
      </c>
      <c r="B684" s="3" t="s">
        <v>406</v>
      </c>
      <c r="C684" s="3" t="s">
        <v>1288</v>
      </c>
      <c r="D684" s="3" t="s">
        <v>1443</v>
      </c>
      <c r="E684" s="3" t="s">
        <v>1444</v>
      </c>
      <c r="F684" s="3"/>
      <c r="G684" s="5" t="str">
        <f>formatIP(IP_Master[[#This Row],[LAN IP Address]])</f>
        <v>010.012.017.006</v>
      </c>
    </row>
    <row r="685" spans="1:7" ht="18" customHeight="1" x14ac:dyDescent="0.4">
      <c r="A685" s="3" t="s">
        <v>1445</v>
      </c>
      <c r="B685" s="3" t="s">
        <v>406</v>
      </c>
      <c r="C685" s="3" t="s">
        <v>1288</v>
      </c>
      <c r="D685" s="3" t="s">
        <v>1446</v>
      </c>
      <c r="E685" s="3" t="s">
        <v>1447</v>
      </c>
      <c r="F685" s="3"/>
      <c r="G685" s="5" t="str">
        <f>formatIP(IP_Master[[#This Row],[LAN IP Address]])</f>
        <v>010.012.017.007</v>
      </c>
    </row>
    <row r="686" spans="1:7" ht="18" customHeight="1" x14ac:dyDescent="0.4">
      <c r="A686" s="3" t="s">
        <v>1448</v>
      </c>
      <c r="B686" s="3" t="s">
        <v>406</v>
      </c>
      <c r="C686" s="3" t="s">
        <v>1288</v>
      </c>
      <c r="D686" s="3" t="s">
        <v>1449</v>
      </c>
      <c r="E686" s="3" t="s">
        <v>1450</v>
      </c>
      <c r="F686" s="3"/>
      <c r="G686" s="5" t="str">
        <f>formatIP(IP_Master[[#This Row],[LAN IP Address]])</f>
        <v>010.012.017.008</v>
      </c>
    </row>
    <row r="687" spans="1:7" ht="18" customHeight="1" x14ac:dyDescent="0.4">
      <c r="A687" s="3" t="s">
        <v>1451</v>
      </c>
      <c r="B687" s="3" t="s">
        <v>406</v>
      </c>
      <c r="C687" s="3" t="s">
        <v>1288</v>
      </c>
      <c r="D687" s="3" t="s">
        <v>1452</v>
      </c>
      <c r="E687" s="3" t="s">
        <v>1453</v>
      </c>
      <c r="F687" s="3"/>
      <c r="G687" s="5" t="str">
        <f>formatIP(IP_Master[[#This Row],[LAN IP Address]])</f>
        <v>010.012.017.009</v>
      </c>
    </row>
    <row r="688" spans="1:7" ht="18" customHeight="1" x14ac:dyDescent="0.4">
      <c r="A688" s="3" t="s">
        <v>1454</v>
      </c>
      <c r="B688" s="3" t="s">
        <v>406</v>
      </c>
      <c r="C688" s="3" t="s">
        <v>1288</v>
      </c>
      <c r="D688" s="3" t="s">
        <v>1455</v>
      </c>
      <c r="E688" s="3" t="s">
        <v>1456</v>
      </c>
      <c r="F688" s="3"/>
      <c r="G688" s="5" t="str">
        <f>formatIP(IP_Master[[#This Row],[LAN IP Address]])</f>
        <v>010.012.017.010</v>
      </c>
    </row>
    <row r="689" spans="1:7" ht="18" customHeight="1" x14ac:dyDescent="0.4">
      <c r="A689" s="3" t="s">
        <v>1457</v>
      </c>
      <c r="B689" s="3" t="s">
        <v>406</v>
      </c>
      <c r="C689" s="3" t="s">
        <v>1288</v>
      </c>
      <c r="D689" s="3" t="s">
        <v>1458</v>
      </c>
      <c r="E689" s="3" t="s">
        <v>1459</v>
      </c>
      <c r="F689" s="3"/>
      <c r="G689" s="5" t="str">
        <f>formatIP(IP_Master[[#This Row],[LAN IP Address]])</f>
        <v>010.012.017.011</v>
      </c>
    </row>
    <row r="690" spans="1:7" ht="18" customHeight="1" x14ac:dyDescent="0.4">
      <c r="A690" s="3" t="s">
        <v>1460</v>
      </c>
      <c r="B690" s="3" t="s">
        <v>406</v>
      </c>
      <c r="C690" s="3" t="s">
        <v>1288</v>
      </c>
      <c r="D690" s="3" t="s">
        <v>1461</v>
      </c>
      <c r="E690" s="3" t="s">
        <v>1462</v>
      </c>
      <c r="F690" s="3"/>
      <c r="G690" s="5" t="str">
        <f>formatIP(IP_Master[[#This Row],[LAN IP Address]])</f>
        <v>010.012.017.012</v>
      </c>
    </row>
    <row r="691" spans="1:7" ht="18" customHeight="1" x14ac:dyDescent="0.4">
      <c r="A691" s="3" t="s">
        <v>1463</v>
      </c>
      <c r="B691" s="3" t="s">
        <v>406</v>
      </c>
      <c r="C691" s="3" t="s">
        <v>1288</v>
      </c>
      <c r="D691" s="3"/>
      <c r="E691" s="3" t="s">
        <v>1464</v>
      </c>
      <c r="F691" s="3"/>
      <c r="G691" s="5" t="str">
        <f>formatIP(IP_Master[[#This Row],[LAN IP Address]])</f>
        <v>010.012.017.013</v>
      </c>
    </row>
    <row r="692" spans="1:7" ht="18" customHeight="1" x14ac:dyDescent="0.4">
      <c r="A692" s="3" t="s">
        <v>1465</v>
      </c>
      <c r="B692" s="3" t="s">
        <v>406</v>
      </c>
      <c r="C692" s="3" t="s">
        <v>1288</v>
      </c>
      <c r="D692" s="3"/>
      <c r="E692" s="3" t="s">
        <v>1466</v>
      </c>
      <c r="F692" s="3"/>
      <c r="G692" s="5" t="str">
        <f>formatIP(IP_Master[[#This Row],[LAN IP Address]])</f>
        <v>010.012.017.014</v>
      </c>
    </row>
    <row r="693" spans="1:7" ht="18" customHeight="1" x14ac:dyDescent="0.4">
      <c r="A693" s="3" t="s">
        <v>1467</v>
      </c>
      <c r="B693" s="3" t="s">
        <v>406</v>
      </c>
      <c r="C693" s="3" t="s">
        <v>1288</v>
      </c>
      <c r="D693" s="3"/>
      <c r="E693" s="3" t="s">
        <v>1468</v>
      </c>
      <c r="F693" s="3"/>
      <c r="G693" s="5" t="str">
        <f>formatIP(IP_Master[[#This Row],[LAN IP Address]])</f>
        <v>010.012.017.015</v>
      </c>
    </row>
    <row r="694" spans="1:7" ht="18" customHeight="1" x14ac:dyDescent="0.4">
      <c r="A694" s="3" t="s">
        <v>1469</v>
      </c>
      <c r="B694" s="3" t="s">
        <v>406</v>
      </c>
      <c r="C694" s="3" t="s">
        <v>1288</v>
      </c>
      <c r="D694" s="3" t="s">
        <v>1470</v>
      </c>
      <c r="E694" s="3" t="s">
        <v>1471</v>
      </c>
      <c r="F694" s="3"/>
      <c r="G694" s="5" t="str">
        <f>formatIP(IP_Master[[#This Row],[LAN IP Address]])</f>
        <v>010.012.017.016</v>
      </c>
    </row>
    <row r="695" spans="1:7" ht="18" customHeight="1" x14ac:dyDescent="0.4">
      <c r="A695" s="3" t="s">
        <v>1472</v>
      </c>
      <c r="B695" s="3" t="s">
        <v>406</v>
      </c>
      <c r="C695" s="3" t="s">
        <v>1288</v>
      </c>
      <c r="D695" s="3" t="s">
        <v>1473</v>
      </c>
      <c r="E695" s="3" t="s">
        <v>1474</v>
      </c>
      <c r="F695" s="3"/>
      <c r="G695" s="5" t="str">
        <f>formatIP(IP_Master[[#This Row],[LAN IP Address]])</f>
        <v>010.012.017.017</v>
      </c>
    </row>
    <row r="696" spans="1:7" ht="18" customHeight="1" x14ac:dyDescent="0.4">
      <c r="A696" s="3" t="s">
        <v>1475</v>
      </c>
      <c r="B696" s="3" t="s">
        <v>406</v>
      </c>
      <c r="C696" s="3" t="s">
        <v>1288</v>
      </c>
      <c r="D696" s="3" t="s">
        <v>1476</v>
      </c>
      <c r="E696" s="3" t="s">
        <v>1477</v>
      </c>
      <c r="F696" s="3"/>
      <c r="G696" s="5" t="str">
        <f>formatIP(IP_Master[[#This Row],[LAN IP Address]])</f>
        <v>010.012.017.018</v>
      </c>
    </row>
    <row r="697" spans="1:7" ht="18" customHeight="1" x14ac:dyDescent="0.4">
      <c r="A697" s="3" t="s">
        <v>71</v>
      </c>
      <c r="B697" s="3" t="s">
        <v>406</v>
      </c>
      <c r="C697" s="3" t="s">
        <v>1288</v>
      </c>
      <c r="D697" s="3" t="s">
        <v>1478</v>
      </c>
      <c r="E697" s="3" t="s">
        <v>1479</v>
      </c>
      <c r="F697" s="3"/>
      <c r="G697" s="5" t="str">
        <f>formatIP(IP_Master[[#This Row],[LAN IP Address]])</f>
        <v>010.012.017.019</v>
      </c>
    </row>
    <row r="698" spans="1:7" ht="18" customHeight="1" x14ac:dyDescent="0.4">
      <c r="A698" s="3" t="s">
        <v>72</v>
      </c>
      <c r="B698" s="3" t="s">
        <v>406</v>
      </c>
      <c r="C698" s="3" t="s">
        <v>1288</v>
      </c>
      <c r="D698" s="3" t="s">
        <v>1480</v>
      </c>
      <c r="E698" s="3" t="s">
        <v>1479</v>
      </c>
      <c r="F698" s="3"/>
      <c r="G698" s="5" t="str">
        <f>formatIP(IP_Master[[#This Row],[LAN IP Address]])</f>
        <v>010.012.017.020</v>
      </c>
    </row>
    <row r="699" spans="1:7" ht="18" customHeight="1" x14ac:dyDescent="0.4">
      <c r="A699" s="3" t="s">
        <v>1481</v>
      </c>
      <c r="B699" s="3" t="s">
        <v>406</v>
      </c>
      <c r="C699" s="3" t="s">
        <v>1288</v>
      </c>
      <c r="D699" s="3"/>
      <c r="E699" s="3" t="s">
        <v>1482</v>
      </c>
      <c r="F699" s="3"/>
      <c r="G699" s="5" t="str">
        <f>formatIP(IP_Master[[#This Row],[LAN IP Address]])</f>
        <v>010.012.017.021</v>
      </c>
    </row>
    <row r="700" spans="1:7" ht="18" customHeight="1" x14ac:dyDescent="0.4">
      <c r="A700" s="3" t="s">
        <v>1483</v>
      </c>
      <c r="B700" s="3" t="s">
        <v>406</v>
      </c>
      <c r="C700" s="3" t="s">
        <v>1288</v>
      </c>
      <c r="D700" s="3" t="s">
        <v>1484</v>
      </c>
      <c r="E700" s="3" t="s">
        <v>1485</v>
      </c>
      <c r="F700" s="3"/>
      <c r="G700" s="5" t="str">
        <f>formatIP(IP_Master[[#This Row],[LAN IP Address]])</f>
        <v>010.012.017.022</v>
      </c>
    </row>
    <row r="701" spans="1:7" ht="18" customHeight="1" x14ac:dyDescent="0.4">
      <c r="A701" s="3" t="s">
        <v>1486</v>
      </c>
      <c r="B701" s="3" t="s">
        <v>406</v>
      </c>
      <c r="C701" s="3" t="s">
        <v>1288</v>
      </c>
      <c r="D701" s="3" t="s">
        <v>1487</v>
      </c>
      <c r="E701" s="3" t="s">
        <v>1488</v>
      </c>
      <c r="F701" s="3"/>
      <c r="G701" s="5" t="str">
        <f>formatIP(IP_Master[[#This Row],[LAN IP Address]])</f>
        <v>010.012.017.023</v>
      </c>
    </row>
    <row r="702" spans="1:7" ht="18" customHeight="1" x14ac:dyDescent="0.4">
      <c r="A702" s="3" t="s">
        <v>1489</v>
      </c>
      <c r="B702" s="3" t="s">
        <v>449</v>
      </c>
      <c r="C702" s="3" t="s">
        <v>1288</v>
      </c>
      <c r="D702" s="3" t="s">
        <v>1490</v>
      </c>
      <c r="E702" s="3" t="s">
        <v>1491</v>
      </c>
      <c r="F702" s="3"/>
      <c r="G702" s="5" t="str">
        <f>formatIP(IP_Master[[#This Row],[LAN IP Address]])</f>
        <v>010.012.018.001</v>
      </c>
    </row>
    <row r="703" spans="1:7" ht="18" customHeight="1" x14ac:dyDescent="0.4">
      <c r="A703" s="3" t="s">
        <v>1492</v>
      </c>
      <c r="B703" s="3" t="s">
        <v>449</v>
      </c>
      <c r="C703" s="3" t="s">
        <v>1288</v>
      </c>
      <c r="D703" s="3"/>
      <c r="E703" s="3"/>
      <c r="F703" s="3"/>
      <c r="G703" s="5" t="str">
        <f>formatIP(IP_Master[[#This Row],[LAN IP Address]])</f>
        <v>010.012.018.002</v>
      </c>
    </row>
    <row r="704" spans="1:7" ht="18" customHeight="1" x14ac:dyDescent="0.4">
      <c r="A704" s="3" t="s">
        <v>1493</v>
      </c>
      <c r="B704" s="3" t="s">
        <v>449</v>
      </c>
      <c r="C704" s="3" t="s">
        <v>1288</v>
      </c>
      <c r="D704" s="3"/>
      <c r="E704" s="3"/>
      <c r="F704" s="3"/>
      <c r="G704" s="5" t="str">
        <f>formatIP(IP_Master[[#This Row],[LAN IP Address]])</f>
        <v>010.012.018.003</v>
      </c>
    </row>
    <row r="705" spans="1:7" ht="18" customHeight="1" x14ac:dyDescent="0.4">
      <c r="A705" s="3" t="s">
        <v>1494</v>
      </c>
      <c r="B705" s="3" t="s">
        <v>449</v>
      </c>
      <c r="C705" s="3" t="s">
        <v>1288</v>
      </c>
      <c r="D705" s="3"/>
      <c r="E705" s="3"/>
      <c r="F705" s="3"/>
      <c r="G705" s="5" t="str">
        <f>formatIP(IP_Master[[#This Row],[LAN IP Address]])</f>
        <v>010.012.018.004</v>
      </c>
    </row>
    <row r="706" spans="1:7" ht="18" customHeight="1" x14ac:dyDescent="0.4">
      <c r="A706" s="3" t="s">
        <v>1495</v>
      </c>
      <c r="B706" s="3" t="s">
        <v>449</v>
      </c>
      <c r="C706" s="3" t="s">
        <v>1288</v>
      </c>
      <c r="D706" s="3"/>
      <c r="E706" s="3"/>
      <c r="F706" s="3"/>
      <c r="G706" s="5" t="str">
        <f>formatIP(IP_Master[[#This Row],[LAN IP Address]])</f>
        <v>010.012.018.005</v>
      </c>
    </row>
    <row r="707" spans="1:7" ht="18" customHeight="1" x14ac:dyDescent="0.4">
      <c r="A707" s="3" t="s">
        <v>1496</v>
      </c>
      <c r="B707" s="3" t="s">
        <v>449</v>
      </c>
      <c r="C707" s="3" t="s">
        <v>1288</v>
      </c>
      <c r="D707" s="3"/>
      <c r="E707" s="3"/>
      <c r="F707" s="3"/>
      <c r="G707" s="5" t="str">
        <f>formatIP(IP_Master[[#This Row],[LAN IP Address]])</f>
        <v>010.012.018.006</v>
      </c>
    </row>
    <row r="708" spans="1:7" ht="18" customHeight="1" x14ac:dyDescent="0.4">
      <c r="A708" s="3" t="s">
        <v>1497</v>
      </c>
      <c r="B708" s="3" t="s">
        <v>449</v>
      </c>
      <c r="C708" s="3" t="s">
        <v>1288</v>
      </c>
      <c r="D708" s="3"/>
      <c r="E708" s="3"/>
      <c r="F708" s="3"/>
      <c r="G708" s="5" t="str">
        <f>formatIP(IP_Master[[#This Row],[LAN IP Address]])</f>
        <v>010.012.018.007</v>
      </c>
    </row>
    <row r="709" spans="1:7" ht="18" customHeight="1" x14ac:dyDescent="0.4">
      <c r="A709" s="3" t="s">
        <v>1498</v>
      </c>
      <c r="B709" s="3" t="s">
        <v>449</v>
      </c>
      <c r="C709" s="3" t="s">
        <v>1288</v>
      </c>
      <c r="D709" s="3"/>
      <c r="E709" s="3"/>
      <c r="F709" s="3"/>
      <c r="G709" s="5" t="str">
        <f>formatIP(IP_Master[[#This Row],[LAN IP Address]])</f>
        <v>010.012.018.008</v>
      </c>
    </row>
    <row r="710" spans="1:7" ht="18" customHeight="1" x14ac:dyDescent="0.4">
      <c r="A710" s="3" t="s">
        <v>1499</v>
      </c>
      <c r="B710" s="3" t="s">
        <v>449</v>
      </c>
      <c r="C710" s="3" t="s">
        <v>1288</v>
      </c>
      <c r="D710" s="3"/>
      <c r="E710" s="3"/>
      <c r="F710" s="3"/>
      <c r="G710" s="5" t="str">
        <f>formatIP(IP_Master[[#This Row],[LAN IP Address]])</f>
        <v>010.012.018.009</v>
      </c>
    </row>
    <row r="711" spans="1:7" ht="18" customHeight="1" x14ac:dyDescent="0.4">
      <c r="A711" s="3" t="s">
        <v>1500</v>
      </c>
      <c r="B711" s="3" t="s">
        <v>449</v>
      </c>
      <c r="C711" s="3" t="s">
        <v>1288</v>
      </c>
      <c r="D711" s="3"/>
      <c r="E711" s="3"/>
      <c r="F711" s="3"/>
      <c r="G711" s="5" t="str">
        <f>formatIP(IP_Master[[#This Row],[LAN IP Address]])</f>
        <v>010.012.018.010</v>
      </c>
    </row>
    <row r="712" spans="1:7" ht="18" customHeight="1" x14ac:dyDescent="0.4">
      <c r="A712" s="3" t="s">
        <v>1501</v>
      </c>
      <c r="B712" s="3" t="s">
        <v>449</v>
      </c>
      <c r="C712" s="3" t="s">
        <v>1288</v>
      </c>
      <c r="D712" s="3"/>
      <c r="E712" s="3"/>
      <c r="F712" s="3"/>
      <c r="G712" s="5" t="str">
        <f>formatIP(IP_Master[[#This Row],[LAN IP Address]])</f>
        <v>010.012.018.011</v>
      </c>
    </row>
    <row r="713" spans="1:7" ht="18" customHeight="1" x14ac:dyDescent="0.4">
      <c r="A713" s="3" t="s">
        <v>1502</v>
      </c>
      <c r="B713" s="3" t="s">
        <v>449</v>
      </c>
      <c r="C713" s="3" t="s">
        <v>1288</v>
      </c>
      <c r="D713" s="3"/>
      <c r="E713" s="3"/>
      <c r="F713" s="3"/>
      <c r="G713" s="5" t="str">
        <f>formatIP(IP_Master[[#This Row],[LAN IP Address]])</f>
        <v>010.012.018.012</v>
      </c>
    </row>
    <row r="714" spans="1:7" ht="18" customHeight="1" x14ac:dyDescent="0.4">
      <c r="A714" s="3" t="s">
        <v>1503</v>
      </c>
      <c r="B714" s="3" t="s">
        <v>449</v>
      </c>
      <c r="C714" s="3" t="s">
        <v>1288</v>
      </c>
      <c r="D714" s="3"/>
      <c r="E714" s="3"/>
      <c r="F714" s="3"/>
      <c r="G714" s="5" t="str">
        <f>formatIP(IP_Master[[#This Row],[LAN IP Address]])</f>
        <v>010.012.018.013</v>
      </c>
    </row>
    <row r="715" spans="1:7" ht="18" customHeight="1" x14ac:dyDescent="0.4">
      <c r="A715" s="3" t="s">
        <v>1504</v>
      </c>
      <c r="B715" s="3" t="s">
        <v>449</v>
      </c>
      <c r="C715" s="3" t="s">
        <v>1288</v>
      </c>
      <c r="D715" s="3"/>
      <c r="E715" s="3"/>
      <c r="F715" s="3"/>
      <c r="G715" s="5" t="str">
        <f>formatIP(IP_Master[[#This Row],[LAN IP Address]])</f>
        <v>010.012.018.014</v>
      </c>
    </row>
    <row r="716" spans="1:7" ht="18" customHeight="1" x14ac:dyDescent="0.4">
      <c r="A716" s="3" t="s">
        <v>1505</v>
      </c>
      <c r="B716" s="3" t="s">
        <v>449</v>
      </c>
      <c r="C716" s="3" t="s">
        <v>1288</v>
      </c>
      <c r="D716" s="3"/>
      <c r="E716" s="3"/>
      <c r="F716" s="3"/>
      <c r="G716" s="5" t="str">
        <f>formatIP(IP_Master[[#This Row],[LAN IP Address]])</f>
        <v>010.012.018.015</v>
      </c>
    </row>
    <row r="717" spans="1:7" ht="18" customHeight="1" x14ac:dyDescent="0.4">
      <c r="A717" s="3" t="s">
        <v>1506</v>
      </c>
      <c r="B717" s="3" t="s">
        <v>449</v>
      </c>
      <c r="C717" s="3" t="s">
        <v>1288</v>
      </c>
      <c r="D717" s="3"/>
      <c r="E717" s="3"/>
      <c r="F717" s="3"/>
      <c r="G717" s="5" t="str">
        <f>formatIP(IP_Master[[#This Row],[LAN IP Address]])</f>
        <v>010.012.018.016</v>
      </c>
    </row>
    <row r="718" spans="1:7" ht="18" customHeight="1" x14ac:dyDescent="0.4">
      <c r="A718" s="3" t="s">
        <v>1507</v>
      </c>
      <c r="B718" s="3" t="s">
        <v>449</v>
      </c>
      <c r="C718" s="3" t="s">
        <v>1288</v>
      </c>
      <c r="D718" s="3"/>
      <c r="E718" s="3"/>
      <c r="F718" s="3"/>
      <c r="G718" s="5" t="str">
        <f>formatIP(IP_Master[[#This Row],[LAN IP Address]])</f>
        <v>010.012.018.017</v>
      </c>
    </row>
    <row r="719" spans="1:7" ht="18" customHeight="1" x14ac:dyDescent="0.4">
      <c r="A719" s="3" t="s">
        <v>1508</v>
      </c>
      <c r="B719" s="3" t="s">
        <v>449</v>
      </c>
      <c r="C719" s="3" t="s">
        <v>1288</v>
      </c>
      <c r="D719" s="3"/>
      <c r="E719" s="3"/>
      <c r="F719" s="3"/>
      <c r="G719" s="5" t="str">
        <f>formatIP(IP_Master[[#This Row],[LAN IP Address]])</f>
        <v>010.012.018.018</v>
      </c>
    </row>
    <row r="720" spans="1:7" ht="18" customHeight="1" x14ac:dyDescent="0.4">
      <c r="A720" s="3" t="s">
        <v>1509</v>
      </c>
      <c r="B720" s="3" t="s">
        <v>449</v>
      </c>
      <c r="C720" s="3" t="s">
        <v>1288</v>
      </c>
      <c r="D720" s="3"/>
      <c r="E720" s="3"/>
      <c r="F720" s="3"/>
      <c r="G720" s="5" t="str">
        <f>formatIP(IP_Master[[#This Row],[LAN IP Address]])</f>
        <v>010.012.018.019</v>
      </c>
    </row>
    <row r="721" spans="1:7" ht="18" customHeight="1" x14ac:dyDescent="0.4">
      <c r="A721" s="3" t="s">
        <v>1510</v>
      </c>
      <c r="B721" s="3" t="s">
        <v>449</v>
      </c>
      <c r="C721" s="3" t="s">
        <v>1288</v>
      </c>
      <c r="D721" s="3"/>
      <c r="E721" s="3"/>
      <c r="F721" s="3"/>
      <c r="G721" s="5" t="str">
        <f>formatIP(IP_Master[[#This Row],[LAN IP Address]])</f>
        <v>010.012.018.020</v>
      </c>
    </row>
    <row r="722" spans="1:7" ht="18" customHeight="1" x14ac:dyDescent="0.4">
      <c r="A722" s="3" t="s">
        <v>1511</v>
      </c>
      <c r="B722" s="3" t="s">
        <v>768</v>
      </c>
      <c r="C722" s="3" t="s">
        <v>1288</v>
      </c>
      <c r="D722" s="3" t="s">
        <v>1512</v>
      </c>
      <c r="E722" s="3" t="s">
        <v>1513</v>
      </c>
      <c r="F722" s="3"/>
      <c r="G722" s="5" t="str">
        <f>formatIP(IP_Master[[#This Row],[LAN IP Address]])</f>
        <v>010.012.019.001</v>
      </c>
    </row>
    <row r="723" spans="1:7" ht="18" customHeight="1" x14ac:dyDescent="0.4">
      <c r="A723" s="3" t="s">
        <v>1514</v>
      </c>
      <c r="B723" s="3" t="s">
        <v>768</v>
      </c>
      <c r="C723" s="3" t="s">
        <v>1288</v>
      </c>
      <c r="D723" s="3" t="s">
        <v>1515</v>
      </c>
      <c r="E723" s="3" t="s">
        <v>1513</v>
      </c>
      <c r="F723" s="3"/>
      <c r="G723" s="5" t="str">
        <f>formatIP(IP_Master[[#This Row],[LAN IP Address]])</f>
        <v>010.012.019.002</v>
      </c>
    </row>
    <row r="724" spans="1:7" ht="18" customHeight="1" x14ac:dyDescent="0.4">
      <c r="A724" s="3" t="s">
        <v>1516</v>
      </c>
      <c r="B724" s="3" t="s">
        <v>768</v>
      </c>
      <c r="C724" s="3" t="s">
        <v>1288</v>
      </c>
      <c r="D724" s="3" t="s">
        <v>1517</v>
      </c>
      <c r="E724" s="3" t="s">
        <v>1513</v>
      </c>
      <c r="F724" s="3"/>
      <c r="G724" s="5" t="str">
        <f>formatIP(IP_Master[[#This Row],[LAN IP Address]])</f>
        <v>010.012.019.003</v>
      </c>
    </row>
    <row r="725" spans="1:7" ht="18" customHeight="1" x14ac:dyDescent="0.4">
      <c r="A725" s="3" t="s">
        <v>1518</v>
      </c>
      <c r="B725" s="3" t="s">
        <v>768</v>
      </c>
      <c r="C725" s="3" t="s">
        <v>1288</v>
      </c>
      <c r="D725" s="3" t="s">
        <v>1519</v>
      </c>
      <c r="E725" s="3" t="s">
        <v>1513</v>
      </c>
      <c r="F725" s="3"/>
      <c r="G725" s="5" t="str">
        <f>formatIP(IP_Master[[#This Row],[LAN IP Address]])</f>
        <v>010.012.019.004</v>
      </c>
    </row>
    <row r="726" spans="1:7" ht="18" customHeight="1" x14ac:dyDescent="0.4">
      <c r="A726" s="3" t="s">
        <v>1520</v>
      </c>
      <c r="B726" s="3" t="s">
        <v>768</v>
      </c>
      <c r="C726" s="3" t="s">
        <v>1288</v>
      </c>
      <c r="D726" s="3" t="s">
        <v>1521</v>
      </c>
      <c r="E726" s="3" t="s">
        <v>1513</v>
      </c>
      <c r="F726" s="3"/>
      <c r="G726" s="5" t="str">
        <f>formatIP(IP_Master[[#This Row],[LAN IP Address]])</f>
        <v>010.012.019.005</v>
      </c>
    </row>
    <row r="727" spans="1:7" ht="18" customHeight="1" x14ac:dyDescent="0.4">
      <c r="A727" s="3" t="s">
        <v>1522</v>
      </c>
      <c r="B727" s="3" t="s">
        <v>768</v>
      </c>
      <c r="C727" s="3" t="s">
        <v>1288</v>
      </c>
      <c r="D727" s="3"/>
      <c r="E727" s="3"/>
      <c r="F727" s="3"/>
      <c r="G727" s="5" t="str">
        <f>formatIP(IP_Master[[#This Row],[LAN IP Address]])</f>
        <v>010.012.019.006</v>
      </c>
    </row>
    <row r="728" spans="1:7" ht="18" customHeight="1" x14ac:dyDescent="0.4">
      <c r="A728" s="3" t="s">
        <v>1523</v>
      </c>
      <c r="B728" s="3" t="s">
        <v>768</v>
      </c>
      <c r="C728" s="3" t="s">
        <v>1288</v>
      </c>
      <c r="D728" s="3"/>
      <c r="E728" s="3"/>
      <c r="F728" s="3"/>
      <c r="G728" s="5" t="str">
        <f>formatIP(IP_Master[[#This Row],[LAN IP Address]])</f>
        <v>010.012.019.007</v>
      </c>
    </row>
    <row r="729" spans="1:7" ht="18" customHeight="1" x14ac:dyDescent="0.4">
      <c r="A729" s="3" t="s">
        <v>1524</v>
      </c>
      <c r="B729" s="3" t="s">
        <v>768</v>
      </c>
      <c r="C729" s="3" t="s">
        <v>1288</v>
      </c>
      <c r="D729" s="3"/>
      <c r="E729" s="3"/>
      <c r="F729" s="3"/>
      <c r="G729" s="5" t="str">
        <f>formatIP(IP_Master[[#This Row],[LAN IP Address]])</f>
        <v>010.012.019.008</v>
      </c>
    </row>
    <row r="730" spans="1:7" ht="18" customHeight="1" x14ac:dyDescent="0.4">
      <c r="A730" s="3" t="s">
        <v>1525</v>
      </c>
      <c r="B730" s="3" t="s">
        <v>768</v>
      </c>
      <c r="C730" s="3" t="s">
        <v>1288</v>
      </c>
      <c r="D730" s="3"/>
      <c r="E730" s="3"/>
      <c r="F730" s="3"/>
      <c r="G730" s="5" t="str">
        <f>formatIP(IP_Master[[#This Row],[LAN IP Address]])</f>
        <v>010.012.019.009</v>
      </c>
    </row>
    <row r="731" spans="1:7" ht="18" customHeight="1" x14ac:dyDescent="0.4">
      <c r="A731" s="3" t="s">
        <v>1526</v>
      </c>
      <c r="B731" s="3" t="s">
        <v>768</v>
      </c>
      <c r="C731" s="3" t="s">
        <v>1288</v>
      </c>
      <c r="D731" s="3"/>
      <c r="E731" s="3"/>
      <c r="F731" s="3"/>
      <c r="G731" s="5" t="str">
        <f>formatIP(IP_Master[[#This Row],[LAN IP Address]])</f>
        <v>010.012.019.010</v>
      </c>
    </row>
    <row r="732" spans="1:7" ht="18" customHeight="1" x14ac:dyDescent="0.4">
      <c r="A732" s="3" t="s">
        <v>1527</v>
      </c>
      <c r="B732" s="3" t="s">
        <v>768</v>
      </c>
      <c r="C732" s="3" t="s">
        <v>1288</v>
      </c>
      <c r="D732" s="3"/>
      <c r="E732" s="3"/>
      <c r="F732" s="3"/>
      <c r="G732" s="5" t="str">
        <f>formatIP(IP_Master[[#This Row],[LAN IP Address]])</f>
        <v>010.012.019.011</v>
      </c>
    </row>
    <row r="733" spans="1:7" ht="18" customHeight="1" x14ac:dyDescent="0.4">
      <c r="A733" s="3" t="s">
        <v>1528</v>
      </c>
      <c r="B733" s="3" t="s">
        <v>768</v>
      </c>
      <c r="C733" s="3" t="s">
        <v>1288</v>
      </c>
      <c r="D733" s="3"/>
      <c r="E733" s="3"/>
      <c r="F733" s="3"/>
      <c r="G733" s="5" t="str">
        <f>formatIP(IP_Master[[#This Row],[LAN IP Address]])</f>
        <v>010.012.019.012</v>
      </c>
    </row>
    <row r="734" spans="1:7" ht="18" customHeight="1" x14ac:dyDescent="0.4">
      <c r="A734" s="3" t="s">
        <v>1529</v>
      </c>
      <c r="B734" s="3" t="s">
        <v>768</v>
      </c>
      <c r="C734" s="3" t="s">
        <v>1288</v>
      </c>
      <c r="D734" s="3"/>
      <c r="E734" s="3"/>
      <c r="F734" s="3"/>
      <c r="G734" s="5" t="str">
        <f>formatIP(IP_Master[[#This Row],[LAN IP Address]])</f>
        <v>010.012.019.013</v>
      </c>
    </row>
    <row r="735" spans="1:7" ht="18" customHeight="1" x14ac:dyDescent="0.4">
      <c r="A735" s="3" t="s">
        <v>1530</v>
      </c>
      <c r="B735" s="3" t="s">
        <v>768</v>
      </c>
      <c r="C735" s="3" t="s">
        <v>1288</v>
      </c>
      <c r="D735" s="3"/>
      <c r="E735" s="3"/>
      <c r="F735" s="3"/>
      <c r="G735" s="5" t="str">
        <f>formatIP(IP_Master[[#This Row],[LAN IP Address]])</f>
        <v>010.012.019.014</v>
      </c>
    </row>
    <row r="736" spans="1:7" ht="18" customHeight="1" x14ac:dyDescent="0.4">
      <c r="A736" s="3" t="s">
        <v>1531</v>
      </c>
      <c r="B736" s="3" t="s">
        <v>768</v>
      </c>
      <c r="C736" s="3" t="s">
        <v>1288</v>
      </c>
      <c r="D736" s="3"/>
      <c r="E736" s="3"/>
      <c r="F736" s="3"/>
      <c r="G736" s="5" t="str">
        <f>formatIP(IP_Master[[#This Row],[LAN IP Address]])</f>
        <v>010.012.019.015</v>
      </c>
    </row>
    <row r="737" spans="1:7" ht="18" customHeight="1" x14ac:dyDescent="0.4">
      <c r="A737" s="3" t="s">
        <v>1532</v>
      </c>
      <c r="B737" s="3" t="s">
        <v>768</v>
      </c>
      <c r="C737" s="3" t="s">
        <v>1288</v>
      </c>
      <c r="D737" s="3"/>
      <c r="E737" s="3"/>
      <c r="F737" s="3"/>
      <c r="G737" s="5" t="str">
        <f>formatIP(IP_Master[[#This Row],[LAN IP Address]])</f>
        <v>010.012.019.016</v>
      </c>
    </row>
    <row r="738" spans="1:7" ht="18" customHeight="1" x14ac:dyDescent="0.4">
      <c r="A738" s="3" t="s">
        <v>1533</v>
      </c>
      <c r="B738" s="3" t="s">
        <v>768</v>
      </c>
      <c r="C738" s="3" t="s">
        <v>1288</v>
      </c>
      <c r="D738" s="3"/>
      <c r="E738" s="3"/>
      <c r="F738" s="3"/>
      <c r="G738" s="5" t="str">
        <f>formatIP(IP_Master[[#This Row],[LAN IP Address]])</f>
        <v>010.012.019.017</v>
      </c>
    </row>
    <row r="739" spans="1:7" ht="18" customHeight="1" x14ac:dyDescent="0.4">
      <c r="A739" s="3" t="s">
        <v>1534</v>
      </c>
      <c r="B739" s="3" t="s">
        <v>768</v>
      </c>
      <c r="C739" s="3" t="s">
        <v>1288</v>
      </c>
      <c r="D739" s="3"/>
      <c r="E739" s="3"/>
      <c r="F739" s="3"/>
      <c r="G739" s="5" t="str">
        <f>formatIP(IP_Master[[#This Row],[LAN IP Address]])</f>
        <v>010.012.019.018</v>
      </c>
    </row>
    <row r="740" spans="1:7" ht="18" customHeight="1" x14ac:dyDescent="0.4">
      <c r="A740" s="3" t="s">
        <v>1535</v>
      </c>
      <c r="B740" s="3" t="s">
        <v>768</v>
      </c>
      <c r="C740" s="3" t="s">
        <v>1288</v>
      </c>
      <c r="D740" s="3"/>
      <c r="E740" s="3"/>
      <c r="F740" s="3"/>
      <c r="G740" s="5" t="str">
        <f>formatIP(IP_Master[[#This Row],[LAN IP Address]])</f>
        <v>010.012.019.019</v>
      </c>
    </row>
    <row r="741" spans="1:7" ht="18" customHeight="1" x14ac:dyDescent="0.4">
      <c r="A741" s="3" t="s">
        <v>1536</v>
      </c>
      <c r="B741" s="3" t="s">
        <v>768</v>
      </c>
      <c r="C741" s="3" t="s">
        <v>1288</v>
      </c>
      <c r="D741" s="3"/>
      <c r="E741" s="3"/>
      <c r="F741" s="3"/>
      <c r="G741" s="5" t="str">
        <f>formatIP(IP_Master[[#This Row],[LAN IP Address]])</f>
        <v>010.012.019.020</v>
      </c>
    </row>
    <row r="742" spans="1:7" ht="18" customHeight="1" x14ac:dyDescent="0.4">
      <c r="A742" s="3" t="s">
        <v>1537</v>
      </c>
      <c r="B742" s="3" t="s">
        <v>393</v>
      </c>
      <c r="C742" s="3" t="s">
        <v>1288</v>
      </c>
      <c r="D742" s="3"/>
      <c r="E742" s="3" t="s">
        <v>1538</v>
      </c>
      <c r="F742" s="3"/>
      <c r="G742" s="5" t="str">
        <f>formatIP(IP_Master[[#This Row],[LAN IP Address]])</f>
        <v>010.012.020.001</v>
      </c>
    </row>
    <row r="743" spans="1:7" ht="18" customHeight="1" x14ac:dyDescent="0.4">
      <c r="A743" s="3" t="s">
        <v>1539</v>
      </c>
      <c r="B743" s="3" t="s">
        <v>393</v>
      </c>
      <c r="C743" s="3" t="s">
        <v>1288</v>
      </c>
      <c r="D743" s="3"/>
      <c r="E743" s="3" t="s">
        <v>1540</v>
      </c>
      <c r="F743" s="3"/>
      <c r="G743" s="5" t="str">
        <f>formatIP(IP_Master[[#This Row],[LAN IP Address]])</f>
        <v>010.012.020.002</v>
      </c>
    </row>
    <row r="744" spans="1:7" ht="18" customHeight="1" x14ac:dyDescent="0.4">
      <c r="A744" s="3" t="s">
        <v>1541</v>
      </c>
      <c r="B744" s="3" t="s">
        <v>393</v>
      </c>
      <c r="C744" s="3" t="s">
        <v>1288</v>
      </c>
      <c r="D744" s="3"/>
      <c r="E744" s="3"/>
      <c r="F744" s="3"/>
      <c r="G744" s="5" t="str">
        <f>formatIP(IP_Master[[#This Row],[LAN IP Address]])</f>
        <v>010.012.020.003</v>
      </c>
    </row>
    <row r="745" spans="1:7" ht="18" customHeight="1" x14ac:dyDescent="0.4">
      <c r="A745" s="3" t="s">
        <v>1542</v>
      </c>
      <c r="B745" s="3" t="s">
        <v>393</v>
      </c>
      <c r="C745" s="3" t="s">
        <v>1288</v>
      </c>
      <c r="D745" s="3"/>
      <c r="E745" s="3"/>
      <c r="F745" s="3"/>
      <c r="G745" s="5" t="str">
        <f>formatIP(IP_Master[[#This Row],[LAN IP Address]])</f>
        <v>010.012.020.004</v>
      </c>
    </row>
    <row r="746" spans="1:7" ht="18" customHeight="1" x14ac:dyDescent="0.4">
      <c r="A746" s="3" t="s">
        <v>1543</v>
      </c>
      <c r="B746" s="3" t="s">
        <v>393</v>
      </c>
      <c r="C746" s="3" t="s">
        <v>1288</v>
      </c>
      <c r="D746" s="3"/>
      <c r="E746" s="3"/>
      <c r="F746" s="3"/>
      <c r="G746" s="5" t="str">
        <f>formatIP(IP_Master[[#This Row],[LAN IP Address]])</f>
        <v>010.012.020.005</v>
      </c>
    </row>
    <row r="747" spans="1:7" ht="18" customHeight="1" x14ac:dyDescent="0.4">
      <c r="A747" s="3" t="s">
        <v>1544</v>
      </c>
      <c r="B747" s="3" t="s">
        <v>393</v>
      </c>
      <c r="C747" s="3" t="s">
        <v>1288</v>
      </c>
      <c r="D747" s="3"/>
      <c r="E747" s="3"/>
      <c r="F747" s="3"/>
      <c r="G747" s="5" t="str">
        <f>formatIP(IP_Master[[#This Row],[LAN IP Address]])</f>
        <v>010.012.020.006</v>
      </c>
    </row>
    <row r="748" spans="1:7" ht="18" customHeight="1" x14ac:dyDescent="0.4">
      <c r="A748" s="3" t="s">
        <v>1545</v>
      </c>
      <c r="B748" s="3" t="s">
        <v>393</v>
      </c>
      <c r="C748" s="3" t="s">
        <v>1288</v>
      </c>
      <c r="D748" s="3"/>
      <c r="E748" s="3"/>
      <c r="F748" s="3"/>
      <c r="G748" s="5" t="str">
        <f>formatIP(IP_Master[[#This Row],[LAN IP Address]])</f>
        <v>010.012.020.007</v>
      </c>
    </row>
    <row r="749" spans="1:7" ht="18" customHeight="1" x14ac:dyDescent="0.4">
      <c r="A749" s="3" t="s">
        <v>1546</v>
      </c>
      <c r="B749" s="3" t="s">
        <v>393</v>
      </c>
      <c r="C749" s="3" t="s">
        <v>1288</v>
      </c>
      <c r="D749" s="3"/>
      <c r="E749" s="3"/>
      <c r="F749" s="3"/>
      <c r="G749" s="5" t="str">
        <f>formatIP(IP_Master[[#This Row],[LAN IP Address]])</f>
        <v>010.012.020.008</v>
      </c>
    </row>
    <row r="750" spans="1:7" ht="18" customHeight="1" x14ac:dyDescent="0.4">
      <c r="A750" s="3" t="s">
        <v>1547</v>
      </c>
      <c r="B750" s="3" t="s">
        <v>393</v>
      </c>
      <c r="C750" s="3" t="s">
        <v>1288</v>
      </c>
      <c r="D750" s="3"/>
      <c r="E750" s="3"/>
      <c r="F750" s="3"/>
      <c r="G750" s="5" t="str">
        <f>formatIP(IP_Master[[#This Row],[LAN IP Address]])</f>
        <v>010.012.020.009</v>
      </c>
    </row>
    <row r="751" spans="1:7" ht="18" customHeight="1" x14ac:dyDescent="0.4">
      <c r="A751" s="3" t="s">
        <v>1548</v>
      </c>
      <c r="B751" s="3" t="s">
        <v>393</v>
      </c>
      <c r="C751" s="3" t="s">
        <v>1288</v>
      </c>
      <c r="D751" s="3"/>
      <c r="E751" s="3"/>
      <c r="F751" s="3"/>
      <c r="G751" s="5" t="str">
        <f>formatIP(IP_Master[[#This Row],[LAN IP Address]])</f>
        <v>010.012.020.010</v>
      </c>
    </row>
    <row r="752" spans="1:7" ht="18" customHeight="1" x14ac:dyDescent="0.4">
      <c r="A752" s="3" t="s">
        <v>1549</v>
      </c>
      <c r="B752" s="3" t="s">
        <v>393</v>
      </c>
      <c r="C752" s="3" t="s">
        <v>1288</v>
      </c>
      <c r="D752" s="3"/>
      <c r="E752" s="3"/>
      <c r="F752" s="3"/>
      <c r="G752" s="5" t="str">
        <f>formatIP(IP_Master[[#This Row],[LAN IP Address]])</f>
        <v>010.012.020.011</v>
      </c>
    </row>
    <row r="753" spans="1:7" ht="18" customHeight="1" x14ac:dyDescent="0.4">
      <c r="A753" s="3" t="s">
        <v>1550</v>
      </c>
      <c r="B753" s="3" t="s">
        <v>393</v>
      </c>
      <c r="C753" s="3" t="s">
        <v>1288</v>
      </c>
      <c r="D753" s="3"/>
      <c r="E753" s="3"/>
      <c r="F753" s="3"/>
      <c r="G753" s="5" t="str">
        <f>formatIP(IP_Master[[#This Row],[LAN IP Address]])</f>
        <v>010.012.020.012</v>
      </c>
    </row>
    <row r="754" spans="1:7" ht="18" customHeight="1" x14ac:dyDescent="0.4">
      <c r="A754" s="3" t="s">
        <v>1551</v>
      </c>
      <c r="B754" s="3" t="s">
        <v>393</v>
      </c>
      <c r="C754" s="3" t="s">
        <v>1288</v>
      </c>
      <c r="D754" s="3"/>
      <c r="E754" s="3"/>
      <c r="F754" s="3"/>
      <c r="G754" s="5" t="str">
        <f>formatIP(IP_Master[[#This Row],[LAN IP Address]])</f>
        <v>010.012.020.013</v>
      </c>
    </row>
    <row r="755" spans="1:7" ht="18" customHeight="1" x14ac:dyDescent="0.4">
      <c r="A755" s="3" t="s">
        <v>1552</v>
      </c>
      <c r="B755" s="3" t="s">
        <v>393</v>
      </c>
      <c r="C755" s="3" t="s">
        <v>1288</v>
      </c>
      <c r="D755" s="3"/>
      <c r="E755" s="3"/>
      <c r="F755" s="3"/>
      <c r="G755" s="5" t="str">
        <f>formatIP(IP_Master[[#This Row],[LAN IP Address]])</f>
        <v>010.012.020.014</v>
      </c>
    </row>
    <row r="756" spans="1:7" ht="18" customHeight="1" x14ac:dyDescent="0.4">
      <c r="A756" s="3" t="s">
        <v>1553</v>
      </c>
      <c r="B756" s="3" t="s">
        <v>393</v>
      </c>
      <c r="C756" s="3" t="s">
        <v>1288</v>
      </c>
      <c r="D756" s="3"/>
      <c r="E756" s="3"/>
      <c r="F756" s="3"/>
      <c r="G756" s="5" t="str">
        <f>formatIP(IP_Master[[#This Row],[LAN IP Address]])</f>
        <v>010.012.020.015</v>
      </c>
    </row>
    <row r="757" spans="1:7" ht="18" customHeight="1" x14ac:dyDescent="0.4">
      <c r="A757" s="3" t="s">
        <v>1554</v>
      </c>
      <c r="B757" s="3" t="s">
        <v>393</v>
      </c>
      <c r="C757" s="3" t="s">
        <v>1288</v>
      </c>
      <c r="D757" s="3"/>
      <c r="E757" s="3"/>
      <c r="F757" s="3"/>
      <c r="G757" s="5" t="str">
        <f>formatIP(IP_Master[[#This Row],[LAN IP Address]])</f>
        <v>010.012.020.016</v>
      </c>
    </row>
    <row r="758" spans="1:7" ht="18" customHeight="1" x14ac:dyDescent="0.4">
      <c r="A758" s="3" t="s">
        <v>1555</v>
      </c>
      <c r="B758" s="3" t="s">
        <v>393</v>
      </c>
      <c r="C758" s="3" t="s">
        <v>1288</v>
      </c>
      <c r="D758" s="3"/>
      <c r="E758" s="3"/>
      <c r="F758" s="3"/>
      <c r="G758" s="5" t="str">
        <f>formatIP(IP_Master[[#This Row],[LAN IP Address]])</f>
        <v>010.012.020.017</v>
      </c>
    </row>
    <row r="759" spans="1:7" ht="18" customHeight="1" x14ac:dyDescent="0.4">
      <c r="A759" s="3" t="s">
        <v>1556</v>
      </c>
      <c r="B759" s="3" t="s">
        <v>393</v>
      </c>
      <c r="C759" s="3" t="s">
        <v>1288</v>
      </c>
      <c r="D759" s="3"/>
      <c r="E759" s="3"/>
      <c r="F759" s="3"/>
      <c r="G759" s="5" t="str">
        <f>formatIP(IP_Master[[#This Row],[LAN IP Address]])</f>
        <v>010.012.020.018</v>
      </c>
    </row>
    <row r="760" spans="1:7" ht="18" customHeight="1" x14ac:dyDescent="0.4">
      <c r="A760" s="3" t="s">
        <v>1557</v>
      </c>
      <c r="B760" s="3" t="s">
        <v>393</v>
      </c>
      <c r="C760" s="3" t="s">
        <v>1288</v>
      </c>
      <c r="D760" s="3"/>
      <c r="E760" s="3"/>
      <c r="F760" s="3"/>
      <c r="G760" s="5" t="str">
        <f>formatIP(IP_Master[[#This Row],[LAN IP Address]])</f>
        <v>010.012.020.019</v>
      </c>
    </row>
    <row r="761" spans="1:7" ht="18" customHeight="1" x14ac:dyDescent="0.4">
      <c r="A761" s="3" t="s">
        <v>1558</v>
      </c>
      <c r="B761" s="3" t="s">
        <v>393</v>
      </c>
      <c r="C761" s="3" t="s">
        <v>1288</v>
      </c>
      <c r="D761" s="3"/>
      <c r="E761" s="3"/>
      <c r="F761" s="3"/>
      <c r="G761" s="5" t="str">
        <f>formatIP(IP_Master[[#This Row],[LAN IP Address]])</f>
        <v>010.012.020.020</v>
      </c>
    </row>
    <row r="762" spans="1:7" ht="18" customHeight="1" x14ac:dyDescent="0.4">
      <c r="A762" s="3" t="s">
        <v>1559</v>
      </c>
      <c r="B762" s="3" t="s">
        <v>432</v>
      </c>
      <c r="C762" s="3" t="s">
        <v>1288</v>
      </c>
      <c r="D762" s="3"/>
      <c r="E762" s="3"/>
      <c r="F762" s="3"/>
      <c r="G762" s="5" t="str">
        <f>formatIP(IP_Master[[#This Row],[LAN IP Address]])</f>
        <v>010.012.021.001</v>
      </c>
    </row>
    <row r="763" spans="1:7" ht="18" customHeight="1" x14ac:dyDescent="0.4">
      <c r="A763" s="3" t="s">
        <v>1560</v>
      </c>
      <c r="B763" s="3" t="s">
        <v>432</v>
      </c>
      <c r="C763" s="3" t="s">
        <v>1288</v>
      </c>
      <c r="D763" s="3"/>
      <c r="E763" s="3"/>
      <c r="F763" s="3"/>
      <c r="G763" s="5" t="str">
        <f>formatIP(IP_Master[[#This Row],[LAN IP Address]])</f>
        <v>010.012.021.002</v>
      </c>
    </row>
    <row r="764" spans="1:7" ht="18" customHeight="1" x14ac:dyDescent="0.4">
      <c r="A764" s="3" t="s">
        <v>1561</v>
      </c>
      <c r="B764" s="3" t="s">
        <v>432</v>
      </c>
      <c r="C764" s="3" t="s">
        <v>1288</v>
      </c>
      <c r="D764" s="3"/>
      <c r="E764" s="3"/>
      <c r="F764" s="3"/>
      <c r="G764" s="5" t="str">
        <f>formatIP(IP_Master[[#This Row],[LAN IP Address]])</f>
        <v>010.012.021.003</v>
      </c>
    </row>
    <row r="765" spans="1:7" ht="18" customHeight="1" x14ac:dyDescent="0.4">
      <c r="A765" s="3" t="s">
        <v>1562</v>
      </c>
      <c r="B765" s="3" t="s">
        <v>432</v>
      </c>
      <c r="C765" s="3" t="s">
        <v>1288</v>
      </c>
      <c r="D765" s="3"/>
      <c r="E765" s="3"/>
      <c r="F765" s="3"/>
      <c r="G765" s="5" t="str">
        <f>formatIP(IP_Master[[#This Row],[LAN IP Address]])</f>
        <v>010.012.021.004</v>
      </c>
    </row>
    <row r="766" spans="1:7" ht="18" customHeight="1" x14ac:dyDescent="0.4">
      <c r="A766" s="3" t="s">
        <v>1563</v>
      </c>
      <c r="B766" s="3" t="s">
        <v>432</v>
      </c>
      <c r="C766" s="3" t="s">
        <v>1288</v>
      </c>
      <c r="D766" s="3"/>
      <c r="E766" s="3"/>
      <c r="F766" s="3"/>
      <c r="G766" s="5" t="str">
        <f>formatIP(IP_Master[[#This Row],[LAN IP Address]])</f>
        <v>010.012.021.005</v>
      </c>
    </row>
    <row r="767" spans="1:7" ht="18" customHeight="1" x14ac:dyDescent="0.4">
      <c r="A767" s="3" t="s">
        <v>1564</v>
      </c>
      <c r="B767" s="3" t="s">
        <v>432</v>
      </c>
      <c r="C767" s="3" t="s">
        <v>1288</v>
      </c>
      <c r="D767" s="3"/>
      <c r="E767" s="3"/>
      <c r="F767" s="3"/>
      <c r="G767" s="5" t="str">
        <f>formatIP(IP_Master[[#This Row],[LAN IP Address]])</f>
        <v>010.012.021.006</v>
      </c>
    </row>
    <row r="768" spans="1:7" ht="18" customHeight="1" x14ac:dyDescent="0.4">
      <c r="A768" s="3" t="s">
        <v>1565</v>
      </c>
      <c r="B768" s="3" t="s">
        <v>432</v>
      </c>
      <c r="C768" s="3" t="s">
        <v>1288</v>
      </c>
      <c r="D768" s="3"/>
      <c r="E768" s="3"/>
      <c r="F768" s="3"/>
      <c r="G768" s="5" t="str">
        <f>formatIP(IP_Master[[#This Row],[LAN IP Address]])</f>
        <v>010.012.021.007</v>
      </c>
    </row>
    <row r="769" spans="1:7" ht="18" customHeight="1" x14ac:dyDescent="0.4">
      <c r="A769" s="3" t="s">
        <v>1566</v>
      </c>
      <c r="B769" s="3" t="s">
        <v>432</v>
      </c>
      <c r="C769" s="3" t="s">
        <v>1288</v>
      </c>
      <c r="D769" s="3"/>
      <c r="E769" s="3"/>
      <c r="F769" s="3"/>
      <c r="G769" s="5" t="str">
        <f>formatIP(IP_Master[[#This Row],[LAN IP Address]])</f>
        <v>010.012.021.008</v>
      </c>
    </row>
    <row r="770" spans="1:7" ht="18" customHeight="1" x14ac:dyDescent="0.4">
      <c r="A770" s="3" t="s">
        <v>1567</v>
      </c>
      <c r="B770" s="3" t="s">
        <v>432</v>
      </c>
      <c r="C770" s="3" t="s">
        <v>1288</v>
      </c>
      <c r="D770" s="3"/>
      <c r="E770" s="3"/>
      <c r="F770" s="3"/>
      <c r="G770" s="5" t="str">
        <f>formatIP(IP_Master[[#This Row],[LAN IP Address]])</f>
        <v>010.012.021.009</v>
      </c>
    </row>
    <row r="771" spans="1:7" ht="18" customHeight="1" x14ac:dyDescent="0.4">
      <c r="A771" s="3" t="s">
        <v>1568</v>
      </c>
      <c r="B771" s="3" t="s">
        <v>432</v>
      </c>
      <c r="C771" s="3" t="s">
        <v>1288</v>
      </c>
      <c r="D771" s="3"/>
      <c r="E771" s="3"/>
      <c r="F771" s="3"/>
      <c r="G771" s="5" t="str">
        <f>formatIP(IP_Master[[#This Row],[LAN IP Address]])</f>
        <v>010.012.021.010</v>
      </c>
    </row>
    <row r="772" spans="1:7" ht="18" customHeight="1" x14ac:dyDescent="0.4">
      <c r="A772" s="3" t="s">
        <v>1569</v>
      </c>
      <c r="B772" s="3" t="s">
        <v>432</v>
      </c>
      <c r="C772" s="3" t="s">
        <v>1288</v>
      </c>
      <c r="D772" s="3"/>
      <c r="E772" s="3"/>
      <c r="F772" s="3"/>
      <c r="G772" s="5" t="str">
        <f>formatIP(IP_Master[[#This Row],[LAN IP Address]])</f>
        <v>010.012.021.011</v>
      </c>
    </row>
    <row r="773" spans="1:7" ht="18" customHeight="1" x14ac:dyDescent="0.4">
      <c r="A773" s="3" t="s">
        <v>1570</v>
      </c>
      <c r="B773" s="3" t="s">
        <v>432</v>
      </c>
      <c r="C773" s="3" t="s">
        <v>1288</v>
      </c>
      <c r="D773" s="3"/>
      <c r="E773" s="3"/>
      <c r="F773" s="3"/>
      <c r="G773" s="5" t="str">
        <f>formatIP(IP_Master[[#This Row],[LAN IP Address]])</f>
        <v>010.012.021.012</v>
      </c>
    </row>
    <row r="774" spans="1:7" ht="18" customHeight="1" x14ac:dyDescent="0.4">
      <c r="A774" s="3" t="s">
        <v>1571</v>
      </c>
      <c r="B774" s="3" t="s">
        <v>432</v>
      </c>
      <c r="C774" s="3" t="s">
        <v>1288</v>
      </c>
      <c r="D774" s="3"/>
      <c r="E774" s="3"/>
      <c r="F774" s="3"/>
      <c r="G774" s="5" t="str">
        <f>formatIP(IP_Master[[#This Row],[LAN IP Address]])</f>
        <v>010.012.021.013</v>
      </c>
    </row>
    <row r="775" spans="1:7" ht="18" customHeight="1" x14ac:dyDescent="0.4">
      <c r="A775" s="3" t="s">
        <v>1572</v>
      </c>
      <c r="B775" s="3" t="s">
        <v>432</v>
      </c>
      <c r="C775" s="3" t="s">
        <v>1288</v>
      </c>
      <c r="D775" s="3"/>
      <c r="E775" s="3"/>
      <c r="F775" s="3"/>
      <c r="G775" s="5" t="str">
        <f>formatIP(IP_Master[[#This Row],[LAN IP Address]])</f>
        <v>010.012.021.014</v>
      </c>
    </row>
    <row r="776" spans="1:7" ht="18" customHeight="1" x14ac:dyDescent="0.4">
      <c r="A776" s="3" t="s">
        <v>1573</v>
      </c>
      <c r="B776" s="3" t="s">
        <v>432</v>
      </c>
      <c r="C776" s="3" t="s">
        <v>1288</v>
      </c>
      <c r="D776" s="3"/>
      <c r="E776" s="3"/>
      <c r="F776" s="3"/>
      <c r="G776" s="5" t="str">
        <f>formatIP(IP_Master[[#This Row],[LAN IP Address]])</f>
        <v>010.012.021.015</v>
      </c>
    </row>
    <row r="777" spans="1:7" ht="18" customHeight="1" x14ac:dyDescent="0.4">
      <c r="A777" s="3" t="s">
        <v>1574</v>
      </c>
      <c r="B777" s="3" t="s">
        <v>432</v>
      </c>
      <c r="C777" s="3" t="s">
        <v>1288</v>
      </c>
      <c r="D777" s="3"/>
      <c r="E777" s="3"/>
      <c r="F777" s="3"/>
      <c r="G777" s="5" t="str">
        <f>formatIP(IP_Master[[#This Row],[LAN IP Address]])</f>
        <v>010.012.021.016</v>
      </c>
    </row>
    <row r="778" spans="1:7" ht="18" customHeight="1" x14ac:dyDescent="0.4">
      <c r="A778" s="3" t="s">
        <v>1575</v>
      </c>
      <c r="B778" s="3" t="s">
        <v>432</v>
      </c>
      <c r="C778" s="3" t="s">
        <v>1288</v>
      </c>
      <c r="D778" s="3"/>
      <c r="E778" s="3"/>
      <c r="F778" s="3"/>
      <c r="G778" s="5" t="str">
        <f>formatIP(IP_Master[[#This Row],[LAN IP Address]])</f>
        <v>010.012.021.017</v>
      </c>
    </row>
    <row r="779" spans="1:7" ht="18" customHeight="1" x14ac:dyDescent="0.4">
      <c r="A779" s="3" t="s">
        <v>1576</v>
      </c>
      <c r="B779" s="3" t="s">
        <v>432</v>
      </c>
      <c r="C779" s="3" t="s">
        <v>1288</v>
      </c>
      <c r="D779" s="3"/>
      <c r="E779" s="3"/>
      <c r="F779" s="3"/>
      <c r="G779" s="5" t="str">
        <f>formatIP(IP_Master[[#This Row],[LAN IP Address]])</f>
        <v>010.012.021.018</v>
      </c>
    </row>
    <row r="780" spans="1:7" ht="18" customHeight="1" x14ac:dyDescent="0.4">
      <c r="A780" s="3" t="s">
        <v>1577</v>
      </c>
      <c r="B780" s="3" t="s">
        <v>432</v>
      </c>
      <c r="C780" s="3" t="s">
        <v>1288</v>
      </c>
      <c r="D780" s="3"/>
      <c r="E780" s="3"/>
      <c r="F780" s="3"/>
      <c r="G780" s="5" t="str">
        <f>formatIP(IP_Master[[#This Row],[LAN IP Address]])</f>
        <v>010.012.021.019</v>
      </c>
    </row>
    <row r="781" spans="1:7" ht="18" customHeight="1" x14ac:dyDescent="0.4">
      <c r="A781" s="3" t="s">
        <v>1578</v>
      </c>
      <c r="B781" s="3" t="s">
        <v>432</v>
      </c>
      <c r="C781" s="3" t="s">
        <v>1288</v>
      </c>
      <c r="D781" s="3"/>
      <c r="E781" s="3"/>
      <c r="F781" s="3"/>
      <c r="G781" s="5" t="str">
        <f>formatIP(IP_Master[[#This Row],[LAN IP Address]])</f>
        <v>010.012.021.020</v>
      </c>
    </row>
    <row r="782" spans="1:7" ht="18" customHeight="1" x14ac:dyDescent="0.4">
      <c r="A782" s="3" t="s">
        <v>1579</v>
      </c>
      <c r="B782" s="3" t="s">
        <v>852</v>
      </c>
      <c r="C782" s="3" t="s">
        <v>1288</v>
      </c>
      <c r="D782" s="3" t="s">
        <v>1580</v>
      </c>
      <c r="E782" s="3" t="str">
        <f t="shared" ref="E782:E794" si="0">"Altivar71 VSD" &amp;" - " &amp; D782</f>
        <v>Altivar71 VSD - EAF-MB003</v>
      </c>
      <c r="F782" s="3"/>
      <c r="G782" s="5" t="str">
        <f>formatIP(IP_Master[[#This Row],[LAN IP Address]])</f>
        <v>010.012.022.001</v>
      </c>
    </row>
    <row r="783" spans="1:7" ht="18" customHeight="1" x14ac:dyDescent="0.4">
      <c r="A783" s="3" t="s">
        <v>1581</v>
      </c>
      <c r="B783" s="3" t="s">
        <v>852</v>
      </c>
      <c r="C783" s="3" t="s">
        <v>1288</v>
      </c>
      <c r="D783" s="3" t="s">
        <v>1582</v>
      </c>
      <c r="E783" s="3" t="str">
        <f t="shared" si="0"/>
        <v>Altivar71 VSD - EAF-MB105</v>
      </c>
      <c r="F783" s="3"/>
      <c r="G783" s="5" t="str">
        <f>formatIP(IP_Master[[#This Row],[LAN IP Address]])</f>
        <v>010.012.022.002</v>
      </c>
    </row>
    <row r="784" spans="1:7" ht="18" customHeight="1" x14ac:dyDescent="0.4">
      <c r="A784" s="3" t="s">
        <v>1583</v>
      </c>
      <c r="B784" s="3" t="s">
        <v>852</v>
      </c>
      <c r="C784" s="3" t="s">
        <v>1288</v>
      </c>
      <c r="D784" s="3" t="s">
        <v>1584</v>
      </c>
      <c r="E784" s="3" t="str">
        <f t="shared" si="0"/>
        <v>Altivar71 VSD - EAF-MB106</v>
      </c>
      <c r="F784" s="3"/>
      <c r="G784" s="5" t="str">
        <f>formatIP(IP_Master[[#This Row],[LAN IP Address]])</f>
        <v>010.012.022.003</v>
      </c>
    </row>
    <row r="785" spans="1:7" ht="18" customHeight="1" x14ac:dyDescent="0.4">
      <c r="A785" s="3" t="s">
        <v>1585</v>
      </c>
      <c r="B785" s="3" t="s">
        <v>852</v>
      </c>
      <c r="C785" s="3" t="s">
        <v>1288</v>
      </c>
      <c r="D785" s="3" t="s">
        <v>1586</v>
      </c>
      <c r="E785" s="3" t="str">
        <f t="shared" si="0"/>
        <v>Altivar71 VSD - EAF-MB107</v>
      </c>
      <c r="F785" s="3"/>
      <c r="G785" s="5" t="str">
        <f>formatIP(IP_Master[[#This Row],[LAN IP Address]])</f>
        <v>010.012.022.004</v>
      </c>
    </row>
    <row r="786" spans="1:7" ht="18" customHeight="1" x14ac:dyDescent="0.4">
      <c r="A786" s="3" t="s">
        <v>1587</v>
      </c>
      <c r="B786" s="3" t="s">
        <v>852</v>
      </c>
      <c r="C786" s="3" t="s">
        <v>1288</v>
      </c>
      <c r="D786" s="3" t="s">
        <v>1588</v>
      </c>
      <c r="E786" s="3" t="str">
        <f t="shared" si="0"/>
        <v>Altivar71 VSD - EAF-MB108A</v>
      </c>
      <c r="F786" s="3"/>
      <c r="G786" s="5" t="str">
        <f>formatIP(IP_Master[[#This Row],[LAN IP Address]])</f>
        <v>010.012.022.005</v>
      </c>
    </row>
    <row r="787" spans="1:7" ht="18" customHeight="1" x14ac:dyDescent="0.4">
      <c r="A787" s="3" t="s">
        <v>1589</v>
      </c>
      <c r="B787" s="3" t="s">
        <v>852</v>
      </c>
      <c r="C787" s="3" t="s">
        <v>1288</v>
      </c>
      <c r="D787" s="3" t="s">
        <v>1590</v>
      </c>
      <c r="E787" s="3" t="str">
        <f t="shared" si="0"/>
        <v>Altivar71 VSD - EAF-MB108B</v>
      </c>
      <c r="F787" s="3"/>
      <c r="G787" s="5" t="str">
        <f>formatIP(IP_Master[[#This Row],[LAN IP Address]])</f>
        <v>010.012.022.006</v>
      </c>
    </row>
    <row r="788" spans="1:7" ht="18" customHeight="1" x14ac:dyDescent="0.4">
      <c r="A788" s="3" t="s">
        <v>1591</v>
      </c>
      <c r="B788" s="3" t="s">
        <v>852</v>
      </c>
      <c r="C788" s="3" t="s">
        <v>1288</v>
      </c>
      <c r="D788" s="3" t="s">
        <v>1592</v>
      </c>
      <c r="E788" s="3" t="str">
        <f t="shared" si="0"/>
        <v>Altivar71 VSD - EAF-MB110</v>
      </c>
      <c r="F788" s="3"/>
      <c r="G788" s="5" t="str">
        <f>formatIP(IP_Master[[#This Row],[LAN IP Address]])</f>
        <v>010.012.022.007</v>
      </c>
    </row>
    <row r="789" spans="1:7" ht="18" customHeight="1" x14ac:dyDescent="0.4">
      <c r="A789" s="3" t="s">
        <v>1593</v>
      </c>
      <c r="B789" s="3" t="s">
        <v>852</v>
      </c>
      <c r="C789" s="3" t="s">
        <v>1288</v>
      </c>
      <c r="D789" s="3" t="s">
        <v>1594</v>
      </c>
      <c r="E789" s="3" t="str">
        <f t="shared" si="0"/>
        <v>Altivar71 VSD - EAF-MB205</v>
      </c>
      <c r="F789" s="3"/>
      <c r="G789" s="5" t="str">
        <f>formatIP(IP_Master[[#This Row],[LAN IP Address]])</f>
        <v>010.012.022.008</v>
      </c>
    </row>
    <row r="790" spans="1:7" ht="18" customHeight="1" x14ac:dyDescent="0.4">
      <c r="A790" s="3" t="s">
        <v>1595</v>
      </c>
      <c r="B790" s="3" t="s">
        <v>852</v>
      </c>
      <c r="C790" s="3" t="s">
        <v>1288</v>
      </c>
      <c r="D790" s="3" t="s">
        <v>1596</v>
      </c>
      <c r="E790" s="3" t="str">
        <f t="shared" si="0"/>
        <v>Altivar71 VSD - EAF-MB206</v>
      </c>
      <c r="F790" s="3"/>
      <c r="G790" s="5" t="str">
        <f>formatIP(IP_Master[[#This Row],[LAN IP Address]])</f>
        <v>010.012.022.009</v>
      </c>
    </row>
    <row r="791" spans="1:7" ht="18" customHeight="1" x14ac:dyDescent="0.4">
      <c r="A791" s="3" t="s">
        <v>1597</v>
      </c>
      <c r="B791" s="3" t="s">
        <v>852</v>
      </c>
      <c r="C791" s="3" t="s">
        <v>1288</v>
      </c>
      <c r="D791" s="3" t="s">
        <v>1598</v>
      </c>
      <c r="E791" s="3" t="str">
        <f t="shared" si="0"/>
        <v>Altivar71 VSD - EAF-MB207</v>
      </c>
      <c r="F791" s="3"/>
      <c r="G791" s="5" t="str">
        <f>formatIP(IP_Master[[#This Row],[LAN IP Address]])</f>
        <v>010.012.022.010</v>
      </c>
    </row>
    <row r="792" spans="1:7" ht="18" customHeight="1" x14ac:dyDescent="0.4">
      <c r="A792" s="3" t="s">
        <v>1599</v>
      </c>
      <c r="B792" s="3" t="s">
        <v>852</v>
      </c>
      <c r="C792" s="3" t="s">
        <v>1288</v>
      </c>
      <c r="D792" s="3" t="s">
        <v>1600</v>
      </c>
      <c r="E792" s="3" t="str">
        <f t="shared" si="0"/>
        <v>Altivar71 VSD - EAF-MB208A</v>
      </c>
      <c r="F792" s="3"/>
      <c r="G792" s="5" t="str">
        <f>formatIP(IP_Master[[#This Row],[LAN IP Address]])</f>
        <v>010.012.022.011</v>
      </c>
    </row>
    <row r="793" spans="1:7" ht="18" customHeight="1" x14ac:dyDescent="0.4">
      <c r="A793" s="3" t="s">
        <v>1601</v>
      </c>
      <c r="B793" s="3" t="s">
        <v>852</v>
      </c>
      <c r="C793" s="3" t="s">
        <v>1288</v>
      </c>
      <c r="D793" s="3" t="s">
        <v>1602</v>
      </c>
      <c r="E793" s="3" t="str">
        <f t="shared" si="0"/>
        <v>Altivar71 VSD - EAF-MB208B</v>
      </c>
      <c r="F793" s="3"/>
      <c r="G793" s="5" t="str">
        <f>formatIP(IP_Master[[#This Row],[LAN IP Address]])</f>
        <v>010.012.022.012</v>
      </c>
    </row>
    <row r="794" spans="1:7" ht="18" customHeight="1" x14ac:dyDescent="0.4">
      <c r="A794" s="3" t="s">
        <v>1603</v>
      </c>
      <c r="B794" s="3" t="s">
        <v>852</v>
      </c>
      <c r="C794" s="3" t="s">
        <v>1288</v>
      </c>
      <c r="D794" s="3" t="s">
        <v>1604</v>
      </c>
      <c r="E794" s="3" t="str">
        <f t="shared" si="0"/>
        <v>Altivar71 VSD - EAF-MB210</v>
      </c>
      <c r="F794" s="3"/>
      <c r="G794" s="5" t="str">
        <f>formatIP(IP_Master[[#This Row],[LAN IP Address]])</f>
        <v>010.012.022.013</v>
      </c>
    </row>
    <row r="795" spans="1:7" ht="18" customHeight="1" x14ac:dyDescent="0.4">
      <c r="A795" s="3" t="s">
        <v>1605</v>
      </c>
      <c r="B795" s="3" t="s">
        <v>852</v>
      </c>
      <c r="C795" s="3" t="s">
        <v>1288</v>
      </c>
      <c r="D795" s="3"/>
      <c r="E795" s="3"/>
      <c r="F795" s="3"/>
      <c r="G795" s="5" t="str">
        <f>formatIP(IP_Master[[#This Row],[LAN IP Address]])</f>
        <v>010.012.022.014</v>
      </c>
    </row>
    <row r="796" spans="1:7" ht="18" customHeight="1" x14ac:dyDescent="0.4">
      <c r="A796" s="3" t="s">
        <v>1606</v>
      </c>
      <c r="B796" s="3" t="s">
        <v>852</v>
      </c>
      <c r="C796" s="3" t="s">
        <v>1288</v>
      </c>
      <c r="D796" s="3"/>
      <c r="E796" s="3"/>
      <c r="F796" s="3"/>
      <c r="G796" s="5" t="str">
        <f>formatIP(IP_Master[[#This Row],[LAN IP Address]])</f>
        <v>010.012.022.015</v>
      </c>
    </row>
    <row r="797" spans="1:7" ht="18" customHeight="1" x14ac:dyDescent="0.4">
      <c r="A797" s="3" t="s">
        <v>1607</v>
      </c>
      <c r="B797" s="3" t="s">
        <v>852</v>
      </c>
      <c r="C797" s="3" t="s">
        <v>1288</v>
      </c>
      <c r="D797" s="3"/>
      <c r="E797" s="3"/>
      <c r="F797" s="3"/>
      <c r="G797" s="5" t="str">
        <f>formatIP(IP_Master[[#This Row],[LAN IP Address]])</f>
        <v>010.012.022.016</v>
      </c>
    </row>
    <row r="798" spans="1:7" ht="18" customHeight="1" x14ac:dyDescent="0.4">
      <c r="A798" s="3" t="s">
        <v>1608</v>
      </c>
      <c r="B798" s="3" t="s">
        <v>852</v>
      </c>
      <c r="C798" s="3" t="s">
        <v>1288</v>
      </c>
      <c r="D798" s="3"/>
      <c r="E798" s="3"/>
      <c r="F798" s="3"/>
      <c r="G798" s="5" t="str">
        <f>formatIP(IP_Master[[#This Row],[LAN IP Address]])</f>
        <v>010.012.022.017</v>
      </c>
    </row>
    <row r="799" spans="1:7" ht="18" customHeight="1" x14ac:dyDescent="0.4">
      <c r="A799" s="3" t="s">
        <v>1609</v>
      </c>
      <c r="B799" s="3" t="s">
        <v>852</v>
      </c>
      <c r="C799" s="3" t="s">
        <v>1288</v>
      </c>
      <c r="D799" s="3"/>
      <c r="E799" s="3"/>
      <c r="F799" s="3"/>
      <c r="G799" s="5" t="str">
        <f>formatIP(IP_Master[[#This Row],[LAN IP Address]])</f>
        <v>010.012.022.018</v>
      </c>
    </row>
    <row r="800" spans="1:7" ht="18" customHeight="1" x14ac:dyDescent="0.4">
      <c r="A800" s="3" t="s">
        <v>1610</v>
      </c>
      <c r="B800" s="3" t="s">
        <v>852</v>
      </c>
      <c r="C800" s="3" t="s">
        <v>1288</v>
      </c>
      <c r="D800" s="3"/>
      <c r="E800" s="3"/>
      <c r="F800" s="3"/>
      <c r="G800" s="5" t="str">
        <f>formatIP(IP_Master[[#This Row],[LAN IP Address]])</f>
        <v>010.012.022.019</v>
      </c>
    </row>
    <row r="801" spans="1:7" ht="18" customHeight="1" x14ac:dyDescent="0.4">
      <c r="A801" s="3" t="s">
        <v>1611</v>
      </c>
      <c r="B801" s="3" t="s">
        <v>852</v>
      </c>
      <c r="C801" s="3" t="s">
        <v>1288</v>
      </c>
      <c r="D801" s="3"/>
      <c r="E801" s="3"/>
      <c r="F801" s="3"/>
      <c r="G801" s="5" t="str">
        <f>formatIP(IP_Master[[#This Row],[LAN IP Address]])</f>
        <v>010.012.022.020</v>
      </c>
    </row>
    <row r="802" spans="1:7" ht="18" customHeight="1" x14ac:dyDescent="0.4">
      <c r="A802" s="3" t="s">
        <v>1612</v>
      </c>
      <c r="B802" s="3" t="s">
        <v>569</v>
      </c>
      <c r="C802" s="3" t="s">
        <v>18</v>
      </c>
      <c r="D802" s="3" t="s">
        <v>570</v>
      </c>
      <c r="E802" s="3" t="s">
        <v>531</v>
      </c>
      <c r="F802" s="3">
        <v>200250067</v>
      </c>
      <c r="G802" s="5" t="str">
        <f>formatIP(IP_Master[[#This Row],[LAN IP Address]])</f>
        <v>010.012.128.021</v>
      </c>
    </row>
    <row r="803" spans="1:7" ht="18" customHeight="1" x14ac:dyDescent="0.4">
      <c r="A803" s="3" t="s">
        <v>1613</v>
      </c>
      <c r="B803" s="3" t="s">
        <v>569</v>
      </c>
      <c r="C803" s="3" t="s">
        <v>18</v>
      </c>
      <c r="D803" s="3" t="s">
        <v>571</v>
      </c>
      <c r="E803" s="3" t="s">
        <v>533</v>
      </c>
      <c r="F803" s="3">
        <v>200250068</v>
      </c>
      <c r="G803" s="5" t="str">
        <f>formatIP(IP_Master[[#This Row],[LAN IP Address]])</f>
        <v>010.012.128.022</v>
      </c>
    </row>
    <row r="804" spans="1:7" ht="18" customHeight="1" x14ac:dyDescent="0.4">
      <c r="A804" s="3" t="s">
        <v>1614</v>
      </c>
      <c r="B804" s="3" t="s">
        <v>569</v>
      </c>
      <c r="C804" s="3" t="s">
        <v>18</v>
      </c>
      <c r="D804" s="3" t="s">
        <v>573</v>
      </c>
      <c r="E804" s="3" t="s">
        <v>536</v>
      </c>
      <c r="F804" s="3">
        <v>200250098</v>
      </c>
      <c r="G804" s="5" t="str">
        <f>formatIP(IP_Master[[#This Row],[LAN IP Address]])</f>
        <v>010.012.128.023</v>
      </c>
    </row>
    <row r="805" spans="1:7" ht="18" customHeight="1" x14ac:dyDescent="0.4">
      <c r="A805" s="3" t="s">
        <v>1615</v>
      </c>
      <c r="B805" s="3" t="s">
        <v>569</v>
      </c>
      <c r="C805" s="3" t="s">
        <v>18</v>
      </c>
      <c r="D805" s="3" t="s">
        <v>575</v>
      </c>
      <c r="E805" s="3" t="s">
        <v>576</v>
      </c>
      <c r="F805" s="3">
        <v>200250097</v>
      </c>
      <c r="G805" s="5" t="str">
        <f>formatIP(IP_Master[[#This Row],[LAN IP Address]])</f>
        <v>010.012.128.024</v>
      </c>
    </row>
    <row r="806" spans="1:7" ht="18" customHeight="1" x14ac:dyDescent="0.4">
      <c r="A806" s="3" t="s">
        <v>1616</v>
      </c>
      <c r="B806" s="3" t="s">
        <v>569</v>
      </c>
      <c r="C806" s="3" t="s">
        <v>18</v>
      </c>
      <c r="D806" s="3" t="s">
        <v>578</v>
      </c>
      <c r="E806" s="3" t="s">
        <v>579</v>
      </c>
      <c r="F806" s="3">
        <v>200250100</v>
      </c>
      <c r="G806" s="5" t="str">
        <f>formatIP(IP_Master[[#This Row],[LAN IP Address]])</f>
        <v>010.012.128.025</v>
      </c>
    </row>
    <row r="807" spans="1:7" ht="18" customHeight="1" x14ac:dyDescent="0.4">
      <c r="A807" s="3" t="s">
        <v>1617</v>
      </c>
      <c r="B807" s="3" t="s">
        <v>569</v>
      </c>
      <c r="C807" s="3" t="s">
        <v>18</v>
      </c>
      <c r="D807" s="3" t="s">
        <v>581</v>
      </c>
      <c r="E807" s="3"/>
      <c r="F807" s="3"/>
      <c r="G807" s="5" t="str">
        <f>formatIP(IP_Master[[#This Row],[LAN IP Address]])</f>
        <v>010.012.128.026</v>
      </c>
    </row>
    <row r="808" spans="1:7" ht="18" customHeight="1" x14ac:dyDescent="0.4">
      <c r="A808" s="3" t="s">
        <v>180</v>
      </c>
      <c r="B808" s="3" t="s">
        <v>569</v>
      </c>
      <c r="C808" s="3" t="s">
        <v>18</v>
      </c>
      <c r="D808" s="3" t="s">
        <v>612</v>
      </c>
      <c r="E808" s="3" t="s">
        <v>613</v>
      </c>
      <c r="F808" s="3"/>
      <c r="G808" s="5" t="str">
        <f>formatIP(IP_Master[[#This Row],[LAN IP Address]])</f>
        <v>010.012.128.040</v>
      </c>
    </row>
    <row r="809" spans="1:7" ht="18" customHeight="1" x14ac:dyDescent="0.4">
      <c r="A809" s="3" t="s">
        <v>1618</v>
      </c>
      <c r="B809" s="3" t="s">
        <v>520</v>
      </c>
      <c r="C809" s="3" t="s">
        <v>18</v>
      </c>
      <c r="D809" s="3" t="s">
        <v>614</v>
      </c>
      <c r="E809" s="3" t="s">
        <v>531</v>
      </c>
      <c r="F809" s="3">
        <v>200236158</v>
      </c>
      <c r="G809" s="5" t="str">
        <f>formatIP(IP_Master[[#This Row],[LAN IP Address]])</f>
        <v>010.012.128.041</v>
      </c>
    </row>
    <row r="810" spans="1:7" ht="18" customHeight="1" x14ac:dyDescent="0.4">
      <c r="A810" s="3" t="s">
        <v>1619</v>
      </c>
      <c r="B810" s="3" t="s">
        <v>520</v>
      </c>
      <c r="C810" s="3" t="s">
        <v>18</v>
      </c>
      <c r="D810" s="3" t="s">
        <v>615</v>
      </c>
      <c r="E810" s="3" t="s">
        <v>533</v>
      </c>
      <c r="F810" s="3">
        <v>200236159</v>
      </c>
      <c r="G810" s="5" t="str">
        <f>formatIP(IP_Master[[#This Row],[LAN IP Address]])</f>
        <v>010.012.128.042</v>
      </c>
    </row>
    <row r="811" spans="1:7" ht="18" customHeight="1" x14ac:dyDescent="0.4">
      <c r="A811" s="3" t="s">
        <v>1620</v>
      </c>
      <c r="B811" s="3" t="s">
        <v>520</v>
      </c>
      <c r="C811" s="3" t="s">
        <v>18</v>
      </c>
      <c r="D811" s="3" t="s">
        <v>617</v>
      </c>
      <c r="E811" s="3" t="s">
        <v>536</v>
      </c>
      <c r="F811" s="3">
        <v>100228780</v>
      </c>
      <c r="G811" s="5" t="str">
        <f>formatIP(IP_Master[[#This Row],[LAN IP Address]])</f>
        <v>010.012.128.043</v>
      </c>
    </row>
    <row r="812" spans="1:7" ht="18" customHeight="1" x14ac:dyDescent="0.4">
      <c r="A812" s="3" t="s">
        <v>181</v>
      </c>
      <c r="B812" s="3" t="s">
        <v>520</v>
      </c>
      <c r="C812" s="3" t="s">
        <v>18</v>
      </c>
      <c r="D812" s="3" t="s">
        <v>637</v>
      </c>
      <c r="E812" s="3" t="s">
        <v>638</v>
      </c>
      <c r="F812" s="3"/>
      <c r="G812" s="5" t="str">
        <f>formatIP(IP_Master[[#This Row],[LAN IP Address]])</f>
        <v>010.012.128.060</v>
      </c>
    </row>
    <row r="813" spans="1:7" ht="18" customHeight="1" x14ac:dyDescent="0.4">
      <c r="A813" s="3" t="s">
        <v>1621</v>
      </c>
      <c r="B813" s="3" t="s">
        <v>768</v>
      </c>
      <c r="C813" s="3" t="s">
        <v>18</v>
      </c>
      <c r="D813" s="3" t="s">
        <v>769</v>
      </c>
      <c r="E813" s="3" t="s">
        <v>770</v>
      </c>
      <c r="F813" s="3">
        <v>200250075</v>
      </c>
      <c r="G813" s="5" t="str">
        <f>formatIP(IP_Master[[#This Row],[LAN IP Address]])</f>
        <v>010.012.128.161</v>
      </c>
    </row>
    <row r="814" spans="1:7" ht="18" customHeight="1" x14ac:dyDescent="0.4">
      <c r="A814" s="3" t="s">
        <v>1622</v>
      </c>
      <c r="B814" s="3" t="s">
        <v>768</v>
      </c>
      <c r="C814" s="3" t="s">
        <v>18</v>
      </c>
      <c r="D814" s="3" t="s">
        <v>771</v>
      </c>
      <c r="E814" s="3" t="s">
        <v>772</v>
      </c>
      <c r="F814" s="3">
        <v>200250076</v>
      </c>
      <c r="G814" s="5" t="str">
        <f>formatIP(IP_Master[[#This Row],[LAN IP Address]])</f>
        <v>010.012.128.162</v>
      </c>
    </row>
    <row r="815" spans="1:7" ht="18" customHeight="1" x14ac:dyDescent="0.4">
      <c r="A815" s="3" t="s">
        <v>1623</v>
      </c>
      <c r="B815" s="3" t="s">
        <v>768</v>
      </c>
      <c r="C815" s="3" t="s">
        <v>18</v>
      </c>
      <c r="D815" s="3" t="s">
        <v>796</v>
      </c>
      <c r="E815" s="3" t="s">
        <v>797</v>
      </c>
      <c r="F815" s="3"/>
      <c r="G815" s="5" t="str">
        <f>formatIP(IP_Master[[#This Row],[LAN IP Address]])</f>
        <v>010.012.128.178</v>
      </c>
    </row>
    <row r="816" spans="1:7" ht="18" customHeight="1" x14ac:dyDescent="0.4">
      <c r="A816" s="3" t="s">
        <v>178</v>
      </c>
      <c r="B816" s="3" t="s">
        <v>768</v>
      </c>
      <c r="C816" s="3" t="s">
        <v>18</v>
      </c>
      <c r="D816" s="3" t="s">
        <v>801</v>
      </c>
      <c r="E816" s="3" t="s">
        <v>802</v>
      </c>
      <c r="F816" s="3"/>
      <c r="G816" s="5" t="str">
        <f>formatIP(IP_Master[[#This Row],[LAN IP Address]])</f>
        <v>010.012.128.180</v>
      </c>
    </row>
    <row r="817" spans="1:7" ht="18" customHeight="1" x14ac:dyDescent="0.4">
      <c r="A817" s="3" t="s">
        <v>1624</v>
      </c>
      <c r="B817" s="3" t="s">
        <v>492</v>
      </c>
      <c r="C817" s="3" t="s">
        <v>18</v>
      </c>
      <c r="D817" s="3" t="s">
        <v>821</v>
      </c>
      <c r="E817" s="3" t="s">
        <v>822</v>
      </c>
      <c r="F817" s="3"/>
      <c r="G817" s="5" t="str">
        <f>formatIP(IP_Master[[#This Row],[LAN IP Address]])</f>
        <v>010.012.128.254</v>
      </c>
    </row>
    <row r="818" spans="1:7" ht="18" customHeight="1" x14ac:dyDescent="0.4">
      <c r="A818" s="3" t="s">
        <v>1625</v>
      </c>
      <c r="B818" s="3" t="s">
        <v>569</v>
      </c>
      <c r="C818" s="3" t="s">
        <v>19</v>
      </c>
      <c r="D818" s="3" t="s">
        <v>911</v>
      </c>
      <c r="E818" s="3" t="s">
        <v>912</v>
      </c>
      <c r="F818" s="3"/>
      <c r="G818" s="5" t="str">
        <f>formatIP(IP_Master[[#This Row],[LAN IP Address]])</f>
        <v>010.012.129.021</v>
      </c>
    </row>
    <row r="819" spans="1:7" ht="18" customHeight="1" x14ac:dyDescent="0.4">
      <c r="A819" s="3" t="s">
        <v>1626</v>
      </c>
      <c r="B819" s="3" t="s">
        <v>569</v>
      </c>
      <c r="C819" s="3" t="s">
        <v>19</v>
      </c>
      <c r="D819" s="3" t="s">
        <v>914</v>
      </c>
      <c r="E819" s="3" t="s">
        <v>915</v>
      </c>
      <c r="F819" s="3"/>
      <c r="G819" s="5" t="str">
        <f>formatIP(IP_Master[[#This Row],[LAN IP Address]])</f>
        <v>010.012.129.022</v>
      </c>
    </row>
    <row r="820" spans="1:7" ht="18" customHeight="1" x14ac:dyDescent="0.4">
      <c r="A820" s="3" t="s">
        <v>1627</v>
      </c>
      <c r="B820" s="3" t="s">
        <v>520</v>
      </c>
      <c r="C820" s="3" t="s">
        <v>19</v>
      </c>
      <c r="D820" s="3" t="s">
        <v>953</v>
      </c>
      <c r="E820" s="3" t="s">
        <v>954</v>
      </c>
      <c r="F820" s="3"/>
      <c r="G820" s="5" t="str">
        <f>formatIP(IP_Master[[#This Row],[LAN IP Address]])</f>
        <v>010.012.129.041</v>
      </c>
    </row>
    <row r="821" spans="1:7" ht="18" customHeight="1" x14ac:dyDescent="0.4">
      <c r="A821" s="3" t="s">
        <v>1628</v>
      </c>
      <c r="B821" s="3" t="s">
        <v>520</v>
      </c>
      <c r="C821" s="3" t="s">
        <v>19</v>
      </c>
      <c r="D821" s="3" t="s">
        <v>956</v>
      </c>
      <c r="E821" s="3" t="s">
        <v>957</v>
      </c>
      <c r="F821" s="3"/>
      <c r="G821" s="5" t="str">
        <f>formatIP(IP_Master[[#This Row],[LAN IP Address]])</f>
        <v>010.012.129.042</v>
      </c>
    </row>
    <row r="822" spans="1:7" ht="18" customHeight="1" x14ac:dyDescent="0.4">
      <c r="A822" s="3" t="s">
        <v>1629</v>
      </c>
      <c r="B822" s="3" t="s">
        <v>768</v>
      </c>
      <c r="C822" s="3" t="s">
        <v>19</v>
      </c>
      <c r="D822" s="3" t="s">
        <v>1111</v>
      </c>
      <c r="E822" s="3" t="s">
        <v>1112</v>
      </c>
      <c r="F822" s="3"/>
      <c r="G822" s="5" t="str">
        <f>formatIP(IP_Master[[#This Row],[LAN IP Address]])</f>
        <v>010.012.129.161</v>
      </c>
    </row>
    <row r="823" spans="1:7" ht="18" customHeight="1" x14ac:dyDescent="0.4">
      <c r="A823" s="3" t="s">
        <v>1630</v>
      </c>
      <c r="B823" s="3" t="s">
        <v>768</v>
      </c>
      <c r="C823" s="3" t="s">
        <v>19</v>
      </c>
      <c r="D823" s="3" t="s">
        <v>1114</v>
      </c>
      <c r="E823" s="3" t="s">
        <v>1115</v>
      </c>
      <c r="F823" s="3"/>
      <c r="G823" s="5" t="str">
        <f>formatIP(IP_Master[[#This Row],[LAN IP Address]])</f>
        <v>010.012.129.162</v>
      </c>
    </row>
    <row r="824" spans="1:7" ht="18" customHeight="1" x14ac:dyDescent="0.4">
      <c r="A824" s="3" t="s">
        <v>1631</v>
      </c>
      <c r="B824" s="3" t="s">
        <v>393</v>
      </c>
      <c r="C824" s="3" t="s">
        <v>1632</v>
      </c>
      <c r="D824" s="3" t="s">
        <v>1633</v>
      </c>
      <c r="E824" s="3"/>
      <c r="F824" s="3"/>
      <c r="G824" s="5" t="str">
        <f>formatIP(IP_Master[[#This Row],[LAN IP Address]])</f>
        <v>010.013.001.182</v>
      </c>
    </row>
    <row r="825" spans="1:7" ht="18" customHeight="1" x14ac:dyDescent="0.4">
      <c r="A825" s="3" t="s">
        <v>1634</v>
      </c>
      <c r="B825" s="3" t="s">
        <v>393</v>
      </c>
      <c r="C825" s="3" t="s">
        <v>1632</v>
      </c>
      <c r="D825" s="3" t="s">
        <v>1635</v>
      </c>
      <c r="E825" s="3"/>
      <c r="F825" s="3"/>
      <c r="G825" s="5" t="str">
        <f>formatIP(IP_Master[[#This Row],[LAN IP Address]])</f>
        <v>010.013.001.183</v>
      </c>
    </row>
    <row r="826" spans="1:7" ht="18" customHeight="1" x14ac:dyDescent="0.4">
      <c r="A826" s="3" t="s">
        <v>1636</v>
      </c>
      <c r="B826" s="3" t="s">
        <v>852</v>
      </c>
      <c r="C826" s="3" t="s">
        <v>1632</v>
      </c>
      <c r="D826" s="3" t="s">
        <v>1637</v>
      </c>
      <c r="E826" s="3" t="s">
        <v>1638</v>
      </c>
      <c r="F826" s="3"/>
      <c r="G826" s="5" t="str">
        <f>formatIP(IP_Master[[#This Row],[LAN IP Address]])</f>
        <v>010.013.001.221</v>
      </c>
    </row>
    <row r="827" spans="1:7" ht="18" customHeight="1" x14ac:dyDescent="0.4">
      <c r="A827" s="3" t="s">
        <v>1639</v>
      </c>
      <c r="B827" s="3" t="s">
        <v>852</v>
      </c>
      <c r="C827" s="3" t="s">
        <v>1632</v>
      </c>
      <c r="D827" s="3" t="s">
        <v>1640</v>
      </c>
      <c r="E827" s="3" t="s">
        <v>1641</v>
      </c>
      <c r="F827" s="3"/>
      <c r="G827" s="5" t="str">
        <f>formatIP(IP_Master[[#This Row],[LAN IP Address]])</f>
        <v>010.013.001.222</v>
      </c>
    </row>
    <row r="828" spans="1:7" ht="18" customHeight="1" x14ac:dyDescent="0.4">
      <c r="A828" s="3" t="s">
        <v>707</v>
      </c>
      <c r="B828" s="3" t="s">
        <v>406</v>
      </c>
      <c r="C828" s="3" t="s">
        <v>18</v>
      </c>
      <c r="D828" s="3" t="s">
        <v>702</v>
      </c>
      <c r="E828" s="3" t="s">
        <v>703</v>
      </c>
      <c r="F828" s="3">
        <v>200250065</v>
      </c>
      <c r="G828" s="5" t="e">
        <f>formatIP(IP_Master[[#This Row],[LAN IP Address]])</f>
        <v>#VALUE!</v>
      </c>
    </row>
    <row r="829" spans="1:7" ht="18" customHeight="1" x14ac:dyDescent="0.4">
      <c r="A829" s="3" t="s">
        <v>704</v>
      </c>
      <c r="B829" s="3" t="s">
        <v>406</v>
      </c>
      <c r="C829" s="3" t="s">
        <v>18</v>
      </c>
      <c r="D829" s="3" t="s">
        <v>704</v>
      </c>
      <c r="E829" s="3" t="s">
        <v>705</v>
      </c>
      <c r="F829" s="3">
        <v>200250066</v>
      </c>
      <c r="G829" s="5" t="e">
        <f>formatIP(IP_Master[[#This Row],[LAN IP Address]])</f>
        <v>#VALUE!</v>
      </c>
    </row>
    <row r="830" spans="1:7" ht="18" customHeight="1" x14ac:dyDescent="0.4">
      <c r="A830" s="3" t="s">
        <v>702</v>
      </c>
      <c r="B830" s="3" t="s">
        <v>406</v>
      </c>
      <c r="C830" s="3" t="s">
        <v>18</v>
      </c>
      <c r="D830" s="3" t="s">
        <v>707</v>
      </c>
      <c r="E830" s="3" t="s">
        <v>708</v>
      </c>
      <c r="F830" s="3">
        <v>200250087</v>
      </c>
      <c r="G830" s="5" t="e">
        <f>formatIP(IP_Master[[#This Row],[LAN IP Address]])</f>
        <v>#VALUE!</v>
      </c>
    </row>
    <row r="831" spans="1:7" ht="18" customHeight="1" x14ac:dyDescent="0.4">
      <c r="A831" s="3" t="s">
        <v>407</v>
      </c>
      <c r="B831" s="3" t="s">
        <v>406</v>
      </c>
      <c r="C831" s="3" t="s">
        <v>18</v>
      </c>
      <c r="D831" s="3" t="s">
        <v>407</v>
      </c>
      <c r="E831" s="3" t="s">
        <v>408</v>
      </c>
      <c r="F831" s="3">
        <v>200250094</v>
      </c>
      <c r="G831" s="5" t="e">
        <f>formatIP(IP_Master[[#This Row],[LAN IP Address]])</f>
        <v>#VALUE!</v>
      </c>
    </row>
    <row r="832" spans="1:7" ht="18" customHeight="1" x14ac:dyDescent="0.4">
      <c r="A832" s="3" t="s">
        <v>718</v>
      </c>
      <c r="B832" s="3" t="s">
        <v>406</v>
      </c>
      <c r="C832" s="3" t="s">
        <v>18</v>
      </c>
      <c r="D832" s="3" t="s">
        <v>718</v>
      </c>
      <c r="E832" s="3" t="s">
        <v>719</v>
      </c>
      <c r="F832" s="3">
        <v>200250083</v>
      </c>
      <c r="G832" s="5" t="e">
        <f>formatIP(IP_Master[[#This Row],[LAN IP Address]])</f>
        <v>#VALUE!</v>
      </c>
    </row>
    <row r="833" spans="1:7" ht="18" customHeight="1" x14ac:dyDescent="0.4">
      <c r="A833" s="3" t="s">
        <v>721</v>
      </c>
      <c r="B833" s="3" t="s">
        <v>406</v>
      </c>
      <c r="C833" s="3" t="s">
        <v>18</v>
      </c>
      <c r="D833" s="3" t="s">
        <v>721</v>
      </c>
      <c r="E833" s="3" t="s">
        <v>719</v>
      </c>
      <c r="F833" s="3">
        <v>200250086</v>
      </c>
      <c r="G833" s="5" t="e">
        <f>formatIP(IP_Master[[#This Row],[LAN IP Address]])</f>
        <v>#VALUE!</v>
      </c>
    </row>
    <row r="834" spans="1:7" ht="18" customHeight="1" x14ac:dyDescent="0.4">
      <c r="A834" s="3" t="s">
        <v>1642</v>
      </c>
      <c r="B834" s="3" t="s">
        <v>393</v>
      </c>
      <c r="C834" s="3" t="s">
        <v>18</v>
      </c>
      <c r="D834" s="3" t="s">
        <v>486</v>
      </c>
      <c r="E834" s="3" t="s">
        <v>1643</v>
      </c>
      <c r="F834" s="3"/>
      <c r="G834" s="5" t="e">
        <f>formatIP(IP_Master[[#This Row],[LAN IP Address]])</f>
        <v>#VALUE!</v>
      </c>
    </row>
  </sheetData>
  <pageMargins left="0.55118110236220474" right="0.35433070866141736" top="0.78740157480314965" bottom="0.59055118110236227" header="0.51181102362204722" footer="0.51181102362204722"/>
  <pageSetup paperSize="8" scale="59" fitToHeight="0" orientation="landscape" cellComments="asDisplayed"/>
  <headerFooter>
    <oddHeader>&amp;A</oddHeader>
    <oddFooter>Page &amp;P</oddFooter>
  </headerFooter>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8EB5BBE4690B64F81BDCF1F8CDEF8BD" ma:contentTypeVersion="2" ma:contentTypeDescription="Create a new document." ma:contentTypeScope="" ma:versionID="9873370e33cd34352cf2c62ab0997f12">
  <xsd:schema xmlns:xsd="http://www.w3.org/2001/XMLSchema" xmlns:xs="http://www.w3.org/2001/XMLSchema" xmlns:p="http://schemas.microsoft.com/office/2006/metadata/properties" xmlns:ns2="3f1adf41-7b04-4826-9f3d-7c81bde9affc" targetNamespace="http://schemas.microsoft.com/office/2006/metadata/properties" ma:root="true" ma:fieldsID="de59bd350689d1c853a53c7554fcbf49" ns2:_="">
    <xsd:import namespace="3f1adf41-7b04-4826-9f3d-7c81bde9affc"/>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1adf41-7b04-4826-9f3d-7c81bde9aff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BDDBB1-D3C8-4DB8-A1FF-7D3C773F87D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EF4C888-0EF3-4E89-95E3-D7FBBF10A1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1adf41-7b04-4826-9f3d-7c81bde9af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D38BE6-E626-4E5D-987A-3A1C493D807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Help</vt:lpstr>
      <vt:lpstr>Analysis</vt:lpstr>
      <vt:lpstr>Data</vt:lpstr>
      <vt:lpstr>Traffic Type Info</vt:lpstr>
      <vt:lpstr>IP List Master</vt:lpstr>
      <vt:lpstr>'IP List Master'!Print_Titles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Bertram Dunskus</dc:creator>
  <cp:keywords/>
  <dc:description/>
  <cp:lastModifiedBy>Miandoli8</cp:lastModifiedBy>
  <cp:revision/>
  <dcterms:created xsi:type="dcterms:W3CDTF">2017-04-07T15:39:54Z</dcterms:created>
  <dcterms:modified xsi:type="dcterms:W3CDTF">2021-01-10T12:19:53Z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0x01010098EB5BBE4690B64F81BDCF1F8CDEF8BD</vt:lpwstr>
  </property>
</Properties>
</file>